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uthfi\00\"/>
    </mc:Choice>
  </mc:AlternateContent>
  <xr:revisionPtr revIDLastSave="0" documentId="13_ncr:1_{F8DFA326-FC04-436F-9962-41D296932F71}" xr6:coauthVersionLast="47" xr6:coauthVersionMax="47" xr10:uidLastSave="{00000000-0000-0000-0000-000000000000}"/>
  <bookViews>
    <workbookView xWindow="-110" yWindow="-110" windowWidth="19420" windowHeight="10300" firstSheet="3" activeTab="7" xr2:uid="{885BFDAC-3C70-4E79-B164-8B65F0F495CB}"/>
  </bookViews>
  <sheets>
    <sheet name="Cashflow" sheetId="5" r:id="rId1"/>
    <sheet name="Sheet1" sheetId="16" r:id="rId2"/>
    <sheet name="Pak Surat" sheetId="3" r:id="rId3"/>
    <sheet name="Kas" sheetId="11" r:id="rId4"/>
    <sheet name="Tabungan" sheetId="7" r:id="rId5"/>
    <sheet name="Bu Erta" sheetId="2" r:id="rId6"/>
    <sheet name="KamiBox" sheetId="23" r:id="rId7"/>
    <sheet name="Sheet2" sheetId="24" r:id="rId8"/>
    <sheet name="Tabungan Nasabah" sheetId="8" r:id="rId9"/>
    <sheet name="15-02-26" sheetId="22" r:id="rId10"/>
    <sheet name="31-1-26" sheetId="21" r:id="rId11"/>
    <sheet name="3-1-26" sheetId="19" r:id="rId12"/>
    <sheet name="13-12-25" sheetId="18" r:id="rId13"/>
    <sheet name="15-11-25" sheetId="17" r:id="rId14"/>
    <sheet name="1-11-25" sheetId="15" r:id="rId15"/>
    <sheet name="19-10-25" sheetId="14" r:id="rId16"/>
    <sheet name="21-9-2025" sheetId="13" r:id="rId17"/>
    <sheet name="7-9-2025" sheetId="12" r:id="rId18"/>
    <sheet name="23-8-2025" sheetId="10" r:id="rId19"/>
    <sheet name="9-8-2025" sheetId="9" r:id="rId20"/>
    <sheet name="26-7-2025" sheetId="4" r:id="rId21"/>
    <sheet name="12-7-2025" sheetId="1" r:id="rId22"/>
  </sheets>
  <definedNames>
    <definedName name="_xlnm._FilterDatabase" localSheetId="21" hidden="1">'12-7-2025'!$A$3:$G$231</definedName>
    <definedName name="_xlnm._FilterDatabase" localSheetId="6" hidden="1">KamiBox!$B$2:$H$2</definedName>
    <definedName name="_xlnm._FilterDatabase" localSheetId="3" hidden="1">Kas!$A$2:$F$134</definedName>
    <definedName name="_xlnm._FilterDatabase" localSheetId="2" hidden="1">'Pak Surat'!$B$2:$G$66</definedName>
    <definedName name="_xlnm._FilterDatabase" localSheetId="8" hidden="1">'Tabungan Nasabah'!$C$2:$Y$124</definedName>
  </definedNames>
  <calcPr calcId="191029" iterate="1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  <pivotCache cacheId="8" r:id="rId31"/>
    <pivotCache cacheId="9" r:id="rId32"/>
    <pivotCache cacheId="10" r:id="rId33"/>
    <pivotCache cacheId="11" r:id="rId34"/>
    <pivotCache cacheId="12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8" i="24" l="1"/>
  <c r="G273" i="24"/>
  <c r="H273" i="24"/>
  <c r="G274" i="24"/>
  <c r="H274" i="24"/>
  <c r="G275" i="24"/>
  <c r="H275" i="24"/>
  <c r="G276" i="24"/>
  <c r="H276" i="24"/>
  <c r="G277" i="24"/>
  <c r="H277" i="24"/>
  <c r="G278" i="24"/>
  <c r="H278" i="24"/>
  <c r="G279" i="24"/>
  <c r="H279" i="24"/>
  <c r="G280" i="24"/>
  <c r="H280" i="24"/>
  <c r="G281" i="24"/>
  <c r="H281" i="24"/>
  <c r="G282" i="24"/>
  <c r="H282" i="24"/>
  <c r="G283" i="24"/>
  <c r="H283" i="24"/>
  <c r="G284" i="24"/>
  <c r="H284" i="24"/>
  <c r="G285" i="24"/>
  <c r="H285" i="24"/>
  <c r="G286" i="24"/>
  <c r="H286" i="24"/>
  <c r="G287" i="24"/>
  <c r="H287" i="24"/>
  <c r="G288" i="24"/>
  <c r="H288" i="24"/>
  <c r="G289" i="24"/>
  <c r="H289" i="24"/>
  <c r="G290" i="24"/>
  <c r="H290" i="24"/>
  <c r="G291" i="24"/>
  <c r="H291" i="24"/>
  <c r="G292" i="24"/>
  <c r="H292" i="24"/>
  <c r="G293" i="24"/>
  <c r="H293" i="24"/>
  <c r="G294" i="24"/>
  <c r="H294" i="24"/>
  <c r="G295" i="24"/>
  <c r="H295" i="24"/>
  <c r="G296" i="24"/>
  <c r="H296" i="24"/>
  <c r="G297" i="24"/>
  <c r="H297" i="24"/>
  <c r="G298" i="24"/>
  <c r="H298" i="24"/>
  <c r="G299" i="24"/>
  <c r="H299" i="24"/>
  <c r="G300" i="24"/>
  <c r="H300" i="24"/>
  <c r="G301" i="24"/>
  <c r="H301" i="24"/>
  <c r="G302" i="24"/>
  <c r="H302" i="24"/>
  <c r="G303" i="24"/>
  <c r="H303" i="24"/>
  <c r="G304" i="24"/>
  <c r="H304" i="24"/>
  <c r="G305" i="24"/>
  <c r="H305" i="24"/>
  <c r="G306" i="24"/>
  <c r="H306" i="24"/>
  <c r="G307" i="24"/>
  <c r="H307" i="24"/>
  <c r="G308" i="24"/>
  <c r="H308" i="24"/>
  <c r="G309" i="24"/>
  <c r="H309" i="24"/>
  <c r="G310" i="24"/>
  <c r="H310" i="24"/>
  <c r="G311" i="24"/>
  <c r="H311" i="24"/>
  <c r="G312" i="24"/>
  <c r="H312" i="24"/>
  <c r="G313" i="24"/>
  <c r="H313" i="24"/>
  <c r="G314" i="24"/>
  <c r="H314" i="24"/>
  <c r="G315" i="24"/>
  <c r="H315" i="24"/>
  <c r="G316" i="24"/>
  <c r="H316" i="24"/>
  <c r="G317" i="24"/>
  <c r="H317" i="24"/>
  <c r="G318" i="24"/>
  <c r="H318" i="24"/>
  <c r="G319" i="24"/>
  <c r="H319" i="24"/>
  <c r="G320" i="24"/>
  <c r="H320" i="24"/>
  <c r="G321" i="24"/>
  <c r="H321" i="24"/>
  <c r="G322" i="24"/>
  <c r="H322" i="24"/>
  <c r="G323" i="24"/>
  <c r="H323" i="24"/>
  <c r="G324" i="24"/>
  <c r="H324" i="24"/>
  <c r="G325" i="24"/>
  <c r="H325" i="24"/>
  <c r="G326" i="24"/>
  <c r="H326" i="24"/>
  <c r="G327" i="24"/>
  <c r="H327" i="24"/>
  <c r="G328" i="24"/>
  <c r="H328" i="24"/>
  <c r="G329" i="24"/>
  <c r="H329" i="24"/>
  <c r="G330" i="24"/>
  <c r="H330" i="24"/>
  <c r="G331" i="24"/>
  <c r="H331" i="24"/>
  <c r="G332" i="24"/>
  <c r="H332" i="24"/>
  <c r="G333" i="24"/>
  <c r="H333" i="24"/>
  <c r="G334" i="24"/>
  <c r="H334" i="24"/>
  <c r="G335" i="24"/>
  <c r="H335" i="24"/>
  <c r="G336" i="24"/>
  <c r="H336" i="24"/>
  <c r="G337" i="24"/>
  <c r="H337" i="24"/>
  <c r="G338" i="24"/>
  <c r="H338" i="24"/>
  <c r="G339" i="24"/>
  <c r="H339" i="24"/>
  <c r="G340" i="24"/>
  <c r="H340" i="24"/>
  <c r="G341" i="24"/>
  <c r="H341" i="24"/>
  <c r="G342" i="24"/>
  <c r="H342" i="24"/>
  <c r="G343" i="24"/>
  <c r="H343" i="24"/>
  <c r="G344" i="24"/>
  <c r="H344" i="24"/>
  <c r="G345" i="24"/>
  <c r="H345" i="24"/>
  <c r="G346" i="24"/>
  <c r="H346" i="24"/>
  <c r="G347" i="24"/>
  <c r="H347" i="24"/>
  <c r="G348" i="24"/>
  <c r="H348" i="24"/>
  <c r="G349" i="24"/>
  <c r="H349" i="24"/>
  <c r="G350" i="24"/>
  <c r="H350" i="24"/>
  <c r="G351" i="24"/>
  <c r="H351" i="24"/>
  <c r="G352" i="24"/>
  <c r="H352" i="24"/>
  <c r="G353" i="24"/>
  <c r="H353" i="24"/>
  <c r="G354" i="24"/>
  <c r="H354" i="24"/>
  <c r="G355" i="24"/>
  <c r="H355" i="24"/>
  <c r="G356" i="24"/>
  <c r="H356" i="24"/>
  <c r="G357" i="24"/>
  <c r="H357" i="24"/>
  <c r="G358" i="24"/>
  <c r="H358" i="24"/>
  <c r="G359" i="24"/>
  <c r="H359" i="24"/>
  <c r="G360" i="24"/>
  <c r="H360" i="24"/>
  <c r="G361" i="24"/>
  <c r="H361" i="24"/>
  <c r="G362" i="24"/>
  <c r="H362" i="24"/>
  <c r="G363" i="24"/>
  <c r="H363" i="24"/>
  <c r="G364" i="24"/>
  <c r="H364" i="24"/>
  <c r="G365" i="24"/>
  <c r="H365" i="24"/>
  <c r="G366" i="24"/>
  <c r="H366" i="24"/>
  <c r="G367" i="24"/>
  <c r="H367" i="24"/>
  <c r="G368" i="24"/>
  <c r="H368" i="24"/>
  <c r="G369" i="24"/>
  <c r="H369" i="24"/>
  <c r="G370" i="24"/>
  <c r="H370" i="24"/>
  <c r="G371" i="24"/>
  <c r="H371" i="24"/>
  <c r="G372" i="24"/>
  <c r="H372" i="24"/>
  <c r="G373" i="24"/>
  <c r="H373" i="24"/>
  <c r="G374" i="24"/>
  <c r="H374" i="24"/>
  <c r="G375" i="24"/>
  <c r="H375" i="24"/>
  <c r="G376" i="24"/>
  <c r="H376" i="24"/>
  <c r="G377" i="24"/>
  <c r="H377" i="24"/>
  <c r="G378" i="24"/>
  <c r="H378" i="24"/>
  <c r="G379" i="24"/>
  <c r="H379" i="24"/>
  <c r="G380" i="24"/>
  <c r="H380" i="24"/>
  <c r="G381" i="24"/>
  <c r="H381" i="24"/>
  <c r="G382" i="24"/>
  <c r="H382" i="24"/>
  <c r="G383" i="24"/>
  <c r="H383" i="24"/>
  <c r="G384" i="24"/>
  <c r="H384" i="24"/>
  <c r="G385" i="24"/>
  <c r="H385" i="24"/>
  <c r="G386" i="24"/>
  <c r="H386" i="24"/>
  <c r="G387" i="24"/>
  <c r="H387" i="24"/>
  <c r="G388" i="24"/>
  <c r="H388" i="24"/>
  <c r="G389" i="24"/>
  <c r="H389" i="24"/>
  <c r="G390" i="24"/>
  <c r="H390" i="24"/>
  <c r="G391" i="24"/>
  <c r="H391" i="24"/>
  <c r="G392" i="24"/>
  <c r="H392" i="24"/>
  <c r="G393" i="24"/>
  <c r="H393" i="24"/>
  <c r="G394" i="24"/>
  <c r="H394" i="24"/>
  <c r="G395" i="24"/>
  <c r="H395" i="24"/>
  <c r="G396" i="24"/>
  <c r="H396" i="24"/>
  <c r="G397" i="24"/>
  <c r="H397" i="24"/>
  <c r="G398" i="24"/>
  <c r="H398" i="24"/>
  <c r="G399" i="24"/>
  <c r="H399" i="24"/>
  <c r="G400" i="24"/>
  <c r="H400" i="24"/>
  <c r="G401" i="24"/>
  <c r="H401" i="24"/>
  <c r="G402" i="24"/>
  <c r="H402" i="24"/>
  <c r="G403" i="24"/>
  <c r="H403" i="24"/>
  <c r="G404" i="24"/>
  <c r="H404" i="24"/>
  <c r="G405" i="24"/>
  <c r="H405" i="24"/>
  <c r="G406" i="24"/>
  <c r="H406" i="24"/>
  <c r="G407" i="24"/>
  <c r="H407" i="24"/>
  <c r="G408" i="24"/>
  <c r="H408" i="24"/>
  <c r="G409" i="24"/>
  <c r="H409" i="24"/>
  <c r="G410" i="24"/>
  <c r="H410" i="24"/>
  <c r="G411" i="24"/>
  <c r="H411" i="24"/>
  <c r="G412" i="24"/>
  <c r="H412" i="24"/>
  <c r="G413" i="24"/>
  <c r="H413" i="24"/>
  <c r="G414" i="24"/>
  <c r="H414" i="24"/>
  <c r="G415" i="24"/>
  <c r="H415" i="24"/>
  <c r="G416" i="24"/>
  <c r="H416" i="24"/>
  <c r="G417" i="24"/>
  <c r="H417" i="24"/>
  <c r="G418" i="24"/>
  <c r="H418" i="24"/>
  <c r="G419" i="24"/>
  <c r="H419" i="24"/>
  <c r="G420" i="24"/>
  <c r="H420" i="24"/>
  <c r="G421" i="24"/>
  <c r="H421" i="24"/>
  <c r="G422" i="24"/>
  <c r="H422" i="24"/>
  <c r="G423" i="24"/>
  <c r="H423" i="24"/>
  <c r="G424" i="24"/>
  <c r="H424" i="24"/>
  <c r="G425" i="24"/>
  <c r="H425" i="24"/>
  <c r="G426" i="24"/>
  <c r="H426" i="24"/>
  <c r="G427" i="24"/>
  <c r="H427" i="24"/>
  <c r="G428" i="24"/>
  <c r="H428" i="24"/>
  <c r="G429" i="24"/>
  <c r="H429" i="24"/>
  <c r="G430" i="24"/>
  <c r="H430" i="24"/>
  <c r="G431" i="24"/>
  <c r="H431" i="24"/>
  <c r="G432" i="24"/>
  <c r="H432" i="24"/>
  <c r="G433" i="24"/>
  <c r="H433" i="24"/>
  <c r="H434" i="24"/>
  <c r="G435" i="24"/>
  <c r="H435" i="24"/>
  <c r="H436" i="24"/>
  <c r="H437" i="24"/>
  <c r="G438" i="24"/>
  <c r="H438" i="24"/>
  <c r="H439" i="24"/>
  <c r="H440" i="24"/>
  <c r="G441" i="24"/>
  <c r="H441" i="24"/>
  <c r="H442" i="24"/>
  <c r="H443" i="24"/>
  <c r="H444" i="24"/>
  <c r="G445" i="24"/>
  <c r="H445" i="24"/>
  <c r="G446" i="24"/>
  <c r="H446" i="24"/>
  <c r="G447" i="24"/>
  <c r="H447" i="24"/>
  <c r="G448" i="24"/>
  <c r="H448" i="24"/>
  <c r="G449" i="24"/>
  <c r="H449" i="24"/>
  <c r="G450" i="24"/>
  <c r="H450" i="24"/>
  <c r="G451" i="24"/>
  <c r="H451" i="24"/>
  <c r="G452" i="24"/>
  <c r="H452" i="24"/>
  <c r="G453" i="24"/>
  <c r="H453" i="24"/>
  <c r="G454" i="24"/>
  <c r="H454" i="24"/>
  <c r="G455" i="24"/>
  <c r="H455" i="24"/>
  <c r="G456" i="24"/>
  <c r="H456" i="24"/>
  <c r="G457" i="24"/>
  <c r="H457" i="24"/>
  <c r="G458" i="24"/>
  <c r="H458" i="24"/>
  <c r="G459" i="24"/>
  <c r="H459" i="24"/>
  <c r="G460" i="24"/>
  <c r="H460" i="24"/>
  <c r="G461" i="24"/>
  <c r="H461" i="24"/>
  <c r="G462" i="24"/>
  <c r="H462" i="24"/>
  <c r="G463" i="24"/>
  <c r="H463" i="24"/>
  <c r="G464" i="24"/>
  <c r="H464" i="24"/>
  <c r="G465" i="24"/>
  <c r="H465" i="24"/>
  <c r="G466" i="24"/>
  <c r="H466" i="24"/>
  <c r="G467" i="24"/>
  <c r="H467" i="24"/>
  <c r="G468" i="24"/>
  <c r="H468" i="24"/>
  <c r="G469" i="24"/>
  <c r="H469" i="24"/>
  <c r="G470" i="24"/>
  <c r="H470" i="24"/>
  <c r="G471" i="24"/>
  <c r="H471" i="24"/>
  <c r="G472" i="24"/>
  <c r="H472" i="24"/>
  <c r="G473" i="24"/>
  <c r="H473" i="24"/>
  <c r="G474" i="24"/>
  <c r="H474" i="24"/>
  <c r="G475" i="24"/>
  <c r="H475" i="24"/>
  <c r="G476" i="24"/>
  <c r="H476" i="24"/>
  <c r="G477" i="24"/>
  <c r="H477" i="24"/>
  <c r="G478" i="24"/>
  <c r="H478" i="24"/>
  <c r="G479" i="24"/>
  <c r="H479" i="24"/>
  <c r="G480" i="24"/>
  <c r="H480" i="24"/>
  <c r="G481" i="24"/>
  <c r="H481" i="24"/>
  <c r="G482" i="24"/>
  <c r="H482" i="24"/>
  <c r="G483" i="24"/>
  <c r="H483" i="24"/>
  <c r="G484" i="24"/>
  <c r="H484" i="24"/>
  <c r="G485" i="24"/>
  <c r="H485" i="24"/>
  <c r="G486" i="24"/>
  <c r="H486" i="24"/>
  <c r="G487" i="24"/>
  <c r="H487" i="24"/>
  <c r="G488" i="24"/>
  <c r="H488" i="24"/>
  <c r="G489" i="24"/>
  <c r="H489" i="24"/>
  <c r="G490" i="24"/>
  <c r="H490" i="24"/>
  <c r="G491" i="24"/>
  <c r="H491" i="24"/>
  <c r="G492" i="24"/>
  <c r="H492" i="24"/>
  <c r="G493" i="24"/>
  <c r="H493" i="24"/>
  <c r="G494" i="24"/>
  <c r="H494" i="24"/>
  <c r="G495" i="24"/>
  <c r="H495" i="24"/>
  <c r="G496" i="24"/>
  <c r="H496" i="24"/>
  <c r="G497" i="24"/>
  <c r="H497" i="24"/>
  <c r="G498" i="24"/>
  <c r="H498" i="24"/>
  <c r="G499" i="24"/>
  <c r="H499" i="24"/>
  <c r="G500" i="24"/>
  <c r="H500" i="24"/>
  <c r="G501" i="24"/>
  <c r="H501" i="24"/>
  <c r="G502" i="24"/>
  <c r="H502" i="24"/>
  <c r="G503" i="24"/>
  <c r="H503" i="24"/>
  <c r="G504" i="24"/>
  <c r="H504" i="24"/>
  <c r="G505" i="24"/>
  <c r="H505" i="24"/>
  <c r="G506" i="24"/>
  <c r="H506" i="24"/>
  <c r="G507" i="24"/>
  <c r="H507" i="24"/>
  <c r="G508" i="24"/>
  <c r="H508" i="24"/>
  <c r="G509" i="24"/>
  <c r="H509" i="24"/>
  <c r="G510" i="24"/>
  <c r="H510" i="24"/>
  <c r="G511" i="24"/>
  <c r="H511" i="24"/>
  <c r="G512" i="24"/>
  <c r="H512" i="24"/>
  <c r="G513" i="24"/>
  <c r="H513" i="24"/>
  <c r="G514" i="24"/>
  <c r="H514" i="24"/>
  <c r="G515" i="24"/>
  <c r="H515" i="24"/>
  <c r="E274" i="24"/>
  <c r="E275" i="24"/>
  <c r="E276" i="24"/>
  <c r="E277" i="24"/>
  <c r="E278" i="24"/>
  <c r="E279" i="24"/>
  <c r="E280" i="24"/>
  <c r="E281" i="24"/>
  <c r="E282" i="24"/>
  <c r="E283" i="24"/>
  <c r="E284" i="24"/>
  <c r="E273" i="24"/>
  <c r="F279" i="24"/>
  <c r="F277" i="24"/>
  <c r="F274" i="24"/>
  <c r="F430" i="24"/>
  <c r="F424" i="24"/>
  <c r="F418" i="24"/>
  <c r="F419" i="24"/>
  <c r="F417" i="24"/>
  <c r="F410" i="24"/>
  <c r="F408" i="24"/>
  <c r="F401" i="24"/>
  <c r="F398" i="24"/>
  <c r="F387" i="24"/>
  <c r="F383" i="24"/>
  <c r="F382" i="24"/>
  <c r="F380" i="24"/>
  <c r="F373" i="24"/>
  <c r="F371" i="24"/>
  <c r="F366" i="24"/>
  <c r="F363" i="24"/>
  <c r="F361" i="24"/>
  <c r="F359" i="24"/>
  <c r="F358" i="24"/>
  <c r="F354" i="24"/>
  <c r="F355" i="24"/>
  <c r="F350" i="24"/>
  <c r="F346" i="24"/>
  <c r="F343" i="24"/>
  <c r="F341" i="24"/>
  <c r="F340" i="24"/>
  <c r="F339" i="24"/>
  <c r="F327" i="24"/>
  <c r="F325" i="24"/>
  <c r="F315" i="24"/>
  <c r="F321" i="24"/>
  <c r="F317" i="24"/>
  <c r="F313" i="24"/>
  <c r="F312" i="24"/>
  <c r="F302" i="24"/>
  <c r="F287" i="24"/>
  <c r="F286" i="24"/>
  <c r="F285" i="24"/>
  <c r="F262" i="24"/>
  <c r="H262" i="24" s="1"/>
  <c r="F260" i="24"/>
  <c r="H260" i="24" s="1"/>
  <c r="F257" i="24"/>
  <c r="F254" i="24"/>
  <c r="H254" i="24" s="1"/>
  <c r="F245" i="24"/>
  <c r="H245" i="24" s="1"/>
  <c r="F252" i="24"/>
  <c r="H252" i="24" s="1"/>
  <c r="F251" i="24"/>
  <c r="F248" i="24"/>
  <c r="H248" i="24" s="1"/>
  <c r="F247" i="24"/>
  <c r="H247" i="24" s="1"/>
  <c r="F238" i="24"/>
  <c r="F236" i="24"/>
  <c r="F225" i="24"/>
  <c r="H225" i="24" s="1"/>
  <c r="F223" i="24"/>
  <c r="H223" i="24" s="1"/>
  <c r="F221" i="24"/>
  <c r="G221" i="24" s="1"/>
  <c r="F218" i="24"/>
  <c r="F216" i="24"/>
  <c r="H216" i="24" s="1"/>
  <c r="F214" i="24"/>
  <c r="H214" i="24" s="1"/>
  <c r="F213" i="24"/>
  <c r="F207" i="24"/>
  <c r="F202" i="24"/>
  <c r="H202" i="24" s="1"/>
  <c r="F152" i="24"/>
  <c r="H152" i="24" s="1"/>
  <c r="F150" i="24"/>
  <c r="F148" i="24"/>
  <c r="F147" i="24"/>
  <c r="F146" i="24"/>
  <c r="H146" i="24" s="1"/>
  <c r="F144" i="24"/>
  <c r="H144" i="24" s="1"/>
  <c r="F143" i="24"/>
  <c r="C71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39" i="1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38" i="11"/>
  <c r="F140" i="24"/>
  <c r="H140" i="24" s="1"/>
  <c r="F134" i="24"/>
  <c r="H134" i="24" s="1"/>
  <c r="F129" i="24"/>
  <c r="G129" i="24" s="1"/>
  <c r="F125" i="24"/>
  <c r="F123" i="24"/>
  <c r="F118" i="24"/>
  <c r="H118" i="24" s="1"/>
  <c r="F117" i="24"/>
  <c r="G117" i="24" s="1"/>
  <c r="F115" i="24"/>
  <c r="F105" i="24"/>
  <c r="H105" i="24" s="1"/>
  <c r="F196" i="24"/>
  <c r="H196" i="24" s="1"/>
  <c r="F195" i="24"/>
  <c r="F192" i="24"/>
  <c r="F188" i="24"/>
  <c r="H188" i="24" s="1"/>
  <c r="F185" i="24"/>
  <c r="H185" i="24" s="1"/>
  <c r="F181" i="24"/>
  <c r="H181" i="24" s="1"/>
  <c r="F179" i="24"/>
  <c r="F177" i="24"/>
  <c r="H177" i="24" s="1"/>
  <c r="F174" i="24"/>
  <c r="H174" i="24" s="1"/>
  <c r="F170" i="24"/>
  <c r="H170" i="24" s="1"/>
  <c r="F167" i="24"/>
  <c r="F98" i="24"/>
  <c r="F87" i="24"/>
  <c r="H87" i="24" s="1"/>
  <c r="F88" i="24"/>
  <c r="H88" i="24" s="1"/>
  <c r="F78" i="24"/>
  <c r="F73" i="24"/>
  <c r="H73" i="24" s="1"/>
  <c r="F71" i="24"/>
  <c r="H71" i="24" s="1"/>
  <c r="F70" i="24"/>
  <c r="H70" i="24" s="1"/>
  <c r="E70" i="24"/>
  <c r="F67" i="24"/>
  <c r="H67" i="24" s="1"/>
  <c r="F66" i="24"/>
  <c r="H66" i="24" s="1"/>
  <c r="F47" i="24"/>
  <c r="H47" i="24" s="1"/>
  <c r="F29" i="24"/>
  <c r="F38" i="24"/>
  <c r="H38" i="24" s="1"/>
  <c r="F37" i="24"/>
  <c r="F28" i="24"/>
  <c r="F35" i="24"/>
  <c r="F27" i="24"/>
  <c r="H27" i="24" s="1"/>
  <c r="F26" i="24"/>
  <c r="H26" i="24" s="1"/>
  <c r="F17" i="24"/>
  <c r="H17" i="24" s="1"/>
  <c r="F15" i="24"/>
  <c r="E515" i="24"/>
  <c r="E514" i="24"/>
  <c r="E513" i="24"/>
  <c r="E512" i="24"/>
  <c r="E511" i="24"/>
  <c r="E510" i="24"/>
  <c r="E509" i="24"/>
  <c r="E508" i="24"/>
  <c r="E507" i="24"/>
  <c r="E506" i="24"/>
  <c r="E505" i="24"/>
  <c r="E504" i="24"/>
  <c r="E503" i="24"/>
  <c r="E502" i="24"/>
  <c r="E501" i="24"/>
  <c r="E500" i="24"/>
  <c r="E499" i="24"/>
  <c r="E498" i="24"/>
  <c r="E497" i="24"/>
  <c r="E496" i="24"/>
  <c r="E495" i="24"/>
  <c r="E494" i="24"/>
  <c r="E493" i="24"/>
  <c r="E492" i="24"/>
  <c r="E491" i="24"/>
  <c r="E490" i="24"/>
  <c r="E489" i="24"/>
  <c r="E488" i="24"/>
  <c r="E487" i="24"/>
  <c r="E486" i="24"/>
  <c r="E485" i="24"/>
  <c r="E484" i="24"/>
  <c r="E483" i="24"/>
  <c r="E482" i="24"/>
  <c r="E481" i="24"/>
  <c r="E480" i="24"/>
  <c r="E479" i="24"/>
  <c r="E478" i="24"/>
  <c r="E477" i="24"/>
  <c r="E476" i="24"/>
  <c r="E475" i="24"/>
  <c r="E474" i="24"/>
  <c r="E473" i="24"/>
  <c r="E472" i="24"/>
  <c r="E471" i="24"/>
  <c r="E470" i="24"/>
  <c r="E469" i="24"/>
  <c r="E468" i="24"/>
  <c r="E467" i="24"/>
  <c r="E466" i="24"/>
  <c r="E465" i="24"/>
  <c r="E464" i="24"/>
  <c r="E463" i="24"/>
  <c r="E462" i="24"/>
  <c r="E461" i="24"/>
  <c r="E460" i="24"/>
  <c r="E459" i="24"/>
  <c r="E458" i="24"/>
  <c r="E457" i="24"/>
  <c r="E456" i="24"/>
  <c r="E455" i="24"/>
  <c r="E454" i="24"/>
  <c r="E453" i="24"/>
  <c r="E452" i="24"/>
  <c r="E451" i="24"/>
  <c r="E450" i="24"/>
  <c r="E449" i="24"/>
  <c r="E448" i="24"/>
  <c r="E447" i="24"/>
  <c r="E446" i="24"/>
  <c r="E445" i="24"/>
  <c r="E444" i="24"/>
  <c r="G444" i="24" s="1"/>
  <c r="E443" i="24"/>
  <c r="G443" i="24" s="1"/>
  <c r="E442" i="24"/>
  <c r="G442" i="24" s="1"/>
  <c r="E441" i="24"/>
  <c r="E440" i="24"/>
  <c r="G440" i="24" s="1"/>
  <c r="E439" i="24"/>
  <c r="G439" i="24" s="1"/>
  <c r="E438" i="24"/>
  <c r="E437" i="24"/>
  <c r="G437" i="24" s="1"/>
  <c r="E436" i="24"/>
  <c r="G436" i="24" s="1"/>
  <c r="E435" i="24"/>
  <c r="E434" i="24"/>
  <c r="G434" i="24" s="1"/>
  <c r="E433" i="24"/>
  <c r="E432" i="24"/>
  <c r="E431" i="24"/>
  <c r="E430" i="24"/>
  <c r="E429" i="24"/>
  <c r="E428" i="24"/>
  <c r="E427" i="24"/>
  <c r="E426" i="24"/>
  <c r="E425" i="24"/>
  <c r="E424" i="24"/>
  <c r="E423" i="24"/>
  <c r="E422" i="24"/>
  <c r="E421" i="24"/>
  <c r="E420" i="24"/>
  <c r="E419" i="24"/>
  <c r="E418" i="24"/>
  <c r="E417" i="24"/>
  <c r="E416" i="24"/>
  <c r="E415" i="24"/>
  <c r="E414" i="24"/>
  <c r="E413" i="24"/>
  <c r="E412" i="24"/>
  <c r="E411" i="24"/>
  <c r="E410" i="24"/>
  <c r="E409" i="24"/>
  <c r="E408" i="24"/>
  <c r="E407" i="24"/>
  <c r="E406" i="24"/>
  <c r="E405" i="24"/>
  <c r="E404" i="24"/>
  <c r="E403" i="24"/>
  <c r="E402" i="24"/>
  <c r="E401" i="24"/>
  <c r="E400" i="24"/>
  <c r="E399" i="24"/>
  <c r="E398" i="24"/>
  <c r="E397" i="24"/>
  <c r="E396" i="24"/>
  <c r="E395" i="24"/>
  <c r="E394" i="24"/>
  <c r="E393" i="24"/>
  <c r="E392" i="24"/>
  <c r="E391" i="24"/>
  <c r="E390" i="24"/>
  <c r="E389" i="24"/>
  <c r="E388" i="24"/>
  <c r="E387" i="24"/>
  <c r="E386" i="24"/>
  <c r="E385" i="24"/>
  <c r="E384" i="24"/>
  <c r="E383" i="24"/>
  <c r="E382" i="24"/>
  <c r="E381" i="24"/>
  <c r="E380" i="24"/>
  <c r="E379" i="24"/>
  <c r="E378" i="24"/>
  <c r="E377" i="24"/>
  <c r="E376" i="24"/>
  <c r="E375" i="24"/>
  <c r="E374" i="24"/>
  <c r="E373" i="24"/>
  <c r="E372" i="24"/>
  <c r="E371" i="24"/>
  <c r="E370" i="24"/>
  <c r="E369" i="24"/>
  <c r="E368" i="24"/>
  <c r="E367" i="24"/>
  <c r="E366" i="24"/>
  <c r="E365" i="24"/>
  <c r="E364" i="24"/>
  <c r="E363" i="24"/>
  <c r="E362" i="24"/>
  <c r="E361" i="24"/>
  <c r="E360" i="24"/>
  <c r="E359" i="24"/>
  <c r="E358" i="24"/>
  <c r="E357" i="24"/>
  <c r="E356" i="24"/>
  <c r="E355" i="24"/>
  <c r="E354" i="24"/>
  <c r="E353" i="24"/>
  <c r="E352" i="24"/>
  <c r="E351" i="24"/>
  <c r="E350" i="24"/>
  <c r="E349" i="24"/>
  <c r="E348" i="24"/>
  <c r="E347" i="24"/>
  <c r="E346" i="24"/>
  <c r="E345" i="24"/>
  <c r="E344" i="24"/>
  <c r="E343" i="24"/>
  <c r="E342" i="24"/>
  <c r="E341" i="24"/>
  <c r="E340" i="24"/>
  <c r="E339" i="24"/>
  <c r="E338" i="24"/>
  <c r="E337" i="24"/>
  <c r="E336" i="24"/>
  <c r="E335" i="24"/>
  <c r="E334" i="24"/>
  <c r="E333" i="24"/>
  <c r="E332" i="24"/>
  <c r="E331" i="24"/>
  <c r="E330" i="24"/>
  <c r="E329" i="24"/>
  <c r="E328" i="24"/>
  <c r="E327" i="24"/>
  <c r="E326" i="24"/>
  <c r="E325" i="24"/>
  <c r="E324" i="24"/>
  <c r="E323" i="24"/>
  <c r="E322" i="24"/>
  <c r="E321" i="24"/>
  <c r="E320" i="24"/>
  <c r="E319" i="24"/>
  <c r="E318" i="24"/>
  <c r="E317" i="24"/>
  <c r="E316" i="24"/>
  <c r="E315" i="24"/>
  <c r="E314" i="24"/>
  <c r="E313" i="24"/>
  <c r="E312" i="24"/>
  <c r="E311" i="24"/>
  <c r="E310" i="24"/>
  <c r="E309" i="24"/>
  <c r="E308" i="24"/>
  <c r="E307" i="24"/>
  <c r="E306" i="24"/>
  <c r="E305" i="24"/>
  <c r="E304" i="24"/>
  <c r="E303" i="24"/>
  <c r="E302" i="24"/>
  <c r="E301" i="24"/>
  <c r="E300" i="24"/>
  <c r="E299" i="24"/>
  <c r="E298" i="24"/>
  <c r="E297" i="24"/>
  <c r="E296" i="24"/>
  <c r="E295" i="24"/>
  <c r="E294" i="24"/>
  <c r="E293" i="24"/>
  <c r="E292" i="24"/>
  <c r="E291" i="24"/>
  <c r="E290" i="24"/>
  <c r="E289" i="24"/>
  <c r="E288" i="24"/>
  <c r="E287" i="24"/>
  <c r="E286" i="24"/>
  <c r="E285" i="24"/>
  <c r="E272" i="24"/>
  <c r="G272" i="24" s="1"/>
  <c r="E271" i="24"/>
  <c r="G271" i="24" s="1"/>
  <c r="E270" i="24"/>
  <c r="G270" i="24" s="1"/>
  <c r="E269" i="24"/>
  <c r="E268" i="24"/>
  <c r="G268" i="24" s="1"/>
  <c r="E267" i="24"/>
  <c r="G267" i="24" s="1"/>
  <c r="E266" i="24"/>
  <c r="G266" i="24" s="1"/>
  <c r="E265" i="24"/>
  <c r="E264" i="24"/>
  <c r="G264" i="24" s="1"/>
  <c r="E263" i="24"/>
  <c r="G263" i="24" s="1"/>
  <c r="E262" i="24"/>
  <c r="E261" i="24"/>
  <c r="G261" i="24" s="1"/>
  <c r="E260" i="24"/>
  <c r="E259" i="24"/>
  <c r="G259" i="24" s="1"/>
  <c r="E258" i="24"/>
  <c r="G258" i="24" s="1"/>
  <c r="E257" i="24"/>
  <c r="G257" i="24" s="1"/>
  <c r="E256" i="24"/>
  <c r="G256" i="24" s="1"/>
  <c r="E255" i="24"/>
  <c r="G255" i="24" s="1"/>
  <c r="E254" i="24"/>
  <c r="E253" i="24"/>
  <c r="G253" i="24" s="1"/>
  <c r="E252" i="24"/>
  <c r="E251" i="24"/>
  <c r="G251" i="24" s="1"/>
  <c r="E250" i="24"/>
  <c r="G250" i="24" s="1"/>
  <c r="E249" i="24"/>
  <c r="E248" i="24"/>
  <c r="G248" i="24" s="1"/>
  <c r="E247" i="24"/>
  <c r="G247" i="24" s="1"/>
  <c r="E246" i="24"/>
  <c r="G246" i="24" s="1"/>
  <c r="E245" i="24"/>
  <c r="E244" i="24"/>
  <c r="G244" i="24" s="1"/>
  <c r="E243" i="24"/>
  <c r="G243" i="24" s="1"/>
  <c r="E242" i="24"/>
  <c r="E241" i="24"/>
  <c r="G241" i="24" s="1"/>
  <c r="E240" i="24"/>
  <c r="G240" i="24" s="1"/>
  <c r="E239" i="24"/>
  <c r="G239" i="24" s="1"/>
  <c r="E238" i="24"/>
  <c r="G238" i="24" s="1"/>
  <c r="E237" i="24"/>
  <c r="G237" i="24" s="1"/>
  <c r="E236" i="24"/>
  <c r="G236" i="24" s="1"/>
  <c r="E235" i="24"/>
  <c r="G235" i="24" s="1"/>
  <c r="E234" i="24"/>
  <c r="G234" i="24" s="1"/>
  <c r="E233" i="24"/>
  <c r="E232" i="24"/>
  <c r="G232" i="24" s="1"/>
  <c r="E231" i="24"/>
  <c r="G231" i="24" s="1"/>
  <c r="E230" i="24"/>
  <c r="G230" i="24" s="1"/>
  <c r="E229" i="24"/>
  <c r="G229" i="24" s="1"/>
  <c r="E228" i="24"/>
  <c r="G228" i="24" s="1"/>
  <c r="E227" i="24"/>
  <c r="G227" i="24" s="1"/>
  <c r="E226" i="24"/>
  <c r="E225" i="24"/>
  <c r="E224" i="24"/>
  <c r="G224" i="24" s="1"/>
  <c r="E223" i="24"/>
  <c r="G223" i="24" s="1"/>
  <c r="E222" i="24"/>
  <c r="G222" i="24" s="1"/>
  <c r="E221" i="24"/>
  <c r="E220" i="24"/>
  <c r="G220" i="24" s="1"/>
  <c r="E219" i="24"/>
  <c r="G219" i="24" s="1"/>
  <c r="E218" i="24"/>
  <c r="G218" i="24" s="1"/>
  <c r="E217" i="24"/>
  <c r="E216" i="24"/>
  <c r="G216" i="24" s="1"/>
  <c r="E215" i="24"/>
  <c r="G215" i="24" s="1"/>
  <c r="E214" i="24"/>
  <c r="E213" i="24"/>
  <c r="E212" i="24"/>
  <c r="G212" i="24" s="1"/>
  <c r="E211" i="24"/>
  <c r="G211" i="24" s="1"/>
  <c r="E210" i="24"/>
  <c r="E209" i="24"/>
  <c r="G209" i="24" s="1"/>
  <c r="E208" i="24"/>
  <c r="G208" i="24" s="1"/>
  <c r="E207" i="24"/>
  <c r="G207" i="24" s="1"/>
  <c r="E206" i="24"/>
  <c r="G206" i="24" s="1"/>
  <c r="E205" i="24"/>
  <c r="E204" i="24"/>
  <c r="G204" i="24" s="1"/>
  <c r="E203" i="24"/>
  <c r="G203" i="24" s="1"/>
  <c r="E202" i="24"/>
  <c r="E201" i="24"/>
  <c r="G201" i="24" s="1"/>
  <c r="E200" i="24"/>
  <c r="G200" i="24" s="1"/>
  <c r="E199" i="24"/>
  <c r="E198" i="24"/>
  <c r="G198" i="24" s="1"/>
  <c r="E197" i="24"/>
  <c r="G197" i="24" s="1"/>
  <c r="E196" i="24"/>
  <c r="E195" i="24"/>
  <c r="E194" i="24"/>
  <c r="G194" i="24" s="1"/>
  <c r="E193" i="24"/>
  <c r="G193" i="24" s="1"/>
  <c r="E192" i="24"/>
  <c r="G192" i="24" s="1"/>
  <c r="E191" i="24"/>
  <c r="G191" i="24" s="1"/>
  <c r="E190" i="24"/>
  <c r="G190" i="24" s="1"/>
  <c r="E189" i="24"/>
  <c r="G189" i="24" s="1"/>
  <c r="E188" i="24"/>
  <c r="G188" i="24" s="1"/>
  <c r="E187" i="24"/>
  <c r="E186" i="24"/>
  <c r="G186" i="24" s="1"/>
  <c r="E185" i="24"/>
  <c r="E184" i="24"/>
  <c r="G184" i="24" s="1"/>
  <c r="E183" i="24"/>
  <c r="G183" i="24" s="1"/>
  <c r="E182" i="24"/>
  <c r="G182" i="24" s="1"/>
  <c r="E181" i="24"/>
  <c r="E180" i="24"/>
  <c r="G180" i="24" s="1"/>
  <c r="E179" i="24"/>
  <c r="E178" i="24"/>
  <c r="G178" i="24" s="1"/>
  <c r="E177" i="24"/>
  <c r="E176" i="24"/>
  <c r="G176" i="24" s="1"/>
  <c r="E175" i="24"/>
  <c r="G175" i="24" s="1"/>
  <c r="E174" i="24"/>
  <c r="E173" i="24"/>
  <c r="G173" i="24" s="1"/>
  <c r="E172" i="24"/>
  <c r="G172" i="24" s="1"/>
  <c r="E171" i="24"/>
  <c r="G171" i="24" s="1"/>
  <c r="E170" i="24"/>
  <c r="G170" i="24" s="1"/>
  <c r="E169" i="24"/>
  <c r="G169" i="24" s="1"/>
  <c r="E168" i="24"/>
  <c r="G168" i="24" s="1"/>
  <c r="E167" i="24"/>
  <c r="G167" i="24" s="1"/>
  <c r="E166" i="24"/>
  <c r="G166" i="24" s="1"/>
  <c r="E165" i="24"/>
  <c r="G165" i="24" s="1"/>
  <c r="E164" i="24"/>
  <c r="G164" i="24" s="1"/>
  <c r="E163" i="24"/>
  <c r="G163" i="24" s="1"/>
  <c r="E162" i="24"/>
  <c r="G162" i="24" s="1"/>
  <c r="E161" i="24"/>
  <c r="G161" i="24" s="1"/>
  <c r="E160" i="24"/>
  <c r="G160" i="24" s="1"/>
  <c r="E159" i="24"/>
  <c r="G159" i="24" s="1"/>
  <c r="E158" i="24"/>
  <c r="E157" i="24"/>
  <c r="G157" i="24" s="1"/>
  <c r="E156" i="24"/>
  <c r="G156" i="24" s="1"/>
  <c r="E155" i="24"/>
  <c r="G155" i="24" s="1"/>
  <c r="E154" i="24"/>
  <c r="G154" i="24" s="1"/>
  <c r="E153" i="24"/>
  <c r="E152" i="24"/>
  <c r="E151" i="24"/>
  <c r="G151" i="24" s="1"/>
  <c r="E150" i="24"/>
  <c r="G150" i="24" s="1"/>
  <c r="E149" i="24"/>
  <c r="G149" i="24" s="1"/>
  <c r="E148" i="24"/>
  <c r="G148" i="24" s="1"/>
  <c r="E147" i="24"/>
  <c r="E146" i="24"/>
  <c r="E145" i="24"/>
  <c r="E144" i="24"/>
  <c r="E143" i="24"/>
  <c r="G143" i="24" s="1"/>
  <c r="E142" i="24"/>
  <c r="G142" i="24" s="1"/>
  <c r="E141" i="24"/>
  <c r="E140" i="24"/>
  <c r="G140" i="24" s="1"/>
  <c r="E139" i="24"/>
  <c r="G139" i="24" s="1"/>
  <c r="E138" i="24"/>
  <c r="G138" i="24" s="1"/>
  <c r="E137" i="24"/>
  <c r="E136" i="24"/>
  <c r="G136" i="24" s="1"/>
  <c r="E135" i="24"/>
  <c r="G135" i="24" s="1"/>
  <c r="E134" i="24"/>
  <c r="E133" i="24"/>
  <c r="E132" i="24"/>
  <c r="G132" i="24" s="1"/>
  <c r="E131" i="24"/>
  <c r="G131" i="24" s="1"/>
  <c r="E130" i="24"/>
  <c r="G130" i="24" s="1"/>
  <c r="E129" i="24"/>
  <c r="E128" i="24"/>
  <c r="G128" i="24" s="1"/>
  <c r="E127" i="24"/>
  <c r="G127" i="24" s="1"/>
  <c r="E126" i="24"/>
  <c r="G126" i="24" s="1"/>
  <c r="E125" i="24"/>
  <c r="E124" i="24"/>
  <c r="G124" i="24" s="1"/>
  <c r="E123" i="24"/>
  <c r="E122" i="24"/>
  <c r="E121" i="24"/>
  <c r="E120" i="24"/>
  <c r="G120" i="24" s="1"/>
  <c r="E119" i="24"/>
  <c r="G119" i="24" s="1"/>
  <c r="E118" i="24"/>
  <c r="E117" i="24"/>
  <c r="E116" i="24"/>
  <c r="G116" i="24" s="1"/>
  <c r="E115" i="24"/>
  <c r="G115" i="24" s="1"/>
  <c r="E114" i="24"/>
  <c r="G114" i="24" s="1"/>
  <c r="E113" i="24"/>
  <c r="E112" i="24"/>
  <c r="G112" i="24" s="1"/>
  <c r="E111" i="24"/>
  <c r="G111" i="24" s="1"/>
  <c r="E110" i="24"/>
  <c r="G110" i="24" s="1"/>
  <c r="E109" i="24"/>
  <c r="E108" i="24"/>
  <c r="G108" i="24" s="1"/>
  <c r="E107" i="24"/>
  <c r="G107" i="24" s="1"/>
  <c r="E106" i="24"/>
  <c r="G106" i="24" s="1"/>
  <c r="E105" i="24"/>
  <c r="E104" i="24"/>
  <c r="G104" i="24" s="1"/>
  <c r="E103" i="24"/>
  <c r="G103" i="24" s="1"/>
  <c r="E102" i="24"/>
  <c r="G102" i="24" s="1"/>
  <c r="E101" i="24"/>
  <c r="E100" i="24"/>
  <c r="G100" i="24" s="1"/>
  <c r="E99" i="24"/>
  <c r="G99" i="24" s="1"/>
  <c r="E98" i="24"/>
  <c r="E97" i="24"/>
  <c r="G97" i="24" s="1"/>
  <c r="E96" i="24"/>
  <c r="G96" i="24" s="1"/>
  <c r="E95" i="24"/>
  <c r="G95" i="24" s="1"/>
  <c r="E94" i="24"/>
  <c r="E93" i="24"/>
  <c r="G93" i="24" s="1"/>
  <c r="E92" i="24"/>
  <c r="E91" i="24"/>
  <c r="G91" i="24" s="1"/>
  <c r="E90" i="24"/>
  <c r="G90" i="24" s="1"/>
  <c r="E89" i="24"/>
  <c r="G89" i="24" s="1"/>
  <c r="E88" i="24"/>
  <c r="E87" i="24"/>
  <c r="G87" i="24" s="1"/>
  <c r="E86" i="24"/>
  <c r="G86" i="24" s="1"/>
  <c r="E85" i="24"/>
  <c r="E84" i="24"/>
  <c r="G84" i="24" s="1"/>
  <c r="E83" i="24"/>
  <c r="G83" i="24" s="1"/>
  <c r="E82" i="24"/>
  <c r="G82" i="24" s="1"/>
  <c r="E81" i="24"/>
  <c r="G81" i="24" s="1"/>
  <c r="E80" i="24"/>
  <c r="G80" i="24" s="1"/>
  <c r="E79" i="24"/>
  <c r="G79" i="24" s="1"/>
  <c r="E78" i="24"/>
  <c r="G78" i="24" s="1"/>
  <c r="E77" i="24"/>
  <c r="E76" i="24"/>
  <c r="G76" i="24" s="1"/>
  <c r="E75" i="24"/>
  <c r="G75" i="24" s="1"/>
  <c r="E74" i="24"/>
  <c r="E73" i="24"/>
  <c r="E72" i="24"/>
  <c r="G72" i="24" s="1"/>
  <c r="E71" i="24"/>
  <c r="G71" i="24" s="1"/>
  <c r="E69" i="24"/>
  <c r="G69" i="24" s="1"/>
  <c r="E68" i="24"/>
  <c r="G68" i="24" s="1"/>
  <c r="E67" i="24"/>
  <c r="E66" i="24"/>
  <c r="G66" i="24" s="1"/>
  <c r="E65" i="24"/>
  <c r="E64" i="24"/>
  <c r="G64" i="24" s="1"/>
  <c r="E63" i="24"/>
  <c r="G63" i="24" s="1"/>
  <c r="E62" i="24"/>
  <c r="G62" i="24" s="1"/>
  <c r="E61" i="24"/>
  <c r="G61" i="24" s="1"/>
  <c r="E60" i="24"/>
  <c r="G60" i="24" s="1"/>
  <c r="E59" i="24"/>
  <c r="G59" i="24" s="1"/>
  <c r="E58" i="24"/>
  <c r="G58" i="24" s="1"/>
  <c r="E57" i="24"/>
  <c r="G57" i="24" s="1"/>
  <c r="E56" i="24"/>
  <c r="G56" i="24" s="1"/>
  <c r="E55" i="24"/>
  <c r="G55" i="24" s="1"/>
  <c r="E54" i="24"/>
  <c r="G54" i="24" s="1"/>
  <c r="E53" i="24"/>
  <c r="G53" i="24" s="1"/>
  <c r="E52" i="24"/>
  <c r="G52" i="24" s="1"/>
  <c r="E51" i="24"/>
  <c r="G51" i="24" s="1"/>
  <c r="E50" i="24"/>
  <c r="G50" i="24" s="1"/>
  <c r="E49" i="24"/>
  <c r="G49" i="24" s="1"/>
  <c r="E48" i="24"/>
  <c r="E47" i="24"/>
  <c r="E46" i="24"/>
  <c r="G46" i="24" s="1"/>
  <c r="E45" i="24"/>
  <c r="G45" i="24" s="1"/>
  <c r="E44" i="24"/>
  <c r="G44" i="24" s="1"/>
  <c r="E43" i="24"/>
  <c r="G43" i="24" s="1"/>
  <c r="E42" i="24"/>
  <c r="G42" i="24" s="1"/>
  <c r="E41" i="24"/>
  <c r="G41" i="24" s="1"/>
  <c r="E40" i="24"/>
  <c r="G40" i="24" s="1"/>
  <c r="E39" i="24"/>
  <c r="G39" i="24" s="1"/>
  <c r="E38" i="24"/>
  <c r="E37" i="24"/>
  <c r="E36" i="24"/>
  <c r="G36" i="24" s="1"/>
  <c r="E35" i="24"/>
  <c r="G35" i="24" s="1"/>
  <c r="E34" i="24"/>
  <c r="E33" i="24"/>
  <c r="G33" i="24" s="1"/>
  <c r="E32" i="24"/>
  <c r="G32" i="24" s="1"/>
  <c r="E31" i="24"/>
  <c r="G31" i="24" s="1"/>
  <c r="E30" i="24"/>
  <c r="G30" i="24" s="1"/>
  <c r="E29" i="24"/>
  <c r="G29" i="24" s="1"/>
  <c r="E28" i="24"/>
  <c r="E27" i="24"/>
  <c r="E26" i="24"/>
  <c r="G26" i="24" s="1"/>
  <c r="E25" i="24"/>
  <c r="G25" i="24" s="1"/>
  <c r="E24" i="24"/>
  <c r="G24" i="24" s="1"/>
  <c r="E23" i="24"/>
  <c r="G23" i="24" s="1"/>
  <c r="E22" i="24"/>
  <c r="G22" i="24" s="1"/>
  <c r="E21" i="24"/>
  <c r="G21" i="24" s="1"/>
  <c r="E20" i="24"/>
  <c r="G20" i="24" s="1"/>
  <c r="E19" i="24"/>
  <c r="G19" i="24" s="1"/>
  <c r="E18" i="24"/>
  <c r="G18" i="24" s="1"/>
  <c r="E17" i="24"/>
  <c r="G17" i="24" s="1"/>
  <c r="E16" i="24"/>
  <c r="G16" i="24" s="1"/>
  <c r="E15" i="24"/>
  <c r="G15" i="24" s="1"/>
  <c r="E14" i="24"/>
  <c r="G14" i="24" s="1"/>
  <c r="E13" i="24"/>
  <c r="E12" i="24"/>
  <c r="G12" i="24" s="1"/>
  <c r="E11" i="24"/>
  <c r="G11" i="24" s="1"/>
  <c r="E10" i="24"/>
  <c r="G10" i="24" s="1"/>
  <c r="E9" i="24"/>
  <c r="G9" i="24" s="1"/>
  <c r="E8" i="24"/>
  <c r="G8" i="24" s="1"/>
  <c r="E7" i="24"/>
  <c r="E6" i="24"/>
  <c r="G6" i="24" s="1"/>
  <c r="E5" i="24"/>
  <c r="G5" i="24" s="1"/>
  <c r="E4" i="24"/>
  <c r="E3" i="24"/>
  <c r="G3" i="24" s="1"/>
  <c r="F7" i="24"/>
  <c r="H7" i="24" s="1"/>
  <c r="F4" i="24"/>
  <c r="H4" i="24" s="1"/>
  <c r="F3" i="24"/>
  <c r="W83" i="8"/>
  <c r="Q44" i="8"/>
  <c r="Q43" i="8"/>
  <c r="Q12" i="8"/>
  <c r="H272" i="24"/>
  <c r="H271" i="24"/>
  <c r="H270" i="24"/>
  <c r="H269" i="24"/>
  <c r="G269" i="24"/>
  <c r="H268" i="24"/>
  <c r="H267" i="24"/>
  <c r="H266" i="24"/>
  <c r="H265" i="24"/>
  <c r="G265" i="24"/>
  <c r="H264" i="24"/>
  <c r="H263" i="24"/>
  <c r="H261" i="24"/>
  <c r="H259" i="24"/>
  <c r="H258" i="24"/>
  <c r="H257" i="24"/>
  <c r="H256" i="24"/>
  <c r="H255" i="24"/>
  <c r="H253" i="24"/>
  <c r="H251" i="24"/>
  <c r="H250" i="24"/>
  <c r="H249" i="24"/>
  <c r="G249" i="24"/>
  <c r="H246" i="24"/>
  <c r="H244" i="24"/>
  <c r="H243" i="24"/>
  <c r="H242" i="24"/>
  <c r="G242" i="24"/>
  <c r="H241" i="24"/>
  <c r="H240" i="24"/>
  <c r="H239" i="24"/>
  <c r="H238" i="24"/>
  <c r="H237" i="24"/>
  <c r="H236" i="24"/>
  <c r="H235" i="24"/>
  <c r="H234" i="24"/>
  <c r="H233" i="24"/>
  <c r="G233" i="24"/>
  <c r="H232" i="24"/>
  <c r="H231" i="24"/>
  <c r="H230" i="24"/>
  <c r="H229" i="24"/>
  <c r="H228" i="24"/>
  <c r="H227" i="24"/>
  <c r="H226" i="24"/>
  <c r="G226" i="24"/>
  <c r="H224" i="24"/>
  <c r="H222" i="24"/>
  <c r="H221" i="24"/>
  <c r="H220" i="24"/>
  <c r="H219" i="24"/>
  <c r="H218" i="24"/>
  <c r="H217" i="24"/>
  <c r="G217" i="24"/>
  <c r="H215" i="24"/>
  <c r="H213" i="24"/>
  <c r="H212" i="24"/>
  <c r="H211" i="24"/>
  <c r="H210" i="24"/>
  <c r="G210" i="24"/>
  <c r="H209" i="24"/>
  <c r="H208" i="24"/>
  <c r="H207" i="24"/>
  <c r="H206" i="24"/>
  <c r="H205" i="24"/>
  <c r="G205" i="24"/>
  <c r="H204" i="24"/>
  <c r="H203" i="24"/>
  <c r="H201" i="24"/>
  <c r="H200" i="24"/>
  <c r="H199" i="24"/>
  <c r="H198" i="24"/>
  <c r="H197" i="24"/>
  <c r="H195" i="24"/>
  <c r="H194" i="24"/>
  <c r="H193" i="24"/>
  <c r="H192" i="24"/>
  <c r="H191" i="24"/>
  <c r="H190" i="24"/>
  <c r="H189" i="24"/>
  <c r="H186" i="24"/>
  <c r="H184" i="24"/>
  <c r="H183" i="24"/>
  <c r="H182" i="24"/>
  <c r="H180" i="24"/>
  <c r="H179" i="24"/>
  <c r="H178" i="24"/>
  <c r="H176" i="24"/>
  <c r="H175" i="24"/>
  <c r="H173" i="24"/>
  <c r="H172" i="24"/>
  <c r="H171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G158" i="24"/>
  <c r="H157" i="24"/>
  <c r="H156" i="24"/>
  <c r="H155" i="24"/>
  <c r="H154" i="24"/>
  <c r="H153" i="24"/>
  <c r="H151" i="24"/>
  <c r="H150" i="24"/>
  <c r="H149" i="24"/>
  <c r="H148" i="24"/>
  <c r="H145" i="24"/>
  <c r="G145" i="24"/>
  <c r="H143" i="24"/>
  <c r="H142" i="24"/>
  <c r="H141" i="24"/>
  <c r="G141" i="24"/>
  <c r="H139" i="24"/>
  <c r="H138" i="24"/>
  <c r="H137" i="24"/>
  <c r="G137" i="24"/>
  <c r="H136" i="24"/>
  <c r="H135" i="24"/>
  <c r="H133" i="24"/>
  <c r="G133" i="24"/>
  <c r="H132" i="24"/>
  <c r="H131" i="24"/>
  <c r="H130" i="24"/>
  <c r="H129" i="24"/>
  <c r="H128" i="24"/>
  <c r="H127" i="24"/>
  <c r="H126" i="24"/>
  <c r="H125" i="24"/>
  <c r="G125" i="24"/>
  <c r="H124" i="24"/>
  <c r="H122" i="24"/>
  <c r="H121" i="24"/>
  <c r="H120" i="24"/>
  <c r="H119" i="24"/>
  <c r="H117" i="24"/>
  <c r="H116" i="24"/>
  <c r="H115" i="24"/>
  <c r="H114" i="24"/>
  <c r="H113" i="24"/>
  <c r="G113" i="24"/>
  <c r="H112" i="24"/>
  <c r="H111" i="24"/>
  <c r="H110" i="24"/>
  <c r="H109" i="24"/>
  <c r="G109" i="24"/>
  <c r="H108" i="24"/>
  <c r="H107" i="24"/>
  <c r="H106" i="24"/>
  <c r="H104" i="24"/>
  <c r="H103" i="24"/>
  <c r="H102" i="24"/>
  <c r="H101" i="24"/>
  <c r="G101" i="24"/>
  <c r="H100" i="24"/>
  <c r="H99" i="24"/>
  <c r="H97" i="24"/>
  <c r="H96" i="24"/>
  <c r="H95" i="24"/>
  <c r="H94" i="24"/>
  <c r="G94" i="24"/>
  <c r="H93" i="24"/>
  <c r="H92" i="24"/>
  <c r="H91" i="24"/>
  <c r="H90" i="24"/>
  <c r="H89" i="24"/>
  <c r="H86" i="24"/>
  <c r="H85" i="24"/>
  <c r="G85" i="24"/>
  <c r="H84" i="24"/>
  <c r="H83" i="24"/>
  <c r="H82" i="24"/>
  <c r="H81" i="24"/>
  <c r="H80" i="24"/>
  <c r="H79" i="24"/>
  <c r="H78" i="24"/>
  <c r="H77" i="24"/>
  <c r="G77" i="24"/>
  <c r="H76" i="24"/>
  <c r="H75" i="24"/>
  <c r="H74" i="24"/>
  <c r="G74" i="24"/>
  <c r="H72" i="24"/>
  <c r="H69" i="24"/>
  <c r="H68" i="24"/>
  <c r="H65" i="24"/>
  <c r="G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6" i="24"/>
  <c r="H45" i="24"/>
  <c r="H44" i="24"/>
  <c r="H43" i="24"/>
  <c r="H42" i="24"/>
  <c r="H41" i="24"/>
  <c r="H40" i="24"/>
  <c r="H39" i="24"/>
  <c r="H36" i="24"/>
  <c r="H35" i="24"/>
  <c r="H34" i="24"/>
  <c r="H33" i="24"/>
  <c r="H32" i="24"/>
  <c r="H31" i="24"/>
  <c r="H30" i="24"/>
  <c r="H29" i="24"/>
  <c r="H28" i="24"/>
  <c r="H25" i="24"/>
  <c r="H24" i="24"/>
  <c r="H23" i="24"/>
  <c r="H22" i="24"/>
  <c r="H21" i="24"/>
  <c r="H20" i="24"/>
  <c r="H19" i="24"/>
  <c r="H18" i="24"/>
  <c r="H16" i="24"/>
  <c r="H15" i="24"/>
  <c r="H14" i="24"/>
  <c r="H13" i="24"/>
  <c r="G13" i="24"/>
  <c r="H12" i="24"/>
  <c r="H11" i="24"/>
  <c r="H10" i="24"/>
  <c r="H9" i="24"/>
  <c r="H8" i="24"/>
  <c r="H6" i="24"/>
  <c r="H5" i="24"/>
  <c r="H3" i="24"/>
  <c r="C67" i="11"/>
  <c r="C66" i="11"/>
  <c r="W60" i="8"/>
  <c r="W56" i="22"/>
  <c r="V55" i="22"/>
  <c r="W114" i="8"/>
  <c r="E30" i="7"/>
  <c r="E31" i="7"/>
  <c r="E32" i="7"/>
  <c r="E33" i="7"/>
  <c r="E34" i="7" s="1"/>
  <c r="E35" i="7" s="1"/>
  <c r="E36" i="7" s="1"/>
  <c r="E37" i="7" s="1"/>
  <c r="E38" i="7" s="1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" i="7"/>
  <c r="E8" i="7"/>
  <c r="E9" i="7"/>
  <c r="E10" i="7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6" i="7"/>
  <c r="D20" i="7"/>
  <c r="D14" i="7"/>
  <c r="D10" i="7"/>
  <c r="D6" i="7"/>
  <c r="W47" i="8"/>
  <c r="AB56" i="22"/>
  <c r="AB52" i="22"/>
  <c r="AB51" i="22"/>
  <c r="AB44" i="22"/>
  <c r="AB19" i="22"/>
  <c r="AB18" i="22"/>
  <c r="AB15" i="22"/>
  <c r="W44" i="22"/>
  <c r="W52" i="22"/>
  <c r="W51" i="22"/>
  <c r="W15" i="22"/>
  <c r="W19" i="22"/>
  <c r="W18" i="22"/>
  <c r="V54" i="22"/>
  <c r="X54" i="22" s="1"/>
  <c r="V53" i="22"/>
  <c r="X53" i="22" s="1"/>
  <c r="V52" i="22"/>
  <c r="X52" i="22" s="1"/>
  <c r="V51" i="22"/>
  <c r="V50" i="22"/>
  <c r="V49" i="22"/>
  <c r="V48" i="22"/>
  <c r="X48" i="22" s="1"/>
  <c r="V47" i="22"/>
  <c r="V46" i="22"/>
  <c r="X46" i="22" s="1"/>
  <c r="V45" i="22"/>
  <c r="X45" i="22" s="1"/>
  <c r="V44" i="22"/>
  <c r="X44" i="22" s="1"/>
  <c r="V42" i="22"/>
  <c r="V40" i="22"/>
  <c r="X40" i="22" s="1"/>
  <c r="V39" i="22"/>
  <c r="V38" i="22"/>
  <c r="X38" i="22" s="1"/>
  <c r="V37" i="22"/>
  <c r="X37" i="22" s="1"/>
  <c r="V36" i="22"/>
  <c r="X36" i="22" s="1"/>
  <c r="V35" i="22"/>
  <c r="X35" i="22" s="1"/>
  <c r="V34" i="22"/>
  <c r="V33" i="22"/>
  <c r="V32" i="22"/>
  <c r="X32" i="22" s="1"/>
  <c r="V31" i="22"/>
  <c r="V30" i="22"/>
  <c r="X30" i="22" s="1"/>
  <c r="V29" i="22"/>
  <c r="X29" i="22" s="1"/>
  <c r="V28" i="22"/>
  <c r="X28" i="22" s="1"/>
  <c r="V27" i="22"/>
  <c r="V26" i="22"/>
  <c r="V25" i="22"/>
  <c r="V24" i="22"/>
  <c r="X24" i="22" s="1"/>
  <c r="V23" i="22"/>
  <c r="V22" i="22"/>
  <c r="X22" i="22" s="1"/>
  <c r="V21" i="22"/>
  <c r="X21" i="22" s="1"/>
  <c r="V20" i="22"/>
  <c r="X20" i="22" s="1"/>
  <c r="V19" i="22"/>
  <c r="V18" i="22"/>
  <c r="V17" i="22"/>
  <c r="V16" i="22"/>
  <c r="X16" i="22" s="1"/>
  <c r="V15" i="22"/>
  <c r="V14" i="22"/>
  <c r="X14" i="22" s="1"/>
  <c r="V13" i="22"/>
  <c r="X13" i="22" s="1"/>
  <c r="V12" i="22"/>
  <c r="X12" i="22" s="1"/>
  <c r="V11" i="22"/>
  <c r="V10" i="22"/>
  <c r="V9" i="22"/>
  <c r="V7" i="22"/>
  <c r="V6" i="22"/>
  <c r="V5" i="22"/>
  <c r="X5" i="22" s="1"/>
  <c r="V4" i="22"/>
  <c r="X4" i="22" s="1"/>
  <c r="X8" i="22"/>
  <c r="X6" i="22"/>
  <c r="P67" i="22"/>
  <c r="P66" i="22"/>
  <c r="P65" i="22"/>
  <c r="P64" i="22"/>
  <c r="P63" i="22"/>
  <c r="P62" i="22"/>
  <c r="P61" i="22"/>
  <c r="P60" i="22"/>
  <c r="P59" i="22"/>
  <c r="P58" i="22"/>
  <c r="P57" i="22"/>
  <c r="P56" i="22"/>
  <c r="P55" i="22"/>
  <c r="P54" i="22"/>
  <c r="P53" i="22"/>
  <c r="P52" i="22"/>
  <c r="P51" i="22"/>
  <c r="P50" i="22"/>
  <c r="P49" i="22"/>
  <c r="P48" i="22"/>
  <c r="P47" i="22"/>
  <c r="P46" i="22"/>
  <c r="P45" i="22"/>
  <c r="P44" i="22"/>
  <c r="P43" i="22"/>
  <c r="P42" i="22"/>
  <c r="P41" i="22"/>
  <c r="P40" i="22"/>
  <c r="P39" i="22"/>
  <c r="P38" i="22"/>
  <c r="P37" i="22"/>
  <c r="P36" i="22"/>
  <c r="P35" i="22"/>
  <c r="P34" i="22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9" i="22"/>
  <c r="P8" i="22"/>
  <c r="P7" i="22"/>
  <c r="P6" i="22"/>
  <c r="P5" i="22"/>
  <c r="P4" i="22"/>
  <c r="Q67" i="22"/>
  <c r="Q66" i="22"/>
  <c r="Q65" i="22"/>
  <c r="Q63" i="22"/>
  <c r="Q62" i="22"/>
  <c r="Q61" i="22"/>
  <c r="Q59" i="22"/>
  <c r="Q58" i="22"/>
  <c r="Q57" i="22"/>
  <c r="Q56" i="22"/>
  <c r="Q55" i="22"/>
  <c r="Q54" i="22"/>
  <c r="Q53" i="22"/>
  <c r="Q52" i="22"/>
  <c r="R52" i="22" s="1"/>
  <c r="Q51" i="22"/>
  <c r="Q49" i="22"/>
  <c r="Q48" i="22"/>
  <c r="R48" i="22" s="1"/>
  <c r="Q47" i="22"/>
  <c r="Q46" i="22"/>
  <c r="Q45" i="22"/>
  <c r="R45" i="22" s="1"/>
  <c r="Q44" i="22"/>
  <c r="R44" i="22" s="1"/>
  <c r="Q43" i="22"/>
  <c r="Q42" i="22"/>
  <c r="Q41" i="22"/>
  <c r="R41" i="22" s="1"/>
  <c r="Q40" i="22"/>
  <c r="R40" i="22" s="1"/>
  <c r="Q38" i="22"/>
  <c r="Q36" i="22"/>
  <c r="R36" i="22" s="1"/>
  <c r="Q32" i="22"/>
  <c r="R32" i="22" s="1"/>
  <c r="Q31" i="22"/>
  <c r="Q30" i="22"/>
  <c r="Q29" i="22"/>
  <c r="R29" i="22" s="1"/>
  <c r="Q27" i="22"/>
  <c r="Q26" i="22"/>
  <c r="Q25" i="22"/>
  <c r="Q24" i="22"/>
  <c r="R24" i="22" s="1"/>
  <c r="Q21" i="22"/>
  <c r="Q19" i="22"/>
  <c r="Q17" i="22"/>
  <c r="Q15" i="22"/>
  <c r="Q13" i="22"/>
  <c r="R13" i="22" s="1"/>
  <c r="Q12" i="22"/>
  <c r="R12" i="22" s="1"/>
  <c r="Q11" i="22"/>
  <c r="Q10" i="22"/>
  <c r="Q9" i="22"/>
  <c r="R9" i="22" s="1"/>
  <c r="Q8" i="22"/>
  <c r="Q7" i="22"/>
  <c r="Q6" i="22"/>
  <c r="Q5" i="22"/>
  <c r="Q4" i="22"/>
  <c r="R49" i="22"/>
  <c r="R17" i="22"/>
  <c r="R8" i="22"/>
  <c r="R25" i="22"/>
  <c r="Q118" i="8"/>
  <c r="Q102" i="8"/>
  <c r="Q101" i="8"/>
  <c r="Q99" i="8"/>
  <c r="Q97" i="8"/>
  <c r="Q96" i="8"/>
  <c r="Q93" i="8"/>
  <c r="Q91" i="8"/>
  <c r="Q88" i="8"/>
  <c r="Q80" i="8"/>
  <c r="Q79" i="8"/>
  <c r="Q77" i="8"/>
  <c r="Q76" i="8"/>
  <c r="Q74" i="8"/>
  <c r="Q70" i="8"/>
  <c r="Q69" i="8"/>
  <c r="Q65" i="8"/>
  <c r="Q64" i="8"/>
  <c r="Q63" i="8"/>
  <c r="Q62" i="8"/>
  <c r="Q61" i="8"/>
  <c r="Q60" i="8"/>
  <c r="Q55" i="8"/>
  <c r="Q53" i="8"/>
  <c r="Q52" i="8"/>
  <c r="Q48" i="8"/>
  <c r="Q39" i="8"/>
  <c r="Q32" i="8"/>
  <c r="Q31" i="8"/>
  <c r="Q30" i="8"/>
  <c r="Q22" i="8"/>
  <c r="Q14" i="8"/>
  <c r="Q7" i="8"/>
  <c r="Q4" i="8"/>
  <c r="Q3" i="8"/>
  <c r="F269" i="22"/>
  <c r="F270" i="22"/>
  <c r="Q39" i="22" s="1"/>
  <c r="F268" i="22"/>
  <c r="F262" i="22"/>
  <c r="F253" i="22"/>
  <c r="F249" i="22"/>
  <c r="H249" i="22" s="1"/>
  <c r="F243" i="22"/>
  <c r="F242" i="22"/>
  <c r="R67" i="22"/>
  <c r="R63" i="22"/>
  <c r="R59" i="22"/>
  <c r="R55" i="22"/>
  <c r="R51" i="22"/>
  <c r="R21" i="22"/>
  <c r="R5" i="22"/>
  <c r="D46" i="11"/>
  <c r="C57" i="11"/>
  <c r="C51" i="11"/>
  <c r="F225" i="22"/>
  <c r="F214" i="22"/>
  <c r="F202" i="22"/>
  <c r="F198" i="22"/>
  <c r="Q37" i="22" s="1"/>
  <c r="R37" i="22" s="1"/>
  <c r="F183" i="22"/>
  <c r="F177" i="22"/>
  <c r="H177" i="22" s="1"/>
  <c r="F172" i="22"/>
  <c r="H172" i="22" s="1"/>
  <c r="F171" i="22"/>
  <c r="F168" i="22"/>
  <c r="F167" i="22"/>
  <c r="F153" i="22"/>
  <c r="H153" i="22" s="1"/>
  <c r="F139" i="22"/>
  <c r="F127" i="22"/>
  <c r="F125" i="22"/>
  <c r="Q34" i="22" s="1"/>
  <c r="F122" i="22"/>
  <c r="F121" i="22"/>
  <c r="Q64" i="22" s="1"/>
  <c r="R64" i="22" s="1"/>
  <c r="F115" i="22"/>
  <c r="F114" i="22"/>
  <c r="H114" i="22" s="1"/>
  <c r="F109" i="22"/>
  <c r="F101" i="22"/>
  <c r="H101" i="22" s="1"/>
  <c r="F93" i="22"/>
  <c r="Q60" i="22" s="1"/>
  <c r="R60" i="22" s="1"/>
  <c r="F92" i="22"/>
  <c r="H92" i="22" s="1"/>
  <c r="F88" i="22"/>
  <c r="H88" i="22" s="1"/>
  <c r="F78" i="22"/>
  <c r="F74" i="22"/>
  <c r="F69" i="22"/>
  <c r="H69" i="22" s="1"/>
  <c r="F67" i="22"/>
  <c r="F63" i="22"/>
  <c r="F58" i="22"/>
  <c r="F57" i="22"/>
  <c r="Q14" i="22" s="1"/>
  <c r="F56" i="22"/>
  <c r="F54" i="22"/>
  <c r="F48" i="22"/>
  <c r="Q20" i="22" s="1"/>
  <c r="R20" i="22" s="1"/>
  <c r="F46" i="22"/>
  <c r="Q28" i="22" s="1"/>
  <c r="R28" i="22" s="1"/>
  <c r="F43" i="22"/>
  <c r="Q18" i="22" s="1"/>
  <c r="F34" i="22"/>
  <c r="F30" i="22"/>
  <c r="F28" i="22"/>
  <c r="Q22" i="22" s="1"/>
  <c r="F27" i="22"/>
  <c r="Q16" i="22" s="1"/>
  <c r="R16" i="22" s="1"/>
  <c r="F25" i="22"/>
  <c r="F12" i="22"/>
  <c r="F22" i="22"/>
  <c r="Q50" i="22" s="1"/>
  <c r="F14" i="22"/>
  <c r="Q33" i="22" s="1"/>
  <c r="R33" i="22" s="1"/>
  <c r="F13" i="22"/>
  <c r="F11" i="22"/>
  <c r="F9" i="22"/>
  <c r="H9" i="22" s="1"/>
  <c r="F8" i="22"/>
  <c r="C43" i="11"/>
  <c r="C27" i="11"/>
  <c r="E57" i="22"/>
  <c r="H57" i="22"/>
  <c r="E58" i="22"/>
  <c r="G58" i="22" s="1"/>
  <c r="H58" i="22"/>
  <c r="E59" i="22"/>
  <c r="G59" i="22" s="1"/>
  <c r="H59" i="22"/>
  <c r="E60" i="22"/>
  <c r="G60" i="22" s="1"/>
  <c r="H60" i="22"/>
  <c r="E61" i="22"/>
  <c r="G61" i="22" s="1"/>
  <c r="H61" i="22"/>
  <c r="E62" i="22"/>
  <c r="G62" i="22" s="1"/>
  <c r="H62" i="22"/>
  <c r="E63" i="22"/>
  <c r="H63" i="22"/>
  <c r="E64" i="22"/>
  <c r="G64" i="22" s="1"/>
  <c r="H64" i="22"/>
  <c r="E65" i="22"/>
  <c r="G65" i="22" s="1"/>
  <c r="H65" i="22"/>
  <c r="E66" i="22"/>
  <c r="G66" i="22" s="1"/>
  <c r="H66" i="22"/>
  <c r="E67" i="22"/>
  <c r="H67" i="22"/>
  <c r="E68" i="22"/>
  <c r="G68" i="22" s="1"/>
  <c r="H68" i="22"/>
  <c r="E69" i="22"/>
  <c r="E70" i="22"/>
  <c r="G70" i="22" s="1"/>
  <c r="H70" i="22"/>
  <c r="E71" i="22"/>
  <c r="G71" i="22" s="1"/>
  <c r="H71" i="22"/>
  <c r="E72" i="22"/>
  <c r="G72" i="22" s="1"/>
  <c r="H72" i="22"/>
  <c r="E73" i="22"/>
  <c r="G73" i="22" s="1"/>
  <c r="H73" i="22"/>
  <c r="E74" i="22"/>
  <c r="G74" i="22" s="1"/>
  <c r="H74" i="22"/>
  <c r="E75" i="22"/>
  <c r="G75" i="22" s="1"/>
  <c r="H75" i="22"/>
  <c r="E76" i="22"/>
  <c r="G76" i="22" s="1"/>
  <c r="H76" i="22"/>
  <c r="E77" i="22"/>
  <c r="G77" i="22" s="1"/>
  <c r="H77" i="22"/>
  <c r="E78" i="22"/>
  <c r="G78" i="22" s="1"/>
  <c r="H78" i="22"/>
  <c r="E79" i="22"/>
  <c r="G79" i="22" s="1"/>
  <c r="H79" i="22"/>
  <c r="E80" i="22"/>
  <c r="G80" i="22" s="1"/>
  <c r="H80" i="22"/>
  <c r="E81" i="22"/>
  <c r="G81" i="22" s="1"/>
  <c r="H81" i="22"/>
  <c r="E82" i="22"/>
  <c r="G82" i="22" s="1"/>
  <c r="H82" i="22"/>
  <c r="E83" i="22"/>
  <c r="G83" i="22" s="1"/>
  <c r="H83" i="22"/>
  <c r="E84" i="22"/>
  <c r="G84" i="22" s="1"/>
  <c r="H84" i="22"/>
  <c r="E85" i="22"/>
  <c r="G85" i="22"/>
  <c r="H85" i="22"/>
  <c r="E86" i="22"/>
  <c r="G86" i="22" s="1"/>
  <c r="H86" i="22"/>
  <c r="E87" i="22"/>
  <c r="G87" i="22" s="1"/>
  <c r="H87" i="22"/>
  <c r="E88" i="22"/>
  <c r="E89" i="22"/>
  <c r="G89" i="22" s="1"/>
  <c r="H89" i="22"/>
  <c r="E90" i="22"/>
  <c r="G90" i="22" s="1"/>
  <c r="H90" i="22"/>
  <c r="E91" i="22"/>
  <c r="G91" i="22" s="1"/>
  <c r="H91" i="22"/>
  <c r="E92" i="22"/>
  <c r="E93" i="22"/>
  <c r="G93" i="22" s="1"/>
  <c r="H93" i="22"/>
  <c r="E94" i="22"/>
  <c r="G94" i="22" s="1"/>
  <c r="H94" i="22"/>
  <c r="E95" i="22"/>
  <c r="G95" i="22" s="1"/>
  <c r="H95" i="22"/>
  <c r="E96" i="22"/>
  <c r="G96" i="22" s="1"/>
  <c r="H96" i="22"/>
  <c r="E97" i="22"/>
  <c r="G97" i="22" s="1"/>
  <c r="H97" i="22"/>
  <c r="E98" i="22"/>
  <c r="G98" i="22" s="1"/>
  <c r="H98" i="22"/>
  <c r="E99" i="22"/>
  <c r="G99" i="22" s="1"/>
  <c r="H99" i="22"/>
  <c r="E100" i="22"/>
  <c r="G100" i="22"/>
  <c r="H100" i="22"/>
  <c r="E101" i="22"/>
  <c r="G101" i="22" s="1"/>
  <c r="E102" i="22"/>
  <c r="G102" i="22" s="1"/>
  <c r="H102" i="22"/>
  <c r="E103" i="22"/>
  <c r="G103" i="22" s="1"/>
  <c r="H103" i="22"/>
  <c r="E104" i="22"/>
  <c r="G104" i="22" s="1"/>
  <c r="H104" i="22"/>
  <c r="E105" i="22"/>
  <c r="G105" i="22" s="1"/>
  <c r="H105" i="22"/>
  <c r="E106" i="22"/>
  <c r="G106" i="22" s="1"/>
  <c r="H106" i="22"/>
  <c r="E107" i="22"/>
  <c r="G107" i="22"/>
  <c r="H107" i="22"/>
  <c r="E108" i="22"/>
  <c r="G108" i="22" s="1"/>
  <c r="H108" i="22"/>
  <c r="E109" i="22"/>
  <c r="G109" i="22" s="1"/>
  <c r="H109" i="22"/>
  <c r="E110" i="22"/>
  <c r="G110" i="22" s="1"/>
  <c r="H110" i="22"/>
  <c r="E111" i="22"/>
  <c r="G111" i="22" s="1"/>
  <c r="H111" i="22"/>
  <c r="E112" i="22"/>
  <c r="G112" i="22" s="1"/>
  <c r="H112" i="22"/>
  <c r="E113" i="22"/>
  <c r="G113" i="22" s="1"/>
  <c r="H113" i="22"/>
  <c r="E114" i="22"/>
  <c r="E115" i="22"/>
  <c r="G115" i="22" s="1"/>
  <c r="H115" i="22"/>
  <c r="E116" i="22"/>
  <c r="G116" i="22" s="1"/>
  <c r="H116" i="22"/>
  <c r="E117" i="22"/>
  <c r="G117" i="22" s="1"/>
  <c r="H117" i="22"/>
  <c r="E118" i="22"/>
  <c r="G118" i="22" s="1"/>
  <c r="H118" i="22"/>
  <c r="E119" i="22"/>
  <c r="G119" i="22" s="1"/>
  <c r="H119" i="22"/>
  <c r="E120" i="22"/>
  <c r="G120" i="22" s="1"/>
  <c r="H120" i="22"/>
  <c r="E121" i="22"/>
  <c r="G121" i="22" s="1"/>
  <c r="H121" i="22"/>
  <c r="E122" i="22"/>
  <c r="H122" i="22"/>
  <c r="E123" i="22"/>
  <c r="G123" i="22" s="1"/>
  <c r="H123" i="22"/>
  <c r="E124" i="22"/>
  <c r="G124" i="22" s="1"/>
  <c r="H124" i="22"/>
  <c r="E125" i="22"/>
  <c r="E126" i="22"/>
  <c r="G126" i="22" s="1"/>
  <c r="H126" i="22"/>
  <c r="E127" i="22"/>
  <c r="G127" i="22" s="1"/>
  <c r="H127" i="22"/>
  <c r="E128" i="22"/>
  <c r="G128" i="22" s="1"/>
  <c r="H128" i="22"/>
  <c r="E129" i="22"/>
  <c r="G129" i="22" s="1"/>
  <c r="H129" i="22"/>
  <c r="E130" i="22"/>
  <c r="G130" i="22" s="1"/>
  <c r="H130" i="22"/>
  <c r="E131" i="22"/>
  <c r="G131" i="22" s="1"/>
  <c r="H131" i="22"/>
  <c r="E132" i="22"/>
  <c r="G132" i="22" s="1"/>
  <c r="H132" i="22"/>
  <c r="E133" i="22"/>
  <c r="G133" i="22" s="1"/>
  <c r="H133" i="22"/>
  <c r="E134" i="22"/>
  <c r="G134" i="22" s="1"/>
  <c r="H134" i="22"/>
  <c r="E135" i="22"/>
  <c r="G135" i="22" s="1"/>
  <c r="H135" i="22"/>
  <c r="E136" i="22"/>
  <c r="G136" i="22" s="1"/>
  <c r="H136" i="22"/>
  <c r="E137" i="22"/>
  <c r="G137" i="22"/>
  <c r="H137" i="22"/>
  <c r="E138" i="22"/>
  <c r="G138" i="22" s="1"/>
  <c r="H138" i="22"/>
  <c r="E139" i="22"/>
  <c r="G139" i="22" s="1"/>
  <c r="H139" i="22"/>
  <c r="E140" i="22"/>
  <c r="G140" i="22"/>
  <c r="H140" i="22"/>
  <c r="E141" i="22"/>
  <c r="G141" i="22" s="1"/>
  <c r="H141" i="22"/>
  <c r="E142" i="22"/>
  <c r="G142" i="22" s="1"/>
  <c r="H142" i="22"/>
  <c r="E143" i="22"/>
  <c r="G143" i="22"/>
  <c r="H143" i="22"/>
  <c r="E144" i="22"/>
  <c r="G144" i="22" s="1"/>
  <c r="H144" i="22"/>
  <c r="E145" i="22"/>
  <c r="G145" i="22" s="1"/>
  <c r="H145" i="22"/>
  <c r="E146" i="22"/>
  <c r="G146" i="22" s="1"/>
  <c r="H146" i="22"/>
  <c r="E147" i="22"/>
  <c r="G147" i="22" s="1"/>
  <c r="H147" i="22"/>
  <c r="E148" i="22"/>
  <c r="G148" i="22" s="1"/>
  <c r="H148" i="22"/>
  <c r="E149" i="22"/>
  <c r="G149" i="22" s="1"/>
  <c r="H149" i="22"/>
  <c r="E150" i="22"/>
  <c r="G150" i="22" s="1"/>
  <c r="H150" i="22"/>
  <c r="E151" i="22"/>
  <c r="G151" i="22" s="1"/>
  <c r="H151" i="22"/>
  <c r="E152" i="22"/>
  <c r="G152" i="22" s="1"/>
  <c r="H152" i="22"/>
  <c r="E153" i="22"/>
  <c r="G153" i="22" s="1"/>
  <c r="E154" i="22"/>
  <c r="G154" i="22" s="1"/>
  <c r="H154" i="22"/>
  <c r="E155" i="22"/>
  <c r="G155" i="22" s="1"/>
  <c r="H155" i="22"/>
  <c r="E156" i="22"/>
  <c r="G156" i="22" s="1"/>
  <c r="H156" i="22"/>
  <c r="E157" i="22"/>
  <c r="G157" i="22" s="1"/>
  <c r="H157" i="22"/>
  <c r="E158" i="22"/>
  <c r="G158" i="22" s="1"/>
  <c r="H158" i="22"/>
  <c r="E159" i="22"/>
  <c r="G159" i="22" s="1"/>
  <c r="H159" i="22"/>
  <c r="E160" i="22"/>
  <c r="G160" i="22" s="1"/>
  <c r="H160" i="22"/>
  <c r="E161" i="22"/>
  <c r="G161" i="22" s="1"/>
  <c r="H161" i="22"/>
  <c r="E162" i="22"/>
  <c r="G162" i="22" s="1"/>
  <c r="H162" i="22"/>
  <c r="E163" i="22"/>
  <c r="G163" i="22" s="1"/>
  <c r="H163" i="22"/>
  <c r="E164" i="22"/>
  <c r="G164" i="22" s="1"/>
  <c r="H164" i="22"/>
  <c r="E165" i="22"/>
  <c r="G165" i="22" s="1"/>
  <c r="H165" i="22"/>
  <c r="E166" i="22"/>
  <c r="G166" i="22" s="1"/>
  <c r="H166" i="22"/>
  <c r="E167" i="22"/>
  <c r="H167" i="22"/>
  <c r="E168" i="22"/>
  <c r="G168" i="22" s="1"/>
  <c r="H168" i="22"/>
  <c r="E169" i="22"/>
  <c r="G169" i="22" s="1"/>
  <c r="H169" i="22"/>
  <c r="E170" i="22"/>
  <c r="G170" i="22" s="1"/>
  <c r="H170" i="22"/>
  <c r="E171" i="22"/>
  <c r="G171" i="22" s="1"/>
  <c r="H171" i="22"/>
  <c r="E172" i="22"/>
  <c r="G172" i="22" s="1"/>
  <c r="E173" i="22"/>
  <c r="G173" i="22" s="1"/>
  <c r="H173" i="22"/>
  <c r="E174" i="22"/>
  <c r="G174" i="22" s="1"/>
  <c r="H174" i="22"/>
  <c r="E175" i="22"/>
  <c r="G175" i="22" s="1"/>
  <c r="H175" i="22"/>
  <c r="E176" i="22"/>
  <c r="G176" i="22" s="1"/>
  <c r="H176" i="22"/>
  <c r="E177" i="22"/>
  <c r="G177" i="22"/>
  <c r="E178" i="22"/>
  <c r="G178" i="22" s="1"/>
  <c r="H178" i="22"/>
  <c r="E179" i="22"/>
  <c r="G179" i="22" s="1"/>
  <c r="H179" i="22"/>
  <c r="E180" i="22"/>
  <c r="G180" i="22" s="1"/>
  <c r="H180" i="22"/>
  <c r="E181" i="22"/>
  <c r="G181" i="22" s="1"/>
  <c r="H181" i="22"/>
  <c r="E182" i="22"/>
  <c r="G182" i="22" s="1"/>
  <c r="H182" i="22"/>
  <c r="E183" i="22"/>
  <c r="G183" i="22" s="1"/>
  <c r="H183" i="22"/>
  <c r="E184" i="22"/>
  <c r="G184" i="22"/>
  <c r="H184" i="22"/>
  <c r="E185" i="22"/>
  <c r="G185" i="22" s="1"/>
  <c r="H185" i="22"/>
  <c r="E186" i="22"/>
  <c r="G186" i="22" s="1"/>
  <c r="H186" i="22"/>
  <c r="E187" i="22"/>
  <c r="G187" i="22"/>
  <c r="H187" i="22"/>
  <c r="E188" i="22"/>
  <c r="G188" i="22" s="1"/>
  <c r="H188" i="22"/>
  <c r="E189" i="22"/>
  <c r="G189" i="22" s="1"/>
  <c r="H189" i="22"/>
  <c r="E190" i="22"/>
  <c r="G190" i="22" s="1"/>
  <c r="H190" i="22"/>
  <c r="E191" i="22"/>
  <c r="G191" i="22" s="1"/>
  <c r="H191" i="22"/>
  <c r="E192" i="22"/>
  <c r="G192" i="22" s="1"/>
  <c r="H192" i="22"/>
  <c r="E193" i="22"/>
  <c r="G193" i="22" s="1"/>
  <c r="H193" i="22"/>
  <c r="E194" i="22"/>
  <c r="G194" i="22" s="1"/>
  <c r="H194" i="22"/>
  <c r="E195" i="22"/>
  <c r="G195" i="22" s="1"/>
  <c r="H195" i="22"/>
  <c r="E196" i="22"/>
  <c r="G196" i="22"/>
  <c r="H196" i="22"/>
  <c r="E197" i="22"/>
  <c r="G197" i="22" s="1"/>
  <c r="H197" i="22"/>
  <c r="E198" i="22"/>
  <c r="G198" i="22" s="1"/>
  <c r="H198" i="22"/>
  <c r="E199" i="22"/>
  <c r="G199" i="22" s="1"/>
  <c r="H199" i="22"/>
  <c r="E200" i="22"/>
  <c r="G200" i="22" s="1"/>
  <c r="H200" i="22"/>
  <c r="E201" i="22"/>
  <c r="G201" i="22" s="1"/>
  <c r="H201" i="22"/>
  <c r="E202" i="22"/>
  <c r="H202" i="22"/>
  <c r="E203" i="22"/>
  <c r="G203" i="22" s="1"/>
  <c r="H203" i="22"/>
  <c r="E204" i="22"/>
  <c r="G204" i="22" s="1"/>
  <c r="H204" i="22"/>
  <c r="E205" i="22"/>
  <c r="G205" i="22" s="1"/>
  <c r="H205" i="22"/>
  <c r="E206" i="22"/>
  <c r="G206" i="22" s="1"/>
  <c r="H206" i="22"/>
  <c r="E207" i="22"/>
  <c r="G207" i="22" s="1"/>
  <c r="H207" i="22"/>
  <c r="E208" i="22"/>
  <c r="G208" i="22" s="1"/>
  <c r="H208" i="22"/>
  <c r="E209" i="22"/>
  <c r="G209" i="22" s="1"/>
  <c r="H209" i="22"/>
  <c r="E210" i="22"/>
  <c r="G210" i="22" s="1"/>
  <c r="H210" i="22"/>
  <c r="E211" i="22"/>
  <c r="G211" i="22" s="1"/>
  <c r="H211" i="22"/>
  <c r="E212" i="22"/>
  <c r="G212" i="22" s="1"/>
  <c r="H212" i="22"/>
  <c r="E213" i="22"/>
  <c r="G213" i="22" s="1"/>
  <c r="H213" i="22"/>
  <c r="E214" i="22"/>
  <c r="H214" i="22"/>
  <c r="E215" i="22"/>
  <c r="G215" i="22" s="1"/>
  <c r="H215" i="22"/>
  <c r="E216" i="22"/>
  <c r="G216" i="22" s="1"/>
  <c r="H216" i="22"/>
  <c r="E217" i="22"/>
  <c r="G217" i="22"/>
  <c r="H217" i="22"/>
  <c r="E218" i="22"/>
  <c r="G218" i="22" s="1"/>
  <c r="H218" i="22"/>
  <c r="E219" i="22"/>
  <c r="G219" i="22" s="1"/>
  <c r="H219" i="22"/>
  <c r="E220" i="22"/>
  <c r="G220" i="22" s="1"/>
  <c r="H220" i="22"/>
  <c r="E221" i="22"/>
  <c r="G221" i="22" s="1"/>
  <c r="H221" i="22"/>
  <c r="E222" i="22"/>
  <c r="G222" i="22" s="1"/>
  <c r="H222" i="22"/>
  <c r="E223" i="22"/>
  <c r="G223" i="22" s="1"/>
  <c r="H223" i="22"/>
  <c r="E224" i="22"/>
  <c r="G224" i="22" s="1"/>
  <c r="H224" i="22"/>
  <c r="E225" i="22"/>
  <c r="G225" i="22" s="1"/>
  <c r="H225" i="22"/>
  <c r="E226" i="22"/>
  <c r="G226" i="22" s="1"/>
  <c r="H226" i="22"/>
  <c r="E227" i="22"/>
  <c r="G227" i="22" s="1"/>
  <c r="H227" i="22"/>
  <c r="E228" i="22"/>
  <c r="G228" i="22" s="1"/>
  <c r="H228" i="22"/>
  <c r="E229" i="22"/>
  <c r="G229" i="22"/>
  <c r="H229" i="22"/>
  <c r="E230" i="22"/>
  <c r="G230" i="22" s="1"/>
  <c r="H230" i="22"/>
  <c r="E231" i="22"/>
  <c r="G231" i="22" s="1"/>
  <c r="H231" i="22"/>
  <c r="E232" i="22"/>
  <c r="G232" i="22"/>
  <c r="H232" i="22"/>
  <c r="E233" i="22"/>
  <c r="G233" i="22" s="1"/>
  <c r="H233" i="22"/>
  <c r="E234" i="22"/>
  <c r="G234" i="22" s="1"/>
  <c r="H234" i="22"/>
  <c r="E235" i="22"/>
  <c r="G235" i="22"/>
  <c r="H235" i="22"/>
  <c r="E236" i="22"/>
  <c r="G236" i="22" s="1"/>
  <c r="H236" i="22"/>
  <c r="E237" i="22"/>
  <c r="G237" i="22" s="1"/>
  <c r="H237" i="22"/>
  <c r="E238" i="22"/>
  <c r="G238" i="22" s="1"/>
  <c r="H238" i="22"/>
  <c r="E239" i="22"/>
  <c r="G239" i="22" s="1"/>
  <c r="H239" i="22"/>
  <c r="E240" i="22"/>
  <c r="G240" i="22" s="1"/>
  <c r="H240" i="22"/>
  <c r="E241" i="22"/>
  <c r="G241" i="22" s="1"/>
  <c r="H241" i="22"/>
  <c r="E242" i="22"/>
  <c r="G242" i="22" s="1"/>
  <c r="H242" i="22"/>
  <c r="E243" i="22"/>
  <c r="G243" i="22" s="1"/>
  <c r="H243" i="22"/>
  <c r="E244" i="22"/>
  <c r="G244" i="22"/>
  <c r="H244" i="22"/>
  <c r="E245" i="22"/>
  <c r="G245" i="22" s="1"/>
  <c r="H245" i="22"/>
  <c r="E246" i="22"/>
  <c r="G246" i="22" s="1"/>
  <c r="H246" i="22"/>
  <c r="E247" i="22"/>
  <c r="G247" i="22" s="1"/>
  <c r="H247" i="22"/>
  <c r="E248" i="22"/>
  <c r="G248" i="22" s="1"/>
  <c r="H248" i="22"/>
  <c r="E249" i="22"/>
  <c r="G249" i="22"/>
  <c r="E250" i="22"/>
  <c r="G250" i="22" s="1"/>
  <c r="H250" i="22"/>
  <c r="E251" i="22"/>
  <c r="G251" i="22" s="1"/>
  <c r="H251" i="22"/>
  <c r="E252" i="22"/>
  <c r="G252" i="22"/>
  <c r="H252" i="22"/>
  <c r="E253" i="22"/>
  <c r="G253" i="22" s="1"/>
  <c r="H253" i="22"/>
  <c r="E254" i="22"/>
  <c r="G254" i="22" s="1"/>
  <c r="H254" i="22"/>
  <c r="E255" i="22"/>
  <c r="G255" i="22" s="1"/>
  <c r="H255" i="22"/>
  <c r="E256" i="22"/>
  <c r="G256" i="22" s="1"/>
  <c r="H256" i="22"/>
  <c r="E257" i="22"/>
  <c r="G257" i="22"/>
  <c r="H257" i="22"/>
  <c r="E258" i="22"/>
  <c r="G258" i="22" s="1"/>
  <c r="H258" i="22"/>
  <c r="E259" i="22"/>
  <c r="G259" i="22" s="1"/>
  <c r="H259" i="22"/>
  <c r="E260" i="22"/>
  <c r="G260" i="22" s="1"/>
  <c r="H260" i="22"/>
  <c r="E261" i="22"/>
  <c r="G261" i="22" s="1"/>
  <c r="H261" i="22"/>
  <c r="E262" i="22"/>
  <c r="G262" i="22" s="1"/>
  <c r="H262" i="22"/>
  <c r="E263" i="22"/>
  <c r="G263" i="22" s="1"/>
  <c r="H263" i="22"/>
  <c r="E264" i="22"/>
  <c r="G264" i="22" s="1"/>
  <c r="H264" i="22"/>
  <c r="E265" i="22"/>
  <c r="G265" i="22" s="1"/>
  <c r="H265" i="22"/>
  <c r="E266" i="22"/>
  <c r="G266" i="22" s="1"/>
  <c r="H266" i="22"/>
  <c r="E267" i="22"/>
  <c r="G267" i="22" s="1"/>
  <c r="H267" i="22"/>
  <c r="E268" i="22"/>
  <c r="G268" i="22" s="1"/>
  <c r="H268" i="22"/>
  <c r="E269" i="22"/>
  <c r="G269" i="22" s="1"/>
  <c r="H269" i="22"/>
  <c r="E270" i="22"/>
  <c r="E271" i="22"/>
  <c r="G271" i="22" s="1"/>
  <c r="H271" i="22"/>
  <c r="H56" i="22"/>
  <c r="E56" i="22"/>
  <c r="G56" i="22" s="1"/>
  <c r="H55" i="22"/>
  <c r="E55" i="22"/>
  <c r="G55" i="22" s="1"/>
  <c r="H54" i="22"/>
  <c r="G54" i="22"/>
  <c r="E54" i="22"/>
  <c r="H53" i="22"/>
  <c r="E53" i="22"/>
  <c r="G53" i="22" s="1"/>
  <c r="H52" i="22"/>
  <c r="E52" i="22"/>
  <c r="G52" i="22" s="1"/>
  <c r="H51" i="22"/>
  <c r="E51" i="22"/>
  <c r="G51" i="22" s="1"/>
  <c r="H50" i="22"/>
  <c r="G50" i="22"/>
  <c r="E50" i="22"/>
  <c r="H49" i="22"/>
  <c r="E49" i="22"/>
  <c r="G49" i="22" s="1"/>
  <c r="H48" i="22"/>
  <c r="E48" i="22"/>
  <c r="G48" i="22" s="1"/>
  <c r="H47" i="22"/>
  <c r="E47" i="22"/>
  <c r="G47" i="22" s="1"/>
  <c r="E46" i="22"/>
  <c r="H45" i="22"/>
  <c r="G45" i="22"/>
  <c r="E45" i="22"/>
  <c r="H44" i="22"/>
  <c r="E44" i="22"/>
  <c r="G44" i="22" s="1"/>
  <c r="H43" i="22"/>
  <c r="E43" i="22"/>
  <c r="G43" i="22" s="1"/>
  <c r="H42" i="22"/>
  <c r="E42" i="22"/>
  <c r="G42" i="22" s="1"/>
  <c r="H41" i="22"/>
  <c r="E41" i="22"/>
  <c r="G41" i="22" s="1"/>
  <c r="H40" i="22"/>
  <c r="E40" i="22"/>
  <c r="G40" i="22" s="1"/>
  <c r="H39" i="22"/>
  <c r="E39" i="22"/>
  <c r="G39" i="22" s="1"/>
  <c r="H38" i="22"/>
  <c r="E38" i="22"/>
  <c r="G38" i="22" s="1"/>
  <c r="H37" i="22"/>
  <c r="G37" i="22"/>
  <c r="E37" i="22"/>
  <c r="H36" i="22"/>
  <c r="E36" i="22"/>
  <c r="G36" i="22" s="1"/>
  <c r="H35" i="22"/>
  <c r="E35" i="22"/>
  <c r="G35" i="22" s="1"/>
  <c r="H34" i="22"/>
  <c r="E34" i="22"/>
  <c r="G34" i="22" s="1"/>
  <c r="H33" i="22"/>
  <c r="E33" i="22"/>
  <c r="G33" i="22" s="1"/>
  <c r="H32" i="22"/>
  <c r="G32" i="22"/>
  <c r="E32" i="22"/>
  <c r="H31" i="22"/>
  <c r="E31" i="22"/>
  <c r="G31" i="22" s="1"/>
  <c r="H30" i="22"/>
  <c r="E30" i="22"/>
  <c r="G30" i="22" s="1"/>
  <c r="H29" i="22"/>
  <c r="G29" i="22"/>
  <c r="E29" i="22"/>
  <c r="E28" i="22"/>
  <c r="H27" i="22"/>
  <c r="E27" i="22"/>
  <c r="G27" i="22" s="1"/>
  <c r="H26" i="22"/>
  <c r="E26" i="22"/>
  <c r="G26" i="22" s="1"/>
  <c r="H25" i="22"/>
  <c r="E25" i="22"/>
  <c r="G25" i="22" s="1"/>
  <c r="H24" i="22"/>
  <c r="E24" i="22"/>
  <c r="G24" i="22" s="1"/>
  <c r="H23" i="22"/>
  <c r="E23" i="22"/>
  <c r="G23" i="22" s="1"/>
  <c r="E22" i="22"/>
  <c r="H21" i="22"/>
  <c r="E21" i="22"/>
  <c r="G21" i="22" s="1"/>
  <c r="H20" i="22"/>
  <c r="E20" i="22"/>
  <c r="G20" i="22" s="1"/>
  <c r="H19" i="22"/>
  <c r="E19" i="22"/>
  <c r="G19" i="22" s="1"/>
  <c r="H18" i="22"/>
  <c r="E18" i="22"/>
  <c r="G18" i="22" s="1"/>
  <c r="H17" i="22"/>
  <c r="E17" i="22"/>
  <c r="G17" i="22" s="1"/>
  <c r="H16" i="22"/>
  <c r="E16" i="22"/>
  <c r="G16" i="22" s="1"/>
  <c r="H15" i="22"/>
  <c r="E15" i="22"/>
  <c r="G15" i="22" s="1"/>
  <c r="H14" i="22"/>
  <c r="E14" i="22"/>
  <c r="G14" i="22" s="1"/>
  <c r="H13" i="22"/>
  <c r="E13" i="22"/>
  <c r="G13" i="22" s="1"/>
  <c r="H12" i="22"/>
  <c r="E12" i="22"/>
  <c r="G12" i="22" s="1"/>
  <c r="H11" i="22"/>
  <c r="E11" i="22"/>
  <c r="G11" i="22" s="1"/>
  <c r="H10" i="22"/>
  <c r="E10" i="22"/>
  <c r="G10" i="22" s="1"/>
  <c r="E9" i="22"/>
  <c r="H8" i="22"/>
  <c r="E8" i="22"/>
  <c r="G8" i="22" s="1"/>
  <c r="H7" i="22"/>
  <c r="G7" i="22"/>
  <c r="E7" i="22"/>
  <c r="H6" i="22"/>
  <c r="E6" i="22"/>
  <c r="G6" i="22" s="1"/>
  <c r="H5" i="22"/>
  <c r="E5" i="22"/>
  <c r="G5" i="22" s="1"/>
  <c r="H4" i="22"/>
  <c r="E4" i="22"/>
  <c r="G4" i="22" s="1"/>
  <c r="H3" i="22"/>
  <c r="E3" i="22"/>
  <c r="G3" i="22" s="1"/>
  <c r="P118" i="8"/>
  <c r="P117" i="8"/>
  <c r="P106" i="8"/>
  <c r="P102" i="8"/>
  <c r="P101" i="8"/>
  <c r="P93" i="8"/>
  <c r="P90" i="8"/>
  <c r="P87" i="8"/>
  <c r="P83" i="8"/>
  <c r="P82" i="8"/>
  <c r="P81" i="8"/>
  <c r="P80" i="8"/>
  <c r="P79" i="8"/>
  <c r="P78" i="8"/>
  <c r="P77" i="8"/>
  <c r="P76" i="8"/>
  <c r="P74" i="8"/>
  <c r="P71" i="8"/>
  <c r="P70" i="8"/>
  <c r="P69" i="8"/>
  <c r="P68" i="8"/>
  <c r="P67" i="8"/>
  <c r="P65" i="8"/>
  <c r="P64" i="8"/>
  <c r="P62" i="8"/>
  <c r="P61" i="8"/>
  <c r="P60" i="8"/>
  <c r="P56" i="8"/>
  <c r="P55" i="8"/>
  <c r="P53" i="8"/>
  <c r="P52" i="8"/>
  <c r="P48" i="8"/>
  <c r="P45" i="8"/>
  <c r="P44" i="8"/>
  <c r="P43" i="8"/>
  <c r="P39" i="8"/>
  <c r="P37" i="8"/>
  <c r="P32" i="8"/>
  <c r="P30" i="8"/>
  <c r="P28" i="8"/>
  <c r="P22" i="8"/>
  <c r="P18" i="8"/>
  <c r="P16" i="8"/>
  <c r="P14" i="8"/>
  <c r="P12" i="8"/>
  <c r="P9" i="8"/>
  <c r="P4" i="8"/>
  <c r="Q18" i="21"/>
  <c r="Q41" i="21"/>
  <c r="Q13" i="21"/>
  <c r="Q15" i="21"/>
  <c r="R4" i="21"/>
  <c r="F211" i="21"/>
  <c r="Q5" i="21"/>
  <c r="Q6" i="21"/>
  <c r="Q7" i="21"/>
  <c r="Q8" i="21"/>
  <c r="Q9" i="21"/>
  <c r="Q11" i="21"/>
  <c r="Q12" i="21"/>
  <c r="Q17" i="21"/>
  <c r="Q19" i="21"/>
  <c r="Q20" i="21"/>
  <c r="Q21" i="21"/>
  <c r="Q24" i="21"/>
  <c r="Q25" i="21"/>
  <c r="Q26" i="21"/>
  <c r="Q27" i="21"/>
  <c r="Q28" i="21"/>
  <c r="Q30" i="21"/>
  <c r="Q31" i="21"/>
  <c r="Q32" i="21"/>
  <c r="Q34" i="21"/>
  <c r="Q36" i="21"/>
  <c r="Q37" i="21"/>
  <c r="Q38" i="21"/>
  <c r="Q39" i="21"/>
  <c r="Q40" i="21"/>
  <c r="Q42" i="21"/>
  <c r="Q43" i="21"/>
  <c r="Q44" i="21"/>
  <c r="Q45" i="21"/>
  <c r="Q46" i="21"/>
  <c r="Q47" i="21"/>
  <c r="Q48" i="21"/>
  <c r="Q49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F321" i="21"/>
  <c r="F320" i="21"/>
  <c r="F312" i="21"/>
  <c r="H312" i="21" s="1"/>
  <c r="H274" i="21"/>
  <c r="E274" i="21"/>
  <c r="G274" i="21" s="1"/>
  <c r="H273" i="21"/>
  <c r="E273" i="21"/>
  <c r="G273" i="21" s="1"/>
  <c r="H272" i="21"/>
  <c r="E272" i="21"/>
  <c r="G272" i="21" s="1"/>
  <c r="F212" i="21"/>
  <c r="H212" i="21" s="1"/>
  <c r="F202" i="21"/>
  <c r="H202" i="21" s="1"/>
  <c r="H214" i="21"/>
  <c r="E214" i="21"/>
  <c r="G214" i="21" s="1"/>
  <c r="H213" i="21"/>
  <c r="E213" i="21"/>
  <c r="G213" i="21" s="1"/>
  <c r="E212" i="21"/>
  <c r="H211" i="21"/>
  <c r="E211" i="21"/>
  <c r="G211" i="21" s="1"/>
  <c r="F287" i="21"/>
  <c r="H287" i="21" s="1"/>
  <c r="H256" i="21"/>
  <c r="E256" i="21"/>
  <c r="G256" i="21" s="1"/>
  <c r="F283" i="21"/>
  <c r="H283" i="21" s="1"/>
  <c r="F280" i="21"/>
  <c r="F277" i="21"/>
  <c r="H277" i="21" s="1"/>
  <c r="E275" i="21"/>
  <c r="G275" i="21" s="1"/>
  <c r="H275" i="21"/>
  <c r="E276" i="21"/>
  <c r="G276" i="21" s="1"/>
  <c r="H276" i="21"/>
  <c r="E277" i="21"/>
  <c r="E278" i="21"/>
  <c r="G278" i="21" s="1"/>
  <c r="H278" i="21"/>
  <c r="E279" i="21"/>
  <c r="G279" i="21" s="1"/>
  <c r="H279" i="21"/>
  <c r="E280" i="21"/>
  <c r="H280" i="21"/>
  <c r="E281" i="21"/>
  <c r="G281" i="21" s="1"/>
  <c r="H281" i="21"/>
  <c r="E282" i="21"/>
  <c r="G282" i="21" s="1"/>
  <c r="H282" i="21"/>
  <c r="E283" i="21"/>
  <c r="E284" i="21"/>
  <c r="G284" i="21" s="1"/>
  <c r="H284" i="21"/>
  <c r="E285" i="21"/>
  <c r="G285" i="21" s="1"/>
  <c r="H285" i="21"/>
  <c r="E286" i="21"/>
  <c r="G286" i="21" s="1"/>
  <c r="H286" i="21"/>
  <c r="E287" i="21"/>
  <c r="G287" i="21" s="1"/>
  <c r="E288" i="21"/>
  <c r="G288" i="21" s="1"/>
  <c r="H288" i="21"/>
  <c r="E289" i="21"/>
  <c r="G289" i="21" s="1"/>
  <c r="H289" i="21"/>
  <c r="E290" i="21"/>
  <c r="G290" i="21" s="1"/>
  <c r="H290" i="21"/>
  <c r="E291" i="21"/>
  <c r="G291" i="21" s="1"/>
  <c r="H291" i="21"/>
  <c r="E292" i="21"/>
  <c r="G292" i="21" s="1"/>
  <c r="H292" i="21"/>
  <c r="E293" i="21"/>
  <c r="G293" i="21" s="1"/>
  <c r="H293" i="21"/>
  <c r="E294" i="21"/>
  <c r="G294" i="21" s="1"/>
  <c r="H294" i="21"/>
  <c r="E295" i="21"/>
  <c r="G295" i="21" s="1"/>
  <c r="H295" i="21"/>
  <c r="E296" i="21"/>
  <c r="G296" i="21" s="1"/>
  <c r="H296" i="21"/>
  <c r="E297" i="21"/>
  <c r="G297" i="21" s="1"/>
  <c r="H297" i="21"/>
  <c r="E298" i="21"/>
  <c r="G298" i="21" s="1"/>
  <c r="H298" i="21"/>
  <c r="E299" i="21"/>
  <c r="G299" i="21" s="1"/>
  <c r="H299" i="21"/>
  <c r="E300" i="21"/>
  <c r="G300" i="21" s="1"/>
  <c r="H300" i="21"/>
  <c r="E301" i="21"/>
  <c r="G301" i="21" s="1"/>
  <c r="H301" i="21"/>
  <c r="E302" i="21"/>
  <c r="G302" i="21" s="1"/>
  <c r="H302" i="21"/>
  <c r="E303" i="21"/>
  <c r="G303" i="21" s="1"/>
  <c r="H303" i="21"/>
  <c r="E304" i="21"/>
  <c r="G304" i="21" s="1"/>
  <c r="H304" i="21"/>
  <c r="E305" i="21"/>
  <c r="G305" i="21" s="1"/>
  <c r="H305" i="21"/>
  <c r="E306" i="21"/>
  <c r="G306" i="21" s="1"/>
  <c r="H306" i="21"/>
  <c r="E307" i="21"/>
  <c r="G307" i="21" s="1"/>
  <c r="H307" i="21"/>
  <c r="E308" i="21"/>
  <c r="G308" i="21" s="1"/>
  <c r="H308" i="21"/>
  <c r="E309" i="21"/>
  <c r="G309" i="21" s="1"/>
  <c r="H309" i="21"/>
  <c r="E310" i="21"/>
  <c r="G310" i="21" s="1"/>
  <c r="H310" i="21"/>
  <c r="E311" i="21"/>
  <c r="G311" i="21" s="1"/>
  <c r="H311" i="21"/>
  <c r="E312" i="21"/>
  <c r="E313" i="21"/>
  <c r="G313" i="21" s="1"/>
  <c r="H313" i="21"/>
  <c r="E314" i="21"/>
  <c r="G314" i="21" s="1"/>
  <c r="H314" i="21"/>
  <c r="E315" i="21"/>
  <c r="G315" i="21" s="1"/>
  <c r="H315" i="21"/>
  <c r="E316" i="21"/>
  <c r="G316" i="21" s="1"/>
  <c r="H316" i="21"/>
  <c r="E317" i="21"/>
  <c r="G317" i="21" s="1"/>
  <c r="H317" i="21"/>
  <c r="E318" i="21"/>
  <c r="G318" i="21" s="1"/>
  <c r="H318" i="21"/>
  <c r="E319" i="21"/>
  <c r="G319" i="21" s="1"/>
  <c r="H319" i="21"/>
  <c r="E320" i="21"/>
  <c r="G320" i="21" s="1"/>
  <c r="H320" i="21"/>
  <c r="E321" i="21"/>
  <c r="G321" i="21" s="1"/>
  <c r="H321" i="21"/>
  <c r="E322" i="21"/>
  <c r="G322" i="21" s="1"/>
  <c r="H322" i="21"/>
  <c r="E323" i="21"/>
  <c r="G323" i="21" s="1"/>
  <c r="H323" i="21"/>
  <c r="E324" i="21"/>
  <c r="G324" i="21" s="1"/>
  <c r="H324" i="21"/>
  <c r="E325" i="21"/>
  <c r="G325" i="21" s="1"/>
  <c r="H325" i="21"/>
  <c r="E326" i="21"/>
  <c r="G326" i="21" s="1"/>
  <c r="H326" i="21"/>
  <c r="E327" i="21"/>
  <c r="G327" i="21" s="1"/>
  <c r="H327" i="21"/>
  <c r="E328" i="21"/>
  <c r="G328" i="21" s="1"/>
  <c r="H328" i="21"/>
  <c r="E329" i="21"/>
  <c r="G329" i="21" s="1"/>
  <c r="H329" i="21"/>
  <c r="E330" i="21"/>
  <c r="G330" i="21" s="1"/>
  <c r="H330" i="21"/>
  <c r="E331" i="21"/>
  <c r="G331" i="21" s="1"/>
  <c r="H331" i="21"/>
  <c r="E332" i="21"/>
  <c r="G332" i="21" s="1"/>
  <c r="H332" i="21"/>
  <c r="F270" i="21"/>
  <c r="F263" i="21"/>
  <c r="H263" i="21" s="1"/>
  <c r="F262" i="21"/>
  <c r="H262" i="21" s="1"/>
  <c r="F259" i="21"/>
  <c r="H259" i="21" s="1"/>
  <c r="F254" i="21"/>
  <c r="H254" i="21" s="1"/>
  <c r="F252" i="21"/>
  <c r="H252" i="21" s="1"/>
  <c r="F242" i="21"/>
  <c r="Q14" i="21" s="1"/>
  <c r="F239" i="21"/>
  <c r="H239" i="21" s="1"/>
  <c r="F237" i="21"/>
  <c r="H237" i="21" s="1"/>
  <c r="F235" i="21"/>
  <c r="H235" i="21" s="1"/>
  <c r="F233" i="21"/>
  <c r="H233" i="21" s="1"/>
  <c r="F205" i="21"/>
  <c r="Q29" i="21" s="1"/>
  <c r="F204" i="21"/>
  <c r="H204" i="21" s="1"/>
  <c r="F194" i="21"/>
  <c r="H194" i="21" s="1"/>
  <c r="F186" i="21"/>
  <c r="H186" i="21" s="1"/>
  <c r="F185" i="21"/>
  <c r="H185" i="21" s="1"/>
  <c r="F182" i="21"/>
  <c r="H182" i="21" s="1"/>
  <c r="F178" i="21"/>
  <c r="H178" i="21" s="1"/>
  <c r="F171" i="21"/>
  <c r="H171" i="21" s="1"/>
  <c r="F155" i="21"/>
  <c r="H155" i="21" s="1"/>
  <c r="F127" i="21"/>
  <c r="H127" i="21" s="1"/>
  <c r="F115" i="21"/>
  <c r="H115" i="21" s="1"/>
  <c r="F111" i="21"/>
  <c r="H111" i="21" s="1"/>
  <c r="F105" i="21"/>
  <c r="H105" i="21" s="1"/>
  <c r="F100" i="21"/>
  <c r="H100" i="21" s="1"/>
  <c r="F99" i="21"/>
  <c r="Q16" i="21" s="1"/>
  <c r="F73" i="21"/>
  <c r="H73" i="21" s="1"/>
  <c r="F70" i="21"/>
  <c r="H70" i="21" s="1"/>
  <c r="F67" i="21"/>
  <c r="H67" i="21" s="1"/>
  <c r="F61" i="21"/>
  <c r="H61" i="21" s="1"/>
  <c r="F58" i="21"/>
  <c r="H58" i="21" s="1"/>
  <c r="F57" i="21"/>
  <c r="H57" i="21" s="1"/>
  <c r="F56" i="21"/>
  <c r="F55" i="21"/>
  <c r="F46" i="21"/>
  <c r="F45" i="21"/>
  <c r="F43" i="21"/>
  <c r="H43" i="21" s="1"/>
  <c r="F38" i="21"/>
  <c r="H38" i="21" s="1"/>
  <c r="F35" i="21"/>
  <c r="F27" i="21"/>
  <c r="H27" i="21" s="1"/>
  <c r="F26" i="21"/>
  <c r="H26" i="21" s="1"/>
  <c r="F25" i="21"/>
  <c r="H25" i="21" s="1"/>
  <c r="F17" i="21"/>
  <c r="Q23" i="21" s="1"/>
  <c r="F16" i="21"/>
  <c r="H16" i="21" s="1"/>
  <c r="F6" i="21"/>
  <c r="H6" i="21" s="1"/>
  <c r="F3" i="21"/>
  <c r="E271" i="21"/>
  <c r="E270" i="21"/>
  <c r="H269" i="21"/>
  <c r="E269" i="21"/>
  <c r="G269" i="21" s="1"/>
  <c r="H268" i="21"/>
  <c r="E268" i="21"/>
  <c r="G268" i="21" s="1"/>
  <c r="H267" i="21"/>
  <c r="E267" i="21"/>
  <c r="G267" i="21" s="1"/>
  <c r="H266" i="21"/>
  <c r="E266" i="21"/>
  <c r="G266" i="21" s="1"/>
  <c r="H265" i="21"/>
  <c r="E265" i="21"/>
  <c r="G265" i="21" s="1"/>
  <c r="H264" i="21"/>
  <c r="E264" i="21"/>
  <c r="G264" i="21" s="1"/>
  <c r="E263" i="21"/>
  <c r="E262" i="21"/>
  <c r="E261" i="21"/>
  <c r="H260" i="21"/>
  <c r="E260" i="21"/>
  <c r="G260" i="21" s="1"/>
  <c r="E259" i="21"/>
  <c r="H258" i="21"/>
  <c r="E258" i="21"/>
  <c r="G258" i="21" s="1"/>
  <c r="H257" i="21"/>
  <c r="E257" i="21"/>
  <c r="G257" i="21" s="1"/>
  <c r="H255" i="21"/>
  <c r="E255" i="21"/>
  <c r="G255" i="21" s="1"/>
  <c r="E254" i="21"/>
  <c r="H253" i="21"/>
  <c r="E253" i="21"/>
  <c r="G253" i="21" s="1"/>
  <c r="E252" i="21"/>
  <c r="H251" i="21"/>
  <c r="E251" i="21"/>
  <c r="G251" i="21" s="1"/>
  <c r="H250" i="21"/>
  <c r="E250" i="21"/>
  <c r="G250" i="21" s="1"/>
  <c r="H249" i="21"/>
  <c r="E249" i="21"/>
  <c r="G249" i="21" s="1"/>
  <c r="H248" i="21"/>
  <c r="E248" i="21"/>
  <c r="G248" i="21" s="1"/>
  <c r="H247" i="21"/>
  <c r="E247" i="21"/>
  <c r="G247" i="21" s="1"/>
  <c r="H246" i="21"/>
  <c r="E246" i="21"/>
  <c r="G246" i="21" s="1"/>
  <c r="H245" i="21"/>
  <c r="E245" i="21"/>
  <c r="G245" i="21" s="1"/>
  <c r="H244" i="21"/>
  <c r="E244" i="21"/>
  <c r="G244" i="21" s="1"/>
  <c r="H243" i="21"/>
  <c r="E243" i="21"/>
  <c r="G243" i="21" s="1"/>
  <c r="E242" i="21"/>
  <c r="H241" i="21"/>
  <c r="E241" i="21"/>
  <c r="G241" i="21" s="1"/>
  <c r="H240" i="21"/>
  <c r="E240" i="21"/>
  <c r="G240" i="21" s="1"/>
  <c r="E239" i="21"/>
  <c r="H238" i="21"/>
  <c r="E238" i="21"/>
  <c r="G238" i="21" s="1"/>
  <c r="E237" i="21"/>
  <c r="H236" i="21"/>
  <c r="E236" i="21"/>
  <c r="G236" i="21" s="1"/>
  <c r="E235" i="21"/>
  <c r="H234" i="21"/>
  <c r="E234" i="21"/>
  <c r="G234" i="21" s="1"/>
  <c r="E233" i="21"/>
  <c r="H232" i="21"/>
  <c r="E232" i="21"/>
  <c r="G232" i="21" s="1"/>
  <c r="H231" i="21"/>
  <c r="E231" i="21"/>
  <c r="G231" i="21" s="1"/>
  <c r="H230" i="21"/>
  <c r="E230" i="21"/>
  <c r="G230" i="21" s="1"/>
  <c r="H229" i="21"/>
  <c r="E229" i="21"/>
  <c r="G229" i="21" s="1"/>
  <c r="H228" i="21"/>
  <c r="E228" i="21"/>
  <c r="G228" i="21" s="1"/>
  <c r="H227" i="21"/>
  <c r="E227" i="21"/>
  <c r="G227" i="21" s="1"/>
  <c r="H226" i="21"/>
  <c r="E226" i="21"/>
  <c r="G226" i="21" s="1"/>
  <c r="H225" i="21"/>
  <c r="E225" i="21"/>
  <c r="G225" i="21" s="1"/>
  <c r="H224" i="21"/>
  <c r="E224" i="21"/>
  <c r="G224" i="21" s="1"/>
  <c r="H223" i="21"/>
  <c r="E223" i="21"/>
  <c r="G223" i="21" s="1"/>
  <c r="H222" i="21"/>
  <c r="E222" i="21"/>
  <c r="G222" i="21" s="1"/>
  <c r="H221" i="21"/>
  <c r="E221" i="21"/>
  <c r="G221" i="21" s="1"/>
  <c r="H220" i="21"/>
  <c r="E220" i="21"/>
  <c r="G220" i="21" s="1"/>
  <c r="H219" i="21"/>
  <c r="E219" i="21"/>
  <c r="H218" i="21"/>
  <c r="E218" i="21"/>
  <c r="G218" i="21" s="1"/>
  <c r="H217" i="21"/>
  <c r="E217" i="21"/>
  <c r="G217" i="21" s="1"/>
  <c r="H216" i="21"/>
  <c r="E216" i="21"/>
  <c r="G216" i="21" s="1"/>
  <c r="H215" i="21"/>
  <c r="E215" i="21"/>
  <c r="G215" i="21" s="1"/>
  <c r="H210" i="21"/>
  <c r="E210" i="21"/>
  <c r="G210" i="21" s="1"/>
  <c r="H209" i="21"/>
  <c r="E209" i="21"/>
  <c r="G209" i="21" s="1"/>
  <c r="H208" i="21"/>
  <c r="E208" i="21"/>
  <c r="G208" i="21" s="1"/>
  <c r="H207" i="21"/>
  <c r="E207" i="21"/>
  <c r="G207" i="21" s="1"/>
  <c r="H206" i="21"/>
  <c r="E206" i="21"/>
  <c r="G206" i="21" s="1"/>
  <c r="E205" i="21"/>
  <c r="E204" i="21"/>
  <c r="H203" i="21"/>
  <c r="E203" i="21"/>
  <c r="G203" i="21" s="1"/>
  <c r="E202" i="21"/>
  <c r="H201" i="21"/>
  <c r="E201" i="21"/>
  <c r="G201" i="21" s="1"/>
  <c r="H200" i="21"/>
  <c r="E200" i="21"/>
  <c r="G200" i="21" s="1"/>
  <c r="H199" i="21"/>
  <c r="E199" i="21"/>
  <c r="G199" i="21" s="1"/>
  <c r="H198" i="21"/>
  <c r="E198" i="21"/>
  <c r="H197" i="21"/>
  <c r="E197" i="21"/>
  <c r="G197" i="21" s="1"/>
  <c r="H196" i="21"/>
  <c r="E196" i="21"/>
  <c r="G196" i="21" s="1"/>
  <c r="H195" i="21"/>
  <c r="E195" i="21"/>
  <c r="G195" i="21" s="1"/>
  <c r="E194" i="21"/>
  <c r="H193" i="21"/>
  <c r="E193" i="21"/>
  <c r="G193" i="21" s="1"/>
  <c r="H192" i="21"/>
  <c r="E192" i="21"/>
  <c r="G192" i="21" s="1"/>
  <c r="H191" i="21"/>
  <c r="E191" i="21"/>
  <c r="G191" i="21" s="1"/>
  <c r="H190" i="21"/>
  <c r="E190" i="21"/>
  <c r="G190" i="21" s="1"/>
  <c r="H189" i="21"/>
  <c r="E189" i="21"/>
  <c r="G189" i="21" s="1"/>
  <c r="H188" i="21"/>
  <c r="E188" i="21"/>
  <c r="G188" i="21" s="1"/>
  <c r="H187" i="21"/>
  <c r="E187" i="21"/>
  <c r="G187" i="21" s="1"/>
  <c r="E186" i="21"/>
  <c r="E185" i="21"/>
  <c r="H184" i="21"/>
  <c r="E184" i="21"/>
  <c r="G184" i="21" s="1"/>
  <c r="H183" i="21"/>
  <c r="E183" i="21"/>
  <c r="G183" i="21" s="1"/>
  <c r="E182" i="21"/>
  <c r="G182" i="21" s="1"/>
  <c r="H181" i="21"/>
  <c r="E181" i="21"/>
  <c r="G181" i="21" s="1"/>
  <c r="H180" i="21"/>
  <c r="E180" i="21"/>
  <c r="G180" i="21" s="1"/>
  <c r="H179" i="21"/>
  <c r="E179" i="21"/>
  <c r="G179" i="21" s="1"/>
  <c r="E178" i="21"/>
  <c r="H177" i="21"/>
  <c r="E177" i="21"/>
  <c r="G177" i="21" s="1"/>
  <c r="H176" i="21"/>
  <c r="E176" i="21"/>
  <c r="G176" i="21" s="1"/>
  <c r="H175" i="21"/>
  <c r="E175" i="21"/>
  <c r="G175" i="21" s="1"/>
  <c r="H174" i="21"/>
  <c r="E174" i="21"/>
  <c r="G174" i="21" s="1"/>
  <c r="H173" i="21"/>
  <c r="E173" i="21"/>
  <c r="G173" i="21" s="1"/>
  <c r="H172" i="21"/>
  <c r="E172" i="21"/>
  <c r="G172" i="21" s="1"/>
  <c r="E171" i="21"/>
  <c r="H170" i="21"/>
  <c r="E170" i="21"/>
  <c r="G170" i="21" s="1"/>
  <c r="H169" i="21"/>
  <c r="E169" i="21"/>
  <c r="G169" i="21" s="1"/>
  <c r="H168" i="21"/>
  <c r="E168" i="21"/>
  <c r="G168" i="21" s="1"/>
  <c r="H167" i="21"/>
  <c r="E167" i="21"/>
  <c r="H166" i="21"/>
  <c r="E166" i="21"/>
  <c r="G166" i="21" s="1"/>
  <c r="H165" i="21"/>
  <c r="E165" i="21"/>
  <c r="H164" i="21"/>
  <c r="E164" i="21"/>
  <c r="G164" i="21" s="1"/>
  <c r="H163" i="21"/>
  <c r="E163" i="21"/>
  <c r="G163" i="21" s="1"/>
  <c r="H162" i="21"/>
  <c r="E162" i="21"/>
  <c r="G162" i="21" s="1"/>
  <c r="H161" i="21"/>
  <c r="E161" i="21"/>
  <c r="G161" i="21" s="1"/>
  <c r="H160" i="21"/>
  <c r="E160" i="21"/>
  <c r="G160" i="21" s="1"/>
  <c r="H159" i="21"/>
  <c r="E159" i="21"/>
  <c r="G159" i="21" s="1"/>
  <c r="H158" i="21"/>
  <c r="E158" i="21"/>
  <c r="G158" i="21" s="1"/>
  <c r="H157" i="21"/>
  <c r="E157" i="21"/>
  <c r="G157" i="21" s="1"/>
  <c r="H156" i="21"/>
  <c r="E156" i="21"/>
  <c r="G156" i="21" s="1"/>
  <c r="E155" i="21"/>
  <c r="H154" i="21"/>
  <c r="E154" i="21"/>
  <c r="G154" i="21" s="1"/>
  <c r="H153" i="21"/>
  <c r="E153" i="21"/>
  <c r="G153" i="21" s="1"/>
  <c r="H152" i="21"/>
  <c r="E152" i="21"/>
  <c r="G152" i="21" s="1"/>
  <c r="H151" i="21"/>
  <c r="E151" i="21"/>
  <c r="G151" i="21" s="1"/>
  <c r="H150" i="21"/>
  <c r="E150" i="21"/>
  <c r="G150" i="21" s="1"/>
  <c r="H149" i="21"/>
  <c r="E149" i="21"/>
  <c r="G149" i="21" s="1"/>
  <c r="H148" i="21"/>
  <c r="E148" i="21"/>
  <c r="G148" i="21" s="1"/>
  <c r="H147" i="21"/>
  <c r="E147" i="21"/>
  <c r="G147" i="21" s="1"/>
  <c r="H146" i="21"/>
  <c r="E146" i="21"/>
  <c r="H145" i="21"/>
  <c r="E145" i="21"/>
  <c r="G145" i="21" s="1"/>
  <c r="H144" i="21"/>
  <c r="E144" i="21"/>
  <c r="G144" i="21" s="1"/>
  <c r="H143" i="21"/>
  <c r="E143" i="21"/>
  <c r="G143" i="21" s="1"/>
  <c r="H142" i="21"/>
  <c r="E142" i="21"/>
  <c r="G142" i="21" s="1"/>
  <c r="H141" i="21"/>
  <c r="E141" i="21"/>
  <c r="G141" i="21" s="1"/>
  <c r="H140" i="21"/>
  <c r="E140" i="21"/>
  <c r="G140" i="21" s="1"/>
  <c r="H139" i="21"/>
  <c r="E139" i="21"/>
  <c r="G139" i="21" s="1"/>
  <c r="H138" i="21"/>
  <c r="E138" i="21"/>
  <c r="G138" i="21" s="1"/>
  <c r="H137" i="21"/>
  <c r="E137" i="21"/>
  <c r="G137" i="21" s="1"/>
  <c r="H136" i="21"/>
  <c r="E136" i="21"/>
  <c r="G136" i="21" s="1"/>
  <c r="H135" i="21"/>
  <c r="E135" i="21"/>
  <c r="G135" i="21" s="1"/>
  <c r="H134" i="21"/>
  <c r="E134" i="21"/>
  <c r="G134" i="21" s="1"/>
  <c r="H133" i="21"/>
  <c r="E133" i="21"/>
  <c r="G133" i="21" s="1"/>
  <c r="H132" i="21"/>
  <c r="E132" i="21"/>
  <c r="G132" i="21" s="1"/>
  <c r="H131" i="21"/>
  <c r="E131" i="21"/>
  <c r="G131" i="21" s="1"/>
  <c r="H130" i="21"/>
  <c r="E130" i="21"/>
  <c r="G130" i="21" s="1"/>
  <c r="H129" i="21"/>
  <c r="E129" i="21"/>
  <c r="G129" i="21" s="1"/>
  <c r="H128" i="21"/>
  <c r="E128" i="21"/>
  <c r="G128" i="21" s="1"/>
  <c r="E127" i="21"/>
  <c r="H126" i="21"/>
  <c r="E126" i="21"/>
  <c r="G126" i="21" s="1"/>
  <c r="H125" i="21"/>
  <c r="E125" i="21"/>
  <c r="G125" i="21" s="1"/>
  <c r="H124" i="21"/>
  <c r="E124" i="21"/>
  <c r="G124" i="21" s="1"/>
  <c r="H123" i="21"/>
  <c r="E123" i="21"/>
  <c r="G123" i="21" s="1"/>
  <c r="H122" i="21"/>
  <c r="E122" i="21"/>
  <c r="G122" i="21" s="1"/>
  <c r="H121" i="21"/>
  <c r="E121" i="21"/>
  <c r="G121" i="21" s="1"/>
  <c r="H120" i="21"/>
  <c r="E120" i="21"/>
  <c r="G120" i="21" s="1"/>
  <c r="H119" i="21"/>
  <c r="E119" i="21"/>
  <c r="G119" i="21" s="1"/>
  <c r="H118" i="21"/>
  <c r="E118" i="21"/>
  <c r="G118" i="21" s="1"/>
  <c r="H117" i="21"/>
  <c r="E117" i="21"/>
  <c r="G117" i="21" s="1"/>
  <c r="H116" i="21"/>
  <c r="E116" i="21"/>
  <c r="E115" i="21"/>
  <c r="H114" i="21"/>
  <c r="E114" i="21"/>
  <c r="G114" i="21" s="1"/>
  <c r="H113" i="21"/>
  <c r="E113" i="21"/>
  <c r="G113" i="21" s="1"/>
  <c r="H112" i="21"/>
  <c r="E112" i="21"/>
  <c r="G112" i="21" s="1"/>
  <c r="E111" i="21"/>
  <c r="H110" i="21"/>
  <c r="E110" i="21"/>
  <c r="G110" i="21" s="1"/>
  <c r="H109" i="21"/>
  <c r="E109" i="21"/>
  <c r="G109" i="21" s="1"/>
  <c r="H108" i="21"/>
  <c r="E108" i="21"/>
  <c r="G108" i="21" s="1"/>
  <c r="H107" i="21"/>
  <c r="E107" i="21"/>
  <c r="G107" i="21" s="1"/>
  <c r="H106" i="21"/>
  <c r="E106" i="21"/>
  <c r="G106" i="21" s="1"/>
  <c r="E105" i="21"/>
  <c r="H104" i="21"/>
  <c r="E104" i="21"/>
  <c r="H103" i="21"/>
  <c r="E103" i="21"/>
  <c r="G103" i="21" s="1"/>
  <c r="H102" i="21"/>
  <c r="E102" i="21"/>
  <c r="G102" i="21" s="1"/>
  <c r="H101" i="21"/>
  <c r="E101" i="21"/>
  <c r="G101" i="21" s="1"/>
  <c r="E100" i="21"/>
  <c r="E99" i="21"/>
  <c r="H98" i="21"/>
  <c r="E98" i="21"/>
  <c r="G98" i="21" s="1"/>
  <c r="H97" i="21"/>
  <c r="E97" i="21"/>
  <c r="G97" i="21" s="1"/>
  <c r="H96" i="21"/>
  <c r="E96" i="21"/>
  <c r="G96" i="21" s="1"/>
  <c r="H95" i="21"/>
  <c r="E95" i="21"/>
  <c r="G95" i="21" s="1"/>
  <c r="H94" i="21"/>
  <c r="E94" i="21"/>
  <c r="G94" i="21" s="1"/>
  <c r="H93" i="21"/>
  <c r="E93" i="21"/>
  <c r="G93" i="21" s="1"/>
  <c r="H92" i="21"/>
  <c r="E92" i="21"/>
  <c r="G92" i="21" s="1"/>
  <c r="H91" i="21"/>
  <c r="E91" i="21"/>
  <c r="G91" i="21" s="1"/>
  <c r="H90" i="21"/>
  <c r="E90" i="21"/>
  <c r="G90" i="21" s="1"/>
  <c r="H89" i="21"/>
  <c r="E89" i="21"/>
  <c r="G89" i="21" s="1"/>
  <c r="H88" i="21"/>
  <c r="E88" i="21"/>
  <c r="G88" i="21" s="1"/>
  <c r="H87" i="21"/>
  <c r="E87" i="21"/>
  <c r="G87" i="21" s="1"/>
  <c r="H86" i="21"/>
  <c r="E86" i="21"/>
  <c r="G86" i="21" s="1"/>
  <c r="H85" i="21"/>
  <c r="E85" i="21"/>
  <c r="G85" i="21" s="1"/>
  <c r="H84" i="21"/>
  <c r="E84" i="21"/>
  <c r="G84" i="21" s="1"/>
  <c r="H83" i="21"/>
  <c r="E83" i="21"/>
  <c r="G83" i="21" s="1"/>
  <c r="H82" i="21"/>
  <c r="E82" i="21"/>
  <c r="G82" i="21" s="1"/>
  <c r="H81" i="21"/>
  <c r="E81" i="21"/>
  <c r="G81" i="21" s="1"/>
  <c r="H80" i="21"/>
  <c r="E80" i="21"/>
  <c r="G80" i="21" s="1"/>
  <c r="H79" i="21"/>
  <c r="E79" i="21"/>
  <c r="G79" i="21" s="1"/>
  <c r="H78" i="21"/>
  <c r="E78" i="21"/>
  <c r="G78" i="21" s="1"/>
  <c r="H77" i="21"/>
  <c r="E77" i="21"/>
  <c r="G77" i="21" s="1"/>
  <c r="H76" i="21"/>
  <c r="E76" i="21"/>
  <c r="G76" i="21" s="1"/>
  <c r="H75" i="21"/>
  <c r="E75" i="21"/>
  <c r="G75" i="21" s="1"/>
  <c r="H74" i="21"/>
  <c r="E74" i="21"/>
  <c r="G74" i="21" s="1"/>
  <c r="E73" i="21"/>
  <c r="H72" i="21"/>
  <c r="E72" i="21"/>
  <c r="G72" i="21" s="1"/>
  <c r="H71" i="21"/>
  <c r="E71" i="21"/>
  <c r="G71" i="21" s="1"/>
  <c r="E70" i="21"/>
  <c r="H69" i="21"/>
  <c r="E69" i="21"/>
  <c r="G69" i="21" s="1"/>
  <c r="W68" i="21"/>
  <c r="X67" i="21"/>
  <c r="P67" i="21"/>
  <c r="E67" i="21"/>
  <c r="X66" i="21"/>
  <c r="P66" i="21"/>
  <c r="H66" i="21"/>
  <c r="E66" i="21"/>
  <c r="G66" i="21" s="1"/>
  <c r="X65" i="21"/>
  <c r="P65" i="21"/>
  <c r="H65" i="21"/>
  <c r="E65" i="21"/>
  <c r="G65" i="21" s="1"/>
  <c r="X64" i="21"/>
  <c r="P64" i="21"/>
  <c r="H64" i="21"/>
  <c r="E64" i="21"/>
  <c r="G64" i="21" s="1"/>
  <c r="X63" i="21"/>
  <c r="P63" i="21"/>
  <c r="H63" i="21"/>
  <c r="E63" i="21"/>
  <c r="G63" i="21" s="1"/>
  <c r="X62" i="21"/>
  <c r="P62" i="21"/>
  <c r="H62" i="21"/>
  <c r="E62" i="21"/>
  <c r="G62" i="21" s="1"/>
  <c r="X61" i="21"/>
  <c r="P61" i="21"/>
  <c r="E61" i="21"/>
  <c r="X60" i="21"/>
  <c r="P60" i="21"/>
  <c r="H60" i="21"/>
  <c r="E60" i="21"/>
  <c r="G60" i="21" s="1"/>
  <c r="X59" i="21"/>
  <c r="P59" i="21"/>
  <c r="H59" i="21"/>
  <c r="E59" i="21"/>
  <c r="G59" i="21" s="1"/>
  <c r="X58" i="21"/>
  <c r="P58" i="21"/>
  <c r="E58" i="21"/>
  <c r="X57" i="21"/>
  <c r="P57" i="21"/>
  <c r="E57" i="21"/>
  <c r="X56" i="21"/>
  <c r="P56" i="21"/>
  <c r="E56" i="21"/>
  <c r="X55" i="21"/>
  <c r="P55" i="21"/>
  <c r="E55" i="21"/>
  <c r="X54" i="21"/>
  <c r="P54" i="21"/>
  <c r="H54" i="21"/>
  <c r="E54" i="21"/>
  <c r="G54" i="21" s="1"/>
  <c r="X53" i="21"/>
  <c r="P53" i="21"/>
  <c r="H53" i="21"/>
  <c r="E53" i="21"/>
  <c r="G53" i="21" s="1"/>
  <c r="X52" i="21"/>
  <c r="P52" i="21"/>
  <c r="H52" i="21"/>
  <c r="E52" i="21"/>
  <c r="G52" i="21" s="1"/>
  <c r="X51" i="21"/>
  <c r="P51" i="21"/>
  <c r="H51" i="21"/>
  <c r="E51" i="21"/>
  <c r="G51" i="21" s="1"/>
  <c r="X50" i="21"/>
  <c r="P50" i="21"/>
  <c r="H50" i="21"/>
  <c r="E50" i="21"/>
  <c r="G50" i="21" s="1"/>
  <c r="X49" i="21"/>
  <c r="P49" i="21"/>
  <c r="H49" i="21"/>
  <c r="E49" i="21"/>
  <c r="G49" i="21" s="1"/>
  <c r="X48" i="21"/>
  <c r="P48" i="21"/>
  <c r="H48" i="21"/>
  <c r="E48" i="21"/>
  <c r="G48" i="21" s="1"/>
  <c r="X47" i="21"/>
  <c r="P47" i="21"/>
  <c r="H47" i="21"/>
  <c r="E47" i="21"/>
  <c r="G47" i="21" s="1"/>
  <c r="X46" i="21"/>
  <c r="P46" i="21"/>
  <c r="E46" i="21"/>
  <c r="X45" i="21"/>
  <c r="P45" i="21"/>
  <c r="H45" i="21"/>
  <c r="E45" i="21"/>
  <c r="X44" i="21"/>
  <c r="P44" i="21"/>
  <c r="H44" i="21"/>
  <c r="E44" i="21"/>
  <c r="G44" i="21" s="1"/>
  <c r="X43" i="21"/>
  <c r="P43" i="21"/>
  <c r="E43" i="21"/>
  <c r="X42" i="21"/>
  <c r="P42" i="21"/>
  <c r="H42" i="21"/>
  <c r="E42" i="21"/>
  <c r="G42" i="21" s="1"/>
  <c r="X41" i="21"/>
  <c r="P41" i="21"/>
  <c r="H41" i="21"/>
  <c r="E41" i="21"/>
  <c r="G41" i="21" s="1"/>
  <c r="X40" i="21"/>
  <c r="P40" i="21"/>
  <c r="H40" i="21"/>
  <c r="E40" i="21"/>
  <c r="G40" i="21" s="1"/>
  <c r="X39" i="21"/>
  <c r="P39" i="21"/>
  <c r="H39" i="21"/>
  <c r="E39" i="21"/>
  <c r="G39" i="21" s="1"/>
  <c r="X38" i="21"/>
  <c r="P38" i="21"/>
  <c r="E38" i="21"/>
  <c r="X37" i="21"/>
  <c r="P37" i="21"/>
  <c r="H37" i="21"/>
  <c r="E37" i="21"/>
  <c r="G37" i="21" s="1"/>
  <c r="X36" i="21"/>
  <c r="P36" i="21"/>
  <c r="H36" i="21"/>
  <c r="E36" i="21"/>
  <c r="G36" i="21" s="1"/>
  <c r="X35" i="21"/>
  <c r="P35" i="21"/>
  <c r="E35" i="21"/>
  <c r="X34" i="21"/>
  <c r="P34" i="21"/>
  <c r="H34" i="21"/>
  <c r="E34" i="21"/>
  <c r="G34" i="21" s="1"/>
  <c r="X33" i="21"/>
  <c r="P33" i="21"/>
  <c r="H33" i="21"/>
  <c r="E33" i="21"/>
  <c r="G33" i="21" s="1"/>
  <c r="X32" i="21"/>
  <c r="P32" i="21"/>
  <c r="H32" i="21"/>
  <c r="E32" i="21"/>
  <c r="G32" i="21" s="1"/>
  <c r="X31" i="21"/>
  <c r="P31" i="21"/>
  <c r="H31" i="21"/>
  <c r="E31" i="21"/>
  <c r="G31" i="21" s="1"/>
  <c r="X30" i="21"/>
  <c r="P30" i="21"/>
  <c r="H30" i="21"/>
  <c r="E30" i="21"/>
  <c r="G30" i="21" s="1"/>
  <c r="X29" i="21"/>
  <c r="P29" i="21"/>
  <c r="H29" i="21"/>
  <c r="E29" i="21"/>
  <c r="G29" i="21" s="1"/>
  <c r="X28" i="21"/>
  <c r="P28" i="21"/>
  <c r="H28" i="21"/>
  <c r="E28" i="21"/>
  <c r="G28" i="21" s="1"/>
  <c r="X27" i="21"/>
  <c r="P27" i="21"/>
  <c r="E27" i="21"/>
  <c r="X26" i="21"/>
  <c r="P26" i="21"/>
  <c r="E26" i="21"/>
  <c r="X25" i="21"/>
  <c r="P25" i="21"/>
  <c r="E25" i="21"/>
  <c r="X24" i="21"/>
  <c r="P24" i="21"/>
  <c r="H24" i="21"/>
  <c r="E24" i="21"/>
  <c r="G24" i="21" s="1"/>
  <c r="X23" i="21"/>
  <c r="P23" i="21"/>
  <c r="H23" i="21"/>
  <c r="E23" i="21"/>
  <c r="G23" i="21" s="1"/>
  <c r="X22" i="21"/>
  <c r="P22" i="21"/>
  <c r="H22" i="21"/>
  <c r="E22" i="21"/>
  <c r="G22" i="21" s="1"/>
  <c r="X21" i="21"/>
  <c r="P21" i="21"/>
  <c r="H21" i="21"/>
  <c r="E21" i="21"/>
  <c r="G21" i="21" s="1"/>
  <c r="X20" i="21"/>
  <c r="P20" i="21"/>
  <c r="H20" i="21"/>
  <c r="E20" i="21"/>
  <c r="G20" i="21" s="1"/>
  <c r="X19" i="21"/>
  <c r="P19" i="21"/>
  <c r="H19" i="21"/>
  <c r="E19" i="21"/>
  <c r="G19" i="21" s="1"/>
  <c r="X18" i="21"/>
  <c r="P18" i="21"/>
  <c r="H18" i="21"/>
  <c r="E18" i="21"/>
  <c r="G18" i="21" s="1"/>
  <c r="X17" i="21"/>
  <c r="P17" i="21"/>
  <c r="E17" i="21"/>
  <c r="X16" i="21"/>
  <c r="P16" i="21"/>
  <c r="E16" i="21"/>
  <c r="G16" i="21" s="1"/>
  <c r="X15" i="21"/>
  <c r="P15" i="21"/>
  <c r="H15" i="21"/>
  <c r="E15" i="21"/>
  <c r="G15" i="21" s="1"/>
  <c r="X14" i="21"/>
  <c r="P14" i="21"/>
  <c r="H14" i="21"/>
  <c r="E14" i="21"/>
  <c r="G14" i="21" s="1"/>
  <c r="P13" i="21"/>
  <c r="H13" i="21"/>
  <c r="E13" i="21"/>
  <c r="G13" i="21" s="1"/>
  <c r="X12" i="21"/>
  <c r="P12" i="21"/>
  <c r="H12" i="21"/>
  <c r="E12" i="21"/>
  <c r="G12" i="21" s="1"/>
  <c r="X11" i="21"/>
  <c r="P11" i="21"/>
  <c r="H11" i="21"/>
  <c r="E11" i="21"/>
  <c r="G11" i="21" s="1"/>
  <c r="X10" i="21"/>
  <c r="P10" i="21"/>
  <c r="H10" i="21"/>
  <c r="E10" i="21"/>
  <c r="G10" i="21" s="1"/>
  <c r="X9" i="21"/>
  <c r="P9" i="21"/>
  <c r="H9" i="21"/>
  <c r="E9" i="21"/>
  <c r="G9" i="21" s="1"/>
  <c r="X8" i="21"/>
  <c r="P8" i="21"/>
  <c r="H8" i="21"/>
  <c r="E8" i="21"/>
  <c r="G8" i="21" s="1"/>
  <c r="X7" i="21"/>
  <c r="P7" i="21"/>
  <c r="H7" i="21"/>
  <c r="E7" i="21"/>
  <c r="G7" i="21" s="1"/>
  <c r="X6" i="21"/>
  <c r="P6" i="21"/>
  <c r="E6" i="21"/>
  <c r="X5" i="21"/>
  <c r="P5" i="21"/>
  <c r="H5" i="21"/>
  <c r="E5" i="21"/>
  <c r="G5" i="21" s="1"/>
  <c r="X4" i="21"/>
  <c r="Q4" i="21"/>
  <c r="P4" i="21"/>
  <c r="H4" i="21"/>
  <c r="E4" i="21"/>
  <c r="G4" i="21" s="1"/>
  <c r="E3" i="21"/>
  <c r="O73" i="8"/>
  <c r="Q18" i="19"/>
  <c r="Q15" i="19"/>
  <c r="O102" i="8"/>
  <c r="O99" i="8"/>
  <c r="O96" i="8"/>
  <c r="O93" i="8"/>
  <c r="O88" i="8"/>
  <c r="O86" i="8"/>
  <c r="O83" i="8"/>
  <c r="O82" i="8"/>
  <c r="O81" i="8"/>
  <c r="O80" i="8"/>
  <c r="O79" i="8"/>
  <c r="O77" i="8"/>
  <c r="O76" i="8"/>
  <c r="O75" i="8"/>
  <c r="O74" i="8"/>
  <c r="O70" i="8"/>
  <c r="O69" i="8"/>
  <c r="O67" i="8"/>
  <c r="O64" i="8"/>
  <c r="O63" i="8"/>
  <c r="O62" i="8"/>
  <c r="O60" i="8"/>
  <c r="O58" i="8"/>
  <c r="O56" i="8"/>
  <c r="O55" i="8"/>
  <c r="O52" i="8"/>
  <c r="O48" i="8"/>
  <c r="O46" i="8"/>
  <c r="O44" i="8"/>
  <c r="O43" i="8"/>
  <c r="O42" i="8"/>
  <c r="O39" i="8"/>
  <c r="O36" i="8"/>
  <c r="O35" i="8"/>
  <c r="O34" i="8"/>
  <c r="O32" i="8"/>
  <c r="O22" i="8"/>
  <c r="O18" i="8"/>
  <c r="O14" i="8"/>
  <c r="O13" i="8"/>
  <c r="O9" i="8"/>
  <c r="O8" i="8"/>
  <c r="O7" i="8"/>
  <c r="O6" i="8"/>
  <c r="Q67" i="19"/>
  <c r="Q66" i="19"/>
  <c r="R66" i="19" s="1"/>
  <c r="Q65" i="19"/>
  <c r="R65" i="19" s="1"/>
  <c r="Q64" i="19"/>
  <c r="Q63" i="19"/>
  <c r="Q62" i="19"/>
  <c r="R62" i="19" s="1"/>
  <c r="Q61" i="19"/>
  <c r="R61" i="19" s="1"/>
  <c r="Q60" i="19"/>
  <c r="Q59" i="19"/>
  <c r="Q58" i="19"/>
  <c r="R58" i="19" s="1"/>
  <c r="Q57" i="19"/>
  <c r="R57" i="19" s="1"/>
  <c r="Q56" i="19"/>
  <c r="Q55" i="19"/>
  <c r="Q54" i="19"/>
  <c r="R54" i="19" s="1"/>
  <c r="Q53" i="19"/>
  <c r="R53" i="19" s="1"/>
  <c r="Q52" i="19"/>
  <c r="Q51" i="19"/>
  <c r="R50" i="19"/>
  <c r="Q49" i="19"/>
  <c r="R49" i="19" s="1"/>
  <c r="Q48" i="19"/>
  <c r="Q47" i="19"/>
  <c r="Q46" i="19"/>
  <c r="R46" i="19" s="1"/>
  <c r="Q45" i="19"/>
  <c r="R45" i="19" s="1"/>
  <c r="Q44" i="19"/>
  <c r="Q43" i="19"/>
  <c r="Q42" i="19"/>
  <c r="R42" i="19" s="1"/>
  <c r="Q41" i="19"/>
  <c r="R41" i="19" s="1"/>
  <c r="Q40" i="19"/>
  <c r="Q39" i="19"/>
  <c r="Q38" i="19"/>
  <c r="R38" i="19" s="1"/>
  <c r="Q37" i="19"/>
  <c r="R37" i="19" s="1"/>
  <c r="Q36" i="19"/>
  <c r="Q35" i="19"/>
  <c r="Q34" i="19"/>
  <c r="R34" i="19" s="1"/>
  <c r="Q33" i="19"/>
  <c r="R33" i="19" s="1"/>
  <c r="Q32" i="19"/>
  <c r="Q31" i="19"/>
  <c r="Q30" i="19"/>
  <c r="R30" i="19" s="1"/>
  <c r="Q29" i="19"/>
  <c r="R29" i="19" s="1"/>
  <c r="Q28" i="19"/>
  <c r="Q27" i="19"/>
  <c r="Q26" i="19"/>
  <c r="R26" i="19" s="1"/>
  <c r="Q25" i="19"/>
  <c r="R25" i="19" s="1"/>
  <c r="Q24" i="19"/>
  <c r="Q23" i="19"/>
  <c r="Q22" i="19"/>
  <c r="R22" i="19" s="1"/>
  <c r="Q21" i="19"/>
  <c r="R21" i="19" s="1"/>
  <c r="Q20" i="19"/>
  <c r="Q19" i="19"/>
  <c r="R19" i="19" s="1"/>
  <c r="R18" i="19"/>
  <c r="Q17" i="19"/>
  <c r="R17" i="19" s="1"/>
  <c r="Q16" i="19"/>
  <c r="R16" i="19" s="1"/>
  <c r="Q14" i="19"/>
  <c r="R13" i="19"/>
  <c r="Q12" i="19"/>
  <c r="R12" i="19" s="1"/>
  <c r="Q11" i="19"/>
  <c r="R11" i="19" s="1"/>
  <c r="Q10" i="19"/>
  <c r="R10" i="19" s="1"/>
  <c r="Q9" i="19"/>
  <c r="R9" i="19" s="1"/>
  <c r="Q8" i="19"/>
  <c r="R8" i="19" s="1"/>
  <c r="Q7" i="19"/>
  <c r="Q6" i="19"/>
  <c r="Q5" i="19"/>
  <c r="R5" i="19" s="1"/>
  <c r="Q4" i="19"/>
  <c r="P4" i="19"/>
  <c r="R4" i="19"/>
  <c r="X4" i="19"/>
  <c r="X68" i="19" s="1"/>
  <c r="P5" i="19"/>
  <c r="X5" i="19"/>
  <c r="P6" i="19"/>
  <c r="R6" i="19"/>
  <c r="X6" i="19"/>
  <c r="P7" i="19"/>
  <c r="R7" i="19"/>
  <c r="X7" i="19"/>
  <c r="P8" i="19"/>
  <c r="X8" i="19"/>
  <c r="P9" i="19"/>
  <c r="X9" i="19"/>
  <c r="P10" i="19"/>
  <c r="X10" i="19"/>
  <c r="P11" i="19"/>
  <c r="X11" i="19"/>
  <c r="P12" i="19"/>
  <c r="X12" i="19"/>
  <c r="P13" i="19"/>
  <c r="P14" i="19"/>
  <c r="R14" i="19"/>
  <c r="X14" i="19"/>
  <c r="P15" i="19"/>
  <c r="R15" i="19"/>
  <c r="X15" i="19"/>
  <c r="P16" i="19"/>
  <c r="X16" i="19"/>
  <c r="P17" i="19"/>
  <c r="X17" i="19"/>
  <c r="P18" i="19"/>
  <c r="X18" i="19"/>
  <c r="P19" i="19"/>
  <c r="X19" i="19"/>
  <c r="P20" i="19"/>
  <c r="R20" i="19"/>
  <c r="X20" i="19"/>
  <c r="P21" i="19"/>
  <c r="X21" i="19"/>
  <c r="P22" i="19"/>
  <c r="X22" i="19"/>
  <c r="P23" i="19"/>
  <c r="R23" i="19"/>
  <c r="X23" i="19"/>
  <c r="P24" i="19"/>
  <c r="R24" i="19"/>
  <c r="X24" i="19"/>
  <c r="P25" i="19"/>
  <c r="X25" i="19"/>
  <c r="P26" i="19"/>
  <c r="X26" i="19"/>
  <c r="P27" i="19"/>
  <c r="R27" i="19"/>
  <c r="X27" i="19"/>
  <c r="P28" i="19"/>
  <c r="R28" i="19"/>
  <c r="X28" i="19"/>
  <c r="P29" i="19"/>
  <c r="X29" i="19"/>
  <c r="P30" i="19"/>
  <c r="X30" i="19"/>
  <c r="P31" i="19"/>
  <c r="R31" i="19"/>
  <c r="X31" i="19"/>
  <c r="P32" i="19"/>
  <c r="R32" i="19"/>
  <c r="X32" i="19"/>
  <c r="P33" i="19"/>
  <c r="X33" i="19"/>
  <c r="P34" i="19"/>
  <c r="X34" i="19"/>
  <c r="P35" i="19"/>
  <c r="R35" i="19"/>
  <c r="X35" i="19"/>
  <c r="P36" i="19"/>
  <c r="R36" i="19"/>
  <c r="X36" i="19"/>
  <c r="P37" i="19"/>
  <c r="X37" i="19"/>
  <c r="P38" i="19"/>
  <c r="X38" i="19"/>
  <c r="P39" i="19"/>
  <c r="R39" i="19"/>
  <c r="X39" i="19"/>
  <c r="P40" i="19"/>
  <c r="R40" i="19"/>
  <c r="X40" i="19"/>
  <c r="P41" i="19"/>
  <c r="X41" i="19"/>
  <c r="P42" i="19"/>
  <c r="X42" i="19"/>
  <c r="P43" i="19"/>
  <c r="R43" i="19"/>
  <c r="X43" i="19"/>
  <c r="P44" i="19"/>
  <c r="R44" i="19"/>
  <c r="X44" i="19"/>
  <c r="P45" i="19"/>
  <c r="X45" i="19"/>
  <c r="P46" i="19"/>
  <c r="X46" i="19"/>
  <c r="P47" i="19"/>
  <c r="R47" i="19"/>
  <c r="X47" i="19"/>
  <c r="P48" i="19"/>
  <c r="R48" i="19"/>
  <c r="X48" i="19"/>
  <c r="P49" i="19"/>
  <c r="X49" i="19"/>
  <c r="P50" i="19"/>
  <c r="X50" i="19"/>
  <c r="P51" i="19"/>
  <c r="R51" i="19"/>
  <c r="X51" i="19"/>
  <c r="P52" i="19"/>
  <c r="R52" i="19"/>
  <c r="X52" i="19"/>
  <c r="P53" i="19"/>
  <c r="X53" i="19"/>
  <c r="P54" i="19"/>
  <c r="X54" i="19"/>
  <c r="P55" i="19"/>
  <c r="R55" i="19"/>
  <c r="X55" i="19"/>
  <c r="P56" i="19"/>
  <c r="R56" i="19"/>
  <c r="X56" i="19"/>
  <c r="P57" i="19"/>
  <c r="X57" i="19"/>
  <c r="P58" i="19"/>
  <c r="X58" i="19"/>
  <c r="P59" i="19"/>
  <c r="R59" i="19"/>
  <c r="X59" i="19"/>
  <c r="P60" i="19"/>
  <c r="R60" i="19"/>
  <c r="X60" i="19"/>
  <c r="P61" i="19"/>
  <c r="X61" i="19"/>
  <c r="P62" i="19"/>
  <c r="X62" i="19"/>
  <c r="P63" i="19"/>
  <c r="R63" i="19"/>
  <c r="X63" i="19"/>
  <c r="P64" i="19"/>
  <c r="R64" i="19"/>
  <c r="X64" i="19"/>
  <c r="P65" i="19"/>
  <c r="X65" i="19"/>
  <c r="P66" i="19"/>
  <c r="X66" i="19"/>
  <c r="P67" i="19"/>
  <c r="R67" i="19"/>
  <c r="X67" i="19"/>
  <c r="W68" i="19"/>
  <c r="F283" i="19"/>
  <c r="F275" i="19"/>
  <c r="F274" i="19"/>
  <c r="F265" i="19"/>
  <c r="F261" i="19"/>
  <c r="F256" i="19"/>
  <c r="F255" i="19"/>
  <c r="F251" i="19"/>
  <c r="F247" i="19"/>
  <c r="F245" i="19"/>
  <c r="F244" i="19"/>
  <c r="F239" i="19"/>
  <c r="F224" i="19"/>
  <c r="F216" i="19"/>
  <c r="F215" i="19"/>
  <c r="F218" i="19"/>
  <c r="F214" i="19"/>
  <c r="F213" i="19"/>
  <c r="F212" i="19"/>
  <c r="F210" i="19"/>
  <c r="F207" i="19"/>
  <c r="F201" i="19"/>
  <c r="F185" i="19"/>
  <c r="F176" i="19"/>
  <c r="F177" i="19"/>
  <c r="F175" i="19"/>
  <c r="F174" i="19"/>
  <c r="F158" i="19"/>
  <c r="F156" i="19"/>
  <c r="F155" i="19"/>
  <c r="F151" i="19"/>
  <c r="R68" i="15"/>
  <c r="F134" i="19"/>
  <c r="H134" i="19" s="1"/>
  <c r="F130" i="19"/>
  <c r="F127" i="19"/>
  <c r="F126" i="19"/>
  <c r="H126" i="19" s="1"/>
  <c r="F125" i="19"/>
  <c r="F121" i="19"/>
  <c r="F118" i="19"/>
  <c r="F114" i="19"/>
  <c r="F113" i="19"/>
  <c r="F105" i="19"/>
  <c r="F90" i="19"/>
  <c r="F86" i="19"/>
  <c r="F82" i="19"/>
  <c r="F80" i="19"/>
  <c r="F77" i="19"/>
  <c r="F76" i="19"/>
  <c r="F75" i="19"/>
  <c r="F74" i="19"/>
  <c r="F73" i="19"/>
  <c r="F63" i="19"/>
  <c r="F57" i="19"/>
  <c r="F56" i="19"/>
  <c r="F55" i="19"/>
  <c r="F48" i="19"/>
  <c r="F53" i="19"/>
  <c r="F51" i="19"/>
  <c r="F47" i="19"/>
  <c r="F44" i="19"/>
  <c r="F42" i="19"/>
  <c r="F41" i="19"/>
  <c r="F38" i="19"/>
  <c r="F29" i="19"/>
  <c r="F28" i="19"/>
  <c r="F25" i="19"/>
  <c r="F24" i="19"/>
  <c r="F23" i="19"/>
  <c r="H11" i="19"/>
  <c r="E11" i="19"/>
  <c r="G11" i="19" s="1"/>
  <c r="H10" i="19"/>
  <c r="G10" i="19"/>
  <c r="E10" i="19"/>
  <c r="H9" i="19"/>
  <c r="E9" i="19"/>
  <c r="G9" i="19" s="1"/>
  <c r="H8" i="19"/>
  <c r="E8" i="19"/>
  <c r="G8" i="19" s="1"/>
  <c r="F19" i="19"/>
  <c r="H15" i="19"/>
  <c r="E15" i="19"/>
  <c r="G15" i="19" s="1"/>
  <c r="F4" i="19"/>
  <c r="H4" i="19" s="1"/>
  <c r="H289" i="19"/>
  <c r="E289" i="19"/>
  <c r="G289" i="19" s="1"/>
  <c r="H288" i="19"/>
  <c r="E288" i="19"/>
  <c r="G288" i="19" s="1"/>
  <c r="H287" i="19"/>
  <c r="E287" i="19"/>
  <c r="G287" i="19" s="1"/>
  <c r="H286" i="19"/>
  <c r="E286" i="19"/>
  <c r="G286" i="19" s="1"/>
  <c r="H285" i="19"/>
  <c r="E285" i="19"/>
  <c r="G285" i="19" s="1"/>
  <c r="H284" i="19"/>
  <c r="E284" i="19"/>
  <c r="G284" i="19" s="1"/>
  <c r="H283" i="19"/>
  <c r="E283" i="19"/>
  <c r="G283" i="19" s="1"/>
  <c r="H282" i="19"/>
  <c r="E282" i="19"/>
  <c r="G282" i="19" s="1"/>
  <c r="H281" i="19"/>
  <c r="E281" i="19"/>
  <c r="G281" i="19" s="1"/>
  <c r="H280" i="19"/>
  <c r="E280" i="19"/>
  <c r="G280" i="19" s="1"/>
  <c r="H279" i="19"/>
  <c r="E279" i="19"/>
  <c r="G279" i="19" s="1"/>
  <c r="H278" i="19"/>
  <c r="E278" i="19"/>
  <c r="G278" i="19" s="1"/>
  <c r="H277" i="19"/>
  <c r="E277" i="19"/>
  <c r="G277" i="19" s="1"/>
  <c r="H276" i="19"/>
  <c r="E276" i="19"/>
  <c r="G276" i="19" s="1"/>
  <c r="H275" i="19"/>
  <c r="E275" i="19"/>
  <c r="G275" i="19" s="1"/>
  <c r="H274" i="19"/>
  <c r="E274" i="19"/>
  <c r="G274" i="19" s="1"/>
  <c r="H273" i="19"/>
  <c r="E273" i="19"/>
  <c r="G273" i="19" s="1"/>
  <c r="H272" i="19"/>
  <c r="E272" i="19"/>
  <c r="G272" i="19" s="1"/>
  <c r="H271" i="19"/>
  <c r="E271" i="19"/>
  <c r="G271" i="19" s="1"/>
  <c r="H270" i="19"/>
  <c r="E270" i="19"/>
  <c r="G270" i="19" s="1"/>
  <c r="H269" i="19"/>
  <c r="E269" i="19"/>
  <c r="G269" i="19" s="1"/>
  <c r="H268" i="19"/>
  <c r="E268" i="19"/>
  <c r="G268" i="19" s="1"/>
  <c r="H267" i="19"/>
  <c r="E267" i="19"/>
  <c r="G267" i="19" s="1"/>
  <c r="H266" i="19"/>
  <c r="E266" i="19"/>
  <c r="G266" i="19" s="1"/>
  <c r="H265" i="19"/>
  <c r="E265" i="19"/>
  <c r="G265" i="19" s="1"/>
  <c r="H264" i="19"/>
  <c r="E264" i="19"/>
  <c r="G264" i="19" s="1"/>
  <c r="H263" i="19"/>
  <c r="E263" i="19"/>
  <c r="G263" i="19" s="1"/>
  <c r="H262" i="19"/>
  <c r="E262" i="19"/>
  <c r="G262" i="19" s="1"/>
  <c r="H261" i="19"/>
  <c r="E261" i="19"/>
  <c r="G261" i="19" s="1"/>
  <c r="H260" i="19"/>
  <c r="E260" i="19"/>
  <c r="G260" i="19" s="1"/>
  <c r="H259" i="19"/>
  <c r="E259" i="19"/>
  <c r="G259" i="19" s="1"/>
  <c r="H258" i="19"/>
  <c r="E258" i="19"/>
  <c r="G258" i="19" s="1"/>
  <c r="H257" i="19"/>
  <c r="E257" i="19"/>
  <c r="G257" i="19" s="1"/>
  <c r="H256" i="19"/>
  <c r="E256" i="19"/>
  <c r="G256" i="19" s="1"/>
  <c r="H255" i="19"/>
  <c r="E255" i="19"/>
  <c r="G255" i="19" s="1"/>
  <c r="H254" i="19"/>
  <c r="E254" i="19"/>
  <c r="G254" i="19" s="1"/>
  <c r="H253" i="19"/>
  <c r="E253" i="19"/>
  <c r="G253" i="19" s="1"/>
  <c r="H252" i="19"/>
  <c r="E252" i="19"/>
  <c r="G252" i="19" s="1"/>
  <c r="H251" i="19"/>
  <c r="E251" i="19"/>
  <c r="G251" i="19" s="1"/>
  <c r="H250" i="19"/>
  <c r="E250" i="19"/>
  <c r="G250" i="19" s="1"/>
  <c r="H249" i="19"/>
  <c r="E249" i="19"/>
  <c r="G249" i="19" s="1"/>
  <c r="H248" i="19"/>
  <c r="E248" i="19"/>
  <c r="G248" i="19" s="1"/>
  <c r="H247" i="19"/>
  <c r="E247" i="19"/>
  <c r="G247" i="19" s="1"/>
  <c r="H246" i="19"/>
  <c r="E246" i="19"/>
  <c r="G246" i="19" s="1"/>
  <c r="H245" i="19"/>
  <c r="E245" i="19"/>
  <c r="G245" i="19" s="1"/>
  <c r="H244" i="19"/>
  <c r="E244" i="19"/>
  <c r="G244" i="19" s="1"/>
  <c r="H243" i="19"/>
  <c r="E243" i="19"/>
  <c r="G243" i="19" s="1"/>
  <c r="H242" i="19"/>
  <c r="E242" i="19"/>
  <c r="G242" i="19" s="1"/>
  <c r="H241" i="19"/>
  <c r="E241" i="19"/>
  <c r="G241" i="19" s="1"/>
  <c r="H240" i="19"/>
  <c r="E240" i="19"/>
  <c r="G240" i="19" s="1"/>
  <c r="H239" i="19"/>
  <c r="E239" i="19"/>
  <c r="G239" i="19" s="1"/>
  <c r="H238" i="19"/>
  <c r="E238" i="19"/>
  <c r="G238" i="19" s="1"/>
  <c r="H237" i="19"/>
  <c r="E237" i="19"/>
  <c r="G237" i="19" s="1"/>
  <c r="H236" i="19"/>
  <c r="E236" i="19"/>
  <c r="G236" i="19" s="1"/>
  <c r="H235" i="19"/>
  <c r="E235" i="19"/>
  <c r="G235" i="19" s="1"/>
  <c r="H234" i="19"/>
  <c r="E234" i="19"/>
  <c r="G234" i="19" s="1"/>
  <c r="H233" i="19"/>
  <c r="E233" i="19"/>
  <c r="G233" i="19" s="1"/>
  <c r="H232" i="19"/>
  <c r="E232" i="19"/>
  <c r="G232" i="19" s="1"/>
  <c r="H231" i="19"/>
  <c r="E231" i="19"/>
  <c r="G231" i="19" s="1"/>
  <c r="H230" i="19"/>
  <c r="E230" i="19"/>
  <c r="G230" i="19" s="1"/>
  <c r="H229" i="19"/>
  <c r="E229" i="19"/>
  <c r="G229" i="19" s="1"/>
  <c r="H228" i="19"/>
  <c r="E228" i="19"/>
  <c r="G228" i="19" s="1"/>
  <c r="H227" i="19"/>
  <c r="E227" i="19"/>
  <c r="G227" i="19" s="1"/>
  <c r="H226" i="19"/>
  <c r="E226" i="19"/>
  <c r="G226" i="19" s="1"/>
  <c r="H225" i="19"/>
  <c r="E225" i="19"/>
  <c r="G225" i="19" s="1"/>
  <c r="H224" i="19"/>
  <c r="E224" i="19"/>
  <c r="G224" i="19" s="1"/>
  <c r="H223" i="19"/>
  <c r="E223" i="19"/>
  <c r="G223" i="19" s="1"/>
  <c r="H222" i="19"/>
  <c r="E222" i="19"/>
  <c r="G222" i="19" s="1"/>
  <c r="H221" i="19"/>
  <c r="E221" i="19"/>
  <c r="G221" i="19" s="1"/>
  <c r="H220" i="19"/>
  <c r="E220" i="19"/>
  <c r="G220" i="19" s="1"/>
  <c r="H219" i="19"/>
  <c r="E219" i="19"/>
  <c r="G219" i="19" s="1"/>
  <c r="H218" i="19"/>
  <c r="E218" i="19"/>
  <c r="G218" i="19" s="1"/>
  <c r="H217" i="19"/>
  <c r="E217" i="19"/>
  <c r="G217" i="19" s="1"/>
  <c r="H216" i="19"/>
  <c r="E216" i="19"/>
  <c r="G216" i="19" s="1"/>
  <c r="H215" i="19"/>
  <c r="E215" i="19"/>
  <c r="G215" i="19" s="1"/>
  <c r="H214" i="19"/>
  <c r="E214" i="19"/>
  <c r="G214" i="19" s="1"/>
  <c r="H213" i="19"/>
  <c r="E213" i="19"/>
  <c r="G213" i="19" s="1"/>
  <c r="H212" i="19"/>
  <c r="E212" i="19"/>
  <c r="G212" i="19" s="1"/>
  <c r="H211" i="19"/>
  <c r="E211" i="19"/>
  <c r="G211" i="19" s="1"/>
  <c r="H210" i="19"/>
  <c r="E210" i="19"/>
  <c r="G210" i="19" s="1"/>
  <c r="H209" i="19"/>
  <c r="E209" i="19"/>
  <c r="G209" i="19" s="1"/>
  <c r="H208" i="19"/>
  <c r="E208" i="19"/>
  <c r="G208" i="19" s="1"/>
  <c r="H207" i="19"/>
  <c r="E207" i="19"/>
  <c r="G207" i="19" s="1"/>
  <c r="H206" i="19"/>
  <c r="E206" i="19"/>
  <c r="G206" i="19" s="1"/>
  <c r="H205" i="19"/>
  <c r="E205" i="19"/>
  <c r="G205" i="19" s="1"/>
  <c r="H204" i="19"/>
  <c r="E204" i="19"/>
  <c r="G204" i="19" s="1"/>
  <c r="H203" i="19"/>
  <c r="E203" i="19"/>
  <c r="G203" i="19" s="1"/>
  <c r="H202" i="19"/>
  <c r="E202" i="19"/>
  <c r="G202" i="19" s="1"/>
  <c r="H201" i="19"/>
  <c r="E201" i="19"/>
  <c r="G201" i="19" s="1"/>
  <c r="H200" i="19"/>
  <c r="E200" i="19"/>
  <c r="G200" i="19" s="1"/>
  <c r="H199" i="19"/>
  <c r="E199" i="19"/>
  <c r="G199" i="19" s="1"/>
  <c r="H198" i="19"/>
  <c r="E198" i="19"/>
  <c r="G198" i="19" s="1"/>
  <c r="H197" i="19"/>
  <c r="E197" i="19"/>
  <c r="G197" i="19" s="1"/>
  <c r="H196" i="19"/>
  <c r="E196" i="19"/>
  <c r="G196" i="19" s="1"/>
  <c r="H195" i="19"/>
  <c r="E195" i="19"/>
  <c r="G195" i="19" s="1"/>
  <c r="H194" i="19"/>
  <c r="E194" i="19"/>
  <c r="G194" i="19" s="1"/>
  <c r="H193" i="19"/>
  <c r="E193" i="19"/>
  <c r="G193" i="19" s="1"/>
  <c r="H192" i="19"/>
  <c r="E192" i="19"/>
  <c r="G192" i="19" s="1"/>
  <c r="H191" i="19"/>
  <c r="E191" i="19"/>
  <c r="G191" i="19" s="1"/>
  <c r="H190" i="19"/>
  <c r="E190" i="19"/>
  <c r="G190" i="19" s="1"/>
  <c r="H189" i="19"/>
  <c r="E189" i="19"/>
  <c r="G189" i="19" s="1"/>
  <c r="H188" i="19"/>
  <c r="E188" i="19"/>
  <c r="G188" i="19" s="1"/>
  <c r="H187" i="19"/>
  <c r="E187" i="19"/>
  <c r="G187" i="19" s="1"/>
  <c r="H186" i="19"/>
  <c r="E186" i="19"/>
  <c r="G186" i="19" s="1"/>
  <c r="H185" i="19"/>
  <c r="E185" i="19"/>
  <c r="G185" i="19" s="1"/>
  <c r="H184" i="19"/>
  <c r="E184" i="19"/>
  <c r="G184" i="19" s="1"/>
  <c r="H183" i="19"/>
  <c r="E183" i="19"/>
  <c r="G183" i="19" s="1"/>
  <c r="H182" i="19"/>
  <c r="E182" i="19"/>
  <c r="G182" i="19" s="1"/>
  <c r="H181" i="19"/>
  <c r="E181" i="19"/>
  <c r="G181" i="19" s="1"/>
  <c r="H180" i="19"/>
  <c r="E180" i="19"/>
  <c r="G180" i="19" s="1"/>
  <c r="H179" i="19"/>
  <c r="E179" i="19"/>
  <c r="G179" i="19" s="1"/>
  <c r="H178" i="19"/>
  <c r="E178" i="19"/>
  <c r="G178" i="19" s="1"/>
  <c r="H177" i="19"/>
  <c r="E177" i="19"/>
  <c r="G177" i="19" s="1"/>
  <c r="H176" i="19"/>
  <c r="E176" i="19"/>
  <c r="G176" i="19" s="1"/>
  <c r="H175" i="19"/>
  <c r="E175" i="19"/>
  <c r="G175" i="19" s="1"/>
  <c r="H174" i="19"/>
  <c r="E174" i="19"/>
  <c r="G174" i="19" s="1"/>
  <c r="H173" i="19"/>
  <c r="E173" i="19"/>
  <c r="G173" i="19" s="1"/>
  <c r="H172" i="19"/>
  <c r="E172" i="19"/>
  <c r="G172" i="19" s="1"/>
  <c r="H171" i="19"/>
  <c r="E171" i="19"/>
  <c r="G171" i="19" s="1"/>
  <c r="H170" i="19"/>
  <c r="E170" i="19"/>
  <c r="G170" i="19" s="1"/>
  <c r="H169" i="19"/>
  <c r="E169" i="19"/>
  <c r="G169" i="19" s="1"/>
  <c r="H168" i="19"/>
  <c r="E168" i="19"/>
  <c r="G168" i="19" s="1"/>
  <c r="H167" i="19"/>
  <c r="E167" i="19"/>
  <c r="G167" i="19" s="1"/>
  <c r="H166" i="19"/>
  <c r="E166" i="19"/>
  <c r="G166" i="19" s="1"/>
  <c r="H165" i="19"/>
  <c r="E165" i="19"/>
  <c r="G165" i="19" s="1"/>
  <c r="H164" i="19"/>
  <c r="E164" i="19"/>
  <c r="G164" i="19" s="1"/>
  <c r="H163" i="19"/>
  <c r="E163" i="19"/>
  <c r="G163" i="19" s="1"/>
  <c r="H162" i="19"/>
  <c r="E162" i="19"/>
  <c r="G162" i="19" s="1"/>
  <c r="H161" i="19"/>
  <c r="E161" i="19"/>
  <c r="G161" i="19" s="1"/>
  <c r="H160" i="19"/>
  <c r="E160" i="19"/>
  <c r="G160" i="19" s="1"/>
  <c r="H159" i="19"/>
  <c r="E159" i="19"/>
  <c r="G159" i="19" s="1"/>
  <c r="H158" i="19"/>
  <c r="E158" i="19"/>
  <c r="G158" i="19" s="1"/>
  <c r="H157" i="19"/>
  <c r="E157" i="19"/>
  <c r="G157" i="19" s="1"/>
  <c r="H156" i="19"/>
  <c r="E156" i="19"/>
  <c r="G156" i="19" s="1"/>
  <c r="H155" i="19"/>
  <c r="E155" i="19"/>
  <c r="G155" i="19" s="1"/>
  <c r="H154" i="19"/>
  <c r="E154" i="19"/>
  <c r="G154" i="19" s="1"/>
  <c r="H153" i="19"/>
  <c r="E153" i="19"/>
  <c r="G153" i="19" s="1"/>
  <c r="H152" i="19"/>
  <c r="E152" i="19"/>
  <c r="G152" i="19" s="1"/>
  <c r="H151" i="19"/>
  <c r="E151" i="19"/>
  <c r="G151" i="19" s="1"/>
  <c r="H150" i="19"/>
  <c r="E150" i="19"/>
  <c r="G150" i="19" s="1"/>
  <c r="H149" i="19"/>
  <c r="E149" i="19"/>
  <c r="G149" i="19" s="1"/>
  <c r="H148" i="19"/>
  <c r="E148" i="19"/>
  <c r="G148" i="19" s="1"/>
  <c r="H147" i="19"/>
  <c r="E147" i="19"/>
  <c r="G147" i="19" s="1"/>
  <c r="H146" i="19"/>
  <c r="E146" i="19"/>
  <c r="G146" i="19" s="1"/>
  <c r="H145" i="19"/>
  <c r="E145" i="19"/>
  <c r="G145" i="19" s="1"/>
  <c r="H144" i="19"/>
  <c r="E144" i="19"/>
  <c r="G144" i="19" s="1"/>
  <c r="H143" i="19"/>
  <c r="E143" i="19"/>
  <c r="G143" i="19" s="1"/>
  <c r="H142" i="19"/>
  <c r="E142" i="19"/>
  <c r="G142" i="19" s="1"/>
  <c r="H141" i="19"/>
  <c r="E141" i="19"/>
  <c r="G141" i="19" s="1"/>
  <c r="H140" i="19"/>
  <c r="E140" i="19"/>
  <c r="G140" i="19" s="1"/>
  <c r="H139" i="19"/>
  <c r="E139" i="19"/>
  <c r="G139" i="19" s="1"/>
  <c r="H138" i="19"/>
  <c r="E138" i="19"/>
  <c r="G138" i="19" s="1"/>
  <c r="H137" i="19"/>
  <c r="E137" i="19"/>
  <c r="G137" i="19" s="1"/>
  <c r="H136" i="19"/>
  <c r="E136" i="19"/>
  <c r="G136" i="19" s="1"/>
  <c r="H135" i="19"/>
  <c r="E135" i="19"/>
  <c r="G135" i="19" s="1"/>
  <c r="E134" i="19"/>
  <c r="G134" i="19" s="1"/>
  <c r="H133" i="19"/>
  <c r="E133" i="19"/>
  <c r="G133" i="19" s="1"/>
  <c r="H132" i="19"/>
  <c r="E132" i="19"/>
  <c r="G132" i="19" s="1"/>
  <c r="H131" i="19"/>
  <c r="E131" i="19"/>
  <c r="G131" i="19" s="1"/>
  <c r="H130" i="19"/>
  <c r="E130" i="19"/>
  <c r="G130" i="19" s="1"/>
  <c r="H129" i="19"/>
  <c r="E129" i="19"/>
  <c r="G129" i="19" s="1"/>
  <c r="H128" i="19"/>
  <c r="E128" i="19"/>
  <c r="G128" i="19" s="1"/>
  <c r="H127" i="19"/>
  <c r="E127" i="19"/>
  <c r="G127" i="19" s="1"/>
  <c r="E126" i="19"/>
  <c r="G126" i="19" s="1"/>
  <c r="H125" i="19"/>
  <c r="E125" i="19"/>
  <c r="G125" i="19" s="1"/>
  <c r="H124" i="19"/>
  <c r="E124" i="19"/>
  <c r="G124" i="19" s="1"/>
  <c r="H123" i="19"/>
  <c r="E123" i="19"/>
  <c r="G123" i="19" s="1"/>
  <c r="H122" i="19"/>
  <c r="E122" i="19"/>
  <c r="G122" i="19" s="1"/>
  <c r="H121" i="19"/>
  <c r="E121" i="19"/>
  <c r="G121" i="19" s="1"/>
  <c r="H120" i="19"/>
  <c r="E120" i="19"/>
  <c r="G120" i="19" s="1"/>
  <c r="H119" i="19"/>
  <c r="E119" i="19"/>
  <c r="G119" i="19" s="1"/>
  <c r="H118" i="19"/>
  <c r="E118" i="19"/>
  <c r="G118" i="19" s="1"/>
  <c r="H117" i="19"/>
  <c r="E117" i="19"/>
  <c r="G117" i="19" s="1"/>
  <c r="H116" i="19"/>
  <c r="E116" i="19"/>
  <c r="G116" i="19" s="1"/>
  <c r="H115" i="19"/>
  <c r="E115" i="19"/>
  <c r="G115" i="19" s="1"/>
  <c r="H114" i="19"/>
  <c r="E114" i="19"/>
  <c r="G114" i="19" s="1"/>
  <c r="H113" i="19"/>
  <c r="E113" i="19"/>
  <c r="G113" i="19" s="1"/>
  <c r="H112" i="19"/>
  <c r="E112" i="19"/>
  <c r="G112" i="19" s="1"/>
  <c r="H111" i="19"/>
  <c r="E111" i="19"/>
  <c r="G111" i="19" s="1"/>
  <c r="H110" i="19"/>
  <c r="E110" i="19"/>
  <c r="G110" i="19" s="1"/>
  <c r="H109" i="19"/>
  <c r="E109" i="19"/>
  <c r="G109" i="19" s="1"/>
  <c r="H108" i="19"/>
  <c r="E108" i="19"/>
  <c r="G108" i="19" s="1"/>
  <c r="H107" i="19"/>
  <c r="E107" i="19"/>
  <c r="G107" i="19" s="1"/>
  <c r="H106" i="19"/>
  <c r="E106" i="19"/>
  <c r="G106" i="19" s="1"/>
  <c r="H105" i="19"/>
  <c r="E105" i="19"/>
  <c r="G105" i="19" s="1"/>
  <c r="H104" i="19"/>
  <c r="E104" i="19"/>
  <c r="G104" i="19" s="1"/>
  <c r="H103" i="19"/>
  <c r="E103" i="19"/>
  <c r="G103" i="19" s="1"/>
  <c r="H102" i="19"/>
  <c r="E102" i="19"/>
  <c r="G102" i="19" s="1"/>
  <c r="H101" i="19"/>
  <c r="E101" i="19"/>
  <c r="G101" i="19" s="1"/>
  <c r="H100" i="19"/>
  <c r="E100" i="19"/>
  <c r="G100" i="19" s="1"/>
  <c r="H99" i="19"/>
  <c r="E99" i="19"/>
  <c r="G99" i="19" s="1"/>
  <c r="H98" i="19"/>
  <c r="E98" i="19"/>
  <c r="G98" i="19" s="1"/>
  <c r="H97" i="19"/>
  <c r="E97" i="19"/>
  <c r="G97" i="19" s="1"/>
  <c r="H96" i="19"/>
  <c r="E96" i="19"/>
  <c r="G96" i="19" s="1"/>
  <c r="H95" i="19"/>
  <c r="E95" i="19"/>
  <c r="G95" i="19" s="1"/>
  <c r="H94" i="19"/>
  <c r="E94" i="19"/>
  <c r="G94" i="19" s="1"/>
  <c r="H93" i="19"/>
  <c r="E93" i="19"/>
  <c r="G93" i="19" s="1"/>
  <c r="H92" i="19"/>
  <c r="E92" i="19"/>
  <c r="G92" i="19" s="1"/>
  <c r="H91" i="19"/>
  <c r="E91" i="19"/>
  <c r="G91" i="19" s="1"/>
  <c r="H90" i="19"/>
  <c r="E90" i="19"/>
  <c r="G90" i="19" s="1"/>
  <c r="H89" i="19"/>
  <c r="E89" i="19"/>
  <c r="G89" i="19" s="1"/>
  <c r="H88" i="19"/>
  <c r="E88" i="19"/>
  <c r="G88" i="19" s="1"/>
  <c r="H87" i="19"/>
  <c r="E87" i="19"/>
  <c r="G87" i="19" s="1"/>
  <c r="H86" i="19"/>
  <c r="E86" i="19"/>
  <c r="G86" i="19" s="1"/>
  <c r="H85" i="19"/>
  <c r="E85" i="19"/>
  <c r="G85" i="19" s="1"/>
  <c r="H84" i="19"/>
  <c r="E84" i="19"/>
  <c r="G84" i="19" s="1"/>
  <c r="H83" i="19"/>
  <c r="E83" i="19"/>
  <c r="G83" i="19" s="1"/>
  <c r="H82" i="19"/>
  <c r="E82" i="19"/>
  <c r="G82" i="19" s="1"/>
  <c r="H81" i="19"/>
  <c r="E81" i="19"/>
  <c r="G81" i="19" s="1"/>
  <c r="H80" i="19"/>
  <c r="E80" i="19"/>
  <c r="G80" i="19" s="1"/>
  <c r="H79" i="19"/>
  <c r="E79" i="19"/>
  <c r="G79" i="19" s="1"/>
  <c r="H78" i="19"/>
  <c r="E78" i="19"/>
  <c r="G78" i="19" s="1"/>
  <c r="H77" i="19"/>
  <c r="E77" i="19"/>
  <c r="G77" i="19" s="1"/>
  <c r="H76" i="19"/>
  <c r="E76" i="19"/>
  <c r="G76" i="19" s="1"/>
  <c r="H75" i="19"/>
  <c r="E75" i="19"/>
  <c r="G75" i="19" s="1"/>
  <c r="H74" i="19"/>
  <c r="E74" i="19"/>
  <c r="G74" i="19" s="1"/>
  <c r="H73" i="19"/>
  <c r="E73" i="19"/>
  <c r="G73" i="19" s="1"/>
  <c r="H72" i="19"/>
  <c r="E72" i="19"/>
  <c r="G72" i="19" s="1"/>
  <c r="H71" i="19"/>
  <c r="E71" i="19"/>
  <c r="G71" i="19" s="1"/>
  <c r="H70" i="19"/>
  <c r="E70" i="19"/>
  <c r="G70" i="19" s="1"/>
  <c r="H69" i="19"/>
  <c r="E69" i="19"/>
  <c r="G69" i="19" s="1"/>
  <c r="H68" i="19"/>
  <c r="E68" i="19"/>
  <c r="G68" i="19" s="1"/>
  <c r="H67" i="19"/>
  <c r="E67" i="19"/>
  <c r="G67" i="19" s="1"/>
  <c r="H66" i="19"/>
  <c r="E66" i="19"/>
  <c r="G66" i="19" s="1"/>
  <c r="H65" i="19"/>
  <c r="E65" i="19"/>
  <c r="G65" i="19" s="1"/>
  <c r="H64" i="19"/>
  <c r="E64" i="19"/>
  <c r="G64" i="19" s="1"/>
  <c r="H63" i="19"/>
  <c r="E63" i="19"/>
  <c r="G63" i="19" s="1"/>
  <c r="H62" i="19"/>
  <c r="E62" i="19"/>
  <c r="G62" i="19" s="1"/>
  <c r="H61" i="19"/>
  <c r="E61" i="19"/>
  <c r="G61" i="19" s="1"/>
  <c r="H60" i="19"/>
  <c r="E60" i="19"/>
  <c r="G60" i="19" s="1"/>
  <c r="H59" i="19"/>
  <c r="E59" i="19"/>
  <c r="G59" i="19" s="1"/>
  <c r="H58" i="19"/>
  <c r="E58" i="19"/>
  <c r="G58" i="19" s="1"/>
  <c r="H57" i="19"/>
  <c r="E57" i="19"/>
  <c r="G57" i="19" s="1"/>
  <c r="H56" i="19"/>
  <c r="E56" i="19"/>
  <c r="H55" i="19"/>
  <c r="E55" i="19"/>
  <c r="G55" i="19" s="1"/>
  <c r="H54" i="19"/>
  <c r="E54" i="19"/>
  <c r="G54" i="19" s="1"/>
  <c r="H53" i="19"/>
  <c r="E53" i="19"/>
  <c r="G53" i="19" s="1"/>
  <c r="H52" i="19"/>
  <c r="E52" i="19"/>
  <c r="G52" i="19" s="1"/>
  <c r="H51" i="19"/>
  <c r="E51" i="19"/>
  <c r="G51" i="19" s="1"/>
  <c r="H50" i="19"/>
  <c r="E50" i="19"/>
  <c r="G50" i="19" s="1"/>
  <c r="H49" i="19"/>
  <c r="E49" i="19"/>
  <c r="G49" i="19" s="1"/>
  <c r="H48" i="19"/>
  <c r="E48" i="19"/>
  <c r="G48" i="19" s="1"/>
  <c r="H47" i="19"/>
  <c r="E47" i="19"/>
  <c r="G47" i="19" s="1"/>
  <c r="H46" i="19"/>
  <c r="E46" i="19"/>
  <c r="G46" i="19" s="1"/>
  <c r="H45" i="19"/>
  <c r="E45" i="19"/>
  <c r="G45" i="19" s="1"/>
  <c r="H44" i="19"/>
  <c r="E44" i="19"/>
  <c r="G44" i="19" s="1"/>
  <c r="H43" i="19"/>
  <c r="E43" i="19"/>
  <c r="G43" i="19" s="1"/>
  <c r="H42" i="19"/>
  <c r="E42" i="19"/>
  <c r="H41" i="19"/>
  <c r="E41" i="19"/>
  <c r="G41" i="19" s="1"/>
  <c r="H40" i="19"/>
  <c r="E40" i="19"/>
  <c r="G40" i="19" s="1"/>
  <c r="H39" i="19"/>
  <c r="E39" i="19"/>
  <c r="G39" i="19" s="1"/>
  <c r="H38" i="19"/>
  <c r="E38" i="19"/>
  <c r="G38" i="19" s="1"/>
  <c r="H37" i="19"/>
  <c r="E37" i="19"/>
  <c r="G37" i="19" s="1"/>
  <c r="H36" i="19"/>
  <c r="H290" i="19" s="1"/>
  <c r="E36" i="19"/>
  <c r="G36" i="19" s="1"/>
  <c r="G290" i="19" s="1"/>
  <c r="H35" i="19"/>
  <c r="E35" i="19"/>
  <c r="G35" i="19" s="1"/>
  <c r="H34" i="19"/>
  <c r="E34" i="19"/>
  <c r="G34" i="19" s="1"/>
  <c r="H33" i="19"/>
  <c r="E33" i="19"/>
  <c r="G33" i="19" s="1"/>
  <c r="H32" i="19"/>
  <c r="E32" i="19"/>
  <c r="G32" i="19" s="1"/>
  <c r="H31" i="19"/>
  <c r="E31" i="19"/>
  <c r="G31" i="19" s="1"/>
  <c r="H30" i="19"/>
  <c r="E30" i="19"/>
  <c r="G30" i="19" s="1"/>
  <c r="H29" i="19"/>
  <c r="E29" i="19"/>
  <c r="G29" i="19" s="1"/>
  <c r="H28" i="19"/>
  <c r="E28" i="19"/>
  <c r="G28" i="19" s="1"/>
  <c r="H27" i="19"/>
  <c r="E27" i="19"/>
  <c r="G27" i="19" s="1"/>
  <c r="H26" i="19"/>
  <c r="E26" i="19"/>
  <c r="G26" i="19" s="1"/>
  <c r="H25" i="19"/>
  <c r="E25" i="19"/>
  <c r="G25" i="19" s="1"/>
  <c r="H24" i="19"/>
  <c r="E24" i="19"/>
  <c r="G24" i="19" s="1"/>
  <c r="H23" i="19"/>
  <c r="E23" i="19"/>
  <c r="G23" i="19" s="1"/>
  <c r="H22" i="19"/>
  <c r="E22" i="19"/>
  <c r="G22" i="19" s="1"/>
  <c r="H21" i="19"/>
  <c r="E21" i="19"/>
  <c r="G21" i="19" s="1"/>
  <c r="H20" i="19"/>
  <c r="E20" i="19"/>
  <c r="G20" i="19" s="1"/>
  <c r="H19" i="19"/>
  <c r="E19" i="19"/>
  <c r="G19" i="19" s="1"/>
  <c r="H18" i="19"/>
  <c r="E18" i="19"/>
  <c r="G18" i="19" s="1"/>
  <c r="H17" i="19"/>
  <c r="E17" i="19"/>
  <c r="G17" i="19" s="1"/>
  <c r="H16" i="19"/>
  <c r="E16" i="19"/>
  <c r="G16" i="19" s="1"/>
  <c r="H14" i="19"/>
  <c r="E14" i="19"/>
  <c r="G14" i="19" s="1"/>
  <c r="H13" i="19"/>
  <c r="E13" i="19"/>
  <c r="G13" i="19" s="1"/>
  <c r="H12" i="19"/>
  <c r="E12" i="19"/>
  <c r="G12" i="19" s="1"/>
  <c r="H7" i="19"/>
  <c r="E7" i="19"/>
  <c r="G7" i="19" s="1"/>
  <c r="H6" i="19"/>
  <c r="E6" i="19"/>
  <c r="G6" i="19" s="1"/>
  <c r="H5" i="19"/>
  <c r="E5" i="19"/>
  <c r="G5" i="19" s="1"/>
  <c r="E4" i="19"/>
  <c r="H3" i="19"/>
  <c r="E3" i="19"/>
  <c r="G3" i="19" s="1"/>
  <c r="Q18" i="18"/>
  <c r="Q23" i="18"/>
  <c r="I7" i="11"/>
  <c r="N98" i="8"/>
  <c r="V98" i="8" s="1"/>
  <c r="W98" i="8" s="1"/>
  <c r="N110" i="8"/>
  <c r="V110" i="8" s="1"/>
  <c r="W110" i="8" s="1"/>
  <c r="N115" i="8"/>
  <c r="N109" i="8"/>
  <c r="N106" i="8"/>
  <c r="N103" i="8"/>
  <c r="N102" i="8"/>
  <c r="N101" i="8"/>
  <c r="N100" i="8"/>
  <c r="N95" i="8"/>
  <c r="N93" i="8"/>
  <c r="N90" i="8"/>
  <c r="N88" i="8"/>
  <c r="N87" i="8"/>
  <c r="N83" i="8"/>
  <c r="N82" i="8"/>
  <c r="N81" i="8"/>
  <c r="N80" i="8"/>
  <c r="N79" i="8"/>
  <c r="N78" i="8"/>
  <c r="N77" i="8"/>
  <c r="N76" i="8"/>
  <c r="N75" i="8"/>
  <c r="N74" i="8"/>
  <c r="N73" i="8"/>
  <c r="N71" i="8"/>
  <c r="N69" i="8"/>
  <c r="N67" i="8"/>
  <c r="N65" i="8"/>
  <c r="N64" i="8"/>
  <c r="N63" i="8"/>
  <c r="N60" i="8"/>
  <c r="N59" i="8"/>
  <c r="N55" i="8"/>
  <c r="N54" i="8"/>
  <c r="N53" i="8"/>
  <c r="N52" i="8"/>
  <c r="N50" i="8"/>
  <c r="N48" i="8"/>
  <c r="N46" i="8"/>
  <c r="N45" i="8"/>
  <c r="N44" i="8"/>
  <c r="N43" i="8"/>
  <c r="N39" i="8"/>
  <c r="N36" i="8"/>
  <c r="N35" i="8"/>
  <c r="N32" i="8"/>
  <c r="N31" i="8"/>
  <c r="N30" i="8"/>
  <c r="N28" i="8"/>
  <c r="N22" i="8"/>
  <c r="N20" i="8"/>
  <c r="N19" i="8"/>
  <c r="N18" i="8"/>
  <c r="N14" i="8"/>
  <c r="N12" i="8"/>
  <c r="N11" i="8"/>
  <c r="N10" i="8"/>
  <c r="N8" i="8"/>
  <c r="N4" i="8"/>
  <c r="N3" i="8"/>
  <c r="Q7" i="18"/>
  <c r="Q41" i="18"/>
  <c r="Q13" i="18"/>
  <c r="Q15" i="18"/>
  <c r="S18" i="18"/>
  <c r="X65" i="18"/>
  <c r="X64" i="18"/>
  <c r="X63" i="18"/>
  <c r="X62" i="18"/>
  <c r="X61" i="18"/>
  <c r="X60" i="18"/>
  <c r="X59" i="18"/>
  <c r="X58" i="18"/>
  <c r="X57" i="18"/>
  <c r="X56" i="18"/>
  <c r="X55" i="18"/>
  <c r="X54" i="18"/>
  <c r="X53" i="18"/>
  <c r="X52" i="18"/>
  <c r="X51" i="18"/>
  <c r="X50" i="18"/>
  <c r="X49" i="18"/>
  <c r="X48" i="18"/>
  <c r="X47" i="18"/>
  <c r="X46" i="18"/>
  <c r="X45" i="18"/>
  <c r="X44" i="18"/>
  <c r="X43" i="18"/>
  <c r="X42" i="18"/>
  <c r="X41" i="18"/>
  <c r="X40" i="18"/>
  <c r="X39" i="18"/>
  <c r="X38" i="18"/>
  <c r="X37" i="18"/>
  <c r="X36" i="18"/>
  <c r="X35" i="18"/>
  <c r="X34" i="18"/>
  <c r="X33" i="18"/>
  <c r="X32" i="18"/>
  <c r="X31" i="18"/>
  <c r="X30" i="18"/>
  <c r="X29" i="18"/>
  <c r="X28" i="18"/>
  <c r="X27" i="18"/>
  <c r="X26" i="18"/>
  <c r="X25" i="18"/>
  <c r="X24" i="18"/>
  <c r="X23" i="18"/>
  <c r="X22" i="18"/>
  <c r="X7" i="18"/>
  <c r="X13" i="18"/>
  <c r="Q67" i="18"/>
  <c r="Q66" i="18"/>
  <c r="Q65" i="18"/>
  <c r="Q64" i="18"/>
  <c r="Q63" i="18"/>
  <c r="Q62" i="18"/>
  <c r="Q61" i="18"/>
  <c r="Q60" i="18"/>
  <c r="Q59" i="18"/>
  <c r="Q58" i="18"/>
  <c r="Q57" i="18"/>
  <c r="Q56" i="18"/>
  <c r="Q55" i="18"/>
  <c r="Q54" i="18"/>
  <c r="Q53" i="18"/>
  <c r="Q52" i="18"/>
  <c r="Q51" i="18"/>
  <c r="Q50" i="18"/>
  <c r="Q49" i="18"/>
  <c r="Q48" i="18"/>
  <c r="Q47" i="18"/>
  <c r="Q46" i="18"/>
  <c r="Q45" i="18"/>
  <c r="Q44" i="18"/>
  <c r="Q43" i="18"/>
  <c r="Q42" i="18"/>
  <c r="Q40" i="18"/>
  <c r="Q39" i="18"/>
  <c r="Q38" i="18"/>
  <c r="Q37" i="18"/>
  <c r="Q36" i="18"/>
  <c r="Q35" i="18"/>
  <c r="Q34" i="18"/>
  <c r="Q33" i="18"/>
  <c r="Q32" i="18"/>
  <c r="Q31" i="18"/>
  <c r="Q30" i="18"/>
  <c r="Q29" i="18"/>
  <c r="Q28" i="18"/>
  <c r="Q27" i="18"/>
  <c r="Q26" i="18"/>
  <c r="Q25" i="18"/>
  <c r="Q24" i="18"/>
  <c r="Q22" i="18"/>
  <c r="Q21" i="18"/>
  <c r="Q20" i="18"/>
  <c r="Q19" i="18"/>
  <c r="Q17" i="18"/>
  <c r="Q16" i="18"/>
  <c r="Q14" i="18"/>
  <c r="Q12" i="18"/>
  <c r="Q11" i="18"/>
  <c r="Q10" i="18"/>
  <c r="Q9" i="18"/>
  <c r="Q8" i="18"/>
  <c r="R7" i="18"/>
  <c r="Q6" i="18"/>
  <c r="Q5" i="18"/>
  <c r="Q4" i="18"/>
  <c r="X67" i="18"/>
  <c r="P67" i="18"/>
  <c r="R67" i="18" s="1"/>
  <c r="X66" i="18"/>
  <c r="P66" i="18"/>
  <c r="R66" i="18" s="1"/>
  <c r="P65" i="18"/>
  <c r="R65" i="18" s="1"/>
  <c r="P64" i="18"/>
  <c r="R64" i="18" s="1"/>
  <c r="P63" i="18"/>
  <c r="R63" i="18" s="1"/>
  <c r="P62" i="18"/>
  <c r="R62" i="18" s="1"/>
  <c r="P61" i="18"/>
  <c r="R61" i="18" s="1"/>
  <c r="P60" i="18"/>
  <c r="R60" i="18" s="1"/>
  <c r="P59" i="18"/>
  <c r="R59" i="18" s="1"/>
  <c r="P58" i="18"/>
  <c r="R58" i="18" s="1"/>
  <c r="P57" i="18"/>
  <c r="R57" i="18" s="1"/>
  <c r="P56" i="18"/>
  <c r="R56" i="18" s="1"/>
  <c r="P55" i="18"/>
  <c r="R55" i="18" s="1"/>
  <c r="P54" i="18"/>
  <c r="R54" i="18" s="1"/>
  <c r="P53" i="18"/>
  <c r="R53" i="18" s="1"/>
  <c r="P52" i="18"/>
  <c r="R52" i="18" s="1"/>
  <c r="P51" i="18"/>
  <c r="R51" i="18" s="1"/>
  <c r="P50" i="18"/>
  <c r="R50" i="18" s="1"/>
  <c r="P49" i="18"/>
  <c r="R49" i="18" s="1"/>
  <c r="P48" i="18"/>
  <c r="R48" i="18" s="1"/>
  <c r="P47" i="18"/>
  <c r="R47" i="18" s="1"/>
  <c r="P46" i="18"/>
  <c r="R46" i="18" s="1"/>
  <c r="P45" i="18"/>
  <c r="R45" i="18" s="1"/>
  <c r="P44" i="18"/>
  <c r="R44" i="18" s="1"/>
  <c r="P43" i="18"/>
  <c r="R43" i="18" s="1"/>
  <c r="P42" i="18"/>
  <c r="R42" i="18" s="1"/>
  <c r="P41" i="18"/>
  <c r="R41" i="18" s="1"/>
  <c r="P40" i="18"/>
  <c r="R40" i="18" s="1"/>
  <c r="P39" i="18"/>
  <c r="R39" i="18" s="1"/>
  <c r="P38" i="18"/>
  <c r="R38" i="18" s="1"/>
  <c r="P37" i="18"/>
  <c r="R37" i="18" s="1"/>
  <c r="P36" i="18"/>
  <c r="R36" i="18" s="1"/>
  <c r="P35" i="18"/>
  <c r="R35" i="18" s="1"/>
  <c r="P34" i="18"/>
  <c r="R34" i="18" s="1"/>
  <c r="P33" i="18"/>
  <c r="R33" i="18" s="1"/>
  <c r="P32" i="18"/>
  <c r="R32" i="18" s="1"/>
  <c r="P31" i="18"/>
  <c r="R31" i="18" s="1"/>
  <c r="P30" i="18"/>
  <c r="R30" i="18" s="1"/>
  <c r="P29" i="18"/>
  <c r="R29" i="18" s="1"/>
  <c r="P28" i="18"/>
  <c r="R28" i="18" s="1"/>
  <c r="P27" i="18"/>
  <c r="R27" i="18" s="1"/>
  <c r="P26" i="18"/>
  <c r="R26" i="18" s="1"/>
  <c r="P25" i="18"/>
  <c r="R25" i="18" s="1"/>
  <c r="P24" i="18"/>
  <c r="R24" i="18" s="1"/>
  <c r="P23" i="18"/>
  <c r="R23" i="18" s="1"/>
  <c r="P22" i="18"/>
  <c r="R22" i="18" s="1"/>
  <c r="X21" i="18"/>
  <c r="P21" i="18"/>
  <c r="R21" i="18" s="1"/>
  <c r="X20" i="18"/>
  <c r="P20" i="18"/>
  <c r="X19" i="18"/>
  <c r="P19" i="18"/>
  <c r="R19" i="18" s="1"/>
  <c r="X18" i="18"/>
  <c r="P18" i="18"/>
  <c r="X17" i="18"/>
  <c r="P17" i="18"/>
  <c r="R17" i="18" s="1"/>
  <c r="X16" i="18"/>
  <c r="P16" i="18"/>
  <c r="X15" i="18"/>
  <c r="P15" i="18"/>
  <c r="R15" i="18" s="1"/>
  <c r="X14" i="18"/>
  <c r="R14" i="18"/>
  <c r="P14" i="18"/>
  <c r="W68" i="18"/>
  <c r="P13" i="18"/>
  <c r="X12" i="18"/>
  <c r="P12" i="18"/>
  <c r="X11" i="18"/>
  <c r="P11" i="18"/>
  <c r="R11" i="18" s="1"/>
  <c r="X10" i="18"/>
  <c r="P10" i="18"/>
  <c r="R10" i="18" s="1"/>
  <c r="X9" i="18"/>
  <c r="P9" i="18"/>
  <c r="R9" i="18" s="1"/>
  <c r="X8" i="18"/>
  <c r="P8" i="18"/>
  <c r="P7" i="18"/>
  <c r="X6" i="18"/>
  <c r="R6" i="18"/>
  <c r="P6" i="18"/>
  <c r="X5" i="18"/>
  <c r="R5" i="18"/>
  <c r="P5" i="18"/>
  <c r="X4" i="18"/>
  <c r="R4" i="18"/>
  <c r="P4" i="18"/>
  <c r="H369" i="18"/>
  <c r="G369" i="18"/>
  <c r="E347" i="18"/>
  <c r="G347" i="18"/>
  <c r="H347" i="18"/>
  <c r="C51" i="5"/>
  <c r="C44" i="5"/>
  <c r="D39" i="11"/>
  <c r="D50" i="5"/>
  <c r="F364" i="18"/>
  <c r="H361" i="18"/>
  <c r="E361" i="18"/>
  <c r="G361" i="18" s="1"/>
  <c r="H360" i="18"/>
  <c r="E360" i="18"/>
  <c r="G360" i="18" s="1"/>
  <c r="F359" i="18"/>
  <c r="H359" i="18" s="1"/>
  <c r="F358" i="18"/>
  <c r="F356" i="18"/>
  <c r="F355" i="18"/>
  <c r="H355" i="18" s="1"/>
  <c r="F345" i="18"/>
  <c r="H345" i="18" s="1"/>
  <c r="F343" i="18"/>
  <c r="F337" i="18"/>
  <c r="F326" i="18"/>
  <c r="H326" i="18" s="1"/>
  <c r="F323" i="18"/>
  <c r="H323" i="18" s="1"/>
  <c r="F319" i="18"/>
  <c r="F312" i="18"/>
  <c r="F310" i="18"/>
  <c r="H310" i="18" s="1"/>
  <c r="F309" i="18"/>
  <c r="F307" i="18"/>
  <c r="F305" i="18"/>
  <c r="F303" i="18"/>
  <c r="H303" i="18" s="1"/>
  <c r="F301" i="18"/>
  <c r="H301" i="18" s="1"/>
  <c r="F300" i="18"/>
  <c r="H267" i="18"/>
  <c r="E267" i="18"/>
  <c r="G267" i="18" s="1"/>
  <c r="H266" i="18"/>
  <c r="E266" i="18"/>
  <c r="G266" i="18" s="1"/>
  <c r="H265" i="18"/>
  <c r="E265" i="18"/>
  <c r="G265" i="18" s="1"/>
  <c r="H264" i="18"/>
  <c r="E264" i="18"/>
  <c r="G264" i="18" s="1"/>
  <c r="H276" i="18"/>
  <c r="E276" i="18"/>
  <c r="G276" i="18" s="1"/>
  <c r="H277" i="18"/>
  <c r="E277" i="18"/>
  <c r="G277" i="18" s="1"/>
  <c r="H275" i="18"/>
  <c r="E275" i="18"/>
  <c r="G275" i="18" s="1"/>
  <c r="H274" i="18"/>
  <c r="E274" i="18"/>
  <c r="G274" i="18" s="1"/>
  <c r="H273" i="18"/>
  <c r="E273" i="18"/>
  <c r="G273" i="18" s="1"/>
  <c r="H272" i="18"/>
  <c r="E272" i="18"/>
  <c r="G272" i="18" s="1"/>
  <c r="H271" i="18"/>
  <c r="E271" i="18"/>
  <c r="G271" i="18" s="1"/>
  <c r="H270" i="18"/>
  <c r="E270" i="18"/>
  <c r="G270" i="18" s="1"/>
  <c r="H269" i="18"/>
  <c r="E269" i="18"/>
  <c r="G269" i="18" s="1"/>
  <c r="H268" i="18"/>
  <c r="E268" i="18"/>
  <c r="G268" i="18" s="1"/>
  <c r="H263" i="18"/>
  <c r="E263" i="18"/>
  <c r="G263" i="18" s="1"/>
  <c r="H262" i="18"/>
  <c r="E262" i="18"/>
  <c r="G262" i="18" s="1"/>
  <c r="H261" i="18"/>
  <c r="E261" i="18"/>
  <c r="G261" i="18" s="1"/>
  <c r="E288" i="18"/>
  <c r="G288" i="18" s="1"/>
  <c r="E279" i="18"/>
  <c r="G279" i="18" s="1"/>
  <c r="H279" i="18"/>
  <c r="E280" i="18"/>
  <c r="G280" i="18" s="1"/>
  <c r="H280" i="18"/>
  <c r="E281" i="18"/>
  <c r="G281" i="18" s="1"/>
  <c r="H281" i="18"/>
  <c r="E282" i="18"/>
  <c r="G282" i="18" s="1"/>
  <c r="H282" i="18"/>
  <c r="E283" i="18"/>
  <c r="G283" i="18" s="1"/>
  <c r="H283" i="18"/>
  <c r="E284" i="18"/>
  <c r="G284" i="18" s="1"/>
  <c r="H284" i="18"/>
  <c r="E285" i="18"/>
  <c r="G285" i="18" s="1"/>
  <c r="H285" i="18"/>
  <c r="E286" i="18"/>
  <c r="G286" i="18" s="1"/>
  <c r="H286" i="18"/>
  <c r="E287" i="18"/>
  <c r="G287" i="18" s="1"/>
  <c r="H287" i="18"/>
  <c r="H288" i="18"/>
  <c r="E289" i="18"/>
  <c r="G289" i="18" s="1"/>
  <c r="H289" i="18"/>
  <c r="E290" i="18"/>
  <c r="G290" i="18" s="1"/>
  <c r="H290" i="18"/>
  <c r="E291" i="18"/>
  <c r="G291" i="18" s="1"/>
  <c r="H291" i="18"/>
  <c r="E292" i="18"/>
  <c r="G292" i="18" s="1"/>
  <c r="H292" i="18"/>
  <c r="E293" i="18"/>
  <c r="G293" i="18" s="1"/>
  <c r="H293" i="18"/>
  <c r="E294" i="18"/>
  <c r="G294" i="18" s="1"/>
  <c r="H294" i="18"/>
  <c r="E295" i="18"/>
  <c r="G295" i="18" s="1"/>
  <c r="H295" i="18"/>
  <c r="E296" i="18"/>
  <c r="G296" i="18" s="1"/>
  <c r="H296" i="18"/>
  <c r="E297" i="18"/>
  <c r="G297" i="18" s="1"/>
  <c r="H297" i="18"/>
  <c r="E298" i="18"/>
  <c r="G298" i="18" s="1"/>
  <c r="H298" i="18"/>
  <c r="E299" i="18"/>
  <c r="G299" i="18" s="1"/>
  <c r="H299" i="18"/>
  <c r="E300" i="18"/>
  <c r="H300" i="18"/>
  <c r="E301" i="18"/>
  <c r="G301" i="18" s="1"/>
  <c r="E302" i="18"/>
  <c r="G302" i="18" s="1"/>
  <c r="H302" i="18"/>
  <c r="E303" i="18"/>
  <c r="E304" i="18"/>
  <c r="G304" i="18" s="1"/>
  <c r="H304" i="18"/>
  <c r="E305" i="18"/>
  <c r="G305" i="18" s="1"/>
  <c r="H305" i="18"/>
  <c r="E306" i="18"/>
  <c r="G306" i="18" s="1"/>
  <c r="H306" i="18"/>
  <c r="E307" i="18"/>
  <c r="G307" i="18" s="1"/>
  <c r="H307" i="18"/>
  <c r="E308" i="18"/>
  <c r="G308" i="18" s="1"/>
  <c r="H308" i="18"/>
  <c r="E309" i="18"/>
  <c r="H309" i="18"/>
  <c r="E310" i="18"/>
  <c r="E311" i="18"/>
  <c r="G311" i="18" s="1"/>
  <c r="H311" i="18"/>
  <c r="E312" i="18"/>
  <c r="G312" i="18" s="1"/>
  <c r="H312" i="18"/>
  <c r="E313" i="18"/>
  <c r="G313" i="18" s="1"/>
  <c r="H313" i="18"/>
  <c r="E314" i="18"/>
  <c r="G314" i="18" s="1"/>
  <c r="H314" i="18"/>
  <c r="E315" i="18"/>
  <c r="G315" i="18" s="1"/>
  <c r="H315" i="18"/>
  <c r="E316" i="18"/>
  <c r="G316" i="18" s="1"/>
  <c r="H316" i="18"/>
  <c r="E317" i="18"/>
  <c r="G317" i="18" s="1"/>
  <c r="H317" i="18"/>
  <c r="E318" i="18"/>
  <c r="G318" i="18" s="1"/>
  <c r="H318" i="18"/>
  <c r="E319" i="18"/>
  <c r="G319" i="18" s="1"/>
  <c r="H319" i="18"/>
  <c r="E320" i="18"/>
  <c r="G320" i="18" s="1"/>
  <c r="H320" i="18"/>
  <c r="E321" i="18"/>
  <c r="G321" i="18" s="1"/>
  <c r="H321" i="18"/>
  <c r="E322" i="18"/>
  <c r="G322" i="18" s="1"/>
  <c r="H322" i="18"/>
  <c r="E323" i="18"/>
  <c r="E324" i="18"/>
  <c r="G324" i="18" s="1"/>
  <c r="H324" i="18"/>
  <c r="E325" i="18"/>
  <c r="G325" i="18" s="1"/>
  <c r="H325" i="18"/>
  <c r="E326" i="18"/>
  <c r="E327" i="18"/>
  <c r="G327" i="18" s="1"/>
  <c r="H327" i="18"/>
  <c r="E328" i="18"/>
  <c r="G328" i="18" s="1"/>
  <c r="H328" i="18"/>
  <c r="E329" i="18"/>
  <c r="G329" i="18" s="1"/>
  <c r="H329" i="18"/>
  <c r="E330" i="18"/>
  <c r="G330" i="18" s="1"/>
  <c r="H330" i="18"/>
  <c r="E331" i="18"/>
  <c r="G331" i="18" s="1"/>
  <c r="H331" i="18"/>
  <c r="E332" i="18"/>
  <c r="G332" i="18" s="1"/>
  <c r="H332" i="18"/>
  <c r="E333" i="18"/>
  <c r="G333" i="18" s="1"/>
  <c r="H333" i="18"/>
  <c r="E334" i="18"/>
  <c r="G334" i="18" s="1"/>
  <c r="H334" i="18"/>
  <c r="E335" i="18"/>
  <c r="G335" i="18" s="1"/>
  <c r="H335" i="18"/>
  <c r="E336" i="18"/>
  <c r="G336" i="18" s="1"/>
  <c r="H336" i="18"/>
  <c r="E337" i="18"/>
  <c r="G337" i="18" s="1"/>
  <c r="H337" i="18"/>
  <c r="E338" i="18"/>
  <c r="G338" i="18" s="1"/>
  <c r="H338" i="18"/>
  <c r="E339" i="18"/>
  <c r="G339" i="18" s="1"/>
  <c r="H339" i="18"/>
  <c r="E340" i="18"/>
  <c r="G340" i="18" s="1"/>
  <c r="H340" i="18"/>
  <c r="E341" i="18"/>
  <c r="G341" i="18" s="1"/>
  <c r="H341" i="18"/>
  <c r="E342" i="18"/>
  <c r="G342" i="18" s="1"/>
  <c r="H342" i="18"/>
  <c r="E343" i="18"/>
  <c r="G343" i="18" s="1"/>
  <c r="H343" i="18"/>
  <c r="E344" i="18"/>
  <c r="G344" i="18" s="1"/>
  <c r="H344" i="18"/>
  <c r="E345" i="18"/>
  <c r="E346" i="18"/>
  <c r="G346" i="18" s="1"/>
  <c r="H346" i="18"/>
  <c r="E348" i="18"/>
  <c r="G348" i="18" s="1"/>
  <c r="H348" i="18"/>
  <c r="E349" i="18"/>
  <c r="G349" i="18" s="1"/>
  <c r="H349" i="18"/>
  <c r="E350" i="18"/>
  <c r="G350" i="18" s="1"/>
  <c r="H350" i="18"/>
  <c r="E351" i="18"/>
  <c r="G351" i="18" s="1"/>
  <c r="H351" i="18"/>
  <c r="E352" i="18"/>
  <c r="G352" i="18" s="1"/>
  <c r="H352" i="18"/>
  <c r="E353" i="18"/>
  <c r="G353" i="18" s="1"/>
  <c r="H353" i="18"/>
  <c r="E354" i="18"/>
  <c r="G354" i="18" s="1"/>
  <c r="H354" i="18"/>
  <c r="E355" i="18"/>
  <c r="E356" i="18"/>
  <c r="G356" i="18" s="1"/>
  <c r="H356" i="18"/>
  <c r="E357" i="18"/>
  <c r="G357" i="18" s="1"/>
  <c r="H357" i="18"/>
  <c r="E358" i="18"/>
  <c r="G358" i="18" s="1"/>
  <c r="H358" i="18"/>
  <c r="E359" i="18"/>
  <c r="E362" i="18"/>
  <c r="G362" i="18" s="1"/>
  <c r="H362" i="18"/>
  <c r="E363" i="18"/>
  <c r="G363" i="18" s="1"/>
  <c r="H363" i="18"/>
  <c r="E364" i="18"/>
  <c r="G364" i="18" s="1"/>
  <c r="H364" i="18"/>
  <c r="E365" i="18"/>
  <c r="G365" i="18" s="1"/>
  <c r="H365" i="18"/>
  <c r="E366" i="18"/>
  <c r="G366" i="18" s="1"/>
  <c r="H366" i="18"/>
  <c r="E367" i="18"/>
  <c r="G367" i="18" s="1"/>
  <c r="H367" i="18"/>
  <c r="E368" i="18"/>
  <c r="G368" i="18" s="1"/>
  <c r="H368" i="18"/>
  <c r="F145" i="18"/>
  <c r="H145" i="18" s="1"/>
  <c r="F143" i="18"/>
  <c r="H143" i="18" s="1"/>
  <c r="F138" i="18"/>
  <c r="H138" i="18" s="1"/>
  <c r="F137" i="18"/>
  <c r="H137" i="18" s="1"/>
  <c r="F136" i="18"/>
  <c r="H136" i="18" s="1"/>
  <c r="F121" i="18"/>
  <c r="H121" i="18" s="1"/>
  <c r="F120" i="18"/>
  <c r="H120" i="18" s="1"/>
  <c r="F111" i="18"/>
  <c r="H111" i="18" s="1"/>
  <c r="F109" i="18"/>
  <c r="H109" i="18" s="1"/>
  <c r="F105" i="18"/>
  <c r="H105" i="18" s="1"/>
  <c r="F99" i="18"/>
  <c r="H99" i="18" s="1"/>
  <c r="F98" i="18"/>
  <c r="F95" i="18"/>
  <c r="H95" i="18" s="1"/>
  <c r="F85" i="18"/>
  <c r="H85" i="18" s="1"/>
  <c r="F82" i="18"/>
  <c r="H82" i="18" s="1"/>
  <c r="F74" i="18"/>
  <c r="H74" i="18" s="1"/>
  <c r="F71" i="18"/>
  <c r="H71" i="18" s="1"/>
  <c r="F69" i="18"/>
  <c r="H69" i="18" s="1"/>
  <c r="F63" i="18"/>
  <c r="H63" i="18" s="1"/>
  <c r="F62" i="18"/>
  <c r="H62" i="18" s="1"/>
  <c r="F60" i="18"/>
  <c r="H60" i="18" s="1"/>
  <c r="F59" i="18"/>
  <c r="H59" i="18" s="1"/>
  <c r="F54" i="18"/>
  <c r="H54" i="18" s="1"/>
  <c r="F44" i="18"/>
  <c r="H44" i="18" s="1"/>
  <c r="F40" i="18"/>
  <c r="H40" i="18" s="1"/>
  <c r="F39" i="18"/>
  <c r="H39" i="18" s="1"/>
  <c r="F38" i="18"/>
  <c r="H38" i="18" s="1"/>
  <c r="F36" i="18"/>
  <c r="H36" i="18" s="1"/>
  <c r="F35" i="18"/>
  <c r="H35" i="18" s="1"/>
  <c r="F24" i="18"/>
  <c r="H24" i="18" s="1"/>
  <c r="F23" i="18"/>
  <c r="H23" i="18" s="1"/>
  <c r="F18" i="18"/>
  <c r="H18" i="18" s="1"/>
  <c r="F14" i="18"/>
  <c r="H14" i="18" s="1"/>
  <c r="F13" i="18"/>
  <c r="H13" i="18" s="1"/>
  <c r="F12" i="18"/>
  <c r="H12" i="18" s="1"/>
  <c r="F10" i="18"/>
  <c r="H10" i="18" s="1"/>
  <c r="F4" i="18"/>
  <c r="H4" i="18" s="1"/>
  <c r="F3" i="18"/>
  <c r="H3" i="18" s="1"/>
  <c r="C33" i="11"/>
  <c r="H278" i="18"/>
  <c r="E278" i="18"/>
  <c r="G278" i="18" s="1"/>
  <c r="H260" i="18"/>
  <c r="E260" i="18"/>
  <c r="G260" i="18" s="1"/>
  <c r="H259" i="18"/>
  <c r="E259" i="18"/>
  <c r="G259" i="18" s="1"/>
  <c r="H258" i="18"/>
  <c r="E258" i="18"/>
  <c r="G258" i="18" s="1"/>
  <c r="H257" i="18"/>
  <c r="E257" i="18"/>
  <c r="G257" i="18" s="1"/>
  <c r="H256" i="18"/>
  <c r="E256" i="18"/>
  <c r="G256" i="18" s="1"/>
  <c r="H255" i="18"/>
  <c r="E255" i="18"/>
  <c r="G255" i="18" s="1"/>
  <c r="H254" i="18"/>
  <c r="E254" i="18"/>
  <c r="G254" i="18" s="1"/>
  <c r="H253" i="18"/>
  <c r="E253" i="18"/>
  <c r="G253" i="18" s="1"/>
  <c r="H252" i="18"/>
  <c r="E252" i="18"/>
  <c r="G252" i="18" s="1"/>
  <c r="H251" i="18"/>
  <c r="E251" i="18"/>
  <c r="G251" i="18" s="1"/>
  <c r="H250" i="18"/>
  <c r="E250" i="18"/>
  <c r="G250" i="18" s="1"/>
  <c r="H249" i="18"/>
  <c r="E249" i="18"/>
  <c r="G249" i="18" s="1"/>
  <c r="H248" i="18"/>
  <c r="E248" i="18"/>
  <c r="G248" i="18" s="1"/>
  <c r="H247" i="18"/>
  <c r="E247" i="18"/>
  <c r="G247" i="18" s="1"/>
  <c r="H246" i="18"/>
  <c r="E246" i="18"/>
  <c r="G246" i="18" s="1"/>
  <c r="H245" i="18"/>
  <c r="E245" i="18"/>
  <c r="G245" i="18" s="1"/>
  <c r="H244" i="18"/>
  <c r="E244" i="18"/>
  <c r="G244" i="18" s="1"/>
  <c r="H243" i="18"/>
  <c r="E243" i="18"/>
  <c r="G243" i="18" s="1"/>
  <c r="H242" i="18"/>
  <c r="E242" i="18"/>
  <c r="G242" i="18" s="1"/>
  <c r="H241" i="18"/>
  <c r="E241" i="18"/>
  <c r="G241" i="18" s="1"/>
  <c r="H240" i="18"/>
  <c r="E240" i="18"/>
  <c r="G240" i="18" s="1"/>
  <c r="H239" i="18"/>
  <c r="E239" i="18"/>
  <c r="G239" i="18" s="1"/>
  <c r="H238" i="18"/>
  <c r="E238" i="18"/>
  <c r="G238" i="18" s="1"/>
  <c r="H237" i="18"/>
  <c r="E237" i="18"/>
  <c r="G237" i="18" s="1"/>
  <c r="H236" i="18"/>
  <c r="E236" i="18"/>
  <c r="G236" i="18" s="1"/>
  <c r="H235" i="18"/>
  <c r="E235" i="18"/>
  <c r="G235" i="18" s="1"/>
  <c r="H234" i="18"/>
  <c r="E234" i="18"/>
  <c r="G234" i="18" s="1"/>
  <c r="H233" i="18"/>
  <c r="E233" i="18"/>
  <c r="G233" i="18" s="1"/>
  <c r="H232" i="18"/>
  <c r="E232" i="18"/>
  <c r="G232" i="18" s="1"/>
  <c r="H231" i="18"/>
  <c r="E231" i="18"/>
  <c r="G231" i="18" s="1"/>
  <c r="H230" i="18"/>
  <c r="E230" i="18"/>
  <c r="G230" i="18" s="1"/>
  <c r="H229" i="18"/>
  <c r="E229" i="18"/>
  <c r="G229" i="18" s="1"/>
  <c r="H228" i="18"/>
  <c r="E228" i="18"/>
  <c r="G228" i="18" s="1"/>
  <c r="H227" i="18"/>
  <c r="E227" i="18"/>
  <c r="G227" i="18" s="1"/>
  <c r="H226" i="18"/>
  <c r="E226" i="18"/>
  <c r="G226" i="18" s="1"/>
  <c r="H225" i="18"/>
  <c r="E225" i="18"/>
  <c r="G225" i="18" s="1"/>
  <c r="H224" i="18"/>
  <c r="E224" i="18"/>
  <c r="G224" i="18" s="1"/>
  <c r="H223" i="18"/>
  <c r="E223" i="18"/>
  <c r="G223" i="18" s="1"/>
  <c r="H222" i="18"/>
  <c r="E222" i="18"/>
  <c r="G222" i="18" s="1"/>
  <c r="H221" i="18"/>
  <c r="E221" i="18"/>
  <c r="G221" i="18" s="1"/>
  <c r="H220" i="18"/>
  <c r="E220" i="18"/>
  <c r="G220" i="18" s="1"/>
  <c r="H219" i="18"/>
  <c r="E219" i="18"/>
  <c r="G219" i="18" s="1"/>
  <c r="H218" i="18"/>
  <c r="E218" i="18"/>
  <c r="G218" i="18" s="1"/>
  <c r="H217" i="18"/>
  <c r="E217" i="18"/>
  <c r="G217" i="18" s="1"/>
  <c r="H216" i="18"/>
  <c r="E216" i="18"/>
  <c r="G216" i="18" s="1"/>
  <c r="H215" i="18"/>
  <c r="E215" i="18"/>
  <c r="G215" i="18" s="1"/>
  <c r="H214" i="18"/>
  <c r="E214" i="18"/>
  <c r="G214" i="18" s="1"/>
  <c r="H213" i="18"/>
  <c r="E213" i="18"/>
  <c r="G213" i="18" s="1"/>
  <c r="H212" i="18"/>
  <c r="E212" i="18"/>
  <c r="G212" i="18" s="1"/>
  <c r="H211" i="18"/>
  <c r="E211" i="18"/>
  <c r="G211" i="18" s="1"/>
  <c r="H210" i="18"/>
  <c r="E210" i="18"/>
  <c r="G210" i="18" s="1"/>
  <c r="H209" i="18"/>
  <c r="E209" i="18"/>
  <c r="G209" i="18" s="1"/>
  <c r="H208" i="18"/>
  <c r="E208" i="18"/>
  <c r="G208" i="18" s="1"/>
  <c r="H207" i="18"/>
  <c r="E207" i="18"/>
  <c r="G207" i="18" s="1"/>
  <c r="H206" i="18"/>
  <c r="E206" i="18"/>
  <c r="G206" i="18" s="1"/>
  <c r="H205" i="18"/>
  <c r="E205" i="18"/>
  <c r="G205" i="18" s="1"/>
  <c r="H204" i="18"/>
  <c r="E204" i="18"/>
  <c r="G204" i="18" s="1"/>
  <c r="H203" i="18"/>
  <c r="E203" i="18"/>
  <c r="G203" i="18" s="1"/>
  <c r="H202" i="18"/>
  <c r="E202" i="18"/>
  <c r="G202" i="18" s="1"/>
  <c r="H201" i="18"/>
  <c r="E201" i="18"/>
  <c r="G201" i="18" s="1"/>
  <c r="H200" i="18"/>
  <c r="E200" i="18"/>
  <c r="G200" i="18" s="1"/>
  <c r="H199" i="18"/>
  <c r="E199" i="18"/>
  <c r="G199" i="18" s="1"/>
  <c r="H198" i="18"/>
  <c r="E198" i="18"/>
  <c r="G198" i="18" s="1"/>
  <c r="H197" i="18"/>
  <c r="E197" i="18"/>
  <c r="G197" i="18" s="1"/>
  <c r="H196" i="18"/>
  <c r="E196" i="18"/>
  <c r="G196" i="18" s="1"/>
  <c r="H195" i="18"/>
  <c r="E195" i="18"/>
  <c r="G195" i="18" s="1"/>
  <c r="H194" i="18"/>
  <c r="E194" i="18"/>
  <c r="G194" i="18" s="1"/>
  <c r="H193" i="18"/>
  <c r="E193" i="18"/>
  <c r="G193" i="18" s="1"/>
  <c r="H192" i="18"/>
  <c r="E192" i="18"/>
  <c r="G192" i="18" s="1"/>
  <c r="H191" i="18"/>
  <c r="E191" i="18"/>
  <c r="G191" i="18" s="1"/>
  <c r="H190" i="18"/>
  <c r="E190" i="18"/>
  <c r="G190" i="18" s="1"/>
  <c r="H189" i="18"/>
  <c r="E189" i="18"/>
  <c r="G189" i="18" s="1"/>
  <c r="H188" i="18"/>
  <c r="E188" i="18"/>
  <c r="G188" i="18" s="1"/>
  <c r="H187" i="18"/>
  <c r="E187" i="18"/>
  <c r="G187" i="18" s="1"/>
  <c r="H186" i="18"/>
  <c r="E186" i="18"/>
  <c r="G186" i="18" s="1"/>
  <c r="H185" i="18"/>
  <c r="E185" i="18"/>
  <c r="G185" i="18" s="1"/>
  <c r="H184" i="18"/>
  <c r="E184" i="18"/>
  <c r="G184" i="18" s="1"/>
  <c r="H183" i="18"/>
  <c r="E183" i="18"/>
  <c r="G183" i="18" s="1"/>
  <c r="H182" i="18"/>
  <c r="E182" i="18"/>
  <c r="G182" i="18" s="1"/>
  <c r="H181" i="18"/>
  <c r="E181" i="18"/>
  <c r="G181" i="18" s="1"/>
  <c r="H180" i="18"/>
  <c r="E180" i="18"/>
  <c r="G180" i="18" s="1"/>
  <c r="H179" i="18"/>
  <c r="E179" i="18"/>
  <c r="G179" i="18" s="1"/>
  <c r="H178" i="18"/>
  <c r="E178" i="18"/>
  <c r="G178" i="18" s="1"/>
  <c r="H177" i="18"/>
  <c r="E177" i="18"/>
  <c r="G177" i="18" s="1"/>
  <c r="H176" i="18"/>
  <c r="E176" i="18"/>
  <c r="G176" i="18" s="1"/>
  <c r="H175" i="18"/>
  <c r="E175" i="18"/>
  <c r="G175" i="18" s="1"/>
  <c r="H174" i="18"/>
  <c r="E174" i="18"/>
  <c r="G174" i="18" s="1"/>
  <c r="H173" i="18"/>
  <c r="E173" i="18"/>
  <c r="G173" i="18" s="1"/>
  <c r="H172" i="18"/>
  <c r="E172" i="18"/>
  <c r="G172" i="18" s="1"/>
  <c r="H171" i="18"/>
  <c r="E171" i="18"/>
  <c r="G171" i="18" s="1"/>
  <c r="H170" i="18"/>
  <c r="E170" i="18"/>
  <c r="G170" i="18" s="1"/>
  <c r="H169" i="18"/>
  <c r="E169" i="18"/>
  <c r="G169" i="18" s="1"/>
  <c r="H168" i="18"/>
  <c r="E168" i="18"/>
  <c r="G168" i="18" s="1"/>
  <c r="H167" i="18"/>
  <c r="E167" i="18"/>
  <c r="G167" i="18" s="1"/>
  <c r="H166" i="18"/>
  <c r="E166" i="18"/>
  <c r="G166" i="18" s="1"/>
  <c r="H165" i="18"/>
  <c r="E165" i="18"/>
  <c r="G165" i="18" s="1"/>
  <c r="H164" i="18"/>
  <c r="E164" i="18"/>
  <c r="G164" i="18" s="1"/>
  <c r="H163" i="18"/>
  <c r="E163" i="18"/>
  <c r="G163" i="18" s="1"/>
  <c r="H162" i="18"/>
  <c r="E162" i="18"/>
  <c r="G162" i="18" s="1"/>
  <c r="H161" i="18"/>
  <c r="E161" i="18"/>
  <c r="G161" i="18" s="1"/>
  <c r="H160" i="18"/>
  <c r="E160" i="18"/>
  <c r="G160" i="18" s="1"/>
  <c r="H159" i="18"/>
  <c r="E159" i="18"/>
  <c r="G159" i="18" s="1"/>
  <c r="H158" i="18"/>
  <c r="E158" i="18"/>
  <c r="G158" i="18" s="1"/>
  <c r="H157" i="18"/>
  <c r="E157" i="18"/>
  <c r="G157" i="18" s="1"/>
  <c r="H156" i="18"/>
  <c r="E156" i="18"/>
  <c r="G156" i="18" s="1"/>
  <c r="H155" i="18"/>
  <c r="E155" i="18"/>
  <c r="G155" i="18" s="1"/>
  <c r="H154" i="18"/>
  <c r="E154" i="18"/>
  <c r="G154" i="18" s="1"/>
  <c r="H153" i="18"/>
  <c r="E153" i="18"/>
  <c r="G153" i="18" s="1"/>
  <c r="H152" i="18"/>
  <c r="E152" i="18"/>
  <c r="G152" i="18" s="1"/>
  <c r="H151" i="18"/>
  <c r="E151" i="18"/>
  <c r="G151" i="18" s="1"/>
  <c r="H150" i="18"/>
  <c r="E150" i="18"/>
  <c r="G150" i="18" s="1"/>
  <c r="H149" i="18"/>
  <c r="E149" i="18"/>
  <c r="G149" i="18" s="1"/>
  <c r="H148" i="18"/>
  <c r="E148" i="18"/>
  <c r="G148" i="18" s="1"/>
  <c r="H147" i="18"/>
  <c r="E147" i="18"/>
  <c r="G147" i="18" s="1"/>
  <c r="H146" i="18"/>
  <c r="E146" i="18"/>
  <c r="G146" i="18" s="1"/>
  <c r="E145" i="18"/>
  <c r="H144" i="18"/>
  <c r="E144" i="18"/>
  <c r="G144" i="18" s="1"/>
  <c r="E143" i="18"/>
  <c r="H142" i="18"/>
  <c r="E142" i="18"/>
  <c r="G142" i="18" s="1"/>
  <c r="H141" i="18"/>
  <c r="E141" i="18"/>
  <c r="G141" i="18" s="1"/>
  <c r="H140" i="18"/>
  <c r="E140" i="18"/>
  <c r="G140" i="18" s="1"/>
  <c r="H139" i="18"/>
  <c r="E139" i="18"/>
  <c r="G139" i="18" s="1"/>
  <c r="E138" i="18"/>
  <c r="E137" i="18"/>
  <c r="E136" i="18"/>
  <c r="H135" i="18"/>
  <c r="E135" i="18"/>
  <c r="G135" i="18" s="1"/>
  <c r="H134" i="18"/>
  <c r="E134" i="18"/>
  <c r="G134" i="18" s="1"/>
  <c r="H133" i="18"/>
  <c r="E133" i="18"/>
  <c r="G133" i="18" s="1"/>
  <c r="H132" i="18"/>
  <c r="E132" i="18"/>
  <c r="G132" i="18" s="1"/>
  <c r="H131" i="18"/>
  <c r="E131" i="18"/>
  <c r="G131" i="18" s="1"/>
  <c r="H130" i="18"/>
  <c r="E130" i="18"/>
  <c r="G130" i="18" s="1"/>
  <c r="H129" i="18"/>
  <c r="E129" i="18"/>
  <c r="G129" i="18" s="1"/>
  <c r="H128" i="18"/>
  <c r="E128" i="18"/>
  <c r="G128" i="18" s="1"/>
  <c r="H127" i="18"/>
  <c r="E127" i="18"/>
  <c r="G127" i="18" s="1"/>
  <c r="H126" i="18"/>
  <c r="E126" i="18"/>
  <c r="G126" i="18" s="1"/>
  <c r="H125" i="18"/>
  <c r="E125" i="18"/>
  <c r="G125" i="18" s="1"/>
  <c r="H124" i="18"/>
  <c r="E124" i="18"/>
  <c r="G124" i="18" s="1"/>
  <c r="H123" i="18"/>
  <c r="E123" i="18"/>
  <c r="G123" i="18" s="1"/>
  <c r="H122" i="18"/>
  <c r="E122" i="18"/>
  <c r="G122" i="18" s="1"/>
  <c r="E121" i="18"/>
  <c r="E120" i="18"/>
  <c r="H119" i="18"/>
  <c r="E119" i="18"/>
  <c r="G119" i="18" s="1"/>
  <c r="H118" i="18"/>
  <c r="E118" i="18"/>
  <c r="G118" i="18" s="1"/>
  <c r="H117" i="18"/>
  <c r="E117" i="18"/>
  <c r="G117" i="18" s="1"/>
  <c r="H116" i="18"/>
  <c r="E116" i="18"/>
  <c r="G116" i="18" s="1"/>
  <c r="H115" i="18"/>
  <c r="E115" i="18"/>
  <c r="G115" i="18" s="1"/>
  <c r="H114" i="18"/>
  <c r="E114" i="18"/>
  <c r="G114" i="18" s="1"/>
  <c r="H113" i="18"/>
  <c r="E113" i="18"/>
  <c r="G113" i="18" s="1"/>
  <c r="H112" i="18"/>
  <c r="E112" i="18"/>
  <c r="G112" i="18" s="1"/>
  <c r="E111" i="18"/>
  <c r="H110" i="18"/>
  <c r="E110" i="18"/>
  <c r="G110" i="18" s="1"/>
  <c r="E109" i="18"/>
  <c r="H108" i="18"/>
  <c r="E108" i="18"/>
  <c r="G108" i="18" s="1"/>
  <c r="H107" i="18"/>
  <c r="E107" i="18"/>
  <c r="G107" i="18" s="1"/>
  <c r="H106" i="18"/>
  <c r="E106" i="18"/>
  <c r="G106" i="18" s="1"/>
  <c r="E105" i="18"/>
  <c r="H104" i="18"/>
  <c r="E104" i="18"/>
  <c r="G104" i="18" s="1"/>
  <c r="H103" i="18"/>
  <c r="E103" i="18"/>
  <c r="G103" i="18" s="1"/>
  <c r="H102" i="18"/>
  <c r="E102" i="18"/>
  <c r="G102" i="18" s="1"/>
  <c r="H101" i="18"/>
  <c r="E101" i="18"/>
  <c r="G101" i="18" s="1"/>
  <c r="H100" i="18"/>
  <c r="E100" i="18"/>
  <c r="G100" i="18" s="1"/>
  <c r="E99" i="18"/>
  <c r="E98" i="18"/>
  <c r="H97" i="18"/>
  <c r="E97" i="18"/>
  <c r="G97" i="18" s="1"/>
  <c r="H96" i="18"/>
  <c r="E96" i="18"/>
  <c r="G96" i="18" s="1"/>
  <c r="E95" i="18"/>
  <c r="H94" i="18"/>
  <c r="E94" i="18"/>
  <c r="G94" i="18" s="1"/>
  <c r="H93" i="18"/>
  <c r="E93" i="18"/>
  <c r="G93" i="18" s="1"/>
  <c r="H92" i="18"/>
  <c r="E92" i="18"/>
  <c r="G92" i="18" s="1"/>
  <c r="H91" i="18"/>
  <c r="E91" i="18"/>
  <c r="G91" i="18" s="1"/>
  <c r="H90" i="18"/>
  <c r="E90" i="18"/>
  <c r="G90" i="18" s="1"/>
  <c r="H89" i="18"/>
  <c r="E89" i="18"/>
  <c r="G89" i="18" s="1"/>
  <c r="H88" i="18"/>
  <c r="E88" i="18"/>
  <c r="G88" i="18" s="1"/>
  <c r="H87" i="18"/>
  <c r="E87" i="18"/>
  <c r="G87" i="18" s="1"/>
  <c r="H86" i="18"/>
  <c r="E86" i="18"/>
  <c r="G86" i="18" s="1"/>
  <c r="E85" i="18"/>
  <c r="H84" i="18"/>
  <c r="E84" i="18"/>
  <c r="G84" i="18" s="1"/>
  <c r="H83" i="18"/>
  <c r="E83" i="18"/>
  <c r="G83" i="18" s="1"/>
  <c r="E82" i="18"/>
  <c r="H81" i="18"/>
  <c r="E81" i="18"/>
  <c r="G81" i="18" s="1"/>
  <c r="H80" i="18"/>
  <c r="E80" i="18"/>
  <c r="G80" i="18" s="1"/>
  <c r="H79" i="18"/>
  <c r="E79" i="18"/>
  <c r="G79" i="18" s="1"/>
  <c r="H78" i="18"/>
  <c r="E78" i="18"/>
  <c r="G78" i="18" s="1"/>
  <c r="H77" i="18"/>
  <c r="E77" i="18"/>
  <c r="G77" i="18" s="1"/>
  <c r="H76" i="18"/>
  <c r="E76" i="18"/>
  <c r="G76" i="18" s="1"/>
  <c r="H75" i="18"/>
  <c r="E75" i="18"/>
  <c r="G75" i="18" s="1"/>
  <c r="E74" i="18"/>
  <c r="H73" i="18"/>
  <c r="E73" i="18"/>
  <c r="G73" i="18" s="1"/>
  <c r="H72" i="18"/>
  <c r="E72" i="18"/>
  <c r="G72" i="18" s="1"/>
  <c r="E71" i="18"/>
  <c r="H70" i="18"/>
  <c r="E70" i="18"/>
  <c r="G70" i="18" s="1"/>
  <c r="E69" i="18"/>
  <c r="H68" i="18"/>
  <c r="E68" i="18"/>
  <c r="G68" i="18" s="1"/>
  <c r="H67" i="18"/>
  <c r="E67" i="18"/>
  <c r="G67" i="18" s="1"/>
  <c r="H66" i="18"/>
  <c r="E66" i="18"/>
  <c r="G66" i="18" s="1"/>
  <c r="H65" i="18"/>
  <c r="E65" i="18"/>
  <c r="G65" i="18" s="1"/>
  <c r="H64" i="18"/>
  <c r="E64" i="18"/>
  <c r="G64" i="18" s="1"/>
  <c r="E63" i="18"/>
  <c r="E62" i="18"/>
  <c r="H61" i="18"/>
  <c r="E61" i="18"/>
  <c r="G61" i="18" s="1"/>
  <c r="E60" i="18"/>
  <c r="E59" i="18"/>
  <c r="H58" i="18"/>
  <c r="E58" i="18"/>
  <c r="G58" i="18" s="1"/>
  <c r="H57" i="18"/>
  <c r="E57" i="18"/>
  <c r="G57" i="18" s="1"/>
  <c r="H56" i="18"/>
  <c r="E56" i="18"/>
  <c r="G56" i="18" s="1"/>
  <c r="H55" i="18"/>
  <c r="E55" i="18"/>
  <c r="G55" i="18" s="1"/>
  <c r="E54" i="18"/>
  <c r="H53" i="18"/>
  <c r="E53" i="18"/>
  <c r="G53" i="18" s="1"/>
  <c r="H52" i="18"/>
  <c r="E52" i="18"/>
  <c r="G52" i="18" s="1"/>
  <c r="H51" i="18"/>
  <c r="E51" i="18"/>
  <c r="G51" i="18" s="1"/>
  <c r="H50" i="18"/>
  <c r="E50" i="18"/>
  <c r="G50" i="18" s="1"/>
  <c r="H49" i="18"/>
  <c r="E49" i="18"/>
  <c r="G49" i="18" s="1"/>
  <c r="H48" i="18"/>
  <c r="E48" i="18"/>
  <c r="G48" i="18" s="1"/>
  <c r="H47" i="18"/>
  <c r="E47" i="18"/>
  <c r="G47" i="18" s="1"/>
  <c r="H46" i="18"/>
  <c r="E46" i="18"/>
  <c r="G46" i="18" s="1"/>
  <c r="H45" i="18"/>
  <c r="E45" i="18"/>
  <c r="G45" i="18" s="1"/>
  <c r="E44" i="18"/>
  <c r="H43" i="18"/>
  <c r="E43" i="18"/>
  <c r="G43" i="18" s="1"/>
  <c r="H42" i="18"/>
  <c r="E42" i="18"/>
  <c r="G42" i="18" s="1"/>
  <c r="H41" i="18"/>
  <c r="E41" i="18"/>
  <c r="G41" i="18" s="1"/>
  <c r="E40" i="18"/>
  <c r="E39" i="18"/>
  <c r="E38" i="18"/>
  <c r="H37" i="18"/>
  <c r="E37" i="18"/>
  <c r="G37" i="18" s="1"/>
  <c r="E36" i="18"/>
  <c r="E35" i="18"/>
  <c r="H34" i="18"/>
  <c r="E34" i="18"/>
  <c r="G34" i="18" s="1"/>
  <c r="H33" i="18"/>
  <c r="E33" i="18"/>
  <c r="G33" i="18" s="1"/>
  <c r="H32" i="18"/>
  <c r="E32" i="18"/>
  <c r="G32" i="18" s="1"/>
  <c r="H31" i="18"/>
  <c r="E31" i="18"/>
  <c r="G31" i="18" s="1"/>
  <c r="H30" i="18"/>
  <c r="E30" i="18"/>
  <c r="G30" i="18" s="1"/>
  <c r="H29" i="18"/>
  <c r="E29" i="18"/>
  <c r="G29" i="18" s="1"/>
  <c r="H28" i="18"/>
  <c r="E28" i="18"/>
  <c r="G28" i="18" s="1"/>
  <c r="H27" i="18"/>
  <c r="E27" i="18"/>
  <c r="G27" i="18" s="1"/>
  <c r="H26" i="18"/>
  <c r="E26" i="18"/>
  <c r="G26" i="18" s="1"/>
  <c r="H25" i="18"/>
  <c r="E25" i="18"/>
  <c r="G25" i="18" s="1"/>
  <c r="E24" i="18"/>
  <c r="E23" i="18"/>
  <c r="H22" i="18"/>
  <c r="E22" i="18"/>
  <c r="G22" i="18" s="1"/>
  <c r="H21" i="18"/>
  <c r="E21" i="18"/>
  <c r="G21" i="18" s="1"/>
  <c r="H20" i="18"/>
  <c r="E20" i="18"/>
  <c r="G20" i="18" s="1"/>
  <c r="H19" i="18"/>
  <c r="E19" i="18"/>
  <c r="G19" i="18" s="1"/>
  <c r="E18" i="18"/>
  <c r="H17" i="18"/>
  <c r="E17" i="18"/>
  <c r="G17" i="18" s="1"/>
  <c r="H16" i="18"/>
  <c r="E16" i="18"/>
  <c r="G16" i="18" s="1"/>
  <c r="H15" i="18"/>
  <c r="E15" i="18"/>
  <c r="G15" i="18" s="1"/>
  <c r="E14" i="18"/>
  <c r="E13" i="18"/>
  <c r="E12" i="18"/>
  <c r="H11" i="18"/>
  <c r="E11" i="18"/>
  <c r="G11" i="18" s="1"/>
  <c r="E10" i="18"/>
  <c r="H9" i="18"/>
  <c r="E9" i="18"/>
  <c r="G9" i="18" s="1"/>
  <c r="H8" i="18"/>
  <c r="E8" i="18"/>
  <c r="G8" i="18" s="1"/>
  <c r="H7" i="18"/>
  <c r="E7" i="18"/>
  <c r="G7" i="18" s="1"/>
  <c r="H6" i="18"/>
  <c r="E6" i="18"/>
  <c r="G6" i="18" s="1"/>
  <c r="H5" i="18"/>
  <c r="E5" i="18"/>
  <c r="G5" i="18" s="1"/>
  <c r="E4" i="18"/>
  <c r="E3" i="18"/>
  <c r="J101" i="8"/>
  <c r="Q18" i="17"/>
  <c r="Q23" i="17"/>
  <c r="Q26" i="17"/>
  <c r="Q13" i="17"/>
  <c r="V123" i="8"/>
  <c r="W123" i="8" s="1"/>
  <c r="V122" i="8"/>
  <c r="W122" i="8" s="1"/>
  <c r="V121" i="8"/>
  <c r="W121" i="8" s="1"/>
  <c r="V120" i="8"/>
  <c r="W120" i="8" s="1"/>
  <c r="V119" i="8"/>
  <c r="W119" i="8" s="1"/>
  <c r="M92" i="8"/>
  <c r="X13" i="17"/>
  <c r="X68" i="17"/>
  <c r="W13" i="17"/>
  <c r="D46" i="5"/>
  <c r="D35" i="11"/>
  <c r="H263" i="17"/>
  <c r="G263" i="17"/>
  <c r="H262" i="17"/>
  <c r="G262" i="17"/>
  <c r="H261" i="17"/>
  <c r="G261" i="17"/>
  <c r="H260" i="17"/>
  <c r="G260" i="17"/>
  <c r="E263" i="17"/>
  <c r="E262" i="17"/>
  <c r="E261" i="17"/>
  <c r="E260" i="17"/>
  <c r="M84" i="8"/>
  <c r="M18" i="8"/>
  <c r="M17" i="8"/>
  <c r="M16" i="8"/>
  <c r="M114" i="8"/>
  <c r="M106" i="8"/>
  <c r="M102" i="8"/>
  <c r="M101" i="8"/>
  <c r="M97" i="8"/>
  <c r="M93" i="8"/>
  <c r="M88" i="8"/>
  <c r="M87" i="8"/>
  <c r="M83" i="8"/>
  <c r="M82" i="8"/>
  <c r="M81" i="8"/>
  <c r="M80" i="8"/>
  <c r="M79" i="8"/>
  <c r="M75" i="8"/>
  <c r="M74" i="8"/>
  <c r="M70" i="8"/>
  <c r="M69" i="8"/>
  <c r="M68" i="8"/>
  <c r="M67" i="8"/>
  <c r="M65" i="8"/>
  <c r="M63" i="8"/>
  <c r="M60" i="8"/>
  <c r="M56" i="8"/>
  <c r="M55" i="8"/>
  <c r="M52" i="8"/>
  <c r="M50" i="8"/>
  <c r="M48" i="8"/>
  <c r="M46" i="8"/>
  <c r="M44" i="8"/>
  <c r="M43" i="8"/>
  <c r="M41" i="8"/>
  <c r="M37" i="8"/>
  <c r="M32" i="8"/>
  <c r="M24" i="8"/>
  <c r="M14" i="8"/>
  <c r="M9" i="8"/>
  <c r="M8" i="8"/>
  <c r="M7" i="8"/>
  <c r="M4" i="8"/>
  <c r="W68" i="17"/>
  <c r="X67" i="17"/>
  <c r="X66" i="17"/>
  <c r="X65" i="17"/>
  <c r="X64" i="17"/>
  <c r="X63" i="17"/>
  <c r="X62" i="17"/>
  <c r="X61" i="17"/>
  <c r="X60" i="17"/>
  <c r="X59" i="17"/>
  <c r="X58" i="17"/>
  <c r="X57" i="17"/>
  <c r="X56" i="17"/>
  <c r="X55" i="17"/>
  <c r="X54" i="17"/>
  <c r="X53" i="17"/>
  <c r="X52" i="17"/>
  <c r="X51" i="17"/>
  <c r="X50" i="17"/>
  <c r="X49" i="17"/>
  <c r="X48" i="17"/>
  <c r="X47" i="17"/>
  <c r="X46" i="17"/>
  <c r="X45" i="17"/>
  <c r="X44" i="17"/>
  <c r="X43" i="17"/>
  <c r="X42" i="17"/>
  <c r="X41" i="17"/>
  <c r="X40" i="17"/>
  <c r="X39" i="17"/>
  <c r="X38" i="17"/>
  <c r="X37" i="17"/>
  <c r="X36" i="17"/>
  <c r="X35" i="17"/>
  <c r="X34" i="17"/>
  <c r="X33" i="17"/>
  <c r="X32" i="17"/>
  <c r="X31" i="17"/>
  <c r="X30" i="17"/>
  <c r="X29" i="17"/>
  <c r="X28" i="17"/>
  <c r="X27" i="17"/>
  <c r="X26" i="17"/>
  <c r="X25" i="17"/>
  <c r="X24" i="17"/>
  <c r="X23" i="17"/>
  <c r="X21" i="17"/>
  <c r="X20" i="17"/>
  <c r="X19" i="17"/>
  <c r="X18" i="17"/>
  <c r="X17" i="17"/>
  <c r="X16" i="17"/>
  <c r="X15" i="17"/>
  <c r="X14" i="17"/>
  <c r="X12" i="17"/>
  <c r="X11" i="17"/>
  <c r="X10" i="17"/>
  <c r="X9" i="17"/>
  <c r="X8" i="17"/>
  <c r="X6" i="17"/>
  <c r="X5" i="17"/>
  <c r="X4" i="17"/>
  <c r="Q67" i="17"/>
  <c r="Q66" i="17"/>
  <c r="Q64" i="17"/>
  <c r="Q63" i="17"/>
  <c r="Q62" i="17"/>
  <c r="Q61" i="17"/>
  <c r="Q60" i="17"/>
  <c r="Q59" i="17"/>
  <c r="Q58" i="17"/>
  <c r="Q57" i="17"/>
  <c r="Q56" i="17"/>
  <c r="Q55" i="17"/>
  <c r="Q54" i="17"/>
  <c r="Q53" i="17"/>
  <c r="Q52" i="17"/>
  <c r="Q51" i="17"/>
  <c r="Q50" i="17"/>
  <c r="Q49" i="17"/>
  <c r="Q48" i="17"/>
  <c r="Q47" i="17"/>
  <c r="Q46" i="17"/>
  <c r="Q45" i="17"/>
  <c r="Q44" i="17"/>
  <c r="Q43" i="17"/>
  <c r="Q41" i="17"/>
  <c r="Q40" i="17"/>
  <c r="Q38" i="17"/>
  <c r="Q37" i="17"/>
  <c r="Q36" i="17"/>
  <c r="Q34" i="17"/>
  <c r="Q33" i="17"/>
  <c r="Q32" i="17"/>
  <c r="Q31" i="17"/>
  <c r="Q30" i="17"/>
  <c r="Q28" i="17"/>
  <c r="Q27" i="17"/>
  <c r="Q25" i="17"/>
  <c r="Q24" i="17"/>
  <c r="Q21" i="17"/>
  <c r="Q20" i="17"/>
  <c r="Q17" i="17"/>
  <c r="Q16" i="17"/>
  <c r="Q12" i="17"/>
  <c r="Q11" i="17"/>
  <c r="Q9" i="17"/>
  <c r="Q8" i="17"/>
  <c r="Q7" i="17"/>
  <c r="Q6" i="17"/>
  <c r="Q5" i="17"/>
  <c r="Q4" i="17"/>
  <c r="P67" i="17"/>
  <c r="P66" i="17"/>
  <c r="P65" i="17"/>
  <c r="R65" i="17" s="1"/>
  <c r="P64" i="17"/>
  <c r="P63" i="17"/>
  <c r="P62" i="17"/>
  <c r="P61" i="17"/>
  <c r="R61" i="17" s="1"/>
  <c r="P60" i="17"/>
  <c r="P59" i="17"/>
  <c r="P58" i="17"/>
  <c r="P57" i="17"/>
  <c r="R57" i="17" s="1"/>
  <c r="P56" i="17"/>
  <c r="P55" i="17"/>
  <c r="P54" i="17"/>
  <c r="P53" i="17"/>
  <c r="R53" i="17" s="1"/>
  <c r="P52" i="17"/>
  <c r="P51" i="17"/>
  <c r="P50" i="17"/>
  <c r="P49" i="17"/>
  <c r="R49" i="17" s="1"/>
  <c r="P48" i="17"/>
  <c r="P47" i="17"/>
  <c r="P46" i="17"/>
  <c r="P45" i="17"/>
  <c r="R45" i="17" s="1"/>
  <c r="P44" i="17"/>
  <c r="P43" i="17"/>
  <c r="P42" i="17"/>
  <c r="P41" i="17"/>
  <c r="R41" i="17" s="1"/>
  <c r="P40" i="17"/>
  <c r="P39" i="17"/>
  <c r="P38" i="17"/>
  <c r="P37" i="17"/>
  <c r="P36" i="17"/>
  <c r="P35" i="17"/>
  <c r="P34" i="17"/>
  <c r="P33" i="17"/>
  <c r="R33" i="17" s="1"/>
  <c r="P32" i="17"/>
  <c r="P31" i="17"/>
  <c r="P30" i="17"/>
  <c r="P29" i="17"/>
  <c r="P28" i="17"/>
  <c r="P27" i="17"/>
  <c r="P26" i="17"/>
  <c r="P25" i="17"/>
  <c r="R25" i="17" s="1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9" i="17"/>
  <c r="P8" i="17"/>
  <c r="P7" i="17"/>
  <c r="R7" i="17" s="1"/>
  <c r="P6" i="17"/>
  <c r="P5" i="17"/>
  <c r="R5" i="17" s="1"/>
  <c r="P4" i="17"/>
  <c r="F265" i="17"/>
  <c r="F256" i="17"/>
  <c r="F253" i="17"/>
  <c r="H253" i="17" s="1"/>
  <c r="F251" i="17"/>
  <c r="F245" i="17"/>
  <c r="H245" i="17" s="1"/>
  <c r="H265" i="17"/>
  <c r="E265" i="17"/>
  <c r="H264" i="17"/>
  <c r="E264" i="17"/>
  <c r="G264" i="17" s="1"/>
  <c r="H259" i="17"/>
  <c r="E259" i="17"/>
  <c r="G259" i="17" s="1"/>
  <c r="H258" i="17"/>
  <c r="E258" i="17"/>
  <c r="G258" i="17" s="1"/>
  <c r="H257" i="17"/>
  <c r="E257" i="17"/>
  <c r="G257" i="17" s="1"/>
  <c r="H256" i="17"/>
  <c r="E256" i="17"/>
  <c r="H255" i="17"/>
  <c r="E255" i="17"/>
  <c r="G255" i="17" s="1"/>
  <c r="H254" i="17"/>
  <c r="E254" i="17"/>
  <c r="G254" i="17" s="1"/>
  <c r="E253" i="17"/>
  <c r="H252" i="17"/>
  <c r="E252" i="17"/>
  <c r="G252" i="17" s="1"/>
  <c r="H251" i="17"/>
  <c r="E251" i="17"/>
  <c r="H250" i="17"/>
  <c r="E250" i="17"/>
  <c r="G250" i="17" s="1"/>
  <c r="H249" i="17"/>
  <c r="E249" i="17"/>
  <c r="G249" i="17" s="1"/>
  <c r="H248" i="17"/>
  <c r="E248" i="17"/>
  <c r="G248" i="17" s="1"/>
  <c r="H247" i="17"/>
  <c r="E247" i="17"/>
  <c r="G247" i="17" s="1"/>
  <c r="H246" i="17"/>
  <c r="E246" i="17"/>
  <c r="G246" i="17" s="1"/>
  <c r="E245" i="17"/>
  <c r="G245" i="17" s="1"/>
  <c r="H244" i="17"/>
  <c r="E244" i="17"/>
  <c r="G244" i="17" s="1"/>
  <c r="H243" i="17"/>
  <c r="E243" i="17"/>
  <c r="G243" i="17" s="1"/>
  <c r="F226" i="17"/>
  <c r="H226" i="17" s="1"/>
  <c r="F223" i="17"/>
  <c r="H223" i="17" s="1"/>
  <c r="F221" i="17"/>
  <c r="F199" i="17"/>
  <c r="H199" i="17" s="1"/>
  <c r="F184" i="17"/>
  <c r="H184" i="17" s="1"/>
  <c r="F173" i="17"/>
  <c r="F158" i="17"/>
  <c r="H158" i="17" s="1"/>
  <c r="F148" i="17"/>
  <c r="F141" i="17"/>
  <c r="H141" i="17" s="1"/>
  <c r="F140" i="17"/>
  <c r="H140" i="17" s="1"/>
  <c r="F135" i="17"/>
  <c r="H135" i="17" s="1"/>
  <c r="F131" i="17"/>
  <c r="F129" i="17"/>
  <c r="H129" i="17" s="1"/>
  <c r="F123" i="17"/>
  <c r="F120" i="17"/>
  <c r="H120" i="17" s="1"/>
  <c r="F119" i="17"/>
  <c r="F118" i="17"/>
  <c r="Q42" i="17" s="1"/>
  <c r="F117" i="17"/>
  <c r="F116" i="17"/>
  <c r="Q39" i="17" s="1"/>
  <c r="F113" i="17"/>
  <c r="F82" i="17"/>
  <c r="H82" i="17" s="1"/>
  <c r="F76" i="17"/>
  <c r="H76" i="17" s="1"/>
  <c r="F63" i="17"/>
  <c r="H63" i="17" s="1"/>
  <c r="F61" i="17"/>
  <c r="F60" i="17"/>
  <c r="F58" i="17"/>
  <c r="H58" i="17" s="1"/>
  <c r="F51" i="17"/>
  <c r="F33" i="17"/>
  <c r="F32" i="17"/>
  <c r="F31" i="17"/>
  <c r="Q29" i="17" s="1"/>
  <c r="F29" i="17"/>
  <c r="H29" i="17" s="1"/>
  <c r="F26" i="17"/>
  <c r="F22" i="17"/>
  <c r="H22" i="17" s="1"/>
  <c r="F21" i="17"/>
  <c r="F18" i="17"/>
  <c r="F17" i="17"/>
  <c r="Q14" i="17" s="1"/>
  <c r="F16" i="17"/>
  <c r="H16" i="17" s="1"/>
  <c r="F15" i="17"/>
  <c r="F7" i="17"/>
  <c r="H7" i="17" s="1"/>
  <c r="F5" i="17"/>
  <c r="F4" i="17"/>
  <c r="H4" i="17" s="1"/>
  <c r="H242" i="17"/>
  <c r="E242" i="17"/>
  <c r="G242" i="17" s="1"/>
  <c r="H241" i="17"/>
  <c r="E241" i="17"/>
  <c r="G241" i="17" s="1"/>
  <c r="H240" i="17"/>
  <c r="E240" i="17"/>
  <c r="G240" i="17" s="1"/>
  <c r="H239" i="17"/>
  <c r="E239" i="17"/>
  <c r="G239" i="17" s="1"/>
  <c r="H238" i="17"/>
  <c r="E238" i="17"/>
  <c r="G238" i="17" s="1"/>
  <c r="H237" i="17"/>
  <c r="E237" i="17"/>
  <c r="G237" i="17" s="1"/>
  <c r="H236" i="17"/>
  <c r="E236" i="17"/>
  <c r="G236" i="17" s="1"/>
  <c r="H235" i="17"/>
  <c r="E235" i="17"/>
  <c r="G235" i="17" s="1"/>
  <c r="H234" i="17"/>
  <c r="E234" i="17"/>
  <c r="G234" i="17" s="1"/>
  <c r="H233" i="17"/>
  <c r="E233" i="17"/>
  <c r="G233" i="17" s="1"/>
  <c r="H232" i="17"/>
  <c r="E232" i="17"/>
  <c r="G232" i="17" s="1"/>
  <c r="H231" i="17"/>
  <c r="E231" i="17"/>
  <c r="G231" i="17" s="1"/>
  <c r="H230" i="17"/>
  <c r="E230" i="17"/>
  <c r="G230" i="17" s="1"/>
  <c r="H229" i="17"/>
  <c r="E229" i="17"/>
  <c r="G229" i="17" s="1"/>
  <c r="H228" i="17"/>
  <c r="E228" i="17"/>
  <c r="G228" i="17" s="1"/>
  <c r="H227" i="17"/>
  <c r="E227" i="17"/>
  <c r="G227" i="17" s="1"/>
  <c r="E226" i="17"/>
  <c r="H225" i="17"/>
  <c r="E225" i="17"/>
  <c r="G225" i="17" s="1"/>
  <c r="H224" i="17"/>
  <c r="E224" i="17"/>
  <c r="G224" i="17" s="1"/>
  <c r="E223" i="17"/>
  <c r="H222" i="17"/>
  <c r="E222" i="17"/>
  <c r="G222" i="17" s="1"/>
  <c r="H221" i="17"/>
  <c r="E221" i="17"/>
  <c r="G221" i="17" s="1"/>
  <c r="H220" i="17"/>
  <c r="E220" i="17"/>
  <c r="G220" i="17" s="1"/>
  <c r="H219" i="17"/>
  <c r="E219" i="17"/>
  <c r="G219" i="17" s="1"/>
  <c r="H218" i="17"/>
  <c r="E218" i="17"/>
  <c r="G218" i="17" s="1"/>
  <c r="H217" i="17"/>
  <c r="E217" i="17"/>
  <c r="G217" i="17" s="1"/>
  <c r="H216" i="17"/>
  <c r="E216" i="17"/>
  <c r="G216" i="17" s="1"/>
  <c r="H215" i="17"/>
  <c r="E215" i="17"/>
  <c r="G215" i="17" s="1"/>
  <c r="H214" i="17"/>
  <c r="E214" i="17"/>
  <c r="G214" i="17" s="1"/>
  <c r="H213" i="17"/>
  <c r="E213" i="17"/>
  <c r="G213" i="17" s="1"/>
  <c r="H212" i="17"/>
  <c r="E212" i="17"/>
  <c r="G212" i="17" s="1"/>
  <c r="H211" i="17"/>
  <c r="E211" i="17"/>
  <c r="G211" i="17" s="1"/>
  <c r="H210" i="17"/>
  <c r="E210" i="17"/>
  <c r="G210" i="17" s="1"/>
  <c r="H209" i="17"/>
  <c r="E209" i="17"/>
  <c r="G209" i="17" s="1"/>
  <c r="H208" i="17"/>
  <c r="E208" i="17"/>
  <c r="G208" i="17" s="1"/>
  <c r="H207" i="17"/>
  <c r="E207" i="17"/>
  <c r="G207" i="17" s="1"/>
  <c r="H206" i="17"/>
  <c r="E206" i="17"/>
  <c r="G206" i="17" s="1"/>
  <c r="H205" i="17"/>
  <c r="E205" i="17"/>
  <c r="G205" i="17" s="1"/>
  <c r="H204" i="17"/>
  <c r="E204" i="17"/>
  <c r="G204" i="17" s="1"/>
  <c r="H203" i="17"/>
  <c r="E203" i="17"/>
  <c r="G203" i="17" s="1"/>
  <c r="H202" i="17"/>
  <c r="E202" i="17"/>
  <c r="G202" i="17" s="1"/>
  <c r="H201" i="17"/>
  <c r="E201" i="17"/>
  <c r="G201" i="17" s="1"/>
  <c r="H200" i="17"/>
  <c r="E200" i="17"/>
  <c r="G200" i="17" s="1"/>
  <c r="E199" i="17"/>
  <c r="G199" i="17" s="1"/>
  <c r="H198" i="17"/>
  <c r="E198" i="17"/>
  <c r="G198" i="17" s="1"/>
  <c r="H197" i="17"/>
  <c r="E197" i="17"/>
  <c r="G197" i="17" s="1"/>
  <c r="H196" i="17"/>
  <c r="E196" i="17"/>
  <c r="G196" i="17" s="1"/>
  <c r="H195" i="17"/>
  <c r="E195" i="17"/>
  <c r="G195" i="17" s="1"/>
  <c r="H194" i="17"/>
  <c r="E194" i="17"/>
  <c r="G194" i="17" s="1"/>
  <c r="H193" i="17"/>
  <c r="E193" i="17"/>
  <c r="G193" i="17" s="1"/>
  <c r="H192" i="17"/>
  <c r="E192" i="17"/>
  <c r="G192" i="17" s="1"/>
  <c r="H191" i="17"/>
  <c r="E191" i="17"/>
  <c r="G191" i="17" s="1"/>
  <c r="H190" i="17"/>
  <c r="E190" i="17"/>
  <c r="G190" i="17" s="1"/>
  <c r="H189" i="17"/>
  <c r="E189" i="17"/>
  <c r="G189" i="17" s="1"/>
  <c r="H188" i="17"/>
  <c r="E188" i="17"/>
  <c r="G188" i="17" s="1"/>
  <c r="H187" i="17"/>
  <c r="E187" i="17"/>
  <c r="G187" i="17" s="1"/>
  <c r="H186" i="17"/>
  <c r="E186" i="17"/>
  <c r="G186" i="17" s="1"/>
  <c r="H185" i="17"/>
  <c r="E185" i="17"/>
  <c r="G185" i="17" s="1"/>
  <c r="E184" i="17"/>
  <c r="H183" i="17"/>
  <c r="E183" i="17"/>
  <c r="G183" i="17" s="1"/>
  <c r="H182" i="17"/>
  <c r="E182" i="17"/>
  <c r="G182" i="17" s="1"/>
  <c r="H181" i="17"/>
  <c r="E181" i="17"/>
  <c r="G181" i="17" s="1"/>
  <c r="H180" i="17"/>
  <c r="E180" i="17"/>
  <c r="G180" i="17" s="1"/>
  <c r="H179" i="17"/>
  <c r="E179" i="17"/>
  <c r="G179" i="17" s="1"/>
  <c r="H178" i="17"/>
  <c r="E178" i="17"/>
  <c r="G178" i="17" s="1"/>
  <c r="H177" i="17"/>
  <c r="G177" i="17"/>
  <c r="E177" i="17"/>
  <c r="H176" i="17"/>
  <c r="E176" i="17"/>
  <c r="G176" i="17" s="1"/>
  <c r="H175" i="17"/>
  <c r="E175" i="17"/>
  <c r="G175" i="17" s="1"/>
  <c r="H174" i="17"/>
  <c r="E174" i="17"/>
  <c r="G174" i="17" s="1"/>
  <c r="H173" i="17"/>
  <c r="E173" i="17"/>
  <c r="H172" i="17"/>
  <c r="E172" i="17"/>
  <c r="G172" i="17" s="1"/>
  <c r="H171" i="17"/>
  <c r="E171" i="17"/>
  <c r="G171" i="17" s="1"/>
  <c r="H170" i="17"/>
  <c r="E170" i="17"/>
  <c r="G170" i="17" s="1"/>
  <c r="H169" i="17"/>
  <c r="E169" i="17"/>
  <c r="G169" i="17" s="1"/>
  <c r="H168" i="17"/>
  <c r="E168" i="17"/>
  <c r="G168" i="17" s="1"/>
  <c r="H167" i="17"/>
  <c r="E167" i="17"/>
  <c r="G167" i="17" s="1"/>
  <c r="H166" i="17"/>
  <c r="E166" i="17"/>
  <c r="G166" i="17" s="1"/>
  <c r="H165" i="17"/>
  <c r="E165" i="17"/>
  <c r="G165" i="17" s="1"/>
  <c r="H164" i="17"/>
  <c r="E164" i="17"/>
  <c r="G164" i="17" s="1"/>
  <c r="H163" i="17"/>
  <c r="E163" i="17"/>
  <c r="G163" i="17" s="1"/>
  <c r="H162" i="17"/>
  <c r="E162" i="17"/>
  <c r="G162" i="17" s="1"/>
  <c r="H161" i="17"/>
  <c r="E161" i="17"/>
  <c r="G161" i="17" s="1"/>
  <c r="H160" i="17"/>
  <c r="E160" i="17"/>
  <c r="G160" i="17" s="1"/>
  <c r="H159" i="17"/>
  <c r="E159" i="17"/>
  <c r="G159" i="17" s="1"/>
  <c r="E158" i="17"/>
  <c r="H157" i="17"/>
  <c r="E157" i="17"/>
  <c r="G157" i="17" s="1"/>
  <c r="H156" i="17"/>
  <c r="E156" i="17"/>
  <c r="G156" i="17" s="1"/>
  <c r="H155" i="17"/>
  <c r="E155" i="17"/>
  <c r="G155" i="17" s="1"/>
  <c r="H154" i="17"/>
  <c r="E154" i="17"/>
  <c r="G154" i="17" s="1"/>
  <c r="H153" i="17"/>
  <c r="E153" i="17"/>
  <c r="G153" i="17" s="1"/>
  <c r="H152" i="17"/>
  <c r="E152" i="17"/>
  <c r="G152" i="17" s="1"/>
  <c r="H151" i="17"/>
  <c r="E151" i="17"/>
  <c r="G151" i="17" s="1"/>
  <c r="H150" i="17"/>
  <c r="E150" i="17"/>
  <c r="G150" i="17" s="1"/>
  <c r="H149" i="17"/>
  <c r="E149" i="17"/>
  <c r="G149" i="17" s="1"/>
  <c r="H148" i="17"/>
  <c r="E148" i="17"/>
  <c r="G148" i="17" s="1"/>
  <c r="H147" i="17"/>
  <c r="E147" i="17"/>
  <c r="G147" i="17" s="1"/>
  <c r="H146" i="17"/>
  <c r="E146" i="17"/>
  <c r="G146" i="17" s="1"/>
  <c r="H145" i="17"/>
  <c r="E145" i="17"/>
  <c r="G145" i="17" s="1"/>
  <c r="H144" i="17"/>
  <c r="E144" i="17"/>
  <c r="G144" i="17" s="1"/>
  <c r="H143" i="17"/>
  <c r="E143" i="17"/>
  <c r="G143" i="17" s="1"/>
  <c r="H142" i="17"/>
  <c r="E142" i="17"/>
  <c r="G142" i="17" s="1"/>
  <c r="E141" i="17"/>
  <c r="E140" i="17"/>
  <c r="G140" i="17" s="1"/>
  <c r="H139" i="17"/>
  <c r="E139" i="17"/>
  <c r="G139" i="17" s="1"/>
  <c r="H138" i="17"/>
  <c r="E138" i="17"/>
  <c r="G138" i="17" s="1"/>
  <c r="H137" i="17"/>
  <c r="E137" i="17"/>
  <c r="G137" i="17" s="1"/>
  <c r="H136" i="17"/>
  <c r="E136" i="17"/>
  <c r="G136" i="17" s="1"/>
  <c r="E135" i="17"/>
  <c r="H134" i="17"/>
  <c r="E134" i="17"/>
  <c r="G134" i="17" s="1"/>
  <c r="H133" i="17"/>
  <c r="E133" i="17"/>
  <c r="G133" i="17" s="1"/>
  <c r="H132" i="17"/>
  <c r="E132" i="17"/>
  <c r="G132" i="17" s="1"/>
  <c r="H131" i="17"/>
  <c r="E131" i="17"/>
  <c r="G131" i="17" s="1"/>
  <c r="H130" i="17"/>
  <c r="E130" i="17"/>
  <c r="G130" i="17" s="1"/>
  <c r="E129" i="17"/>
  <c r="G129" i="17" s="1"/>
  <c r="H128" i="17"/>
  <c r="E128" i="17"/>
  <c r="G128" i="17" s="1"/>
  <c r="H127" i="17"/>
  <c r="E127" i="17"/>
  <c r="G127" i="17" s="1"/>
  <c r="H126" i="17"/>
  <c r="E126" i="17"/>
  <c r="G126" i="17" s="1"/>
  <c r="H125" i="17"/>
  <c r="E125" i="17"/>
  <c r="G125" i="17" s="1"/>
  <c r="H124" i="17"/>
  <c r="E124" i="17"/>
  <c r="G124" i="17" s="1"/>
  <c r="E123" i="17"/>
  <c r="H122" i="17"/>
  <c r="E122" i="17"/>
  <c r="G122" i="17" s="1"/>
  <c r="H121" i="17"/>
  <c r="E121" i="17"/>
  <c r="G121" i="17" s="1"/>
  <c r="E120" i="17"/>
  <c r="H119" i="17"/>
  <c r="E119" i="17"/>
  <c r="G119" i="17" s="1"/>
  <c r="E118" i="17"/>
  <c r="G118" i="17" s="1"/>
  <c r="H117" i="17"/>
  <c r="E117" i="17"/>
  <c r="E116" i="17"/>
  <c r="H115" i="17"/>
  <c r="E115" i="17"/>
  <c r="G115" i="17" s="1"/>
  <c r="H114" i="17"/>
  <c r="E114" i="17"/>
  <c r="G114" i="17" s="1"/>
  <c r="H113" i="17"/>
  <c r="E113" i="17"/>
  <c r="G113" i="17" s="1"/>
  <c r="H112" i="17"/>
  <c r="E112" i="17"/>
  <c r="G112" i="17" s="1"/>
  <c r="H111" i="17"/>
  <c r="E111" i="17"/>
  <c r="G111" i="17" s="1"/>
  <c r="H110" i="17"/>
  <c r="E110" i="17"/>
  <c r="G110" i="17" s="1"/>
  <c r="H109" i="17"/>
  <c r="E109" i="17"/>
  <c r="G109" i="17" s="1"/>
  <c r="H108" i="17"/>
  <c r="E108" i="17"/>
  <c r="G108" i="17" s="1"/>
  <c r="H107" i="17"/>
  <c r="E107" i="17"/>
  <c r="G107" i="17" s="1"/>
  <c r="H106" i="17"/>
  <c r="E106" i="17"/>
  <c r="G106" i="17" s="1"/>
  <c r="H105" i="17"/>
  <c r="E105" i="17"/>
  <c r="G105" i="17" s="1"/>
  <c r="H104" i="17"/>
  <c r="E104" i="17"/>
  <c r="G104" i="17" s="1"/>
  <c r="H103" i="17"/>
  <c r="E103" i="17"/>
  <c r="G103" i="17" s="1"/>
  <c r="H102" i="17"/>
  <c r="E102" i="17"/>
  <c r="G102" i="17" s="1"/>
  <c r="H101" i="17"/>
  <c r="E101" i="17"/>
  <c r="G101" i="17" s="1"/>
  <c r="H100" i="17"/>
  <c r="E100" i="17"/>
  <c r="G100" i="17" s="1"/>
  <c r="H99" i="17"/>
  <c r="E99" i="17"/>
  <c r="G99" i="17" s="1"/>
  <c r="H98" i="17"/>
  <c r="E98" i="17"/>
  <c r="G98" i="17" s="1"/>
  <c r="H97" i="17"/>
  <c r="E97" i="17"/>
  <c r="G97" i="17" s="1"/>
  <c r="H96" i="17"/>
  <c r="E96" i="17"/>
  <c r="G96" i="17" s="1"/>
  <c r="H95" i="17"/>
  <c r="E95" i="17"/>
  <c r="G95" i="17" s="1"/>
  <c r="H94" i="17"/>
  <c r="E94" i="17"/>
  <c r="G94" i="17" s="1"/>
  <c r="H93" i="17"/>
  <c r="E93" i="17"/>
  <c r="G93" i="17" s="1"/>
  <c r="H92" i="17"/>
  <c r="E92" i="17"/>
  <c r="G92" i="17" s="1"/>
  <c r="H91" i="17"/>
  <c r="E91" i="17"/>
  <c r="G91" i="17" s="1"/>
  <c r="H90" i="17"/>
  <c r="E90" i="17"/>
  <c r="G90" i="17" s="1"/>
  <c r="H89" i="17"/>
  <c r="E89" i="17"/>
  <c r="G89" i="17" s="1"/>
  <c r="H88" i="17"/>
  <c r="E88" i="17"/>
  <c r="G88" i="17" s="1"/>
  <c r="H87" i="17"/>
  <c r="E87" i="17"/>
  <c r="G87" i="17" s="1"/>
  <c r="H86" i="17"/>
  <c r="E86" i="17"/>
  <c r="G86" i="17" s="1"/>
  <c r="H85" i="17"/>
  <c r="E85" i="17"/>
  <c r="G85" i="17" s="1"/>
  <c r="H84" i="17"/>
  <c r="E84" i="17"/>
  <c r="G84" i="17" s="1"/>
  <c r="H83" i="17"/>
  <c r="E83" i="17"/>
  <c r="G83" i="17" s="1"/>
  <c r="E82" i="17"/>
  <c r="H81" i="17"/>
  <c r="E81" i="17"/>
  <c r="G81" i="17" s="1"/>
  <c r="H80" i="17"/>
  <c r="E80" i="17"/>
  <c r="G80" i="17" s="1"/>
  <c r="H79" i="17"/>
  <c r="E79" i="17"/>
  <c r="G79" i="17" s="1"/>
  <c r="H78" i="17"/>
  <c r="E78" i="17"/>
  <c r="G78" i="17" s="1"/>
  <c r="H77" i="17"/>
  <c r="E77" i="17"/>
  <c r="G77" i="17" s="1"/>
  <c r="E76" i="17"/>
  <c r="G76" i="17" s="1"/>
  <c r="H75" i="17"/>
  <c r="E75" i="17"/>
  <c r="G75" i="17" s="1"/>
  <c r="H74" i="17"/>
  <c r="E74" i="17"/>
  <c r="G74" i="17" s="1"/>
  <c r="H73" i="17"/>
  <c r="E73" i="17"/>
  <c r="G73" i="17" s="1"/>
  <c r="H72" i="17"/>
  <c r="E72" i="17"/>
  <c r="G72" i="17" s="1"/>
  <c r="H71" i="17"/>
  <c r="E71" i="17"/>
  <c r="G71" i="17" s="1"/>
  <c r="H70" i="17"/>
  <c r="E70" i="17"/>
  <c r="G70" i="17" s="1"/>
  <c r="H69" i="17"/>
  <c r="E69" i="17"/>
  <c r="G69" i="17" s="1"/>
  <c r="H68" i="17"/>
  <c r="E68" i="17"/>
  <c r="G68" i="17" s="1"/>
  <c r="H67" i="17"/>
  <c r="E67" i="17"/>
  <c r="G67" i="17" s="1"/>
  <c r="H66" i="17"/>
  <c r="E66" i="17"/>
  <c r="G66" i="17" s="1"/>
  <c r="H65" i="17"/>
  <c r="E65" i="17"/>
  <c r="G65" i="17" s="1"/>
  <c r="H64" i="17"/>
  <c r="E64" i="17"/>
  <c r="G64" i="17" s="1"/>
  <c r="E63" i="17"/>
  <c r="H62" i="17"/>
  <c r="E62" i="17"/>
  <c r="G62" i="17" s="1"/>
  <c r="H61" i="17"/>
  <c r="E61" i="17"/>
  <c r="G61" i="17" s="1"/>
  <c r="H60" i="17"/>
  <c r="E60" i="17"/>
  <c r="H59" i="17"/>
  <c r="E59" i="17"/>
  <c r="G59" i="17" s="1"/>
  <c r="E58" i="17"/>
  <c r="H57" i="17"/>
  <c r="E57" i="17"/>
  <c r="G57" i="17" s="1"/>
  <c r="H56" i="17"/>
  <c r="E56" i="17"/>
  <c r="G56" i="17" s="1"/>
  <c r="H55" i="17"/>
  <c r="E55" i="17"/>
  <c r="G55" i="17" s="1"/>
  <c r="H54" i="17"/>
  <c r="E54" i="17"/>
  <c r="G54" i="17" s="1"/>
  <c r="H53" i="17"/>
  <c r="E53" i="17"/>
  <c r="G53" i="17" s="1"/>
  <c r="H52" i="17"/>
  <c r="E52" i="17"/>
  <c r="G52" i="17" s="1"/>
  <c r="H51" i="17"/>
  <c r="E51" i="17"/>
  <c r="H50" i="17"/>
  <c r="E50" i="17"/>
  <c r="G50" i="17" s="1"/>
  <c r="H49" i="17"/>
  <c r="E49" i="17"/>
  <c r="G49" i="17" s="1"/>
  <c r="H48" i="17"/>
  <c r="E48" i="17"/>
  <c r="G48" i="17" s="1"/>
  <c r="H47" i="17"/>
  <c r="E47" i="17"/>
  <c r="G47" i="17" s="1"/>
  <c r="H46" i="17"/>
  <c r="E46" i="17"/>
  <c r="G46" i="17" s="1"/>
  <c r="H45" i="17"/>
  <c r="E45" i="17"/>
  <c r="G45" i="17" s="1"/>
  <c r="H44" i="17"/>
  <c r="E44" i="17"/>
  <c r="G44" i="17" s="1"/>
  <c r="H43" i="17"/>
  <c r="E43" i="17"/>
  <c r="G43" i="17" s="1"/>
  <c r="H42" i="17"/>
  <c r="E42" i="17"/>
  <c r="G42" i="17" s="1"/>
  <c r="H41" i="17"/>
  <c r="E41" i="17"/>
  <c r="G41" i="17" s="1"/>
  <c r="H40" i="17"/>
  <c r="E40" i="17"/>
  <c r="G40" i="17" s="1"/>
  <c r="H39" i="17"/>
  <c r="E39" i="17"/>
  <c r="G39" i="17" s="1"/>
  <c r="H38" i="17"/>
  <c r="E38" i="17"/>
  <c r="G38" i="17" s="1"/>
  <c r="H37" i="17"/>
  <c r="E37" i="17"/>
  <c r="G37" i="17" s="1"/>
  <c r="H36" i="17"/>
  <c r="E36" i="17"/>
  <c r="G36" i="17" s="1"/>
  <c r="H35" i="17"/>
  <c r="E35" i="17"/>
  <c r="G35" i="17" s="1"/>
  <c r="H34" i="17"/>
  <c r="E34" i="17"/>
  <c r="G34" i="17" s="1"/>
  <c r="H33" i="17"/>
  <c r="E33" i="17"/>
  <c r="G33" i="17" s="1"/>
  <c r="E32" i="17"/>
  <c r="G32" i="17" s="1"/>
  <c r="E31" i="17"/>
  <c r="G31" i="17" s="1"/>
  <c r="H30" i="17"/>
  <c r="E30" i="17"/>
  <c r="G30" i="17" s="1"/>
  <c r="E29" i="17"/>
  <c r="G29" i="17" s="1"/>
  <c r="H28" i="17"/>
  <c r="E28" i="17"/>
  <c r="G28" i="17" s="1"/>
  <c r="H27" i="17"/>
  <c r="E27" i="17"/>
  <c r="G27" i="17" s="1"/>
  <c r="H26" i="17"/>
  <c r="E26" i="17"/>
  <c r="G26" i="17" s="1"/>
  <c r="H25" i="17"/>
  <c r="E25" i="17"/>
  <c r="G25" i="17" s="1"/>
  <c r="H24" i="17"/>
  <c r="E24" i="17"/>
  <c r="G24" i="17" s="1"/>
  <c r="H23" i="17"/>
  <c r="E23" i="17"/>
  <c r="G23" i="17" s="1"/>
  <c r="E22" i="17"/>
  <c r="E21" i="17"/>
  <c r="G21" i="17" s="1"/>
  <c r="H20" i="17"/>
  <c r="E20" i="17"/>
  <c r="G20" i="17" s="1"/>
  <c r="H19" i="17"/>
  <c r="E19" i="17"/>
  <c r="G19" i="17" s="1"/>
  <c r="H18" i="17"/>
  <c r="E18" i="17"/>
  <c r="H17" i="17"/>
  <c r="E17" i="17"/>
  <c r="G17" i="17" s="1"/>
  <c r="E16" i="17"/>
  <c r="E15" i="17"/>
  <c r="H14" i="17"/>
  <c r="E14" i="17"/>
  <c r="G14" i="17" s="1"/>
  <c r="H13" i="17"/>
  <c r="E13" i="17"/>
  <c r="G13" i="17" s="1"/>
  <c r="H12" i="17"/>
  <c r="E12" i="17"/>
  <c r="G12" i="17" s="1"/>
  <c r="H11" i="17"/>
  <c r="E11" i="17"/>
  <c r="G11" i="17" s="1"/>
  <c r="H10" i="17"/>
  <c r="E10" i="17"/>
  <c r="G10" i="17" s="1"/>
  <c r="H9" i="17"/>
  <c r="E9" i="17"/>
  <c r="G9" i="17" s="1"/>
  <c r="H8" i="17"/>
  <c r="E8" i="17"/>
  <c r="G8" i="17" s="1"/>
  <c r="E7" i="17"/>
  <c r="H6" i="17"/>
  <c r="E6" i="17"/>
  <c r="G6" i="17" s="1"/>
  <c r="H5" i="17"/>
  <c r="E5" i="17"/>
  <c r="G5" i="17" s="1"/>
  <c r="E4" i="17"/>
  <c r="E3" i="17"/>
  <c r="G3" i="17" s="1"/>
  <c r="H3" i="17"/>
  <c r="D39" i="5"/>
  <c r="D30" i="11"/>
  <c r="C42" i="5"/>
  <c r="C41" i="5"/>
  <c r="Q26" i="15"/>
  <c r="Q18" i="15"/>
  <c r="S19" i="15"/>
  <c r="S10" i="15"/>
  <c r="S56" i="15"/>
  <c r="S34" i="15"/>
  <c r="S15" i="15"/>
  <c r="S26" i="15"/>
  <c r="S18" i="15"/>
  <c r="X67" i="15"/>
  <c r="X66" i="15"/>
  <c r="X65" i="15"/>
  <c r="X64" i="15"/>
  <c r="X63" i="15"/>
  <c r="X62" i="15"/>
  <c r="X61" i="15"/>
  <c r="X60" i="15"/>
  <c r="X59" i="15"/>
  <c r="X58" i="15"/>
  <c r="X57" i="15"/>
  <c r="X56" i="15"/>
  <c r="X55" i="15"/>
  <c r="X54" i="15"/>
  <c r="X53" i="15"/>
  <c r="X52" i="15"/>
  <c r="X51" i="15"/>
  <c r="X50" i="15"/>
  <c r="X49" i="15"/>
  <c r="X48" i="15"/>
  <c r="X47" i="15"/>
  <c r="X46" i="15"/>
  <c r="X45" i="15"/>
  <c r="X44" i="15"/>
  <c r="X43" i="15"/>
  <c r="X42" i="15"/>
  <c r="X41" i="15"/>
  <c r="X40" i="15"/>
  <c r="X39" i="15"/>
  <c r="X38" i="15"/>
  <c r="X37" i="15"/>
  <c r="X36" i="15"/>
  <c r="X35" i="15"/>
  <c r="X34" i="15"/>
  <c r="X33" i="15"/>
  <c r="X32" i="15"/>
  <c r="X31" i="15"/>
  <c r="X30" i="15"/>
  <c r="X29" i="15"/>
  <c r="X28" i="15"/>
  <c r="X27" i="15"/>
  <c r="X26" i="15"/>
  <c r="X25" i="15"/>
  <c r="X24" i="15"/>
  <c r="X23" i="15"/>
  <c r="X21" i="15"/>
  <c r="X20" i="15"/>
  <c r="X19" i="15"/>
  <c r="X18" i="15"/>
  <c r="X17" i="15"/>
  <c r="X16" i="15"/>
  <c r="X15" i="15"/>
  <c r="X14" i="15"/>
  <c r="X12" i="15"/>
  <c r="X11" i="15"/>
  <c r="X10" i="15"/>
  <c r="X9" i="15"/>
  <c r="X8" i="15"/>
  <c r="X7" i="15"/>
  <c r="X6" i="15"/>
  <c r="X5" i="15"/>
  <c r="X4" i="15"/>
  <c r="W68" i="15"/>
  <c r="L101" i="8"/>
  <c r="L15" i="8"/>
  <c r="L97" i="8"/>
  <c r="L102" i="8"/>
  <c r="L115" i="8"/>
  <c r="L109" i="8"/>
  <c r="L108" i="8"/>
  <c r="L106" i="8"/>
  <c r="L96" i="8"/>
  <c r="L93" i="8"/>
  <c r="L88" i="8"/>
  <c r="L86" i="8"/>
  <c r="L83" i="8"/>
  <c r="L80" i="8"/>
  <c r="L79" i="8"/>
  <c r="L76" i="8"/>
  <c r="L74" i="8"/>
  <c r="L73" i="8"/>
  <c r="L71" i="8"/>
  <c r="L70" i="8"/>
  <c r="L67" i="8"/>
  <c r="L66" i="8"/>
  <c r="L64" i="8"/>
  <c r="L62" i="8"/>
  <c r="L60" i="8"/>
  <c r="L56" i="8"/>
  <c r="L53" i="8"/>
  <c r="L52" i="8"/>
  <c r="L48" i="8"/>
  <c r="L46" i="8"/>
  <c r="L45" i="8"/>
  <c r="L44" i="8"/>
  <c r="L43" i="8"/>
  <c r="L42" i="8"/>
  <c r="L41" i="8"/>
  <c r="L39" i="8"/>
  <c r="L36" i="8"/>
  <c r="L34" i="8"/>
  <c r="L31" i="8"/>
  <c r="L22" i="8"/>
  <c r="L13" i="8"/>
  <c r="L12" i="8"/>
  <c r="L9" i="8"/>
  <c r="L4" i="8"/>
  <c r="L3" i="8"/>
  <c r="H297" i="15"/>
  <c r="G297" i="15"/>
  <c r="F297" i="15"/>
  <c r="Q67" i="15"/>
  <c r="Q66" i="15"/>
  <c r="Q65" i="15"/>
  <c r="Q64" i="15"/>
  <c r="Q63" i="15"/>
  <c r="Q62" i="15"/>
  <c r="Q61" i="15"/>
  <c r="Q60" i="15"/>
  <c r="R60" i="15" s="1"/>
  <c r="Q59" i="15"/>
  <c r="Q58" i="15"/>
  <c r="Q57" i="15"/>
  <c r="Q56" i="15"/>
  <c r="R56" i="15" s="1"/>
  <c r="Q55" i="15"/>
  <c r="Q54" i="15"/>
  <c r="Q53" i="15"/>
  <c r="Q52" i="15"/>
  <c r="Q51" i="15"/>
  <c r="Q49" i="15"/>
  <c r="Q48" i="15"/>
  <c r="R48" i="15" s="1"/>
  <c r="Q47" i="15"/>
  <c r="Q46" i="15"/>
  <c r="Q45" i="15"/>
  <c r="Q44" i="15"/>
  <c r="R44" i="15" s="1"/>
  <c r="Q43" i="15"/>
  <c r="Q42" i="15"/>
  <c r="Q41" i="15"/>
  <c r="Q40" i="15"/>
  <c r="Q39" i="15"/>
  <c r="Q38" i="15"/>
  <c r="Q37" i="15"/>
  <c r="Q36" i="15"/>
  <c r="R36" i="15" s="1"/>
  <c r="Q35" i="15"/>
  <c r="Q34" i="15"/>
  <c r="Q33" i="15"/>
  <c r="R33" i="15" s="1"/>
  <c r="Q32" i="15"/>
  <c r="R32" i="15" s="1"/>
  <c r="Q31" i="15"/>
  <c r="Q30" i="15"/>
  <c r="Q29" i="15"/>
  <c r="Q28" i="15"/>
  <c r="R28" i="15" s="1"/>
  <c r="Q27" i="15"/>
  <c r="Q25" i="15"/>
  <c r="R25" i="15" s="1"/>
  <c r="Q24" i="15"/>
  <c r="R24" i="15" s="1"/>
  <c r="Q23" i="15"/>
  <c r="Q22" i="15"/>
  <c r="Q21" i="15"/>
  <c r="Q20" i="15"/>
  <c r="R20" i="15" s="1"/>
  <c r="Q19" i="15"/>
  <c r="Q17" i="15"/>
  <c r="R17" i="15" s="1"/>
  <c r="Q16" i="15"/>
  <c r="R16" i="15" s="1"/>
  <c r="Q14" i="15"/>
  <c r="Q12" i="15"/>
  <c r="Q11" i="15"/>
  <c r="Q10" i="15"/>
  <c r="Q9" i="15"/>
  <c r="Q8" i="15"/>
  <c r="Q7" i="15"/>
  <c r="Q6" i="15"/>
  <c r="Q5" i="15"/>
  <c r="Q4" i="15"/>
  <c r="P67" i="15"/>
  <c r="R67" i="15" s="1"/>
  <c r="P66" i="15"/>
  <c r="R66" i="15" s="1"/>
  <c r="P65" i="15"/>
  <c r="R65" i="15" s="1"/>
  <c r="R64" i="15"/>
  <c r="P64" i="15"/>
  <c r="P63" i="15"/>
  <c r="R63" i="15" s="1"/>
  <c r="P62" i="15"/>
  <c r="R62" i="15" s="1"/>
  <c r="P61" i="15"/>
  <c r="R61" i="15" s="1"/>
  <c r="P60" i="15"/>
  <c r="P59" i="15"/>
  <c r="R59" i="15" s="1"/>
  <c r="P58" i="15"/>
  <c r="R58" i="15" s="1"/>
  <c r="P57" i="15"/>
  <c r="P56" i="15"/>
  <c r="R55" i="15"/>
  <c r="P55" i="15"/>
  <c r="P54" i="15"/>
  <c r="R54" i="15" s="1"/>
  <c r="P53" i="15"/>
  <c r="R53" i="15" s="1"/>
  <c r="R52" i="15"/>
  <c r="P52" i="15"/>
  <c r="R51" i="15"/>
  <c r="P51" i="15"/>
  <c r="P50" i="15"/>
  <c r="R50" i="15" s="1"/>
  <c r="P49" i="15"/>
  <c r="P48" i="15"/>
  <c r="P47" i="15"/>
  <c r="R47" i="15" s="1"/>
  <c r="P46" i="15"/>
  <c r="P45" i="15"/>
  <c r="P44" i="15"/>
  <c r="P43" i="15"/>
  <c r="R43" i="15" s="1"/>
  <c r="P42" i="15"/>
  <c r="R42" i="15" s="1"/>
  <c r="P41" i="15"/>
  <c r="R41" i="15" s="1"/>
  <c r="R40" i="15"/>
  <c r="P40" i="15"/>
  <c r="P39" i="15"/>
  <c r="R39" i="15" s="1"/>
  <c r="P38" i="15"/>
  <c r="R38" i="15" s="1"/>
  <c r="P37" i="15"/>
  <c r="R37" i="15" s="1"/>
  <c r="P36" i="15"/>
  <c r="P35" i="15"/>
  <c r="R35" i="15" s="1"/>
  <c r="P34" i="15"/>
  <c r="R34" i="15" s="1"/>
  <c r="P33" i="15"/>
  <c r="P32" i="15"/>
  <c r="P31" i="15"/>
  <c r="R31" i="15" s="1"/>
  <c r="P30" i="15"/>
  <c r="R30" i="15" s="1"/>
  <c r="R29" i="15"/>
  <c r="P29" i="15"/>
  <c r="P28" i="15"/>
  <c r="P27" i="15"/>
  <c r="R27" i="15" s="1"/>
  <c r="P26" i="15"/>
  <c r="R26" i="15" s="1"/>
  <c r="P25" i="15"/>
  <c r="P24" i="15"/>
  <c r="P23" i="15"/>
  <c r="R23" i="15" s="1"/>
  <c r="P22" i="15"/>
  <c r="R22" i="15" s="1"/>
  <c r="R21" i="15"/>
  <c r="P21" i="15"/>
  <c r="P20" i="15"/>
  <c r="P19" i="15"/>
  <c r="R19" i="15" s="1"/>
  <c r="P18" i="15"/>
  <c r="P17" i="15"/>
  <c r="P16" i="15"/>
  <c r="P15" i="15"/>
  <c r="R15" i="15" s="1"/>
  <c r="R14" i="15"/>
  <c r="P14" i="15"/>
  <c r="P13" i="15"/>
  <c r="R13" i="15" s="1"/>
  <c r="P12" i="15"/>
  <c r="R11" i="15"/>
  <c r="P11" i="15"/>
  <c r="R10" i="15"/>
  <c r="P10" i="15"/>
  <c r="P9" i="15"/>
  <c r="P8" i="15"/>
  <c r="R7" i="15"/>
  <c r="P7" i="15"/>
  <c r="R6" i="15"/>
  <c r="P6" i="15"/>
  <c r="P5" i="15"/>
  <c r="R5" i="15" s="1"/>
  <c r="P4" i="15"/>
  <c r="R4" i="15" s="1"/>
  <c r="F289" i="15"/>
  <c r="F295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G295" i="15"/>
  <c r="G294" i="15"/>
  <c r="G292" i="15"/>
  <c r="G286" i="15"/>
  <c r="G285" i="15"/>
  <c r="G284" i="15"/>
  <c r="G283" i="15"/>
  <c r="E280" i="15"/>
  <c r="F284" i="15"/>
  <c r="F283" i="15"/>
  <c r="F280" i="15"/>
  <c r="F267" i="15"/>
  <c r="F232" i="15"/>
  <c r="F231" i="15"/>
  <c r="F229" i="15"/>
  <c r="F212" i="15"/>
  <c r="F209" i="15"/>
  <c r="F208" i="15"/>
  <c r="F187" i="15"/>
  <c r="F175" i="15"/>
  <c r="F171" i="15"/>
  <c r="F162" i="15"/>
  <c r="F160" i="15"/>
  <c r="F148" i="15"/>
  <c r="F144" i="15"/>
  <c r="F135" i="15"/>
  <c r="F132" i="15"/>
  <c r="F130" i="15"/>
  <c r="F123" i="15"/>
  <c r="F122" i="15"/>
  <c r="F113" i="15"/>
  <c r="F111" i="15"/>
  <c r="F109" i="15"/>
  <c r="F103" i="15"/>
  <c r="F100" i="15"/>
  <c r="F88" i="15"/>
  <c r="F83" i="15"/>
  <c r="F73" i="15"/>
  <c r="F72" i="15"/>
  <c r="F71" i="15"/>
  <c r="F53" i="15"/>
  <c r="F51" i="15"/>
  <c r="F41" i="15"/>
  <c r="F39" i="15"/>
  <c r="F34" i="15"/>
  <c r="F32" i="15"/>
  <c r="F31" i="15"/>
  <c r="F30" i="15"/>
  <c r="F29" i="15"/>
  <c r="F25" i="15"/>
  <c r="F16" i="15"/>
  <c r="F12" i="15"/>
  <c r="F11" i="15"/>
  <c r="F9" i="15"/>
  <c r="F6" i="15"/>
  <c r="F5" i="15"/>
  <c r="F4" i="15"/>
  <c r="F3" i="15"/>
  <c r="E296" i="15"/>
  <c r="G296" i="15" s="1"/>
  <c r="E295" i="15"/>
  <c r="E294" i="15"/>
  <c r="E293" i="15"/>
  <c r="G293" i="15" s="1"/>
  <c r="E292" i="15"/>
  <c r="E291" i="15"/>
  <c r="G291" i="15" s="1"/>
  <c r="E290" i="15"/>
  <c r="G290" i="15" s="1"/>
  <c r="E289" i="15"/>
  <c r="G289" i="15" s="1"/>
  <c r="E288" i="15"/>
  <c r="G288" i="15" s="1"/>
  <c r="E287" i="15"/>
  <c r="G287" i="15" s="1"/>
  <c r="E286" i="15"/>
  <c r="E285" i="15"/>
  <c r="E284" i="15"/>
  <c r="E283" i="15"/>
  <c r="G282" i="15"/>
  <c r="E282" i="15"/>
  <c r="H281" i="15"/>
  <c r="E281" i="15"/>
  <c r="G281" i="15" s="1"/>
  <c r="H280" i="15"/>
  <c r="G280" i="15"/>
  <c r="H279" i="15"/>
  <c r="E279" i="15"/>
  <c r="G279" i="15" s="1"/>
  <c r="H278" i="15"/>
  <c r="E278" i="15"/>
  <c r="G278" i="15" s="1"/>
  <c r="H277" i="15"/>
  <c r="E277" i="15"/>
  <c r="G277" i="15" s="1"/>
  <c r="H276" i="15"/>
  <c r="E276" i="15"/>
  <c r="G276" i="15" s="1"/>
  <c r="H275" i="15"/>
  <c r="E275" i="15"/>
  <c r="G275" i="15" s="1"/>
  <c r="H274" i="15"/>
  <c r="E274" i="15"/>
  <c r="G274" i="15" s="1"/>
  <c r="H273" i="15"/>
  <c r="E273" i="15"/>
  <c r="G273" i="15" s="1"/>
  <c r="H272" i="15"/>
  <c r="E272" i="15"/>
  <c r="G272" i="15" s="1"/>
  <c r="H271" i="15"/>
  <c r="E271" i="15"/>
  <c r="G271" i="15" s="1"/>
  <c r="H270" i="15"/>
  <c r="E270" i="15"/>
  <c r="G270" i="15" s="1"/>
  <c r="H269" i="15"/>
  <c r="E269" i="15"/>
  <c r="G269" i="15" s="1"/>
  <c r="H268" i="15"/>
  <c r="E268" i="15"/>
  <c r="G268" i="15" s="1"/>
  <c r="H267" i="15"/>
  <c r="E267" i="15"/>
  <c r="G267" i="15" s="1"/>
  <c r="H266" i="15"/>
  <c r="E266" i="15"/>
  <c r="G266" i="15" s="1"/>
  <c r="H265" i="15"/>
  <c r="E265" i="15"/>
  <c r="G265" i="15" s="1"/>
  <c r="H264" i="15"/>
  <c r="G264" i="15"/>
  <c r="E264" i="15"/>
  <c r="H263" i="15"/>
  <c r="E263" i="15"/>
  <c r="G263" i="15" s="1"/>
  <c r="H262" i="15"/>
  <c r="E262" i="15"/>
  <c r="G262" i="15" s="1"/>
  <c r="H261" i="15"/>
  <c r="E261" i="15"/>
  <c r="G261" i="15" s="1"/>
  <c r="H260" i="15"/>
  <c r="E260" i="15"/>
  <c r="G260" i="15" s="1"/>
  <c r="H259" i="15"/>
  <c r="E259" i="15"/>
  <c r="G259" i="15" s="1"/>
  <c r="H258" i="15"/>
  <c r="E258" i="15"/>
  <c r="G258" i="15" s="1"/>
  <c r="H257" i="15"/>
  <c r="E257" i="15"/>
  <c r="G257" i="15" s="1"/>
  <c r="H256" i="15"/>
  <c r="G256" i="15"/>
  <c r="E256" i="15"/>
  <c r="H255" i="15"/>
  <c r="E255" i="15"/>
  <c r="G255" i="15" s="1"/>
  <c r="H254" i="15"/>
  <c r="E254" i="15"/>
  <c r="G254" i="15" s="1"/>
  <c r="H253" i="15"/>
  <c r="E253" i="15"/>
  <c r="G253" i="15" s="1"/>
  <c r="H252" i="15"/>
  <c r="E252" i="15"/>
  <c r="G252" i="15" s="1"/>
  <c r="H251" i="15"/>
  <c r="E251" i="15"/>
  <c r="G251" i="15" s="1"/>
  <c r="H250" i="15"/>
  <c r="E250" i="15"/>
  <c r="G250" i="15" s="1"/>
  <c r="H249" i="15"/>
  <c r="E249" i="15"/>
  <c r="G249" i="15" s="1"/>
  <c r="H248" i="15"/>
  <c r="E248" i="15"/>
  <c r="G248" i="15" s="1"/>
  <c r="H247" i="15"/>
  <c r="E247" i="15"/>
  <c r="G247" i="15" s="1"/>
  <c r="H246" i="15"/>
  <c r="E246" i="15"/>
  <c r="G246" i="15" s="1"/>
  <c r="H245" i="15"/>
  <c r="E245" i="15"/>
  <c r="G245" i="15" s="1"/>
  <c r="H244" i="15"/>
  <c r="E244" i="15"/>
  <c r="G244" i="15" s="1"/>
  <c r="H243" i="15"/>
  <c r="E243" i="15"/>
  <c r="G243" i="15" s="1"/>
  <c r="H242" i="15"/>
  <c r="E242" i="15"/>
  <c r="G242" i="15" s="1"/>
  <c r="H241" i="15"/>
  <c r="E241" i="15"/>
  <c r="G241" i="15" s="1"/>
  <c r="H240" i="15"/>
  <c r="G240" i="15"/>
  <c r="E240" i="15"/>
  <c r="H239" i="15"/>
  <c r="E239" i="15"/>
  <c r="G239" i="15" s="1"/>
  <c r="H238" i="15"/>
  <c r="E238" i="15"/>
  <c r="G238" i="15" s="1"/>
  <c r="H237" i="15"/>
  <c r="E237" i="15"/>
  <c r="G237" i="15" s="1"/>
  <c r="H236" i="15"/>
  <c r="E236" i="15"/>
  <c r="G236" i="15" s="1"/>
  <c r="H235" i="15"/>
  <c r="E235" i="15"/>
  <c r="G235" i="15" s="1"/>
  <c r="H234" i="15"/>
  <c r="G234" i="15"/>
  <c r="E234" i="15"/>
  <c r="H233" i="15"/>
  <c r="E233" i="15"/>
  <c r="G233" i="15" s="1"/>
  <c r="H232" i="15"/>
  <c r="E232" i="15"/>
  <c r="G232" i="15" s="1"/>
  <c r="H231" i="15"/>
  <c r="E231" i="15"/>
  <c r="G231" i="15" s="1"/>
  <c r="H230" i="15"/>
  <c r="E230" i="15"/>
  <c r="G230" i="15" s="1"/>
  <c r="H229" i="15"/>
  <c r="E229" i="15"/>
  <c r="G229" i="15" s="1"/>
  <c r="H228" i="15"/>
  <c r="E228" i="15"/>
  <c r="G228" i="15" s="1"/>
  <c r="H227" i="15"/>
  <c r="E227" i="15"/>
  <c r="G227" i="15" s="1"/>
  <c r="H226" i="15"/>
  <c r="E226" i="15"/>
  <c r="G226" i="15" s="1"/>
  <c r="H225" i="15"/>
  <c r="E225" i="15"/>
  <c r="G225" i="15" s="1"/>
  <c r="H224" i="15"/>
  <c r="G224" i="15"/>
  <c r="E224" i="15"/>
  <c r="H223" i="15"/>
  <c r="E223" i="15"/>
  <c r="G223" i="15" s="1"/>
  <c r="H222" i="15"/>
  <c r="E222" i="15"/>
  <c r="G222" i="15" s="1"/>
  <c r="H221" i="15"/>
  <c r="E221" i="15"/>
  <c r="G221" i="15" s="1"/>
  <c r="H220" i="15"/>
  <c r="E220" i="15"/>
  <c r="G220" i="15" s="1"/>
  <c r="H219" i="15"/>
  <c r="E219" i="15"/>
  <c r="G219" i="15" s="1"/>
  <c r="H218" i="15"/>
  <c r="E218" i="15"/>
  <c r="G218" i="15" s="1"/>
  <c r="H217" i="15"/>
  <c r="E217" i="15"/>
  <c r="G217" i="15" s="1"/>
  <c r="H216" i="15"/>
  <c r="E216" i="15"/>
  <c r="G216" i="15" s="1"/>
  <c r="H215" i="15"/>
  <c r="E215" i="15"/>
  <c r="G215" i="15" s="1"/>
  <c r="H214" i="15"/>
  <c r="E214" i="15"/>
  <c r="G214" i="15" s="1"/>
  <c r="H213" i="15"/>
  <c r="E213" i="15"/>
  <c r="G213" i="15" s="1"/>
  <c r="H212" i="15"/>
  <c r="E212" i="15"/>
  <c r="G212" i="15" s="1"/>
  <c r="H211" i="15"/>
  <c r="E211" i="15"/>
  <c r="G211" i="15" s="1"/>
  <c r="H210" i="15"/>
  <c r="E210" i="15"/>
  <c r="G210" i="15" s="1"/>
  <c r="H209" i="15"/>
  <c r="E209" i="15"/>
  <c r="G209" i="15" s="1"/>
  <c r="H208" i="15"/>
  <c r="E208" i="15"/>
  <c r="G208" i="15" s="1"/>
  <c r="H207" i="15"/>
  <c r="E207" i="15"/>
  <c r="G207" i="15" s="1"/>
  <c r="H206" i="15"/>
  <c r="E206" i="15"/>
  <c r="G206" i="15" s="1"/>
  <c r="H205" i="15"/>
  <c r="E205" i="15"/>
  <c r="G205" i="15" s="1"/>
  <c r="H204" i="15"/>
  <c r="E204" i="15"/>
  <c r="G204" i="15" s="1"/>
  <c r="H203" i="15"/>
  <c r="E203" i="15"/>
  <c r="G203" i="15" s="1"/>
  <c r="H202" i="15"/>
  <c r="E202" i="15"/>
  <c r="G202" i="15" s="1"/>
  <c r="H201" i="15"/>
  <c r="E201" i="15"/>
  <c r="G201" i="15" s="1"/>
  <c r="H200" i="15"/>
  <c r="E200" i="15"/>
  <c r="G200" i="15" s="1"/>
  <c r="H199" i="15"/>
  <c r="E199" i="15"/>
  <c r="G199" i="15" s="1"/>
  <c r="H198" i="15"/>
  <c r="E198" i="15"/>
  <c r="G198" i="15" s="1"/>
  <c r="H197" i="15"/>
  <c r="E197" i="15"/>
  <c r="G197" i="15" s="1"/>
  <c r="H196" i="15"/>
  <c r="E196" i="15"/>
  <c r="G196" i="15" s="1"/>
  <c r="H195" i="15"/>
  <c r="E195" i="15"/>
  <c r="G195" i="15" s="1"/>
  <c r="H194" i="15"/>
  <c r="E194" i="15"/>
  <c r="G194" i="15" s="1"/>
  <c r="H193" i="15"/>
  <c r="E193" i="15"/>
  <c r="G193" i="15" s="1"/>
  <c r="H192" i="15"/>
  <c r="E192" i="15"/>
  <c r="G192" i="15" s="1"/>
  <c r="H191" i="15"/>
  <c r="E191" i="15"/>
  <c r="G191" i="15" s="1"/>
  <c r="H190" i="15"/>
  <c r="E190" i="15"/>
  <c r="G190" i="15" s="1"/>
  <c r="H189" i="15"/>
  <c r="E189" i="15"/>
  <c r="G189" i="15" s="1"/>
  <c r="H188" i="15"/>
  <c r="E188" i="15"/>
  <c r="G188" i="15" s="1"/>
  <c r="H187" i="15"/>
  <c r="E187" i="15"/>
  <c r="G187" i="15" s="1"/>
  <c r="H186" i="15"/>
  <c r="E186" i="15"/>
  <c r="G186" i="15" s="1"/>
  <c r="H185" i="15"/>
  <c r="E185" i="15"/>
  <c r="G185" i="15" s="1"/>
  <c r="H184" i="15"/>
  <c r="E184" i="15"/>
  <c r="G184" i="15" s="1"/>
  <c r="H183" i="15"/>
  <c r="E183" i="15"/>
  <c r="G183" i="15" s="1"/>
  <c r="H182" i="15"/>
  <c r="E182" i="15"/>
  <c r="G182" i="15" s="1"/>
  <c r="H181" i="15"/>
  <c r="E181" i="15"/>
  <c r="G181" i="15" s="1"/>
  <c r="H180" i="15"/>
  <c r="E180" i="15"/>
  <c r="G180" i="15" s="1"/>
  <c r="H179" i="15"/>
  <c r="E179" i="15"/>
  <c r="G179" i="15" s="1"/>
  <c r="H178" i="15"/>
  <c r="E178" i="15"/>
  <c r="G178" i="15" s="1"/>
  <c r="H177" i="15"/>
  <c r="E177" i="15"/>
  <c r="G177" i="15" s="1"/>
  <c r="H176" i="15"/>
  <c r="E176" i="15"/>
  <c r="G176" i="15" s="1"/>
  <c r="H175" i="15"/>
  <c r="E175" i="15"/>
  <c r="G175" i="15" s="1"/>
  <c r="H174" i="15"/>
  <c r="G174" i="15"/>
  <c r="E174" i="15"/>
  <c r="H173" i="15"/>
  <c r="E173" i="15"/>
  <c r="G173" i="15" s="1"/>
  <c r="H172" i="15"/>
  <c r="E172" i="15"/>
  <c r="G172" i="15" s="1"/>
  <c r="H171" i="15"/>
  <c r="E171" i="15"/>
  <c r="G171" i="15" s="1"/>
  <c r="H170" i="15"/>
  <c r="E170" i="15"/>
  <c r="G170" i="15" s="1"/>
  <c r="H169" i="15"/>
  <c r="E169" i="15"/>
  <c r="G169" i="15" s="1"/>
  <c r="H168" i="15"/>
  <c r="E168" i="15"/>
  <c r="G168" i="15" s="1"/>
  <c r="H167" i="15"/>
  <c r="E167" i="15"/>
  <c r="G167" i="15" s="1"/>
  <c r="H166" i="15"/>
  <c r="E166" i="15"/>
  <c r="G166" i="15" s="1"/>
  <c r="H165" i="15"/>
  <c r="E165" i="15"/>
  <c r="G165" i="15" s="1"/>
  <c r="H164" i="15"/>
  <c r="E164" i="15"/>
  <c r="G164" i="15" s="1"/>
  <c r="H163" i="15"/>
  <c r="E163" i="15"/>
  <c r="G163" i="15" s="1"/>
  <c r="H162" i="15"/>
  <c r="E162" i="15"/>
  <c r="G162" i="15" s="1"/>
  <c r="H161" i="15"/>
  <c r="E161" i="15"/>
  <c r="G161" i="15" s="1"/>
  <c r="H160" i="15"/>
  <c r="E160" i="15"/>
  <c r="G160" i="15" s="1"/>
  <c r="H159" i="15"/>
  <c r="E159" i="15"/>
  <c r="G159" i="15" s="1"/>
  <c r="H158" i="15"/>
  <c r="E158" i="15"/>
  <c r="G158" i="15" s="1"/>
  <c r="H157" i="15"/>
  <c r="E157" i="15"/>
  <c r="G157" i="15" s="1"/>
  <c r="H156" i="15"/>
  <c r="E156" i="15"/>
  <c r="G156" i="15" s="1"/>
  <c r="H155" i="15"/>
  <c r="E155" i="15"/>
  <c r="G155" i="15" s="1"/>
  <c r="H154" i="15"/>
  <c r="E154" i="15"/>
  <c r="G154" i="15" s="1"/>
  <c r="H153" i="15"/>
  <c r="E153" i="15"/>
  <c r="G153" i="15" s="1"/>
  <c r="H152" i="15"/>
  <c r="E152" i="15"/>
  <c r="G152" i="15" s="1"/>
  <c r="H151" i="15"/>
  <c r="E151" i="15"/>
  <c r="G151" i="15" s="1"/>
  <c r="H150" i="15"/>
  <c r="E150" i="15"/>
  <c r="G150" i="15" s="1"/>
  <c r="H149" i="15"/>
  <c r="E149" i="15"/>
  <c r="G149" i="15" s="1"/>
  <c r="H148" i="15"/>
  <c r="E148" i="15"/>
  <c r="G148" i="15" s="1"/>
  <c r="H147" i="15"/>
  <c r="E147" i="15"/>
  <c r="G147" i="15" s="1"/>
  <c r="H146" i="15"/>
  <c r="E146" i="15"/>
  <c r="G146" i="15" s="1"/>
  <c r="H145" i="15"/>
  <c r="E145" i="15"/>
  <c r="G145" i="15" s="1"/>
  <c r="H144" i="15"/>
  <c r="E144" i="15"/>
  <c r="G144" i="15" s="1"/>
  <c r="H143" i="15"/>
  <c r="E143" i="15"/>
  <c r="G143" i="15" s="1"/>
  <c r="H142" i="15"/>
  <c r="E142" i="15"/>
  <c r="G142" i="15" s="1"/>
  <c r="H141" i="15"/>
  <c r="E141" i="15"/>
  <c r="G141" i="15" s="1"/>
  <c r="H140" i="15"/>
  <c r="E140" i="15"/>
  <c r="G140" i="15" s="1"/>
  <c r="H139" i="15"/>
  <c r="E139" i="15"/>
  <c r="G139" i="15" s="1"/>
  <c r="H138" i="15"/>
  <c r="E138" i="15"/>
  <c r="G138" i="15" s="1"/>
  <c r="H137" i="15"/>
  <c r="E137" i="15"/>
  <c r="G137" i="15" s="1"/>
  <c r="H136" i="15"/>
  <c r="E136" i="15"/>
  <c r="G136" i="15" s="1"/>
  <c r="H135" i="15"/>
  <c r="E135" i="15"/>
  <c r="G135" i="15" s="1"/>
  <c r="H134" i="15"/>
  <c r="E134" i="15"/>
  <c r="G134" i="15" s="1"/>
  <c r="H133" i="15"/>
  <c r="E133" i="15"/>
  <c r="G133" i="15" s="1"/>
  <c r="H132" i="15"/>
  <c r="E132" i="15"/>
  <c r="G132" i="15" s="1"/>
  <c r="H131" i="15"/>
  <c r="E131" i="15"/>
  <c r="G131" i="15" s="1"/>
  <c r="H130" i="15"/>
  <c r="E130" i="15"/>
  <c r="G130" i="15" s="1"/>
  <c r="H129" i="15"/>
  <c r="E129" i="15"/>
  <c r="G129" i="15" s="1"/>
  <c r="H128" i="15"/>
  <c r="E128" i="15"/>
  <c r="G128" i="15" s="1"/>
  <c r="H127" i="15"/>
  <c r="E127" i="15"/>
  <c r="G127" i="15" s="1"/>
  <c r="H126" i="15"/>
  <c r="E126" i="15"/>
  <c r="G126" i="15" s="1"/>
  <c r="H125" i="15"/>
  <c r="E125" i="15"/>
  <c r="G125" i="15" s="1"/>
  <c r="H124" i="15"/>
  <c r="E124" i="15"/>
  <c r="G124" i="15" s="1"/>
  <c r="H123" i="15"/>
  <c r="E123" i="15"/>
  <c r="G123" i="15" s="1"/>
  <c r="H122" i="15"/>
  <c r="E122" i="15"/>
  <c r="G122" i="15" s="1"/>
  <c r="H121" i="15"/>
  <c r="E121" i="15"/>
  <c r="G121" i="15" s="1"/>
  <c r="H120" i="15"/>
  <c r="E120" i="15"/>
  <c r="G120" i="15" s="1"/>
  <c r="H119" i="15"/>
  <c r="E119" i="15"/>
  <c r="G119" i="15" s="1"/>
  <c r="H118" i="15"/>
  <c r="E118" i="15"/>
  <c r="G118" i="15" s="1"/>
  <c r="H117" i="15"/>
  <c r="E117" i="15"/>
  <c r="G117" i="15" s="1"/>
  <c r="H116" i="15"/>
  <c r="E116" i="15"/>
  <c r="G116" i="15" s="1"/>
  <c r="H115" i="15"/>
  <c r="E115" i="15"/>
  <c r="G115" i="15" s="1"/>
  <c r="H114" i="15"/>
  <c r="E114" i="15"/>
  <c r="G114" i="15" s="1"/>
  <c r="H113" i="15"/>
  <c r="E113" i="15"/>
  <c r="G113" i="15" s="1"/>
  <c r="H112" i="15"/>
  <c r="E112" i="15"/>
  <c r="G112" i="15" s="1"/>
  <c r="H111" i="15"/>
  <c r="E111" i="15"/>
  <c r="G111" i="15" s="1"/>
  <c r="H110" i="15"/>
  <c r="E110" i="15"/>
  <c r="G110" i="15" s="1"/>
  <c r="H109" i="15"/>
  <c r="E109" i="15"/>
  <c r="G109" i="15" s="1"/>
  <c r="H108" i="15"/>
  <c r="E108" i="15"/>
  <c r="G108" i="15" s="1"/>
  <c r="H107" i="15"/>
  <c r="E107" i="15"/>
  <c r="G107" i="15" s="1"/>
  <c r="H106" i="15"/>
  <c r="E106" i="15"/>
  <c r="G106" i="15" s="1"/>
  <c r="H105" i="15"/>
  <c r="E105" i="15"/>
  <c r="G105" i="15" s="1"/>
  <c r="H104" i="15"/>
  <c r="E104" i="15"/>
  <c r="G104" i="15" s="1"/>
  <c r="H103" i="15"/>
  <c r="E103" i="15"/>
  <c r="G103" i="15" s="1"/>
  <c r="H102" i="15"/>
  <c r="E102" i="15"/>
  <c r="G102" i="15" s="1"/>
  <c r="H101" i="15"/>
  <c r="E101" i="15"/>
  <c r="G101" i="15" s="1"/>
  <c r="H100" i="15"/>
  <c r="E100" i="15"/>
  <c r="G100" i="15" s="1"/>
  <c r="H99" i="15"/>
  <c r="E99" i="15"/>
  <c r="G99" i="15" s="1"/>
  <c r="H98" i="15"/>
  <c r="E98" i="15"/>
  <c r="G98" i="15" s="1"/>
  <c r="H97" i="15"/>
  <c r="E97" i="15"/>
  <c r="G97" i="15" s="1"/>
  <c r="H96" i="15"/>
  <c r="E96" i="15"/>
  <c r="G96" i="15" s="1"/>
  <c r="H95" i="15"/>
  <c r="E95" i="15"/>
  <c r="G95" i="15" s="1"/>
  <c r="H94" i="15"/>
  <c r="E94" i="15"/>
  <c r="G94" i="15" s="1"/>
  <c r="H93" i="15"/>
  <c r="E93" i="15"/>
  <c r="G93" i="15" s="1"/>
  <c r="H92" i="15"/>
  <c r="E92" i="15"/>
  <c r="G92" i="15" s="1"/>
  <c r="H91" i="15"/>
  <c r="E91" i="15"/>
  <c r="G91" i="15" s="1"/>
  <c r="H90" i="15"/>
  <c r="E90" i="15"/>
  <c r="G90" i="15" s="1"/>
  <c r="H89" i="15"/>
  <c r="E89" i="15"/>
  <c r="G89" i="15" s="1"/>
  <c r="H88" i="15"/>
  <c r="E88" i="15"/>
  <c r="G88" i="15" s="1"/>
  <c r="H87" i="15"/>
  <c r="E87" i="15"/>
  <c r="G87" i="15" s="1"/>
  <c r="H86" i="15"/>
  <c r="E86" i="15"/>
  <c r="G86" i="15" s="1"/>
  <c r="H85" i="15"/>
  <c r="E85" i="15"/>
  <c r="G85" i="15" s="1"/>
  <c r="H84" i="15"/>
  <c r="E84" i="15"/>
  <c r="G84" i="15" s="1"/>
  <c r="H83" i="15"/>
  <c r="E83" i="15"/>
  <c r="G83" i="15" s="1"/>
  <c r="H82" i="15"/>
  <c r="E82" i="15"/>
  <c r="G82" i="15" s="1"/>
  <c r="H81" i="15"/>
  <c r="E81" i="15"/>
  <c r="G81" i="15" s="1"/>
  <c r="H80" i="15"/>
  <c r="E80" i="15"/>
  <c r="G80" i="15" s="1"/>
  <c r="H79" i="15"/>
  <c r="E79" i="15"/>
  <c r="G79" i="15" s="1"/>
  <c r="H78" i="15"/>
  <c r="E78" i="15"/>
  <c r="G78" i="15" s="1"/>
  <c r="H77" i="15"/>
  <c r="E77" i="15"/>
  <c r="G77" i="15" s="1"/>
  <c r="H76" i="15"/>
  <c r="E76" i="15"/>
  <c r="G76" i="15" s="1"/>
  <c r="H75" i="15"/>
  <c r="E75" i="15"/>
  <c r="G75" i="15" s="1"/>
  <c r="H74" i="15"/>
  <c r="E74" i="15"/>
  <c r="G74" i="15" s="1"/>
  <c r="H73" i="15"/>
  <c r="E73" i="15"/>
  <c r="G73" i="15" s="1"/>
  <c r="H72" i="15"/>
  <c r="E72" i="15"/>
  <c r="G72" i="15" s="1"/>
  <c r="H71" i="15"/>
  <c r="E71" i="15"/>
  <c r="G71" i="15" s="1"/>
  <c r="H70" i="15"/>
  <c r="E70" i="15"/>
  <c r="G70" i="15" s="1"/>
  <c r="H69" i="15"/>
  <c r="E69" i="15"/>
  <c r="G69" i="15" s="1"/>
  <c r="H68" i="15"/>
  <c r="E68" i="15"/>
  <c r="G68" i="15" s="1"/>
  <c r="H67" i="15"/>
  <c r="E67" i="15"/>
  <c r="G67" i="15" s="1"/>
  <c r="H66" i="15"/>
  <c r="E66" i="15"/>
  <c r="G66" i="15" s="1"/>
  <c r="H65" i="15"/>
  <c r="E65" i="15"/>
  <c r="G65" i="15" s="1"/>
  <c r="H64" i="15"/>
  <c r="E64" i="15"/>
  <c r="G64" i="15" s="1"/>
  <c r="H63" i="15"/>
  <c r="E63" i="15"/>
  <c r="G63" i="15" s="1"/>
  <c r="H62" i="15"/>
  <c r="E62" i="15"/>
  <c r="G62" i="15" s="1"/>
  <c r="H61" i="15"/>
  <c r="E61" i="15"/>
  <c r="G61" i="15" s="1"/>
  <c r="H60" i="15"/>
  <c r="E60" i="15"/>
  <c r="G60" i="15" s="1"/>
  <c r="H59" i="15"/>
  <c r="E59" i="15"/>
  <c r="G59" i="15" s="1"/>
  <c r="H58" i="15"/>
  <c r="E58" i="15"/>
  <c r="G58" i="15" s="1"/>
  <c r="H57" i="15"/>
  <c r="E57" i="15"/>
  <c r="G57" i="15" s="1"/>
  <c r="H56" i="15"/>
  <c r="E56" i="15"/>
  <c r="G56" i="15" s="1"/>
  <c r="H55" i="15"/>
  <c r="E55" i="15"/>
  <c r="G55" i="15" s="1"/>
  <c r="H54" i="15"/>
  <c r="E54" i="15"/>
  <c r="G54" i="15" s="1"/>
  <c r="H53" i="15"/>
  <c r="E53" i="15"/>
  <c r="G53" i="15" s="1"/>
  <c r="H52" i="15"/>
  <c r="E52" i="15"/>
  <c r="G52" i="15" s="1"/>
  <c r="H51" i="15"/>
  <c r="E51" i="15"/>
  <c r="G51" i="15" s="1"/>
  <c r="H50" i="15"/>
  <c r="E50" i="15"/>
  <c r="G50" i="15" s="1"/>
  <c r="H49" i="15"/>
  <c r="E49" i="15"/>
  <c r="G49" i="15" s="1"/>
  <c r="H48" i="15"/>
  <c r="E48" i="15"/>
  <c r="G48" i="15" s="1"/>
  <c r="H47" i="15"/>
  <c r="E47" i="15"/>
  <c r="G47" i="15" s="1"/>
  <c r="H46" i="15"/>
  <c r="E46" i="15"/>
  <c r="G46" i="15" s="1"/>
  <c r="H45" i="15"/>
  <c r="E45" i="15"/>
  <c r="G45" i="15" s="1"/>
  <c r="H44" i="15"/>
  <c r="E44" i="15"/>
  <c r="G44" i="15" s="1"/>
  <c r="H43" i="15"/>
  <c r="E43" i="15"/>
  <c r="G43" i="15" s="1"/>
  <c r="H42" i="15"/>
  <c r="E42" i="15"/>
  <c r="G42" i="15" s="1"/>
  <c r="H41" i="15"/>
  <c r="E41" i="15"/>
  <c r="G41" i="15" s="1"/>
  <c r="H40" i="15"/>
  <c r="E40" i="15"/>
  <c r="G40" i="15" s="1"/>
  <c r="H39" i="15"/>
  <c r="E39" i="15"/>
  <c r="G39" i="15" s="1"/>
  <c r="H38" i="15"/>
  <c r="E38" i="15"/>
  <c r="G38" i="15" s="1"/>
  <c r="H37" i="15"/>
  <c r="E37" i="15"/>
  <c r="G37" i="15" s="1"/>
  <c r="H36" i="15"/>
  <c r="E36" i="15"/>
  <c r="G36" i="15" s="1"/>
  <c r="H35" i="15"/>
  <c r="E35" i="15"/>
  <c r="G35" i="15" s="1"/>
  <c r="H34" i="15"/>
  <c r="E34" i="15"/>
  <c r="H33" i="15"/>
  <c r="E33" i="15"/>
  <c r="G33" i="15" s="1"/>
  <c r="H32" i="15"/>
  <c r="E32" i="15"/>
  <c r="G32" i="15" s="1"/>
  <c r="H31" i="15"/>
  <c r="E31" i="15"/>
  <c r="G31" i="15" s="1"/>
  <c r="H30" i="15"/>
  <c r="E30" i="15"/>
  <c r="G30" i="15" s="1"/>
  <c r="H29" i="15"/>
  <c r="E29" i="15"/>
  <c r="G29" i="15" s="1"/>
  <c r="H28" i="15"/>
  <c r="E28" i="15"/>
  <c r="G28" i="15" s="1"/>
  <c r="H27" i="15"/>
  <c r="E27" i="15"/>
  <c r="G27" i="15" s="1"/>
  <c r="H26" i="15"/>
  <c r="E26" i="15"/>
  <c r="G26" i="15" s="1"/>
  <c r="H25" i="15"/>
  <c r="E25" i="15"/>
  <c r="G25" i="15" s="1"/>
  <c r="H24" i="15"/>
  <c r="E24" i="15"/>
  <c r="G24" i="15" s="1"/>
  <c r="H23" i="15"/>
  <c r="E23" i="15"/>
  <c r="G23" i="15" s="1"/>
  <c r="H22" i="15"/>
  <c r="E22" i="15"/>
  <c r="G22" i="15" s="1"/>
  <c r="H21" i="15"/>
  <c r="E21" i="15"/>
  <c r="G21" i="15" s="1"/>
  <c r="H20" i="15"/>
  <c r="E20" i="15"/>
  <c r="G20" i="15" s="1"/>
  <c r="H19" i="15"/>
  <c r="E19" i="15"/>
  <c r="G19" i="15" s="1"/>
  <c r="H18" i="15"/>
  <c r="E18" i="15"/>
  <c r="G18" i="15" s="1"/>
  <c r="H17" i="15"/>
  <c r="E17" i="15"/>
  <c r="G17" i="15" s="1"/>
  <c r="H16" i="15"/>
  <c r="E16" i="15"/>
  <c r="G16" i="15" s="1"/>
  <c r="H15" i="15"/>
  <c r="E15" i="15"/>
  <c r="G15" i="15" s="1"/>
  <c r="H14" i="15"/>
  <c r="E14" i="15"/>
  <c r="G14" i="15" s="1"/>
  <c r="H13" i="15"/>
  <c r="E13" i="15"/>
  <c r="G13" i="15" s="1"/>
  <c r="H12" i="15"/>
  <c r="E12" i="15"/>
  <c r="G12" i="15" s="1"/>
  <c r="H11" i="15"/>
  <c r="E11" i="15"/>
  <c r="G11" i="15" s="1"/>
  <c r="H10" i="15"/>
  <c r="E10" i="15"/>
  <c r="G10" i="15" s="1"/>
  <c r="H9" i="15"/>
  <c r="E9" i="15"/>
  <c r="G9" i="15" s="1"/>
  <c r="H8" i="15"/>
  <c r="E8" i="15"/>
  <c r="G8" i="15" s="1"/>
  <c r="H7" i="15"/>
  <c r="E7" i="15"/>
  <c r="G7" i="15" s="1"/>
  <c r="H6" i="15"/>
  <c r="E6" i="15"/>
  <c r="G6" i="15" s="1"/>
  <c r="H5" i="15"/>
  <c r="E5" i="15"/>
  <c r="G5" i="15" s="1"/>
  <c r="H4" i="15"/>
  <c r="E4" i="15"/>
  <c r="G4" i="15" s="1"/>
  <c r="E3" i="15"/>
  <c r="G3" i="15" s="1"/>
  <c r="H3" i="15"/>
  <c r="Q22" i="14"/>
  <c r="Q60" i="14"/>
  <c r="D43" i="5"/>
  <c r="J69" i="18"/>
  <c r="J52" i="19"/>
  <c r="C33" i="7"/>
  <c r="C31" i="7"/>
  <c r="C29" i="7"/>
  <c r="C27" i="7"/>
  <c r="C25" i="7"/>
  <c r="C39" i="7"/>
  <c r="G70" i="24" l="1"/>
  <c r="G195" i="24"/>
  <c r="G37" i="24"/>
  <c r="G47" i="24"/>
  <c r="G88" i="24"/>
  <c r="G144" i="24"/>
  <c r="G252" i="24"/>
  <c r="G260" i="24"/>
  <c r="G28" i="24"/>
  <c r="G181" i="24"/>
  <c r="G213" i="24"/>
  <c r="G254" i="24"/>
  <c r="H37" i="24"/>
  <c r="G225" i="24"/>
  <c r="G146" i="24"/>
  <c r="G202" i="24"/>
  <c r="G7" i="24"/>
  <c r="G152" i="24"/>
  <c r="G196" i="24"/>
  <c r="G98" i="24"/>
  <c r="G123" i="24"/>
  <c r="G147" i="24"/>
  <c r="G174" i="24"/>
  <c r="G185" i="24"/>
  <c r="G245" i="24"/>
  <c r="G118" i="24"/>
  <c r="G134" i="24"/>
  <c r="G214" i="24"/>
  <c r="G262" i="24"/>
  <c r="H147" i="24"/>
  <c r="H98" i="24"/>
  <c r="H123" i="24"/>
  <c r="G4" i="24"/>
  <c r="G73" i="24"/>
  <c r="G105" i="24"/>
  <c r="G177" i="24"/>
  <c r="G38" i="24"/>
  <c r="G179" i="24"/>
  <c r="G27" i="24"/>
  <c r="G34" i="24"/>
  <c r="G122" i="24"/>
  <c r="G48" i="24"/>
  <c r="G67" i="24"/>
  <c r="G92" i="24"/>
  <c r="G121" i="24"/>
  <c r="G153" i="24"/>
  <c r="H187" i="24"/>
  <c r="G187" i="24"/>
  <c r="G199" i="24"/>
  <c r="E39" i="7"/>
  <c r="E40" i="7" s="1"/>
  <c r="E41" i="7" s="1"/>
  <c r="E42" i="7" s="1"/>
  <c r="E43" i="7" s="1"/>
  <c r="E44" i="7" s="1"/>
  <c r="Q35" i="22"/>
  <c r="R35" i="22" s="1"/>
  <c r="H22" i="22"/>
  <c r="H28" i="22"/>
  <c r="G46" i="22"/>
  <c r="H270" i="22"/>
  <c r="H125" i="22"/>
  <c r="G114" i="22"/>
  <c r="G92" i="22"/>
  <c r="Q23" i="22"/>
  <c r="H46" i="22"/>
  <c r="G270" i="22"/>
  <c r="G125" i="22"/>
  <c r="G22" i="22"/>
  <c r="G28" i="22"/>
  <c r="G214" i="22"/>
  <c r="G202" i="22"/>
  <c r="G167" i="22"/>
  <c r="G122" i="22"/>
  <c r="G69" i="22"/>
  <c r="G67" i="22"/>
  <c r="G63" i="22"/>
  <c r="G57" i="22"/>
  <c r="X19" i="22"/>
  <c r="X27" i="22"/>
  <c r="X43" i="22"/>
  <c r="X11" i="22"/>
  <c r="X51" i="22"/>
  <c r="X55" i="22"/>
  <c r="X10" i="22"/>
  <c r="X15" i="22"/>
  <c r="X17" i="22"/>
  <c r="X26" i="22"/>
  <c r="X31" i="22"/>
  <c r="X33" i="22"/>
  <c r="X42" i="22"/>
  <c r="X47" i="22"/>
  <c r="X49" i="22"/>
  <c r="X7" i="22"/>
  <c r="X9" i="22"/>
  <c r="X18" i="22"/>
  <c r="X23" i="22"/>
  <c r="X25" i="22"/>
  <c r="X34" i="22"/>
  <c r="X39" i="22"/>
  <c r="X41" i="22"/>
  <c r="X50" i="22"/>
  <c r="R56" i="22"/>
  <c r="R50" i="22"/>
  <c r="V117" i="8"/>
  <c r="W117" i="8" s="1"/>
  <c r="R54" i="22"/>
  <c r="R62" i="22"/>
  <c r="R19" i="22"/>
  <c r="R27" i="22"/>
  <c r="V118" i="8"/>
  <c r="W118" i="8" s="1"/>
  <c r="R61" i="22"/>
  <c r="R10" i="22"/>
  <c r="R18" i="22"/>
  <c r="R34" i="22"/>
  <c r="R42" i="22"/>
  <c r="Q68" i="22"/>
  <c r="R11" i="22"/>
  <c r="R26" i="22"/>
  <c r="R43" i="22"/>
  <c r="R53" i="22"/>
  <c r="R6" i="22"/>
  <c r="R15" i="22"/>
  <c r="R22" i="22"/>
  <c r="R31" i="22"/>
  <c r="R38" i="22"/>
  <c r="R47" i="22"/>
  <c r="R58" i="22"/>
  <c r="R65" i="22"/>
  <c r="R7" i="22"/>
  <c r="R14" i="22"/>
  <c r="R23" i="22"/>
  <c r="R30" i="22"/>
  <c r="R39" i="22"/>
  <c r="R46" i="22"/>
  <c r="R57" i="22"/>
  <c r="R66" i="22"/>
  <c r="R4" i="22"/>
  <c r="Q124" i="8"/>
  <c r="V99" i="8"/>
  <c r="W99" i="8" s="1"/>
  <c r="G88" i="22"/>
  <c r="G9" i="22"/>
  <c r="P124" i="8"/>
  <c r="V15" i="8"/>
  <c r="W15" i="8" s="1"/>
  <c r="Q22" i="21"/>
  <c r="R22" i="21" s="1"/>
  <c r="R18" i="21"/>
  <c r="Q10" i="21"/>
  <c r="R10" i="21" s="1"/>
  <c r="Q33" i="21"/>
  <c r="R13" i="21"/>
  <c r="Q35" i="21"/>
  <c r="R35" i="21" s="1"/>
  <c r="G202" i="21"/>
  <c r="G312" i="21"/>
  <c r="G212" i="21"/>
  <c r="G25" i="21"/>
  <c r="G280" i="21"/>
  <c r="G235" i="21"/>
  <c r="G277" i="21"/>
  <c r="G55" i="21"/>
  <c r="G26" i="21"/>
  <c r="G6" i="21"/>
  <c r="G43" i="21"/>
  <c r="G194" i="21"/>
  <c r="H56" i="21"/>
  <c r="G67" i="21"/>
  <c r="G100" i="21"/>
  <c r="G252" i="21"/>
  <c r="G263" i="21"/>
  <c r="G283" i="21"/>
  <c r="G127" i="21"/>
  <c r="R23" i="21"/>
  <c r="R50" i="21"/>
  <c r="G27" i="21"/>
  <c r="G70" i="21"/>
  <c r="G237" i="21"/>
  <c r="G254" i="21"/>
  <c r="R14" i="21"/>
  <c r="G57" i="21"/>
  <c r="G105" i="21"/>
  <c r="G204" i="21"/>
  <c r="R33" i="21"/>
  <c r="G45" i="21"/>
  <c r="H3" i="21"/>
  <c r="H99" i="21"/>
  <c r="G233" i="21"/>
  <c r="R21" i="21"/>
  <c r="G239" i="21"/>
  <c r="R40" i="21"/>
  <c r="X68" i="21"/>
  <c r="G17" i="21"/>
  <c r="H205" i="21"/>
  <c r="G186" i="21"/>
  <c r="R25" i="21"/>
  <c r="R17" i="21"/>
  <c r="G3" i="21"/>
  <c r="G38" i="21"/>
  <c r="G178" i="21"/>
  <c r="R41" i="21"/>
  <c r="R24" i="21"/>
  <c r="R61" i="21"/>
  <c r="G35" i="21"/>
  <c r="G155" i="21"/>
  <c r="R56" i="21"/>
  <c r="H17" i="21"/>
  <c r="H35" i="21"/>
  <c r="H46" i="21"/>
  <c r="H55" i="21"/>
  <c r="G58" i="21"/>
  <c r="G61" i="21"/>
  <c r="G171" i="21"/>
  <c r="G185" i="21"/>
  <c r="G242" i="21"/>
  <c r="G259" i="21"/>
  <c r="R67" i="21"/>
  <c r="R63" i="21"/>
  <c r="R55" i="21"/>
  <c r="R31" i="21"/>
  <c r="R11" i="21"/>
  <c r="R7" i="21"/>
  <c r="R57" i="21"/>
  <c r="G46" i="21"/>
  <c r="G73" i="21"/>
  <c r="G99" i="21"/>
  <c r="G111" i="21"/>
  <c r="G115" i="21"/>
  <c r="G205" i="21"/>
  <c r="H242" i="21"/>
  <c r="G262" i="21"/>
  <c r="R66" i="21"/>
  <c r="R62" i="21"/>
  <c r="R58" i="21"/>
  <c r="R54" i="21"/>
  <c r="R42" i="21"/>
  <c r="R34" i="21"/>
  <c r="R30" i="21"/>
  <c r="R38" i="21"/>
  <c r="R59" i="21"/>
  <c r="R15" i="21"/>
  <c r="R27" i="21"/>
  <c r="R53" i="21"/>
  <c r="R5" i="21"/>
  <c r="R9" i="21"/>
  <c r="R20" i="21"/>
  <c r="R29" i="21"/>
  <c r="R45" i="21"/>
  <c r="R49" i="21"/>
  <c r="R51" i="21"/>
  <c r="R64" i="21"/>
  <c r="R8" i="21"/>
  <c r="R16" i="21"/>
  <c r="R26" i="21"/>
  <c r="R32" i="21"/>
  <c r="R37" i="21"/>
  <c r="R44" i="21"/>
  <c r="R12" i="21"/>
  <c r="R19" i="21"/>
  <c r="R28" i="21"/>
  <c r="R36" i="21"/>
  <c r="R39" i="21"/>
  <c r="R43" i="21"/>
  <c r="R6" i="21"/>
  <c r="R47" i="21"/>
  <c r="R60" i="21"/>
  <c r="R65" i="21"/>
  <c r="G104" i="21"/>
  <c r="G116" i="21"/>
  <c r="G146" i="21"/>
  <c r="G167" i="21"/>
  <c r="G198" i="21"/>
  <c r="G219" i="21"/>
  <c r="H261" i="21"/>
  <c r="G261" i="21"/>
  <c r="H270" i="21"/>
  <c r="G270" i="21"/>
  <c r="R46" i="21"/>
  <c r="R48" i="21"/>
  <c r="R52" i="21"/>
  <c r="G56" i="21"/>
  <c r="G165" i="21"/>
  <c r="H271" i="21"/>
  <c r="G271" i="21"/>
  <c r="O124" i="8"/>
  <c r="V17" i="8"/>
  <c r="W17" i="8" s="1"/>
  <c r="Q68" i="19"/>
  <c r="R68" i="19"/>
  <c r="V18" i="8"/>
  <c r="W18" i="8" s="1"/>
  <c r="G56" i="19"/>
  <c r="G42" i="19"/>
  <c r="G4" i="19"/>
  <c r="N124" i="8"/>
  <c r="V84" i="8"/>
  <c r="W84" i="8" s="1"/>
  <c r="V16" i="8"/>
  <c r="W16" i="8" s="1"/>
  <c r="R13" i="18"/>
  <c r="R18" i="18"/>
  <c r="R68" i="18" s="1"/>
  <c r="X68" i="18"/>
  <c r="Q68" i="18"/>
  <c r="R16" i="18"/>
  <c r="R20" i="18"/>
  <c r="R8" i="18"/>
  <c r="R12" i="18"/>
  <c r="G309" i="18"/>
  <c r="G359" i="18"/>
  <c r="G323" i="18"/>
  <c r="G345" i="18"/>
  <c r="G63" i="18"/>
  <c r="G355" i="18"/>
  <c r="G326" i="18"/>
  <c r="G310" i="18"/>
  <c r="G85" i="18"/>
  <c r="G303" i="18"/>
  <c r="G300" i="18"/>
  <c r="G40" i="18"/>
  <c r="G109" i="18"/>
  <c r="G24" i="18"/>
  <c r="G39" i="18"/>
  <c r="G59" i="18"/>
  <c r="G138" i="18"/>
  <c r="G111" i="18"/>
  <c r="G54" i="18"/>
  <c r="G120" i="18"/>
  <c r="G23" i="18"/>
  <c r="G82" i="18"/>
  <c r="G12" i="18"/>
  <c r="G38" i="18"/>
  <c r="G99" i="18"/>
  <c r="G35" i="18"/>
  <c r="G95" i="18"/>
  <c r="G145" i="18"/>
  <c r="G71" i="18"/>
  <c r="G4" i="18"/>
  <c r="G136" i="18"/>
  <c r="G14" i="18"/>
  <c r="G60" i="18"/>
  <c r="H98" i="18"/>
  <c r="G98" i="18"/>
  <c r="G3" i="18"/>
  <c r="G10" i="18"/>
  <c r="G18" i="18"/>
  <c r="G62" i="18"/>
  <c r="G121" i="18"/>
  <c r="G143" i="18"/>
  <c r="G36" i="18"/>
  <c r="G44" i="18"/>
  <c r="G74" i="18"/>
  <c r="G13" i="18"/>
  <c r="G69" i="18"/>
  <c r="G105" i="18"/>
  <c r="G137" i="18"/>
  <c r="R11" i="17"/>
  <c r="R31" i="17"/>
  <c r="R43" i="17"/>
  <c r="R47" i="17"/>
  <c r="R51" i="17"/>
  <c r="R55" i="17"/>
  <c r="R63" i="17"/>
  <c r="R36" i="17"/>
  <c r="R44" i="17"/>
  <c r="G82" i="17"/>
  <c r="H118" i="17"/>
  <c r="G141" i="17"/>
  <c r="H32" i="17"/>
  <c r="G184" i="17"/>
  <c r="R4" i="17"/>
  <c r="R37" i="17"/>
  <c r="G22" i="17"/>
  <c r="G60" i="17"/>
  <c r="G226" i="17"/>
  <c r="Q35" i="17"/>
  <c r="G256" i="17"/>
  <c r="G265" i="17"/>
  <c r="G253" i="17"/>
  <c r="R12" i="17"/>
  <c r="R54" i="17"/>
  <c r="G120" i="17"/>
  <c r="G7" i="17"/>
  <c r="R18" i="17"/>
  <c r="R14" i="17"/>
  <c r="G116" i="17"/>
  <c r="G158" i="17"/>
  <c r="Q10" i="17"/>
  <c r="R10" i="17" s="1"/>
  <c r="R27" i="17"/>
  <c r="H15" i="17"/>
  <c r="G63" i="17"/>
  <c r="H116" i="17"/>
  <c r="G135" i="17"/>
  <c r="F266" i="17"/>
  <c r="R20" i="17"/>
  <c r="R28" i="17"/>
  <c r="R59" i="17"/>
  <c r="G4" i="17"/>
  <c r="G16" i="17"/>
  <c r="G18" i="17"/>
  <c r="G51" i="17"/>
  <c r="G123" i="17"/>
  <c r="G223" i="17"/>
  <c r="R23" i="17"/>
  <c r="Q19" i="17"/>
  <c r="R19" i="17" s="1"/>
  <c r="R17" i="17"/>
  <c r="R42" i="17"/>
  <c r="R67" i="17"/>
  <c r="R29" i="17"/>
  <c r="R15" i="17"/>
  <c r="R39" i="17"/>
  <c r="Q22" i="17"/>
  <c r="R22" i="17" s="1"/>
  <c r="H21" i="17"/>
  <c r="H266" i="17" s="1"/>
  <c r="H123" i="17"/>
  <c r="R34" i="17"/>
  <c r="R58" i="17"/>
  <c r="R6" i="17"/>
  <c r="R13" i="17"/>
  <c r="R26" i="17"/>
  <c r="R35" i="17"/>
  <c r="R46" i="17"/>
  <c r="R62" i="17"/>
  <c r="R16" i="17"/>
  <c r="R24" i="17"/>
  <c r="R32" i="17"/>
  <c r="R40" i="17"/>
  <c r="R48" i="17"/>
  <c r="R52" i="17"/>
  <c r="R56" i="17"/>
  <c r="R60" i="17"/>
  <c r="R64" i="17"/>
  <c r="V97" i="8"/>
  <c r="W97" i="8" s="1"/>
  <c r="H31" i="17"/>
  <c r="G58" i="17"/>
  <c r="G15" i="17"/>
  <c r="G117" i="17"/>
  <c r="G173" i="17"/>
  <c r="G251" i="17"/>
  <c r="R50" i="17"/>
  <c r="R66" i="17"/>
  <c r="R21" i="17"/>
  <c r="V101" i="8"/>
  <c r="W101" i="8" s="1"/>
  <c r="V102" i="8"/>
  <c r="W102" i="8" s="1"/>
  <c r="R8" i="17"/>
  <c r="R9" i="17"/>
  <c r="R30" i="17"/>
  <c r="R38" i="17"/>
  <c r="Q68" i="15"/>
  <c r="R18" i="15"/>
  <c r="X68" i="15"/>
  <c r="L124" i="8"/>
  <c r="R8" i="15"/>
  <c r="R9" i="15"/>
  <c r="R45" i="15"/>
  <c r="R12" i="15"/>
  <c r="R46" i="15"/>
  <c r="R49" i="15"/>
  <c r="R57" i="15"/>
  <c r="G34" i="15"/>
  <c r="Q24" i="14"/>
  <c r="K113" i="8"/>
  <c r="K114" i="8"/>
  <c r="K4" i="8"/>
  <c r="K6" i="8"/>
  <c r="K7" i="8"/>
  <c r="K12" i="8"/>
  <c r="K14" i="8"/>
  <c r="K19" i="8"/>
  <c r="K20" i="8"/>
  <c r="K31" i="8"/>
  <c r="K24" i="8"/>
  <c r="K26" i="8"/>
  <c r="K28" i="8"/>
  <c r="K29" i="8"/>
  <c r="K30" i="8"/>
  <c r="K34" i="8"/>
  <c r="V34" i="8" s="1"/>
  <c r="W34" i="8" s="1"/>
  <c r="K32" i="8"/>
  <c r="K39" i="8"/>
  <c r="K37" i="8"/>
  <c r="K38" i="8"/>
  <c r="K40" i="8"/>
  <c r="K41" i="8"/>
  <c r="K42" i="8"/>
  <c r="K43" i="8"/>
  <c r="K44" i="8"/>
  <c r="K45" i="8"/>
  <c r="K48" i="8"/>
  <c r="K52" i="8"/>
  <c r="K50" i="8"/>
  <c r="K51" i="8"/>
  <c r="K53" i="8"/>
  <c r="K56" i="8"/>
  <c r="K55" i="8"/>
  <c r="K60" i="8"/>
  <c r="K57" i="8"/>
  <c r="K58" i="8"/>
  <c r="K59" i="8"/>
  <c r="K62" i="8"/>
  <c r="K64" i="8"/>
  <c r="K63" i="8"/>
  <c r="K65" i="8"/>
  <c r="K67" i="8"/>
  <c r="K68" i="8"/>
  <c r="K69" i="8"/>
  <c r="K73" i="8"/>
  <c r="K74" i="8"/>
  <c r="K76" i="8"/>
  <c r="K75" i="8"/>
  <c r="K79" i="8"/>
  <c r="K77" i="8"/>
  <c r="K80" i="8"/>
  <c r="K83" i="8"/>
  <c r="K81" i="8"/>
  <c r="K82" i="8"/>
  <c r="K86" i="8"/>
  <c r="K88" i="8"/>
  <c r="K87" i="8"/>
  <c r="K93" i="8"/>
  <c r="K90" i="8"/>
  <c r="K91" i="8"/>
  <c r="K92" i="8"/>
  <c r="K94" i="8"/>
  <c r="K100" i="8"/>
  <c r="V100" i="8" s="1"/>
  <c r="W100" i="8" s="1"/>
  <c r="K106" i="8"/>
  <c r="K109" i="8"/>
  <c r="K3" i="8"/>
  <c r="H434" i="14"/>
  <c r="G434" i="14"/>
  <c r="H433" i="14"/>
  <c r="G433" i="14"/>
  <c r="H432" i="14"/>
  <c r="G432" i="14"/>
  <c r="E432" i="14"/>
  <c r="E433" i="14"/>
  <c r="E434" i="14"/>
  <c r="F435" i="14"/>
  <c r="H435" i="14" s="1"/>
  <c r="E437" i="14"/>
  <c r="G437" i="14" s="1"/>
  <c r="H437" i="14"/>
  <c r="E438" i="14"/>
  <c r="G438" i="14" s="1"/>
  <c r="H438" i="14"/>
  <c r="E439" i="14"/>
  <c r="G439" i="14" s="1"/>
  <c r="H439" i="14"/>
  <c r="E440" i="14"/>
  <c r="G440" i="14" s="1"/>
  <c r="H440" i="14"/>
  <c r="E441" i="14"/>
  <c r="G441" i="14" s="1"/>
  <c r="H441" i="14"/>
  <c r="E442" i="14"/>
  <c r="G442" i="14" s="1"/>
  <c r="H442" i="14"/>
  <c r="E443" i="14"/>
  <c r="G443" i="14" s="1"/>
  <c r="H443" i="14"/>
  <c r="E444" i="14"/>
  <c r="G444" i="14" s="1"/>
  <c r="H444" i="14"/>
  <c r="E435" i="14"/>
  <c r="E436" i="14"/>
  <c r="G436" i="14" s="1"/>
  <c r="H436" i="14"/>
  <c r="H431" i="14"/>
  <c r="E431" i="14"/>
  <c r="G431" i="14" s="1"/>
  <c r="Q67" i="14"/>
  <c r="Q66" i="14"/>
  <c r="Q65" i="14"/>
  <c r="Q64" i="14"/>
  <c r="Q63" i="14"/>
  <c r="Q62" i="14"/>
  <c r="Q61" i="14"/>
  <c r="Q59" i="14"/>
  <c r="Q58" i="14"/>
  <c r="Q57" i="14"/>
  <c r="Q54" i="14"/>
  <c r="Q53" i="14"/>
  <c r="Q52" i="14"/>
  <c r="Q51" i="14"/>
  <c r="Q49" i="14"/>
  <c r="Q48" i="14"/>
  <c r="Q47" i="14"/>
  <c r="Q46" i="14"/>
  <c r="Q45" i="14"/>
  <c r="Q44" i="14"/>
  <c r="Q43" i="14"/>
  <c r="Q41" i="14"/>
  <c r="Q40" i="14"/>
  <c r="Q39" i="14"/>
  <c r="Q38" i="14"/>
  <c r="Q37" i="14"/>
  <c r="Q36" i="14"/>
  <c r="Q33" i="14"/>
  <c r="Q32" i="14"/>
  <c r="Q31" i="14"/>
  <c r="Q30" i="14"/>
  <c r="Q29" i="14"/>
  <c r="Q28" i="14"/>
  <c r="Q27" i="14"/>
  <c r="Q25" i="14"/>
  <c r="Q21" i="14"/>
  <c r="Q20" i="14"/>
  <c r="Q17" i="14"/>
  <c r="Q12" i="14"/>
  <c r="Q11" i="14"/>
  <c r="Q9" i="14"/>
  <c r="Q7" i="14"/>
  <c r="Q6" i="14"/>
  <c r="Q5" i="14"/>
  <c r="Q4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9" i="14"/>
  <c r="P8" i="14"/>
  <c r="P7" i="14"/>
  <c r="P6" i="14"/>
  <c r="P5" i="14"/>
  <c r="P4" i="14"/>
  <c r="F427" i="14"/>
  <c r="H427" i="14" s="1"/>
  <c r="F423" i="14"/>
  <c r="H423" i="14" s="1"/>
  <c r="F418" i="14"/>
  <c r="H418" i="14" s="1"/>
  <c r="F414" i="14"/>
  <c r="H414" i="14" s="1"/>
  <c r="F409" i="14"/>
  <c r="H409" i="14" s="1"/>
  <c r="H445" i="14"/>
  <c r="E445" i="14"/>
  <c r="G445" i="14" s="1"/>
  <c r="H430" i="14"/>
  <c r="E430" i="14"/>
  <c r="G430" i="14" s="1"/>
  <c r="H429" i="14"/>
  <c r="E429" i="14"/>
  <c r="G429" i="14" s="1"/>
  <c r="H428" i="14"/>
  <c r="E428" i="14"/>
  <c r="G428" i="14" s="1"/>
  <c r="E427" i="14"/>
  <c r="H426" i="14"/>
  <c r="E426" i="14"/>
  <c r="G426" i="14" s="1"/>
  <c r="H425" i="14"/>
  <c r="E425" i="14"/>
  <c r="G425" i="14" s="1"/>
  <c r="H424" i="14"/>
  <c r="E424" i="14"/>
  <c r="G424" i="14" s="1"/>
  <c r="E423" i="14"/>
  <c r="H422" i="14"/>
  <c r="E422" i="14"/>
  <c r="G422" i="14" s="1"/>
  <c r="H421" i="14"/>
  <c r="E421" i="14"/>
  <c r="G421" i="14" s="1"/>
  <c r="H420" i="14"/>
  <c r="E420" i="14"/>
  <c r="G420" i="14" s="1"/>
  <c r="H419" i="14"/>
  <c r="E419" i="14"/>
  <c r="G419" i="14" s="1"/>
  <c r="E418" i="14"/>
  <c r="H417" i="14"/>
  <c r="E417" i="14"/>
  <c r="G417" i="14" s="1"/>
  <c r="H416" i="14"/>
  <c r="E416" i="14"/>
  <c r="G416" i="14" s="1"/>
  <c r="H415" i="14"/>
  <c r="E415" i="14"/>
  <c r="G415" i="14" s="1"/>
  <c r="E414" i="14"/>
  <c r="H413" i="14"/>
  <c r="E413" i="14"/>
  <c r="G413" i="14" s="1"/>
  <c r="H412" i="14"/>
  <c r="E412" i="14"/>
  <c r="G412" i="14" s="1"/>
  <c r="H411" i="14"/>
  <c r="E411" i="14"/>
  <c r="G411" i="14" s="1"/>
  <c r="H410" i="14"/>
  <c r="E410" i="14"/>
  <c r="G410" i="14" s="1"/>
  <c r="E409" i="14"/>
  <c r="H408" i="14"/>
  <c r="E408" i="14"/>
  <c r="G408" i="14" s="1"/>
  <c r="H407" i="14"/>
  <c r="E407" i="14"/>
  <c r="G407" i="14" s="1"/>
  <c r="H406" i="14"/>
  <c r="E406" i="14"/>
  <c r="G406" i="14" s="1"/>
  <c r="F400" i="14"/>
  <c r="H400" i="14" s="1"/>
  <c r="F398" i="14"/>
  <c r="H398" i="14" s="1"/>
  <c r="F391" i="14"/>
  <c r="H391" i="14" s="1"/>
  <c r="F388" i="14"/>
  <c r="H388" i="14" s="1"/>
  <c r="F379" i="14"/>
  <c r="H379" i="14" s="1"/>
  <c r="F378" i="14"/>
  <c r="H378" i="14" s="1"/>
  <c r="F377" i="14"/>
  <c r="F376" i="14"/>
  <c r="H376" i="14" s="1"/>
  <c r="F373" i="14"/>
  <c r="Q42" i="14" s="1"/>
  <c r="F372" i="14"/>
  <c r="Q19" i="14" s="1"/>
  <c r="F370" i="14"/>
  <c r="H370" i="14" s="1"/>
  <c r="F365" i="14"/>
  <c r="H365" i="14" s="1"/>
  <c r="F356" i="14"/>
  <c r="H356" i="14" s="1"/>
  <c r="F344" i="14"/>
  <c r="H344" i="14" s="1"/>
  <c r="F342" i="14"/>
  <c r="H342" i="14" s="1"/>
  <c r="F334" i="14"/>
  <c r="H334" i="14" s="1"/>
  <c r="F330" i="14"/>
  <c r="H330" i="14" s="1"/>
  <c r="F325" i="14"/>
  <c r="H325" i="14" s="1"/>
  <c r="F324" i="14"/>
  <c r="H324" i="14" s="1"/>
  <c r="F301" i="14"/>
  <c r="H301" i="14" s="1"/>
  <c r="F275" i="14"/>
  <c r="H275" i="14" s="1"/>
  <c r="F267" i="14"/>
  <c r="H267" i="14" s="1"/>
  <c r="F259" i="14"/>
  <c r="H259" i="14" s="1"/>
  <c r="F254" i="14"/>
  <c r="H254" i="14" s="1"/>
  <c r="F245" i="14"/>
  <c r="H245" i="14" s="1"/>
  <c r="F241" i="14"/>
  <c r="H241" i="14" s="1"/>
  <c r="F237" i="14"/>
  <c r="H237" i="14" s="1"/>
  <c r="F236" i="14"/>
  <c r="H236" i="14" s="1"/>
  <c r="F235" i="14"/>
  <c r="Q16" i="14" s="1"/>
  <c r="F233" i="14"/>
  <c r="H233" i="14" s="1"/>
  <c r="F230" i="14"/>
  <c r="H230" i="14" s="1"/>
  <c r="F219" i="14"/>
  <c r="H219" i="14" s="1"/>
  <c r="F204" i="14"/>
  <c r="H204" i="14" s="1"/>
  <c r="F202" i="14"/>
  <c r="H202" i="14" s="1"/>
  <c r="F186" i="14"/>
  <c r="H186" i="14" s="1"/>
  <c r="F176" i="14"/>
  <c r="H176" i="14" s="1"/>
  <c r="F177" i="14"/>
  <c r="H177" i="14" s="1"/>
  <c r="F171" i="14"/>
  <c r="H171" i="14" s="1"/>
  <c r="F168" i="14"/>
  <c r="H168" i="14" s="1"/>
  <c r="F163" i="14"/>
  <c r="H163" i="14" s="1"/>
  <c r="H161" i="14"/>
  <c r="E161" i="14"/>
  <c r="G161" i="14" s="1"/>
  <c r="F158" i="14"/>
  <c r="H158" i="14" s="1"/>
  <c r="F156" i="14"/>
  <c r="H156" i="14" s="1"/>
  <c r="F155" i="14"/>
  <c r="H155" i="14" s="1"/>
  <c r="F154" i="14"/>
  <c r="H154" i="14" s="1"/>
  <c r="F141" i="14"/>
  <c r="H141" i="14" s="1"/>
  <c r="F138" i="14"/>
  <c r="H138" i="14" s="1"/>
  <c r="F134" i="14"/>
  <c r="H134" i="14" s="1"/>
  <c r="F108" i="14"/>
  <c r="H108" i="14" s="1"/>
  <c r="F97" i="14"/>
  <c r="H97" i="14" s="1"/>
  <c r="F84" i="14"/>
  <c r="H84" i="14" s="1"/>
  <c r="F85" i="14"/>
  <c r="H85" i="14" s="1"/>
  <c r="F83" i="14"/>
  <c r="F82" i="14"/>
  <c r="H82" i="14" s="1"/>
  <c r="F81" i="14"/>
  <c r="H81" i="14" s="1"/>
  <c r="F80" i="14"/>
  <c r="H80" i="14" s="1"/>
  <c r="F72" i="14"/>
  <c r="H72" i="14" s="1"/>
  <c r="F71" i="14"/>
  <c r="H71" i="14" s="1"/>
  <c r="F67" i="14"/>
  <c r="H67" i="14" s="1"/>
  <c r="F48" i="14"/>
  <c r="F41" i="14"/>
  <c r="H41" i="14" s="1"/>
  <c r="F40" i="14"/>
  <c r="Q55" i="14" s="1"/>
  <c r="F37" i="14"/>
  <c r="H37" i="14" s="1"/>
  <c r="F36" i="14"/>
  <c r="F32" i="14"/>
  <c r="F34" i="14"/>
  <c r="H34" i="14" s="1"/>
  <c r="F31" i="14"/>
  <c r="H31" i="14" s="1"/>
  <c r="F30" i="14"/>
  <c r="H30" i="14" s="1"/>
  <c r="F23" i="14"/>
  <c r="H23" i="14" s="1"/>
  <c r="F3" i="14"/>
  <c r="H405" i="14"/>
  <c r="E405" i="14"/>
  <c r="G405" i="14" s="1"/>
  <c r="H404" i="14"/>
  <c r="E404" i="14"/>
  <c r="G404" i="14" s="1"/>
  <c r="H403" i="14"/>
  <c r="E403" i="14"/>
  <c r="G403" i="14" s="1"/>
  <c r="H402" i="14"/>
  <c r="E402" i="14"/>
  <c r="G402" i="14" s="1"/>
  <c r="H401" i="14"/>
  <c r="E401" i="14"/>
  <c r="G401" i="14" s="1"/>
  <c r="E400" i="14"/>
  <c r="H399" i="14"/>
  <c r="E399" i="14"/>
  <c r="G399" i="14" s="1"/>
  <c r="E398" i="14"/>
  <c r="H397" i="14"/>
  <c r="E397" i="14"/>
  <c r="G397" i="14" s="1"/>
  <c r="H396" i="14"/>
  <c r="E396" i="14"/>
  <c r="G396" i="14" s="1"/>
  <c r="H395" i="14"/>
  <c r="E395" i="14"/>
  <c r="G395" i="14" s="1"/>
  <c r="H394" i="14"/>
  <c r="E394" i="14"/>
  <c r="G394" i="14" s="1"/>
  <c r="H393" i="14"/>
  <c r="E393" i="14"/>
  <c r="G393" i="14" s="1"/>
  <c r="H392" i="14"/>
  <c r="E392" i="14"/>
  <c r="G392" i="14" s="1"/>
  <c r="E391" i="14"/>
  <c r="H390" i="14"/>
  <c r="E390" i="14"/>
  <c r="G390" i="14" s="1"/>
  <c r="H389" i="14"/>
  <c r="E389" i="14"/>
  <c r="G389" i="14" s="1"/>
  <c r="E388" i="14"/>
  <c r="H387" i="14"/>
  <c r="E387" i="14"/>
  <c r="G387" i="14" s="1"/>
  <c r="H386" i="14"/>
  <c r="E386" i="14"/>
  <c r="G386" i="14" s="1"/>
  <c r="H385" i="14"/>
  <c r="E385" i="14"/>
  <c r="G385" i="14" s="1"/>
  <c r="H384" i="14"/>
  <c r="E384" i="14"/>
  <c r="G384" i="14" s="1"/>
  <c r="H383" i="14"/>
  <c r="E383" i="14"/>
  <c r="G383" i="14" s="1"/>
  <c r="H382" i="14"/>
  <c r="E382" i="14"/>
  <c r="G382" i="14" s="1"/>
  <c r="H381" i="14"/>
  <c r="E381" i="14"/>
  <c r="G381" i="14" s="1"/>
  <c r="H380" i="14"/>
  <c r="E380" i="14"/>
  <c r="G380" i="14" s="1"/>
  <c r="E379" i="14"/>
  <c r="E378" i="14"/>
  <c r="E377" i="14"/>
  <c r="E376" i="14"/>
  <c r="H375" i="14"/>
  <c r="E375" i="14"/>
  <c r="G375" i="14" s="1"/>
  <c r="H374" i="14"/>
  <c r="E374" i="14"/>
  <c r="G374" i="14" s="1"/>
  <c r="E373" i="14"/>
  <c r="E372" i="14"/>
  <c r="H371" i="14"/>
  <c r="E371" i="14"/>
  <c r="G371" i="14" s="1"/>
  <c r="E370" i="14"/>
  <c r="H369" i="14"/>
  <c r="E369" i="14"/>
  <c r="G369" i="14" s="1"/>
  <c r="H368" i="14"/>
  <c r="E368" i="14"/>
  <c r="G368" i="14" s="1"/>
  <c r="H367" i="14"/>
  <c r="E367" i="14"/>
  <c r="G367" i="14" s="1"/>
  <c r="H366" i="14"/>
  <c r="E366" i="14"/>
  <c r="G366" i="14" s="1"/>
  <c r="E365" i="14"/>
  <c r="H364" i="14"/>
  <c r="E364" i="14"/>
  <c r="G364" i="14" s="1"/>
  <c r="H363" i="14"/>
  <c r="E363" i="14"/>
  <c r="G363" i="14" s="1"/>
  <c r="H362" i="14"/>
  <c r="E362" i="14"/>
  <c r="G362" i="14" s="1"/>
  <c r="H361" i="14"/>
  <c r="E361" i="14"/>
  <c r="G361" i="14" s="1"/>
  <c r="H360" i="14"/>
  <c r="E360" i="14"/>
  <c r="G360" i="14" s="1"/>
  <c r="H359" i="14"/>
  <c r="E359" i="14"/>
  <c r="G359" i="14" s="1"/>
  <c r="H358" i="14"/>
  <c r="E358" i="14"/>
  <c r="G358" i="14" s="1"/>
  <c r="H357" i="14"/>
  <c r="E357" i="14"/>
  <c r="G357" i="14" s="1"/>
  <c r="E356" i="14"/>
  <c r="H355" i="14"/>
  <c r="E355" i="14"/>
  <c r="G355" i="14" s="1"/>
  <c r="H354" i="14"/>
  <c r="E354" i="14"/>
  <c r="G354" i="14" s="1"/>
  <c r="H353" i="14"/>
  <c r="E353" i="14"/>
  <c r="G353" i="14" s="1"/>
  <c r="H352" i="14"/>
  <c r="E352" i="14"/>
  <c r="G352" i="14" s="1"/>
  <c r="H351" i="14"/>
  <c r="E351" i="14"/>
  <c r="G351" i="14" s="1"/>
  <c r="H350" i="14"/>
  <c r="E350" i="14"/>
  <c r="G350" i="14" s="1"/>
  <c r="H349" i="14"/>
  <c r="E349" i="14"/>
  <c r="G349" i="14" s="1"/>
  <c r="H348" i="14"/>
  <c r="E348" i="14"/>
  <c r="G348" i="14" s="1"/>
  <c r="H347" i="14"/>
  <c r="E347" i="14"/>
  <c r="G347" i="14" s="1"/>
  <c r="H346" i="14"/>
  <c r="E346" i="14"/>
  <c r="G346" i="14" s="1"/>
  <c r="H345" i="14"/>
  <c r="E345" i="14"/>
  <c r="G345" i="14" s="1"/>
  <c r="E344" i="14"/>
  <c r="H343" i="14"/>
  <c r="E343" i="14"/>
  <c r="G343" i="14" s="1"/>
  <c r="E342" i="14"/>
  <c r="H341" i="14"/>
  <c r="E341" i="14"/>
  <c r="G341" i="14" s="1"/>
  <c r="H340" i="14"/>
  <c r="E340" i="14"/>
  <c r="G340" i="14" s="1"/>
  <c r="H339" i="14"/>
  <c r="E339" i="14"/>
  <c r="G339" i="14" s="1"/>
  <c r="H338" i="14"/>
  <c r="E338" i="14"/>
  <c r="G338" i="14" s="1"/>
  <c r="H337" i="14"/>
  <c r="E337" i="14"/>
  <c r="G337" i="14" s="1"/>
  <c r="H336" i="14"/>
  <c r="E336" i="14"/>
  <c r="G336" i="14" s="1"/>
  <c r="H335" i="14"/>
  <c r="E335" i="14"/>
  <c r="G335" i="14" s="1"/>
  <c r="E334" i="14"/>
  <c r="H333" i="14"/>
  <c r="E333" i="14"/>
  <c r="G333" i="14" s="1"/>
  <c r="H332" i="14"/>
  <c r="E332" i="14"/>
  <c r="G332" i="14" s="1"/>
  <c r="H331" i="14"/>
  <c r="E331" i="14"/>
  <c r="G331" i="14" s="1"/>
  <c r="E330" i="14"/>
  <c r="H329" i="14"/>
  <c r="E329" i="14"/>
  <c r="G329" i="14" s="1"/>
  <c r="H328" i="14"/>
  <c r="E328" i="14"/>
  <c r="G328" i="14" s="1"/>
  <c r="H327" i="14"/>
  <c r="E327" i="14"/>
  <c r="G327" i="14" s="1"/>
  <c r="H326" i="14"/>
  <c r="E326" i="14"/>
  <c r="G326" i="14" s="1"/>
  <c r="E325" i="14"/>
  <c r="E324" i="14"/>
  <c r="H323" i="14"/>
  <c r="E323" i="14"/>
  <c r="G323" i="14" s="1"/>
  <c r="H322" i="14"/>
  <c r="E322" i="14"/>
  <c r="G322" i="14" s="1"/>
  <c r="H321" i="14"/>
  <c r="E321" i="14"/>
  <c r="G321" i="14" s="1"/>
  <c r="H320" i="14"/>
  <c r="E320" i="14"/>
  <c r="G320" i="14" s="1"/>
  <c r="H319" i="14"/>
  <c r="E319" i="14"/>
  <c r="G319" i="14" s="1"/>
  <c r="H318" i="14"/>
  <c r="E318" i="14"/>
  <c r="G318" i="14" s="1"/>
  <c r="H317" i="14"/>
  <c r="E317" i="14"/>
  <c r="G317" i="14" s="1"/>
  <c r="H316" i="14"/>
  <c r="E316" i="14"/>
  <c r="G316" i="14" s="1"/>
  <c r="H315" i="14"/>
  <c r="E315" i="14"/>
  <c r="G315" i="14" s="1"/>
  <c r="H314" i="14"/>
  <c r="E314" i="14"/>
  <c r="G314" i="14" s="1"/>
  <c r="H313" i="14"/>
  <c r="E313" i="14"/>
  <c r="G313" i="14" s="1"/>
  <c r="H312" i="14"/>
  <c r="E312" i="14"/>
  <c r="G312" i="14" s="1"/>
  <c r="H311" i="14"/>
  <c r="E311" i="14"/>
  <c r="G311" i="14" s="1"/>
  <c r="H310" i="14"/>
  <c r="E310" i="14"/>
  <c r="G310" i="14" s="1"/>
  <c r="H309" i="14"/>
  <c r="E309" i="14"/>
  <c r="G309" i="14" s="1"/>
  <c r="H308" i="14"/>
  <c r="E308" i="14"/>
  <c r="G308" i="14" s="1"/>
  <c r="H307" i="14"/>
  <c r="E307" i="14"/>
  <c r="G307" i="14" s="1"/>
  <c r="H306" i="14"/>
  <c r="E306" i="14"/>
  <c r="G306" i="14" s="1"/>
  <c r="H305" i="14"/>
  <c r="E305" i="14"/>
  <c r="G305" i="14" s="1"/>
  <c r="H304" i="14"/>
  <c r="E304" i="14"/>
  <c r="G304" i="14" s="1"/>
  <c r="H303" i="14"/>
  <c r="E303" i="14"/>
  <c r="G303" i="14" s="1"/>
  <c r="H302" i="14"/>
  <c r="E302" i="14"/>
  <c r="G302" i="14" s="1"/>
  <c r="E301" i="14"/>
  <c r="H300" i="14"/>
  <c r="E300" i="14"/>
  <c r="G300" i="14" s="1"/>
  <c r="H299" i="14"/>
  <c r="E299" i="14"/>
  <c r="G299" i="14" s="1"/>
  <c r="H298" i="14"/>
  <c r="E298" i="14"/>
  <c r="G298" i="14" s="1"/>
  <c r="H297" i="14"/>
  <c r="E297" i="14"/>
  <c r="G297" i="14" s="1"/>
  <c r="H296" i="14"/>
  <c r="E296" i="14"/>
  <c r="G296" i="14" s="1"/>
  <c r="H295" i="14"/>
  <c r="E295" i="14"/>
  <c r="G295" i="14" s="1"/>
  <c r="H294" i="14"/>
  <c r="E294" i="14"/>
  <c r="G294" i="14" s="1"/>
  <c r="H293" i="14"/>
  <c r="E293" i="14"/>
  <c r="G293" i="14" s="1"/>
  <c r="H292" i="14"/>
  <c r="E292" i="14"/>
  <c r="G292" i="14" s="1"/>
  <c r="H291" i="14"/>
  <c r="E291" i="14"/>
  <c r="G291" i="14" s="1"/>
  <c r="H290" i="14"/>
  <c r="E290" i="14"/>
  <c r="G290" i="14" s="1"/>
  <c r="H289" i="14"/>
  <c r="E289" i="14"/>
  <c r="G289" i="14" s="1"/>
  <c r="H288" i="14"/>
  <c r="E288" i="14"/>
  <c r="G288" i="14" s="1"/>
  <c r="H287" i="14"/>
  <c r="E287" i="14"/>
  <c r="G287" i="14" s="1"/>
  <c r="H286" i="14"/>
  <c r="E286" i="14"/>
  <c r="G286" i="14" s="1"/>
  <c r="H285" i="14"/>
  <c r="E285" i="14"/>
  <c r="G285" i="14" s="1"/>
  <c r="H284" i="14"/>
  <c r="E284" i="14"/>
  <c r="G284" i="14" s="1"/>
  <c r="H283" i="14"/>
  <c r="E283" i="14"/>
  <c r="G283" i="14" s="1"/>
  <c r="H282" i="14"/>
  <c r="E282" i="14"/>
  <c r="G282" i="14" s="1"/>
  <c r="H281" i="14"/>
  <c r="E281" i="14"/>
  <c r="G281" i="14" s="1"/>
  <c r="H280" i="14"/>
  <c r="E280" i="14"/>
  <c r="G280" i="14" s="1"/>
  <c r="H279" i="14"/>
  <c r="E279" i="14"/>
  <c r="G279" i="14" s="1"/>
  <c r="H278" i="14"/>
  <c r="E278" i="14"/>
  <c r="G278" i="14" s="1"/>
  <c r="H277" i="14"/>
  <c r="E277" i="14"/>
  <c r="G277" i="14" s="1"/>
  <c r="H276" i="14"/>
  <c r="E276" i="14"/>
  <c r="G276" i="14" s="1"/>
  <c r="E275" i="14"/>
  <c r="H274" i="14"/>
  <c r="E274" i="14"/>
  <c r="G274" i="14" s="1"/>
  <c r="H273" i="14"/>
  <c r="E273" i="14"/>
  <c r="G273" i="14" s="1"/>
  <c r="H272" i="14"/>
  <c r="E272" i="14"/>
  <c r="G272" i="14" s="1"/>
  <c r="H271" i="14"/>
  <c r="E271" i="14"/>
  <c r="G271" i="14" s="1"/>
  <c r="H270" i="14"/>
  <c r="E270" i="14"/>
  <c r="G270" i="14" s="1"/>
  <c r="H269" i="14"/>
  <c r="E269" i="14"/>
  <c r="G269" i="14" s="1"/>
  <c r="H268" i="14"/>
  <c r="E268" i="14"/>
  <c r="G268" i="14" s="1"/>
  <c r="E267" i="14"/>
  <c r="H266" i="14"/>
  <c r="E266" i="14"/>
  <c r="G266" i="14" s="1"/>
  <c r="H265" i="14"/>
  <c r="E265" i="14"/>
  <c r="G265" i="14" s="1"/>
  <c r="H264" i="14"/>
  <c r="E264" i="14"/>
  <c r="G264" i="14" s="1"/>
  <c r="H263" i="14"/>
  <c r="E263" i="14"/>
  <c r="G263" i="14" s="1"/>
  <c r="H262" i="14"/>
  <c r="E262" i="14"/>
  <c r="G262" i="14" s="1"/>
  <c r="H261" i="14"/>
  <c r="E261" i="14"/>
  <c r="G261" i="14" s="1"/>
  <c r="H260" i="14"/>
  <c r="E260" i="14"/>
  <c r="G260" i="14" s="1"/>
  <c r="E259" i="14"/>
  <c r="H258" i="14"/>
  <c r="E258" i="14"/>
  <c r="G258" i="14" s="1"/>
  <c r="H257" i="14"/>
  <c r="E257" i="14"/>
  <c r="G257" i="14" s="1"/>
  <c r="H256" i="14"/>
  <c r="E256" i="14"/>
  <c r="G256" i="14" s="1"/>
  <c r="H255" i="14"/>
  <c r="E255" i="14"/>
  <c r="G255" i="14" s="1"/>
  <c r="E254" i="14"/>
  <c r="H253" i="14"/>
  <c r="E253" i="14"/>
  <c r="G253" i="14" s="1"/>
  <c r="H252" i="14"/>
  <c r="E252" i="14"/>
  <c r="G252" i="14" s="1"/>
  <c r="H251" i="14"/>
  <c r="E251" i="14"/>
  <c r="G251" i="14" s="1"/>
  <c r="H250" i="14"/>
  <c r="E250" i="14"/>
  <c r="G250" i="14" s="1"/>
  <c r="H249" i="14"/>
  <c r="E249" i="14"/>
  <c r="G249" i="14" s="1"/>
  <c r="H248" i="14"/>
  <c r="E248" i="14"/>
  <c r="G248" i="14" s="1"/>
  <c r="H247" i="14"/>
  <c r="E247" i="14"/>
  <c r="G247" i="14" s="1"/>
  <c r="H246" i="14"/>
  <c r="E246" i="14"/>
  <c r="G246" i="14" s="1"/>
  <c r="E245" i="14"/>
  <c r="H244" i="14"/>
  <c r="E244" i="14"/>
  <c r="G244" i="14" s="1"/>
  <c r="H243" i="14"/>
  <c r="E243" i="14"/>
  <c r="G243" i="14" s="1"/>
  <c r="H242" i="14"/>
  <c r="E242" i="14"/>
  <c r="G242" i="14" s="1"/>
  <c r="E241" i="14"/>
  <c r="H240" i="14"/>
  <c r="E240" i="14"/>
  <c r="G240" i="14" s="1"/>
  <c r="H239" i="14"/>
  <c r="E239" i="14"/>
  <c r="G239" i="14" s="1"/>
  <c r="H238" i="14"/>
  <c r="E238" i="14"/>
  <c r="G238" i="14" s="1"/>
  <c r="E237" i="14"/>
  <c r="E236" i="14"/>
  <c r="E235" i="14"/>
  <c r="H234" i="14"/>
  <c r="E234" i="14"/>
  <c r="G234" i="14" s="1"/>
  <c r="E233" i="14"/>
  <c r="H232" i="14"/>
  <c r="E232" i="14"/>
  <c r="G232" i="14" s="1"/>
  <c r="H231" i="14"/>
  <c r="E231" i="14"/>
  <c r="G231" i="14" s="1"/>
  <c r="E230" i="14"/>
  <c r="H229" i="14"/>
  <c r="E229" i="14"/>
  <c r="G229" i="14" s="1"/>
  <c r="H228" i="14"/>
  <c r="E228" i="14"/>
  <c r="G228" i="14" s="1"/>
  <c r="H227" i="14"/>
  <c r="E227" i="14"/>
  <c r="G227" i="14" s="1"/>
  <c r="H226" i="14"/>
  <c r="E226" i="14"/>
  <c r="G226" i="14" s="1"/>
  <c r="H225" i="14"/>
  <c r="E225" i="14"/>
  <c r="G225" i="14" s="1"/>
  <c r="H224" i="14"/>
  <c r="E224" i="14"/>
  <c r="G224" i="14" s="1"/>
  <c r="H223" i="14"/>
  <c r="E223" i="14"/>
  <c r="G223" i="14" s="1"/>
  <c r="H222" i="14"/>
  <c r="E222" i="14"/>
  <c r="G222" i="14" s="1"/>
  <c r="H221" i="14"/>
  <c r="E221" i="14"/>
  <c r="G221" i="14" s="1"/>
  <c r="H220" i="14"/>
  <c r="E220" i="14"/>
  <c r="G220" i="14" s="1"/>
  <c r="E219" i="14"/>
  <c r="H218" i="14"/>
  <c r="E218" i="14"/>
  <c r="G218" i="14" s="1"/>
  <c r="H217" i="14"/>
  <c r="E217" i="14"/>
  <c r="G217" i="14" s="1"/>
  <c r="H216" i="14"/>
  <c r="E216" i="14"/>
  <c r="G216" i="14" s="1"/>
  <c r="H215" i="14"/>
  <c r="E215" i="14"/>
  <c r="G215" i="14" s="1"/>
  <c r="H214" i="14"/>
  <c r="E214" i="14"/>
  <c r="G214" i="14" s="1"/>
  <c r="H213" i="14"/>
  <c r="E213" i="14"/>
  <c r="G213" i="14" s="1"/>
  <c r="H212" i="14"/>
  <c r="E212" i="14"/>
  <c r="G212" i="14" s="1"/>
  <c r="H211" i="14"/>
  <c r="E211" i="14"/>
  <c r="G211" i="14" s="1"/>
  <c r="H210" i="14"/>
  <c r="E210" i="14"/>
  <c r="G210" i="14" s="1"/>
  <c r="H209" i="14"/>
  <c r="E209" i="14"/>
  <c r="G209" i="14" s="1"/>
  <c r="H208" i="14"/>
  <c r="E208" i="14"/>
  <c r="G208" i="14" s="1"/>
  <c r="H207" i="14"/>
  <c r="E207" i="14"/>
  <c r="G207" i="14" s="1"/>
  <c r="H206" i="14"/>
  <c r="E206" i="14"/>
  <c r="G206" i="14" s="1"/>
  <c r="H205" i="14"/>
  <c r="E205" i="14"/>
  <c r="G205" i="14" s="1"/>
  <c r="E204" i="14"/>
  <c r="H203" i="14"/>
  <c r="E203" i="14"/>
  <c r="G203" i="14" s="1"/>
  <c r="E202" i="14"/>
  <c r="H201" i="14"/>
  <c r="E201" i="14"/>
  <c r="G201" i="14" s="1"/>
  <c r="H200" i="14"/>
  <c r="E200" i="14"/>
  <c r="G200" i="14" s="1"/>
  <c r="H199" i="14"/>
  <c r="E199" i="14"/>
  <c r="G199" i="14" s="1"/>
  <c r="H198" i="14"/>
  <c r="E198" i="14"/>
  <c r="G198" i="14" s="1"/>
  <c r="H197" i="14"/>
  <c r="E197" i="14"/>
  <c r="G197" i="14" s="1"/>
  <c r="H196" i="14"/>
  <c r="E196" i="14"/>
  <c r="G196" i="14" s="1"/>
  <c r="H195" i="14"/>
  <c r="E195" i="14"/>
  <c r="G195" i="14" s="1"/>
  <c r="H194" i="14"/>
  <c r="E194" i="14"/>
  <c r="G194" i="14" s="1"/>
  <c r="H193" i="14"/>
  <c r="E193" i="14"/>
  <c r="G193" i="14" s="1"/>
  <c r="H192" i="14"/>
  <c r="E192" i="14"/>
  <c r="G192" i="14" s="1"/>
  <c r="H191" i="14"/>
  <c r="E191" i="14"/>
  <c r="G191" i="14" s="1"/>
  <c r="H190" i="14"/>
  <c r="E190" i="14"/>
  <c r="G190" i="14" s="1"/>
  <c r="H189" i="14"/>
  <c r="E189" i="14"/>
  <c r="G189" i="14" s="1"/>
  <c r="H188" i="14"/>
  <c r="E188" i="14"/>
  <c r="G188" i="14" s="1"/>
  <c r="H187" i="14"/>
  <c r="E187" i="14"/>
  <c r="G187" i="14" s="1"/>
  <c r="E186" i="14"/>
  <c r="H185" i="14"/>
  <c r="E185" i="14"/>
  <c r="G185" i="14" s="1"/>
  <c r="H184" i="14"/>
  <c r="E184" i="14"/>
  <c r="G184" i="14" s="1"/>
  <c r="H183" i="14"/>
  <c r="E183" i="14"/>
  <c r="G183" i="14" s="1"/>
  <c r="H182" i="14"/>
  <c r="E182" i="14"/>
  <c r="G182" i="14" s="1"/>
  <c r="H181" i="14"/>
  <c r="E181" i="14"/>
  <c r="G181" i="14" s="1"/>
  <c r="H180" i="14"/>
  <c r="E180" i="14"/>
  <c r="G180" i="14" s="1"/>
  <c r="H179" i="14"/>
  <c r="E179" i="14"/>
  <c r="G179" i="14" s="1"/>
  <c r="H178" i="14"/>
  <c r="E178" i="14"/>
  <c r="G178" i="14" s="1"/>
  <c r="E177" i="14"/>
  <c r="E176" i="14"/>
  <c r="H175" i="14"/>
  <c r="E175" i="14"/>
  <c r="G175" i="14" s="1"/>
  <c r="H174" i="14"/>
  <c r="E174" i="14"/>
  <c r="G174" i="14" s="1"/>
  <c r="H173" i="14"/>
  <c r="E173" i="14"/>
  <c r="G173" i="14" s="1"/>
  <c r="H172" i="14"/>
  <c r="E172" i="14"/>
  <c r="G172" i="14" s="1"/>
  <c r="E171" i="14"/>
  <c r="H170" i="14"/>
  <c r="E170" i="14"/>
  <c r="G170" i="14" s="1"/>
  <c r="H169" i="14"/>
  <c r="E169" i="14"/>
  <c r="G169" i="14" s="1"/>
  <c r="E168" i="14"/>
  <c r="H167" i="14"/>
  <c r="E167" i="14"/>
  <c r="G167" i="14" s="1"/>
  <c r="H166" i="14"/>
  <c r="E166" i="14"/>
  <c r="G166" i="14" s="1"/>
  <c r="H165" i="14"/>
  <c r="E165" i="14"/>
  <c r="G165" i="14" s="1"/>
  <c r="H164" i="14"/>
  <c r="E164" i="14"/>
  <c r="G164" i="14" s="1"/>
  <c r="E163" i="14"/>
  <c r="H162" i="14"/>
  <c r="E162" i="14"/>
  <c r="G162" i="14" s="1"/>
  <c r="H160" i="14"/>
  <c r="E160" i="14"/>
  <c r="G160" i="14" s="1"/>
  <c r="H159" i="14"/>
  <c r="E159" i="14"/>
  <c r="G159" i="14" s="1"/>
  <c r="E158" i="14"/>
  <c r="H157" i="14"/>
  <c r="E157" i="14"/>
  <c r="G157" i="14" s="1"/>
  <c r="E156" i="14"/>
  <c r="E155" i="14"/>
  <c r="E154" i="14"/>
  <c r="H153" i="14"/>
  <c r="E153" i="14"/>
  <c r="G153" i="14" s="1"/>
  <c r="H152" i="14"/>
  <c r="E152" i="14"/>
  <c r="G152" i="14" s="1"/>
  <c r="H151" i="14"/>
  <c r="E151" i="14"/>
  <c r="G151" i="14" s="1"/>
  <c r="H150" i="14"/>
  <c r="E150" i="14"/>
  <c r="G150" i="14" s="1"/>
  <c r="H149" i="14"/>
  <c r="E149" i="14"/>
  <c r="G149" i="14" s="1"/>
  <c r="H148" i="14"/>
  <c r="E148" i="14"/>
  <c r="G148" i="14" s="1"/>
  <c r="H147" i="14"/>
  <c r="E147" i="14"/>
  <c r="G147" i="14" s="1"/>
  <c r="H146" i="14"/>
  <c r="E146" i="14"/>
  <c r="G146" i="14" s="1"/>
  <c r="H145" i="14"/>
  <c r="E145" i="14"/>
  <c r="G145" i="14" s="1"/>
  <c r="H144" i="14"/>
  <c r="E144" i="14"/>
  <c r="G144" i="14" s="1"/>
  <c r="H143" i="14"/>
  <c r="E143" i="14"/>
  <c r="G143" i="14" s="1"/>
  <c r="H142" i="14"/>
  <c r="E142" i="14"/>
  <c r="G142" i="14" s="1"/>
  <c r="E141" i="14"/>
  <c r="H140" i="14"/>
  <c r="E140" i="14"/>
  <c r="G140" i="14" s="1"/>
  <c r="H139" i="14"/>
  <c r="E139" i="14"/>
  <c r="G139" i="14" s="1"/>
  <c r="E138" i="14"/>
  <c r="H137" i="14"/>
  <c r="E137" i="14"/>
  <c r="G137" i="14" s="1"/>
  <c r="H136" i="14"/>
  <c r="E136" i="14"/>
  <c r="G136" i="14" s="1"/>
  <c r="H135" i="14"/>
  <c r="E135" i="14"/>
  <c r="G135" i="14" s="1"/>
  <c r="E134" i="14"/>
  <c r="H133" i="14"/>
  <c r="E133" i="14"/>
  <c r="G133" i="14" s="1"/>
  <c r="H132" i="14"/>
  <c r="E132" i="14"/>
  <c r="G132" i="14" s="1"/>
  <c r="H131" i="14"/>
  <c r="E131" i="14"/>
  <c r="G131" i="14" s="1"/>
  <c r="H130" i="14"/>
  <c r="E130" i="14"/>
  <c r="G130" i="14" s="1"/>
  <c r="H129" i="14"/>
  <c r="E129" i="14"/>
  <c r="G129" i="14" s="1"/>
  <c r="H128" i="14"/>
  <c r="E128" i="14"/>
  <c r="G128" i="14" s="1"/>
  <c r="H127" i="14"/>
  <c r="E127" i="14"/>
  <c r="G127" i="14" s="1"/>
  <c r="H126" i="14"/>
  <c r="E126" i="14"/>
  <c r="G126" i="14" s="1"/>
  <c r="H125" i="14"/>
  <c r="E125" i="14"/>
  <c r="G125" i="14" s="1"/>
  <c r="H124" i="14"/>
  <c r="E124" i="14"/>
  <c r="G124" i="14" s="1"/>
  <c r="H123" i="14"/>
  <c r="E123" i="14"/>
  <c r="G123" i="14" s="1"/>
  <c r="H122" i="14"/>
  <c r="E122" i="14"/>
  <c r="G122" i="14" s="1"/>
  <c r="H121" i="14"/>
  <c r="E121" i="14"/>
  <c r="G121" i="14" s="1"/>
  <c r="H120" i="14"/>
  <c r="E120" i="14"/>
  <c r="G120" i="14" s="1"/>
  <c r="H119" i="14"/>
  <c r="E119" i="14"/>
  <c r="G119" i="14" s="1"/>
  <c r="H118" i="14"/>
  <c r="E118" i="14"/>
  <c r="G118" i="14" s="1"/>
  <c r="H117" i="14"/>
  <c r="E117" i="14"/>
  <c r="G117" i="14" s="1"/>
  <c r="H116" i="14"/>
  <c r="E116" i="14"/>
  <c r="G116" i="14" s="1"/>
  <c r="H115" i="14"/>
  <c r="E115" i="14"/>
  <c r="G115" i="14" s="1"/>
  <c r="H114" i="14"/>
  <c r="E114" i="14"/>
  <c r="G114" i="14" s="1"/>
  <c r="H113" i="14"/>
  <c r="E113" i="14"/>
  <c r="G113" i="14" s="1"/>
  <c r="H112" i="14"/>
  <c r="E112" i="14"/>
  <c r="G112" i="14" s="1"/>
  <c r="H111" i="14"/>
  <c r="E111" i="14"/>
  <c r="G111" i="14" s="1"/>
  <c r="H110" i="14"/>
  <c r="E110" i="14"/>
  <c r="G110" i="14" s="1"/>
  <c r="H109" i="14"/>
  <c r="E109" i="14"/>
  <c r="G109" i="14" s="1"/>
  <c r="E108" i="14"/>
  <c r="H107" i="14"/>
  <c r="E107" i="14"/>
  <c r="G107" i="14" s="1"/>
  <c r="H106" i="14"/>
  <c r="E106" i="14"/>
  <c r="G106" i="14" s="1"/>
  <c r="H105" i="14"/>
  <c r="E105" i="14"/>
  <c r="G105" i="14" s="1"/>
  <c r="H104" i="14"/>
  <c r="E104" i="14"/>
  <c r="G104" i="14" s="1"/>
  <c r="H103" i="14"/>
  <c r="E103" i="14"/>
  <c r="G103" i="14" s="1"/>
  <c r="H102" i="14"/>
  <c r="E102" i="14"/>
  <c r="G102" i="14" s="1"/>
  <c r="H101" i="14"/>
  <c r="E101" i="14"/>
  <c r="G101" i="14" s="1"/>
  <c r="H100" i="14"/>
  <c r="E100" i="14"/>
  <c r="G100" i="14" s="1"/>
  <c r="H99" i="14"/>
  <c r="E99" i="14"/>
  <c r="G99" i="14" s="1"/>
  <c r="H98" i="14"/>
  <c r="E98" i="14"/>
  <c r="G98" i="14" s="1"/>
  <c r="E97" i="14"/>
  <c r="H96" i="14"/>
  <c r="E96" i="14"/>
  <c r="G96" i="14" s="1"/>
  <c r="H95" i="14"/>
  <c r="E95" i="14"/>
  <c r="G95" i="14" s="1"/>
  <c r="H94" i="14"/>
  <c r="E94" i="14"/>
  <c r="G94" i="14" s="1"/>
  <c r="H93" i="14"/>
  <c r="E93" i="14"/>
  <c r="G93" i="14" s="1"/>
  <c r="H92" i="14"/>
  <c r="E92" i="14"/>
  <c r="G92" i="14" s="1"/>
  <c r="H91" i="14"/>
  <c r="E91" i="14"/>
  <c r="G91" i="14" s="1"/>
  <c r="H90" i="14"/>
  <c r="E90" i="14"/>
  <c r="G90" i="14" s="1"/>
  <c r="H89" i="14"/>
  <c r="E89" i="14"/>
  <c r="G89" i="14" s="1"/>
  <c r="H88" i="14"/>
  <c r="E88" i="14"/>
  <c r="G88" i="14" s="1"/>
  <c r="H87" i="14"/>
  <c r="E87" i="14"/>
  <c r="G87" i="14" s="1"/>
  <c r="H86" i="14"/>
  <c r="E86" i="14"/>
  <c r="G86" i="14" s="1"/>
  <c r="E85" i="14"/>
  <c r="E84" i="14"/>
  <c r="E83" i="14"/>
  <c r="E82" i="14"/>
  <c r="E81" i="14"/>
  <c r="E80" i="14"/>
  <c r="H79" i="14"/>
  <c r="E79" i="14"/>
  <c r="G79" i="14" s="1"/>
  <c r="H78" i="14"/>
  <c r="E78" i="14"/>
  <c r="G78" i="14" s="1"/>
  <c r="H77" i="14"/>
  <c r="E77" i="14"/>
  <c r="G77" i="14" s="1"/>
  <c r="H76" i="14"/>
  <c r="E76" i="14"/>
  <c r="G76" i="14" s="1"/>
  <c r="H75" i="14"/>
  <c r="E75" i="14"/>
  <c r="G75" i="14" s="1"/>
  <c r="H74" i="14"/>
  <c r="E74" i="14"/>
  <c r="G74" i="14" s="1"/>
  <c r="H73" i="14"/>
  <c r="E73" i="14"/>
  <c r="G73" i="14" s="1"/>
  <c r="E72" i="14"/>
  <c r="E71" i="14"/>
  <c r="H70" i="14"/>
  <c r="E70" i="14"/>
  <c r="G70" i="14" s="1"/>
  <c r="H69" i="14"/>
  <c r="E69" i="14"/>
  <c r="G69" i="14" s="1"/>
  <c r="H68" i="14"/>
  <c r="E68" i="14"/>
  <c r="G68" i="14" s="1"/>
  <c r="E67" i="14"/>
  <c r="H66" i="14"/>
  <c r="E66" i="14"/>
  <c r="G66" i="14" s="1"/>
  <c r="H65" i="14"/>
  <c r="E65" i="14"/>
  <c r="G65" i="14" s="1"/>
  <c r="H64" i="14"/>
  <c r="E64" i="14"/>
  <c r="G64" i="14" s="1"/>
  <c r="H63" i="14"/>
  <c r="E63" i="14"/>
  <c r="G63" i="14" s="1"/>
  <c r="H62" i="14"/>
  <c r="E62" i="14"/>
  <c r="G62" i="14" s="1"/>
  <c r="H61" i="14"/>
  <c r="E61" i="14"/>
  <c r="G61" i="14" s="1"/>
  <c r="H60" i="14"/>
  <c r="E60" i="14"/>
  <c r="G60" i="14" s="1"/>
  <c r="H59" i="14"/>
  <c r="E59" i="14"/>
  <c r="G59" i="14" s="1"/>
  <c r="H58" i="14"/>
  <c r="E58" i="14"/>
  <c r="G58" i="14" s="1"/>
  <c r="H57" i="14"/>
  <c r="E57" i="14"/>
  <c r="G57" i="14" s="1"/>
  <c r="H56" i="14"/>
  <c r="E56" i="14"/>
  <c r="G56" i="14" s="1"/>
  <c r="H55" i="14"/>
  <c r="E55" i="14"/>
  <c r="G55" i="14" s="1"/>
  <c r="H54" i="14"/>
  <c r="E54" i="14"/>
  <c r="G54" i="14" s="1"/>
  <c r="H53" i="14"/>
  <c r="E53" i="14"/>
  <c r="G53" i="14" s="1"/>
  <c r="H52" i="14"/>
  <c r="E52" i="14"/>
  <c r="G52" i="14" s="1"/>
  <c r="H51" i="14"/>
  <c r="E51" i="14"/>
  <c r="G51" i="14" s="1"/>
  <c r="H50" i="14"/>
  <c r="E50" i="14"/>
  <c r="G50" i="14" s="1"/>
  <c r="H49" i="14"/>
  <c r="E49" i="14"/>
  <c r="G49" i="14" s="1"/>
  <c r="E48" i="14"/>
  <c r="H47" i="14"/>
  <c r="E47" i="14"/>
  <c r="G47" i="14" s="1"/>
  <c r="H46" i="14"/>
  <c r="E46" i="14"/>
  <c r="G46" i="14" s="1"/>
  <c r="H45" i="14"/>
  <c r="E45" i="14"/>
  <c r="G45" i="14" s="1"/>
  <c r="H44" i="14"/>
  <c r="E44" i="14"/>
  <c r="G44" i="14" s="1"/>
  <c r="H43" i="14"/>
  <c r="E43" i="14"/>
  <c r="G43" i="14" s="1"/>
  <c r="H42" i="14"/>
  <c r="E42" i="14"/>
  <c r="G42" i="14" s="1"/>
  <c r="E41" i="14"/>
  <c r="E40" i="14"/>
  <c r="H39" i="14"/>
  <c r="E39" i="14"/>
  <c r="G39" i="14" s="1"/>
  <c r="H38" i="14"/>
  <c r="E38" i="14"/>
  <c r="G38" i="14" s="1"/>
  <c r="E37" i="14"/>
  <c r="E36" i="14"/>
  <c r="H35" i="14"/>
  <c r="E35" i="14"/>
  <c r="G35" i="14" s="1"/>
  <c r="E34" i="14"/>
  <c r="H33" i="14"/>
  <c r="E33" i="14"/>
  <c r="G33" i="14" s="1"/>
  <c r="E32" i="14"/>
  <c r="E31" i="14"/>
  <c r="E30" i="14"/>
  <c r="H29" i="14"/>
  <c r="E29" i="14"/>
  <c r="G29" i="14" s="1"/>
  <c r="H28" i="14"/>
  <c r="E28" i="14"/>
  <c r="G28" i="14" s="1"/>
  <c r="H27" i="14"/>
  <c r="E27" i="14"/>
  <c r="G27" i="14" s="1"/>
  <c r="H26" i="14"/>
  <c r="E26" i="14"/>
  <c r="G26" i="14" s="1"/>
  <c r="H25" i="14"/>
  <c r="E25" i="14"/>
  <c r="G25" i="14" s="1"/>
  <c r="H24" i="14"/>
  <c r="E24" i="14"/>
  <c r="G24" i="14" s="1"/>
  <c r="E23" i="14"/>
  <c r="H22" i="14"/>
  <c r="E22" i="14"/>
  <c r="G22" i="14" s="1"/>
  <c r="H21" i="14"/>
  <c r="E21" i="14"/>
  <c r="G21" i="14" s="1"/>
  <c r="H20" i="14"/>
  <c r="E20" i="14"/>
  <c r="G20" i="14" s="1"/>
  <c r="H19" i="14"/>
  <c r="E19" i="14"/>
  <c r="G19" i="14" s="1"/>
  <c r="H18" i="14"/>
  <c r="E18" i="14"/>
  <c r="G18" i="14" s="1"/>
  <c r="H17" i="14"/>
  <c r="E17" i="14"/>
  <c r="G17" i="14" s="1"/>
  <c r="H16" i="14"/>
  <c r="E16" i="14"/>
  <c r="G16" i="14" s="1"/>
  <c r="H15" i="14"/>
  <c r="E15" i="14"/>
  <c r="G15" i="14" s="1"/>
  <c r="H14" i="14"/>
  <c r="E14" i="14"/>
  <c r="G14" i="14" s="1"/>
  <c r="H13" i="14"/>
  <c r="E13" i="14"/>
  <c r="G13" i="14" s="1"/>
  <c r="H12" i="14"/>
  <c r="E12" i="14"/>
  <c r="G12" i="14" s="1"/>
  <c r="H11" i="14"/>
  <c r="E11" i="14"/>
  <c r="G11" i="14" s="1"/>
  <c r="H10" i="14"/>
  <c r="E10" i="14"/>
  <c r="G10" i="14" s="1"/>
  <c r="H9" i="14"/>
  <c r="E9" i="14"/>
  <c r="G9" i="14" s="1"/>
  <c r="H8" i="14"/>
  <c r="E8" i="14"/>
  <c r="G8" i="14" s="1"/>
  <c r="H7" i="14"/>
  <c r="E7" i="14"/>
  <c r="G7" i="14" s="1"/>
  <c r="H6" i="14"/>
  <c r="E6" i="14"/>
  <c r="G6" i="14" s="1"/>
  <c r="H5" i="14"/>
  <c r="E5" i="14"/>
  <c r="G5" i="14" s="1"/>
  <c r="H4" i="14"/>
  <c r="E4" i="14"/>
  <c r="G4" i="14" s="1"/>
  <c r="E3" i="14"/>
  <c r="C32" i="5"/>
  <c r="C31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Q43" i="13"/>
  <c r="U124" i="8"/>
  <c r="M124" i="8"/>
  <c r="J25" i="8"/>
  <c r="J10" i="8"/>
  <c r="J8" i="8"/>
  <c r="J7" i="8"/>
  <c r="J4" i="8"/>
  <c r="J24" i="8"/>
  <c r="J32" i="8"/>
  <c r="J39" i="8"/>
  <c r="J37" i="8"/>
  <c r="J26" i="8"/>
  <c r="J31" i="8"/>
  <c r="J35" i="8"/>
  <c r="J41" i="8"/>
  <c r="J44" i="8"/>
  <c r="J45" i="8"/>
  <c r="J48" i="8"/>
  <c r="J52" i="8"/>
  <c r="J50" i="8"/>
  <c r="J53" i="8"/>
  <c r="J56" i="8"/>
  <c r="J54" i="8"/>
  <c r="J55" i="8"/>
  <c r="J57" i="8"/>
  <c r="J62" i="8"/>
  <c r="J61" i="8"/>
  <c r="J65" i="8"/>
  <c r="J67" i="8"/>
  <c r="J68" i="8"/>
  <c r="J69" i="8"/>
  <c r="J71" i="8"/>
  <c r="J73" i="8"/>
  <c r="J72" i="8"/>
  <c r="J76" i="8"/>
  <c r="J75" i="8"/>
  <c r="J79" i="8"/>
  <c r="J83" i="8"/>
  <c r="J81" i="8"/>
  <c r="J80" i="8"/>
  <c r="J51" i="8"/>
  <c r="J59" i="8"/>
  <c r="J70" i="8"/>
  <c r="J60" i="8"/>
  <c r="J93" i="8"/>
  <c r="J88" i="8"/>
  <c r="J108" i="8"/>
  <c r="J106" i="8"/>
  <c r="J109" i="8"/>
  <c r="J114" i="8"/>
  <c r="J43" i="8"/>
  <c r="J29" i="8"/>
  <c r="J103" i="8"/>
  <c r="V103" i="8" s="1"/>
  <c r="J38" i="8"/>
  <c r="H328" i="13"/>
  <c r="G328" i="13"/>
  <c r="E328" i="13"/>
  <c r="V66" i="13"/>
  <c r="V65" i="13"/>
  <c r="V64" i="13"/>
  <c r="V63" i="13"/>
  <c r="X62" i="13"/>
  <c r="V62" i="13"/>
  <c r="V61" i="13"/>
  <c r="V60" i="13"/>
  <c r="V59" i="13"/>
  <c r="V58" i="13"/>
  <c r="V57" i="13"/>
  <c r="V56" i="13"/>
  <c r="X55" i="13"/>
  <c r="V55" i="13"/>
  <c r="V54" i="13"/>
  <c r="V53" i="13"/>
  <c r="V52" i="13"/>
  <c r="V51" i="13"/>
  <c r="X51" i="13" s="1"/>
  <c r="V50" i="13"/>
  <c r="V49" i="13"/>
  <c r="V48" i="13"/>
  <c r="X47" i="13"/>
  <c r="V47" i="13"/>
  <c r="V46" i="13"/>
  <c r="V45" i="13"/>
  <c r="V44" i="13"/>
  <c r="V43" i="13"/>
  <c r="X43" i="13" s="1"/>
  <c r="V42" i="13"/>
  <c r="X42" i="13" s="1"/>
  <c r="V41" i="13"/>
  <c r="V40" i="13"/>
  <c r="V39" i="13"/>
  <c r="X38" i="13"/>
  <c r="V38" i="13"/>
  <c r="V37" i="13"/>
  <c r="V36" i="13"/>
  <c r="V35" i="13"/>
  <c r="V34" i="13"/>
  <c r="V33" i="13"/>
  <c r="X33" i="13" s="1"/>
  <c r="V32" i="13"/>
  <c r="V31" i="13"/>
  <c r="V30" i="13"/>
  <c r="X30" i="13" s="1"/>
  <c r="V29" i="13"/>
  <c r="V28" i="13"/>
  <c r="V27" i="13"/>
  <c r="V26" i="13"/>
  <c r="V25" i="13"/>
  <c r="V24" i="13"/>
  <c r="V23" i="13"/>
  <c r="X23" i="13" s="1"/>
  <c r="V22" i="13"/>
  <c r="V21" i="13"/>
  <c r="V20" i="13"/>
  <c r="X19" i="13"/>
  <c r="V19" i="13"/>
  <c r="V18" i="13"/>
  <c r="V17" i="13"/>
  <c r="V16" i="13"/>
  <c r="V15" i="13"/>
  <c r="X15" i="13" s="1"/>
  <c r="V14" i="13"/>
  <c r="V13" i="13"/>
  <c r="V11" i="13"/>
  <c r="X11" i="13" s="1"/>
  <c r="V10" i="13"/>
  <c r="V9" i="13"/>
  <c r="V8" i="13"/>
  <c r="X7" i="13"/>
  <c r="V7" i="13"/>
  <c r="V6" i="13"/>
  <c r="V5" i="13"/>
  <c r="V4" i="13"/>
  <c r="V3" i="13"/>
  <c r="Q40" i="13"/>
  <c r="Q33" i="13"/>
  <c r="Q61" i="13"/>
  <c r="Q28" i="13"/>
  <c r="F329" i="13"/>
  <c r="H329" i="13" s="1"/>
  <c r="Q25" i="13"/>
  <c r="Q26" i="13"/>
  <c r="Q23" i="13"/>
  <c r="Q16" i="13"/>
  <c r="Q66" i="13"/>
  <c r="Q65" i="13"/>
  <c r="Q63" i="13"/>
  <c r="Q62" i="13"/>
  <c r="Q60" i="13"/>
  <c r="Q59" i="13"/>
  <c r="Q58" i="13"/>
  <c r="Q57" i="13"/>
  <c r="Q56" i="13"/>
  <c r="Q55" i="13"/>
  <c r="Q54" i="13"/>
  <c r="Q53" i="13"/>
  <c r="Q52" i="13"/>
  <c r="Q51" i="13"/>
  <c r="Q50" i="13"/>
  <c r="Q48" i="13"/>
  <c r="Q47" i="13"/>
  <c r="Q46" i="13"/>
  <c r="Q45" i="13"/>
  <c r="Q44" i="13"/>
  <c r="Q42" i="13"/>
  <c r="Q41" i="13"/>
  <c r="Q39" i="13"/>
  <c r="Q38" i="13"/>
  <c r="Q37" i="13"/>
  <c r="Q36" i="13"/>
  <c r="Q35" i="13"/>
  <c r="Q31" i="13"/>
  <c r="Q30" i="13"/>
  <c r="Q29" i="13"/>
  <c r="Q24" i="13"/>
  <c r="Q20" i="13"/>
  <c r="Q19" i="13"/>
  <c r="Q11" i="13"/>
  <c r="Q10" i="13"/>
  <c r="Q8" i="13"/>
  <c r="Q7" i="13"/>
  <c r="Q6" i="13"/>
  <c r="Q5" i="13"/>
  <c r="Q4" i="13"/>
  <c r="Q3" i="13"/>
  <c r="F331" i="13"/>
  <c r="H331" i="13" s="1"/>
  <c r="E331" i="13"/>
  <c r="E330" i="13"/>
  <c r="G330" i="13" s="1"/>
  <c r="E329" i="13"/>
  <c r="H330" i="13"/>
  <c r="H327" i="13"/>
  <c r="E327" i="13"/>
  <c r="G327" i="13" s="1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4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P6" i="13"/>
  <c r="P5" i="13"/>
  <c r="P4" i="13"/>
  <c r="P3" i="13"/>
  <c r="F321" i="13"/>
  <c r="H321" i="13" s="1"/>
  <c r="F320" i="13"/>
  <c r="Q18" i="13" s="1"/>
  <c r="E307" i="13"/>
  <c r="G307" i="13" s="1"/>
  <c r="H307" i="13"/>
  <c r="E308" i="13"/>
  <c r="G308" i="13" s="1"/>
  <c r="H308" i="13"/>
  <c r="E309" i="13"/>
  <c r="G309" i="13" s="1"/>
  <c r="H309" i="13"/>
  <c r="E310" i="13"/>
  <c r="G310" i="13" s="1"/>
  <c r="H310" i="13"/>
  <c r="E311" i="13"/>
  <c r="G311" i="13" s="1"/>
  <c r="H311" i="13"/>
  <c r="E312" i="13"/>
  <c r="G312" i="13" s="1"/>
  <c r="H312" i="13"/>
  <c r="E313" i="13"/>
  <c r="G313" i="13" s="1"/>
  <c r="H313" i="13"/>
  <c r="E314" i="13"/>
  <c r="G314" i="13" s="1"/>
  <c r="H314" i="13"/>
  <c r="E315" i="13"/>
  <c r="G315" i="13" s="1"/>
  <c r="H315" i="13"/>
  <c r="E316" i="13"/>
  <c r="G316" i="13" s="1"/>
  <c r="H316" i="13"/>
  <c r="E317" i="13"/>
  <c r="G317" i="13" s="1"/>
  <c r="H317" i="13"/>
  <c r="E318" i="13"/>
  <c r="G318" i="13" s="1"/>
  <c r="H318" i="13"/>
  <c r="E319" i="13"/>
  <c r="G319" i="13" s="1"/>
  <c r="H319" i="13"/>
  <c r="E320" i="13"/>
  <c r="E321" i="13"/>
  <c r="E322" i="13"/>
  <c r="G322" i="13" s="1"/>
  <c r="H322" i="13"/>
  <c r="E323" i="13"/>
  <c r="G323" i="13" s="1"/>
  <c r="H323" i="13"/>
  <c r="E324" i="13"/>
  <c r="G324" i="13" s="1"/>
  <c r="H324" i="13"/>
  <c r="E325" i="13"/>
  <c r="G325" i="13" s="1"/>
  <c r="H325" i="13"/>
  <c r="E326" i="13"/>
  <c r="G326" i="13" s="1"/>
  <c r="H326" i="13"/>
  <c r="F303" i="13"/>
  <c r="F292" i="13"/>
  <c r="H292" i="13" s="1"/>
  <c r="F288" i="13"/>
  <c r="H288" i="13" s="1"/>
  <c r="F286" i="13"/>
  <c r="H286" i="13" s="1"/>
  <c r="F280" i="13"/>
  <c r="H280" i="13" s="1"/>
  <c r="F279" i="13"/>
  <c r="H279" i="13" s="1"/>
  <c r="F272" i="13"/>
  <c r="H272" i="13" s="1"/>
  <c r="F267" i="13"/>
  <c r="H267" i="13" s="1"/>
  <c r="F262" i="13"/>
  <c r="H262" i="13" s="1"/>
  <c r="F241" i="13"/>
  <c r="H241" i="13" s="1"/>
  <c r="F240" i="13"/>
  <c r="Q12" i="13" s="1"/>
  <c r="F229" i="13"/>
  <c r="H229" i="13" s="1"/>
  <c r="F222" i="13"/>
  <c r="H222" i="13" s="1"/>
  <c r="F219" i="13"/>
  <c r="H219" i="13" s="1"/>
  <c r="F216" i="13"/>
  <c r="Q64" i="13" s="1"/>
  <c r="F211" i="13"/>
  <c r="H211" i="13" s="1"/>
  <c r="F210" i="13"/>
  <c r="H210" i="13" s="1"/>
  <c r="F190" i="13"/>
  <c r="H190" i="13" s="1"/>
  <c r="F185" i="13"/>
  <c r="H185" i="13" s="1"/>
  <c r="F181" i="13"/>
  <c r="H181" i="13" s="1"/>
  <c r="F155" i="13"/>
  <c r="H155" i="13" s="1"/>
  <c r="F142" i="13"/>
  <c r="H142" i="13" s="1"/>
  <c r="F137" i="13"/>
  <c r="H137" i="13" s="1"/>
  <c r="F128" i="13"/>
  <c r="H128" i="13" s="1"/>
  <c r="F29" i="13"/>
  <c r="H29" i="13" s="1"/>
  <c r="F115" i="13"/>
  <c r="H115" i="13" s="1"/>
  <c r="F111" i="13"/>
  <c r="H111" i="13" s="1"/>
  <c r="F101" i="13"/>
  <c r="H101" i="13" s="1"/>
  <c r="F102" i="13"/>
  <c r="H102" i="13" s="1"/>
  <c r="F100" i="13"/>
  <c r="Q34" i="13" s="1"/>
  <c r="F97" i="13"/>
  <c r="H97" i="13" s="1"/>
  <c r="F95" i="13"/>
  <c r="H95" i="13" s="1"/>
  <c r="F88" i="13"/>
  <c r="X14" i="13" s="1"/>
  <c r="F62" i="13"/>
  <c r="H62" i="13" s="1"/>
  <c r="F47" i="13"/>
  <c r="F45" i="13"/>
  <c r="H45" i="13" s="1"/>
  <c r="F27" i="13"/>
  <c r="H27" i="13" s="1"/>
  <c r="F23" i="13"/>
  <c r="H23" i="13" s="1"/>
  <c r="F17" i="13"/>
  <c r="Q27" i="13" s="1"/>
  <c r="F9" i="13"/>
  <c r="X22" i="13" s="1"/>
  <c r="F5" i="13"/>
  <c r="H5" i="13" s="1"/>
  <c r="E130" i="13"/>
  <c r="G130" i="13" s="1"/>
  <c r="H130" i="13"/>
  <c r="E131" i="13"/>
  <c r="G131" i="13" s="1"/>
  <c r="H131" i="13"/>
  <c r="E132" i="13"/>
  <c r="G132" i="13" s="1"/>
  <c r="H132" i="13"/>
  <c r="E133" i="13"/>
  <c r="G133" i="13" s="1"/>
  <c r="H133" i="13"/>
  <c r="E134" i="13"/>
  <c r="G134" i="13" s="1"/>
  <c r="H134" i="13"/>
  <c r="E135" i="13"/>
  <c r="G135" i="13" s="1"/>
  <c r="H135" i="13"/>
  <c r="E136" i="13"/>
  <c r="G136" i="13" s="1"/>
  <c r="H136" i="13"/>
  <c r="E137" i="13"/>
  <c r="E138" i="13"/>
  <c r="G138" i="13" s="1"/>
  <c r="H138" i="13"/>
  <c r="E139" i="13"/>
  <c r="G139" i="13" s="1"/>
  <c r="H139" i="13"/>
  <c r="E140" i="13"/>
  <c r="G140" i="13" s="1"/>
  <c r="H140" i="13"/>
  <c r="E141" i="13"/>
  <c r="G141" i="13" s="1"/>
  <c r="H141" i="13"/>
  <c r="E142" i="13"/>
  <c r="G142" i="13" s="1"/>
  <c r="E143" i="13"/>
  <c r="G143" i="13" s="1"/>
  <c r="H143" i="13"/>
  <c r="E144" i="13"/>
  <c r="G144" i="13" s="1"/>
  <c r="H144" i="13"/>
  <c r="E145" i="13"/>
  <c r="G145" i="13" s="1"/>
  <c r="H145" i="13"/>
  <c r="E146" i="13"/>
  <c r="G146" i="13" s="1"/>
  <c r="H146" i="13"/>
  <c r="E147" i="13"/>
  <c r="G147" i="13" s="1"/>
  <c r="H147" i="13"/>
  <c r="E148" i="13"/>
  <c r="G148" i="13" s="1"/>
  <c r="H148" i="13"/>
  <c r="E149" i="13"/>
  <c r="G149" i="13" s="1"/>
  <c r="H149" i="13"/>
  <c r="E150" i="13"/>
  <c r="G150" i="13" s="1"/>
  <c r="H150" i="13"/>
  <c r="E151" i="13"/>
  <c r="G151" i="13" s="1"/>
  <c r="H151" i="13"/>
  <c r="E152" i="13"/>
  <c r="G152" i="13" s="1"/>
  <c r="H152" i="13"/>
  <c r="E153" i="13"/>
  <c r="G153" i="13" s="1"/>
  <c r="H153" i="13"/>
  <c r="E154" i="13"/>
  <c r="G154" i="13" s="1"/>
  <c r="H154" i="13"/>
  <c r="E155" i="13"/>
  <c r="E156" i="13"/>
  <c r="G156" i="13" s="1"/>
  <c r="H156" i="13"/>
  <c r="E157" i="13"/>
  <c r="G157" i="13" s="1"/>
  <c r="H157" i="13"/>
  <c r="E158" i="13"/>
  <c r="G158" i="13" s="1"/>
  <c r="H158" i="13"/>
  <c r="E159" i="13"/>
  <c r="G159" i="13" s="1"/>
  <c r="H159" i="13"/>
  <c r="E160" i="13"/>
  <c r="G160" i="13" s="1"/>
  <c r="H160" i="13"/>
  <c r="E161" i="13"/>
  <c r="G161" i="13" s="1"/>
  <c r="H161" i="13"/>
  <c r="E162" i="13"/>
  <c r="G162" i="13" s="1"/>
  <c r="H162" i="13"/>
  <c r="E163" i="13"/>
  <c r="G163" i="13" s="1"/>
  <c r="H163" i="13"/>
  <c r="E164" i="13"/>
  <c r="G164" i="13" s="1"/>
  <c r="H164" i="13"/>
  <c r="E165" i="13"/>
  <c r="G165" i="13" s="1"/>
  <c r="H165" i="13"/>
  <c r="E166" i="13"/>
  <c r="G166" i="13" s="1"/>
  <c r="H166" i="13"/>
  <c r="E167" i="13"/>
  <c r="G167" i="13" s="1"/>
  <c r="H167" i="13"/>
  <c r="E168" i="13"/>
  <c r="G168" i="13" s="1"/>
  <c r="H168" i="13"/>
  <c r="E169" i="13"/>
  <c r="G169" i="13" s="1"/>
  <c r="H169" i="13"/>
  <c r="E170" i="13"/>
  <c r="G170" i="13" s="1"/>
  <c r="H170" i="13"/>
  <c r="E171" i="13"/>
  <c r="G171" i="13" s="1"/>
  <c r="H171" i="13"/>
  <c r="E172" i="13"/>
  <c r="G172" i="13" s="1"/>
  <c r="H172" i="13"/>
  <c r="E173" i="13"/>
  <c r="G173" i="13" s="1"/>
  <c r="H173" i="13"/>
  <c r="E174" i="13"/>
  <c r="G174" i="13" s="1"/>
  <c r="H174" i="13"/>
  <c r="E175" i="13"/>
  <c r="G175" i="13" s="1"/>
  <c r="H175" i="13"/>
  <c r="E176" i="13"/>
  <c r="G176" i="13" s="1"/>
  <c r="H176" i="13"/>
  <c r="E177" i="13"/>
  <c r="G177" i="13" s="1"/>
  <c r="H177" i="13"/>
  <c r="E178" i="13"/>
  <c r="G178" i="13" s="1"/>
  <c r="H178" i="13"/>
  <c r="E179" i="13"/>
  <c r="G179" i="13" s="1"/>
  <c r="H179" i="13"/>
  <c r="E180" i="13"/>
  <c r="G180" i="13" s="1"/>
  <c r="H180" i="13"/>
  <c r="E181" i="13"/>
  <c r="E182" i="13"/>
  <c r="G182" i="13" s="1"/>
  <c r="H182" i="13"/>
  <c r="E183" i="13"/>
  <c r="G183" i="13" s="1"/>
  <c r="H183" i="13"/>
  <c r="E184" i="13"/>
  <c r="G184" i="13" s="1"/>
  <c r="H184" i="13"/>
  <c r="E185" i="13"/>
  <c r="E186" i="13"/>
  <c r="G186" i="13" s="1"/>
  <c r="H186" i="13"/>
  <c r="E187" i="13"/>
  <c r="G187" i="13" s="1"/>
  <c r="H187" i="13"/>
  <c r="E188" i="13"/>
  <c r="G188" i="13" s="1"/>
  <c r="H188" i="13"/>
  <c r="E189" i="13"/>
  <c r="G189" i="13" s="1"/>
  <c r="H189" i="13"/>
  <c r="E190" i="13"/>
  <c r="E191" i="13"/>
  <c r="G191" i="13" s="1"/>
  <c r="H191" i="13"/>
  <c r="E192" i="13"/>
  <c r="G192" i="13" s="1"/>
  <c r="H192" i="13"/>
  <c r="E193" i="13"/>
  <c r="G193" i="13" s="1"/>
  <c r="H193" i="13"/>
  <c r="E194" i="13"/>
  <c r="G194" i="13" s="1"/>
  <c r="H194" i="13"/>
  <c r="E195" i="13"/>
  <c r="G195" i="13" s="1"/>
  <c r="H195" i="13"/>
  <c r="E196" i="13"/>
  <c r="G196" i="13" s="1"/>
  <c r="H196" i="13"/>
  <c r="E197" i="13"/>
  <c r="G197" i="13" s="1"/>
  <c r="H197" i="13"/>
  <c r="E198" i="13"/>
  <c r="G198" i="13" s="1"/>
  <c r="H198" i="13"/>
  <c r="E199" i="13"/>
  <c r="G199" i="13" s="1"/>
  <c r="H199" i="13"/>
  <c r="E200" i="13"/>
  <c r="G200" i="13" s="1"/>
  <c r="H200" i="13"/>
  <c r="E201" i="13"/>
  <c r="G201" i="13" s="1"/>
  <c r="H201" i="13"/>
  <c r="E202" i="13"/>
  <c r="G202" i="13" s="1"/>
  <c r="H202" i="13"/>
  <c r="E203" i="13"/>
  <c r="G203" i="13" s="1"/>
  <c r="H203" i="13"/>
  <c r="E204" i="13"/>
  <c r="G204" i="13" s="1"/>
  <c r="H204" i="13"/>
  <c r="E205" i="13"/>
  <c r="G205" i="13" s="1"/>
  <c r="H205" i="13"/>
  <c r="E206" i="13"/>
  <c r="G206" i="13" s="1"/>
  <c r="H206" i="13"/>
  <c r="E207" i="13"/>
  <c r="G207" i="13" s="1"/>
  <c r="H207" i="13"/>
  <c r="E208" i="13"/>
  <c r="G208" i="13" s="1"/>
  <c r="H208" i="13"/>
  <c r="E209" i="13"/>
  <c r="G209" i="13" s="1"/>
  <c r="H209" i="13"/>
  <c r="E210" i="13"/>
  <c r="E211" i="13"/>
  <c r="E212" i="13"/>
  <c r="G212" i="13" s="1"/>
  <c r="H212" i="13"/>
  <c r="E213" i="13"/>
  <c r="G213" i="13" s="1"/>
  <c r="H213" i="13"/>
  <c r="E214" i="13"/>
  <c r="G214" i="13" s="1"/>
  <c r="H214" i="13"/>
  <c r="E215" i="13"/>
  <c r="G215" i="13" s="1"/>
  <c r="H215" i="13"/>
  <c r="E216" i="13"/>
  <c r="E217" i="13"/>
  <c r="G217" i="13" s="1"/>
  <c r="H217" i="13"/>
  <c r="E218" i="13"/>
  <c r="G218" i="13" s="1"/>
  <c r="H218" i="13"/>
  <c r="E219" i="13"/>
  <c r="E220" i="13"/>
  <c r="G220" i="13" s="1"/>
  <c r="H220" i="13"/>
  <c r="E221" i="13"/>
  <c r="G221" i="13" s="1"/>
  <c r="H221" i="13"/>
  <c r="E222" i="13"/>
  <c r="G222" i="13" s="1"/>
  <c r="E223" i="13"/>
  <c r="G223" i="13" s="1"/>
  <c r="H223" i="13"/>
  <c r="E224" i="13"/>
  <c r="G224" i="13" s="1"/>
  <c r="H224" i="13"/>
  <c r="E225" i="13"/>
  <c r="G225" i="13" s="1"/>
  <c r="H225" i="13"/>
  <c r="E226" i="13"/>
  <c r="G226" i="13" s="1"/>
  <c r="H226" i="13"/>
  <c r="E227" i="13"/>
  <c r="G227" i="13" s="1"/>
  <c r="H227" i="13"/>
  <c r="E228" i="13"/>
  <c r="G228" i="13" s="1"/>
  <c r="H228" i="13"/>
  <c r="E229" i="13"/>
  <c r="E230" i="13"/>
  <c r="G230" i="13" s="1"/>
  <c r="H230" i="13"/>
  <c r="E231" i="13"/>
  <c r="G231" i="13" s="1"/>
  <c r="H231" i="13"/>
  <c r="E232" i="13"/>
  <c r="G232" i="13" s="1"/>
  <c r="H232" i="13"/>
  <c r="E233" i="13"/>
  <c r="G233" i="13" s="1"/>
  <c r="H233" i="13"/>
  <c r="E234" i="13"/>
  <c r="G234" i="13" s="1"/>
  <c r="H234" i="13"/>
  <c r="E235" i="13"/>
  <c r="G235" i="13" s="1"/>
  <c r="H235" i="13"/>
  <c r="E236" i="13"/>
  <c r="G236" i="13" s="1"/>
  <c r="H236" i="13"/>
  <c r="E237" i="13"/>
  <c r="G237" i="13" s="1"/>
  <c r="H237" i="13"/>
  <c r="E238" i="13"/>
  <c r="G238" i="13" s="1"/>
  <c r="H238" i="13"/>
  <c r="E239" i="13"/>
  <c r="G239" i="13" s="1"/>
  <c r="H239" i="13"/>
  <c r="E240" i="13"/>
  <c r="E241" i="13"/>
  <c r="E242" i="13"/>
  <c r="G242" i="13" s="1"/>
  <c r="H242" i="13"/>
  <c r="E243" i="13"/>
  <c r="G243" i="13" s="1"/>
  <c r="H243" i="13"/>
  <c r="E244" i="13"/>
  <c r="G244" i="13" s="1"/>
  <c r="H244" i="13"/>
  <c r="E245" i="13"/>
  <c r="G245" i="13" s="1"/>
  <c r="H245" i="13"/>
  <c r="E246" i="13"/>
  <c r="G246" i="13" s="1"/>
  <c r="H246" i="13"/>
  <c r="E247" i="13"/>
  <c r="G247" i="13" s="1"/>
  <c r="H247" i="13"/>
  <c r="E248" i="13"/>
  <c r="G248" i="13" s="1"/>
  <c r="H248" i="13"/>
  <c r="E249" i="13"/>
  <c r="G249" i="13" s="1"/>
  <c r="H249" i="13"/>
  <c r="E250" i="13"/>
  <c r="G250" i="13" s="1"/>
  <c r="H250" i="13"/>
  <c r="E251" i="13"/>
  <c r="G251" i="13" s="1"/>
  <c r="H251" i="13"/>
  <c r="E252" i="13"/>
  <c r="G252" i="13" s="1"/>
  <c r="H252" i="13"/>
  <c r="E253" i="13"/>
  <c r="G253" i="13" s="1"/>
  <c r="H253" i="13"/>
  <c r="E254" i="13"/>
  <c r="G254" i="13" s="1"/>
  <c r="H254" i="13"/>
  <c r="E255" i="13"/>
  <c r="G255" i="13" s="1"/>
  <c r="H255" i="13"/>
  <c r="E256" i="13"/>
  <c r="G256" i="13" s="1"/>
  <c r="H256" i="13"/>
  <c r="E257" i="13"/>
  <c r="G257" i="13" s="1"/>
  <c r="H257" i="13"/>
  <c r="E258" i="13"/>
  <c r="G258" i="13" s="1"/>
  <c r="H258" i="13"/>
  <c r="E259" i="13"/>
  <c r="G259" i="13" s="1"/>
  <c r="H259" i="13"/>
  <c r="E260" i="13"/>
  <c r="G260" i="13" s="1"/>
  <c r="H260" i="13"/>
  <c r="E261" i="13"/>
  <c r="G261" i="13" s="1"/>
  <c r="H261" i="13"/>
  <c r="E262" i="13"/>
  <c r="E263" i="13"/>
  <c r="G263" i="13" s="1"/>
  <c r="H263" i="13"/>
  <c r="E264" i="13"/>
  <c r="G264" i="13" s="1"/>
  <c r="H264" i="13"/>
  <c r="E265" i="13"/>
  <c r="G265" i="13" s="1"/>
  <c r="H265" i="13"/>
  <c r="E266" i="13"/>
  <c r="G266" i="13" s="1"/>
  <c r="H266" i="13"/>
  <c r="E267" i="13"/>
  <c r="E268" i="13"/>
  <c r="G268" i="13" s="1"/>
  <c r="H268" i="13"/>
  <c r="E269" i="13"/>
  <c r="G269" i="13" s="1"/>
  <c r="H269" i="13"/>
  <c r="E270" i="13"/>
  <c r="G270" i="13" s="1"/>
  <c r="H270" i="13"/>
  <c r="E271" i="13"/>
  <c r="G271" i="13" s="1"/>
  <c r="H271" i="13"/>
  <c r="E272" i="13"/>
  <c r="E273" i="13"/>
  <c r="G273" i="13" s="1"/>
  <c r="H273" i="13"/>
  <c r="E274" i="13"/>
  <c r="G274" i="13" s="1"/>
  <c r="H274" i="13"/>
  <c r="E275" i="13"/>
  <c r="G275" i="13" s="1"/>
  <c r="H275" i="13"/>
  <c r="E276" i="13"/>
  <c r="G276" i="13" s="1"/>
  <c r="H276" i="13"/>
  <c r="E277" i="13"/>
  <c r="G277" i="13" s="1"/>
  <c r="H277" i="13"/>
  <c r="E278" i="13"/>
  <c r="G278" i="13" s="1"/>
  <c r="H278" i="13"/>
  <c r="E279" i="13"/>
  <c r="E280" i="13"/>
  <c r="E281" i="13"/>
  <c r="G281" i="13" s="1"/>
  <c r="H281" i="13"/>
  <c r="E282" i="13"/>
  <c r="G282" i="13" s="1"/>
  <c r="H282" i="13"/>
  <c r="E283" i="13"/>
  <c r="G283" i="13" s="1"/>
  <c r="H283" i="13"/>
  <c r="E284" i="13"/>
  <c r="G284" i="13" s="1"/>
  <c r="H284" i="13"/>
  <c r="E285" i="13"/>
  <c r="G285" i="13" s="1"/>
  <c r="H285" i="13"/>
  <c r="E286" i="13"/>
  <c r="E287" i="13"/>
  <c r="G287" i="13" s="1"/>
  <c r="H287" i="13"/>
  <c r="E288" i="13"/>
  <c r="E289" i="13"/>
  <c r="G289" i="13" s="1"/>
  <c r="H289" i="13"/>
  <c r="E290" i="13"/>
  <c r="G290" i="13" s="1"/>
  <c r="H290" i="13"/>
  <c r="E291" i="13"/>
  <c r="G291" i="13" s="1"/>
  <c r="H291" i="13"/>
  <c r="E292" i="13"/>
  <c r="E293" i="13"/>
  <c r="G293" i="13" s="1"/>
  <c r="H293" i="13"/>
  <c r="E294" i="13"/>
  <c r="G294" i="13" s="1"/>
  <c r="H294" i="13"/>
  <c r="E295" i="13"/>
  <c r="G295" i="13" s="1"/>
  <c r="H295" i="13"/>
  <c r="E296" i="13"/>
  <c r="G296" i="13" s="1"/>
  <c r="H296" i="13"/>
  <c r="E297" i="13"/>
  <c r="G297" i="13" s="1"/>
  <c r="H297" i="13"/>
  <c r="E298" i="13"/>
  <c r="G298" i="13" s="1"/>
  <c r="H298" i="13"/>
  <c r="E299" i="13"/>
  <c r="G299" i="13" s="1"/>
  <c r="H299" i="13"/>
  <c r="E300" i="13"/>
  <c r="G300" i="13" s="1"/>
  <c r="H300" i="13"/>
  <c r="E301" i="13"/>
  <c r="G301" i="13" s="1"/>
  <c r="H301" i="13"/>
  <c r="E302" i="13"/>
  <c r="G302" i="13" s="1"/>
  <c r="H302" i="13"/>
  <c r="E303" i="13"/>
  <c r="H303" i="13"/>
  <c r="E304" i="13"/>
  <c r="G304" i="13" s="1"/>
  <c r="H304" i="13"/>
  <c r="E305" i="13"/>
  <c r="G305" i="13" s="1"/>
  <c r="H305" i="13"/>
  <c r="E306" i="13"/>
  <c r="G306" i="13" s="1"/>
  <c r="H306" i="13"/>
  <c r="E4" i="13"/>
  <c r="G4" i="13" s="1"/>
  <c r="H4" i="13"/>
  <c r="E5" i="13"/>
  <c r="E6" i="13"/>
  <c r="G6" i="13" s="1"/>
  <c r="H6" i="13"/>
  <c r="E7" i="13"/>
  <c r="G7" i="13" s="1"/>
  <c r="H7" i="13"/>
  <c r="E8" i="13"/>
  <c r="G8" i="13" s="1"/>
  <c r="H8" i="13"/>
  <c r="E9" i="13"/>
  <c r="E10" i="13"/>
  <c r="G10" i="13" s="1"/>
  <c r="H10" i="13"/>
  <c r="E11" i="13"/>
  <c r="G11" i="13" s="1"/>
  <c r="H11" i="13"/>
  <c r="E12" i="13"/>
  <c r="G12" i="13" s="1"/>
  <c r="H12" i="13"/>
  <c r="E13" i="13"/>
  <c r="G13" i="13" s="1"/>
  <c r="H13" i="13"/>
  <c r="E14" i="13"/>
  <c r="G14" i="13" s="1"/>
  <c r="H14" i="13"/>
  <c r="E15" i="13"/>
  <c r="G15" i="13" s="1"/>
  <c r="H15" i="13"/>
  <c r="E16" i="13"/>
  <c r="G16" i="13" s="1"/>
  <c r="H16" i="13"/>
  <c r="E17" i="13"/>
  <c r="E18" i="13"/>
  <c r="G18" i="13" s="1"/>
  <c r="H18" i="13"/>
  <c r="E19" i="13"/>
  <c r="G19" i="13" s="1"/>
  <c r="H19" i="13"/>
  <c r="E20" i="13"/>
  <c r="G20" i="13" s="1"/>
  <c r="H20" i="13"/>
  <c r="E21" i="13"/>
  <c r="G21" i="13" s="1"/>
  <c r="H21" i="13"/>
  <c r="E22" i="13"/>
  <c r="G22" i="13" s="1"/>
  <c r="H22" i="13"/>
  <c r="E23" i="13"/>
  <c r="E24" i="13"/>
  <c r="G24" i="13" s="1"/>
  <c r="H24" i="13"/>
  <c r="E25" i="13"/>
  <c r="G25" i="13" s="1"/>
  <c r="H25" i="13"/>
  <c r="E26" i="13"/>
  <c r="G26" i="13" s="1"/>
  <c r="H26" i="13"/>
  <c r="E27" i="13"/>
  <c r="E28" i="13"/>
  <c r="G28" i="13" s="1"/>
  <c r="H28" i="13"/>
  <c r="E29" i="13"/>
  <c r="E30" i="13"/>
  <c r="G30" i="13" s="1"/>
  <c r="H30" i="13"/>
  <c r="E31" i="13"/>
  <c r="G31" i="13" s="1"/>
  <c r="H31" i="13"/>
  <c r="E32" i="13"/>
  <c r="G32" i="13" s="1"/>
  <c r="H32" i="13"/>
  <c r="E33" i="13"/>
  <c r="G33" i="13" s="1"/>
  <c r="H33" i="13"/>
  <c r="E34" i="13"/>
  <c r="G34" i="13" s="1"/>
  <c r="H34" i="13"/>
  <c r="E35" i="13"/>
  <c r="G35" i="13" s="1"/>
  <c r="H35" i="13"/>
  <c r="E36" i="13"/>
  <c r="G36" i="13" s="1"/>
  <c r="H36" i="13"/>
  <c r="E37" i="13"/>
  <c r="G37" i="13" s="1"/>
  <c r="H37" i="13"/>
  <c r="E38" i="13"/>
  <c r="G38" i="13" s="1"/>
  <c r="H38" i="13"/>
  <c r="E39" i="13"/>
  <c r="G39" i="13" s="1"/>
  <c r="H39" i="13"/>
  <c r="E40" i="13"/>
  <c r="G40" i="13" s="1"/>
  <c r="H40" i="13"/>
  <c r="E41" i="13"/>
  <c r="G41" i="13" s="1"/>
  <c r="H41" i="13"/>
  <c r="E42" i="13"/>
  <c r="G42" i="13" s="1"/>
  <c r="H42" i="13"/>
  <c r="E43" i="13"/>
  <c r="G43" i="13" s="1"/>
  <c r="H43" i="13"/>
  <c r="E44" i="13"/>
  <c r="G44" i="13" s="1"/>
  <c r="H44" i="13"/>
  <c r="E45" i="13"/>
  <c r="E46" i="13"/>
  <c r="G46" i="13" s="1"/>
  <c r="H46" i="13"/>
  <c r="E47" i="13"/>
  <c r="E48" i="13"/>
  <c r="G48" i="13" s="1"/>
  <c r="H48" i="13"/>
  <c r="E49" i="13"/>
  <c r="G49" i="13" s="1"/>
  <c r="H49" i="13"/>
  <c r="E50" i="13"/>
  <c r="G50" i="13" s="1"/>
  <c r="H50" i="13"/>
  <c r="E51" i="13"/>
  <c r="G51" i="13" s="1"/>
  <c r="H51" i="13"/>
  <c r="E52" i="13"/>
  <c r="G52" i="13" s="1"/>
  <c r="H52" i="13"/>
  <c r="E53" i="13"/>
  <c r="G53" i="13" s="1"/>
  <c r="H53" i="13"/>
  <c r="E54" i="13"/>
  <c r="G54" i="13" s="1"/>
  <c r="H54" i="13"/>
  <c r="E55" i="13"/>
  <c r="G55" i="13" s="1"/>
  <c r="H55" i="13"/>
  <c r="E56" i="13"/>
  <c r="G56" i="13" s="1"/>
  <c r="H56" i="13"/>
  <c r="E57" i="13"/>
  <c r="G57" i="13" s="1"/>
  <c r="H57" i="13"/>
  <c r="E58" i="13"/>
  <c r="G58" i="13" s="1"/>
  <c r="H58" i="13"/>
  <c r="E59" i="13"/>
  <c r="G59" i="13" s="1"/>
  <c r="H59" i="13"/>
  <c r="E60" i="13"/>
  <c r="G60" i="13" s="1"/>
  <c r="H60" i="13"/>
  <c r="E61" i="13"/>
  <c r="G61" i="13" s="1"/>
  <c r="H61" i="13"/>
  <c r="E62" i="13"/>
  <c r="E63" i="13"/>
  <c r="G63" i="13" s="1"/>
  <c r="H63" i="13"/>
  <c r="E64" i="13"/>
  <c r="G64" i="13" s="1"/>
  <c r="H64" i="13"/>
  <c r="E65" i="13"/>
  <c r="G65" i="13" s="1"/>
  <c r="H65" i="13"/>
  <c r="E66" i="13"/>
  <c r="G66" i="13" s="1"/>
  <c r="H66" i="13"/>
  <c r="E67" i="13"/>
  <c r="G67" i="13" s="1"/>
  <c r="H67" i="13"/>
  <c r="E68" i="13"/>
  <c r="G68" i="13" s="1"/>
  <c r="H68" i="13"/>
  <c r="E69" i="13"/>
  <c r="G69" i="13" s="1"/>
  <c r="H69" i="13"/>
  <c r="E70" i="13"/>
  <c r="G70" i="13" s="1"/>
  <c r="H70" i="13"/>
  <c r="E71" i="13"/>
  <c r="G71" i="13" s="1"/>
  <c r="H71" i="13"/>
  <c r="E72" i="13"/>
  <c r="G72" i="13" s="1"/>
  <c r="H72" i="13"/>
  <c r="E73" i="13"/>
  <c r="G73" i="13" s="1"/>
  <c r="H73" i="13"/>
  <c r="E74" i="13"/>
  <c r="G74" i="13" s="1"/>
  <c r="H74" i="13"/>
  <c r="E75" i="13"/>
  <c r="G75" i="13" s="1"/>
  <c r="H75" i="13"/>
  <c r="E76" i="13"/>
  <c r="G76" i="13" s="1"/>
  <c r="H76" i="13"/>
  <c r="E77" i="13"/>
  <c r="G77" i="13" s="1"/>
  <c r="H77" i="13"/>
  <c r="E78" i="13"/>
  <c r="G78" i="13" s="1"/>
  <c r="H78" i="13"/>
  <c r="E79" i="13"/>
  <c r="G79" i="13" s="1"/>
  <c r="H79" i="13"/>
  <c r="E80" i="13"/>
  <c r="G80" i="13" s="1"/>
  <c r="H80" i="13"/>
  <c r="E81" i="13"/>
  <c r="G81" i="13" s="1"/>
  <c r="H81" i="13"/>
  <c r="E82" i="13"/>
  <c r="G82" i="13" s="1"/>
  <c r="H82" i="13"/>
  <c r="E83" i="13"/>
  <c r="G83" i="13" s="1"/>
  <c r="H83" i="13"/>
  <c r="E84" i="13"/>
  <c r="G84" i="13" s="1"/>
  <c r="H84" i="13"/>
  <c r="E85" i="13"/>
  <c r="G85" i="13" s="1"/>
  <c r="H85" i="13"/>
  <c r="E86" i="13"/>
  <c r="G86" i="13" s="1"/>
  <c r="H86" i="13"/>
  <c r="E87" i="13"/>
  <c r="G87" i="13" s="1"/>
  <c r="H87" i="13"/>
  <c r="E88" i="13"/>
  <c r="H88" i="13"/>
  <c r="E89" i="13"/>
  <c r="G89" i="13" s="1"/>
  <c r="H89" i="13"/>
  <c r="E90" i="13"/>
  <c r="G90" i="13" s="1"/>
  <c r="H90" i="13"/>
  <c r="E91" i="13"/>
  <c r="G91" i="13" s="1"/>
  <c r="H91" i="13"/>
  <c r="E92" i="13"/>
  <c r="G92" i="13" s="1"/>
  <c r="H92" i="13"/>
  <c r="E93" i="13"/>
  <c r="G93" i="13" s="1"/>
  <c r="H93" i="13"/>
  <c r="E94" i="13"/>
  <c r="G94" i="13" s="1"/>
  <c r="H94" i="13"/>
  <c r="E95" i="13"/>
  <c r="E96" i="13"/>
  <c r="G96" i="13" s="1"/>
  <c r="H96" i="13"/>
  <c r="E97" i="13"/>
  <c r="E98" i="13"/>
  <c r="G98" i="13" s="1"/>
  <c r="H98" i="13"/>
  <c r="E99" i="13"/>
  <c r="G99" i="13" s="1"/>
  <c r="H99" i="13"/>
  <c r="E100" i="13"/>
  <c r="E101" i="13"/>
  <c r="E102" i="13"/>
  <c r="E103" i="13"/>
  <c r="G103" i="13" s="1"/>
  <c r="H103" i="13"/>
  <c r="E104" i="13"/>
  <c r="G104" i="13" s="1"/>
  <c r="H104" i="13"/>
  <c r="E105" i="13"/>
  <c r="G105" i="13" s="1"/>
  <c r="H105" i="13"/>
  <c r="E106" i="13"/>
  <c r="G106" i="13" s="1"/>
  <c r="H106" i="13"/>
  <c r="E107" i="13"/>
  <c r="G107" i="13" s="1"/>
  <c r="H107" i="13"/>
  <c r="E108" i="13"/>
  <c r="G108" i="13" s="1"/>
  <c r="H108" i="13"/>
  <c r="E109" i="13"/>
  <c r="G109" i="13" s="1"/>
  <c r="H109" i="13"/>
  <c r="E110" i="13"/>
  <c r="G110" i="13" s="1"/>
  <c r="H110" i="13"/>
  <c r="E111" i="13"/>
  <c r="E112" i="13"/>
  <c r="G112" i="13" s="1"/>
  <c r="H112" i="13"/>
  <c r="E113" i="13"/>
  <c r="G113" i="13" s="1"/>
  <c r="H113" i="13"/>
  <c r="E114" i="13"/>
  <c r="G114" i="13" s="1"/>
  <c r="H114" i="13"/>
  <c r="E115" i="13"/>
  <c r="E116" i="13"/>
  <c r="G116" i="13" s="1"/>
  <c r="H116" i="13"/>
  <c r="E117" i="13"/>
  <c r="G117" i="13" s="1"/>
  <c r="H117" i="13"/>
  <c r="E118" i="13"/>
  <c r="G118" i="13" s="1"/>
  <c r="H118" i="13"/>
  <c r="E119" i="13"/>
  <c r="G119" i="13" s="1"/>
  <c r="H119" i="13"/>
  <c r="E120" i="13"/>
  <c r="G120" i="13" s="1"/>
  <c r="H120" i="13"/>
  <c r="E121" i="13"/>
  <c r="G121" i="13" s="1"/>
  <c r="H121" i="13"/>
  <c r="E122" i="13"/>
  <c r="G122" i="13" s="1"/>
  <c r="H122" i="13"/>
  <c r="E123" i="13"/>
  <c r="G123" i="13" s="1"/>
  <c r="H123" i="13"/>
  <c r="E124" i="13"/>
  <c r="G124" i="13" s="1"/>
  <c r="H124" i="13"/>
  <c r="E125" i="13"/>
  <c r="G125" i="13" s="1"/>
  <c r="H125" i="13"/>
  <c r="E126" i="13"/>
  <c r="G126" i="13" s="1"/>
  <c r="H126" i="13"/>
  <c r="E127" i="13"/>
  <c r="G127" i="13" s="1"/>
  <c r="H127" i="13"/>
  <c r="E128" i="13"/>
  <c r="E129" i="13"/>
  <c r="G129" i="13" s="1"/>
  <c r="H129" i="13"/>
  <c r="H3" i="13"/>
  <c r="E3" i="13"/>
  <c r="G3" i="13" s="1"/>
  <c r="Q18" i="12"/>
  <c r="I78" i="8"/>
  <c r="V78" i="8" s="1"/>
  <c r="I14" i="8"/>
  <c r="I8" i="8"/>
  <c r="I12" i="8"/>
  <c r="I4" i="8"/>
  <c r="I21" i="8"/>
  <c r="I22" i="8"/>
  <c r="I24" i="8"/>
  <c r="I39" i="8"/>
  <c r="I44" i="8"/>
  <c r="I48" i="8"/>
  <c r="I49" i="8"/>
  <c r="I52" i="8"/>
  <c r="I56" i="8"/>
  <c r="I58" i="8"/>
  <c r="I62" i="8"/>
  <c r="I64" i="8"/>
  <c r="I63" i="8"/>
  <c r="I66" i="8"/>
  <c r="I65" i="8"/>
  <c r="I67" i="8"/>
  <c r="I69" i="8"/>
  <c r="I71" i="8"/>
  <c r="I73" i="8"/>
  <c r="I72" i="8"/>
  <c r="I74" i="8"/>
  <c r="I76" i="8"/>
  <c r="I75" i="8"/>
  <c r="I79" i="8"/>
  <c r="I83" i="8"/>
  <c r="I81" i="8"/>
  <c r="I82" i="8"/>
  <c r="I80" i="8"/>
  <c r="I51" i="8"/>
  <c r="I93" i="8"/>
  <c r="I90" i="8"/>
  <c r="I91" i="8"/>
  <c r="I92" i="8"/>
  <c r="I95" i="8"/>
  <c r="I88" i="8"/>
  <c r="I104" i="8"/>
  <c r="I106" i="8"/>
  <c r="I107" i="8"/>
  <c r="V107" i="8" s="1"/>
  <c r="I111" i="8"/>
  <c r="I114" i="8"/>
  <c r="I113" i="8"/>
  <c r="I115" i="8"/>
  <c r="I116" i="8"/>
  <c r="V116" i="8" s="1"/>
  <c r="I109" i="8"/>
  <c r="I46" i="8"/>
  <c r="V46" i="8" s="1"/>
  <c r="I86" i="8"/>
  <c r="I35" i="8"/>
  <c r="I60" i="8"/>
  <c r="I3" i="8"/>
  <c r="D27" i="5"/>
  <c r="D11" i="5"/>
  <c r="D16" i="5"/>
  <c r="D5" i="5"/>
  <c r="D21" i="5"/>
  <c r="D33" i="5"/>
  <c r="L61" i="13"/>
  <c r="J55" i="15"/>
  <c r="J57" i="21"/>
  <c r="C3" i="7"/>
  <c r="C8" i="7"/>
  <c r="C18" i="7"/>
  <c r="C13" i="7"/>
  <c r="C9" i="7"/>
  <c r="C7" i="7"/>
  <c r="C16" i="7"/>
  <c r="X56" i="22" l="1"/>
  <c r="R68" i="22"/>
  <c r="V29" i="8"/>
  <c r="W29" i="8" s="1"/>
  <c r="G333" i="21"/>
  <c r="Q68" i="21"/>
  <c r="H333" i="21"/>
  <c r="R68" i="21"/>
  <c r="V60" i="8"/>
  <c r="G266" i="17"/>
  <c r="Q68" i="17"/>
  <c r="R68" i="17"/>
  <c r="V86" i="8"/>
  <c r="W86" i="8" s="1"/>
  <c r="C32" i="11"/>
  <c r="V35" i="8"/>
  <c r="W35" i="8" s="1"/>
  <c r="V43" i="8"/>
  <c r="W43" i="8" s="1"/>
  <c r="V38" i="8"/>
  <c r="W38" i="8" s="1"/>
  <c r="V109" i="8"/>
  <c r="W109" i="8" s="1"/>
  <c r="V25" i="8"/>
  <c r="W25" i="8" s="1"/>
  <c r="G176" i="14"/>
  <c r="G435" i="14"/>
  <c r="Q18" i="14"/>
  <c r="S18" i="14" s="1"/>
  <c r="R5" i="14"/>
  <c r="R4" i="14"/>
  <c r="R39" i="14"/>
  <c r="R59" i="14"/>
  <c r="R63" i="14"/>
  <c r="R67" i="14"/>
  <c r="R29" i="14"/>
  <c r="R33" i="14"/>
  <c r="R53" i="14"/>
  <c r="G186" i="14"/>
  <c r="G31" i="14"/>
  <c r="G163" i="14"/>
  <c r="G423" i="14"/>
  <c r="H235" i="14"/>
  <c r="G156" i="14"/>
  <c r="G236" i="14"/>
  <c r="G334" i="14"/>
  <c r="G37" i="14"/>
  <c r="G219" i="14"/>
  <c r="G67" i="14"/>
  <c r="G81" i="14"/>
  <c r="G84" i="14"/>
  <c r="G301" i="14"/>
  <c r="G34" i="14"/>
  <c r="H40" i="14"/>
  <c r="G168" i="14"/>
  <c r="G237" i="14"/>
  <c r="R64" i="14"/>
  <c r="K124" i="8"/>
  <c r="G71" i="14"/>
  <c r="G365" i="14"/>
  <c r="G388" i="14"/>
  <c r="Q14" i="14"/>
  <c r="R14" i="14" s="1"/>
  <c r="R15" i="14"/>
  <c r="G409" i="14"/>
  <c r="G40" i="14"/>
  <c r="G372" i="14"/>
  <c r="G80" i="14"/>
  <c r="R37" i="14"/>
  <c r="R61" i="14"/>
  <c r="H36" i="14"/>
  <c r="G134" i="14"/>
  <c r="G138" i="14"/>
  <c r="G254" i="14"/>
  <c r="G356" i="14"/>
  <c r="G376" i="14"/>
  <c r="G379" i="14"/>
  <c r="R11" i="14"/>
  <c r="R38" i="14"/>
  <c r="R58" i="14"/>
  <c r="R62" i="14"/>
  <c r="R66" i="14"/>
  <c r="G267" i="14"/>
  <c r="R16" i="14"/>
  <c r="R17" i="14"/>
  <c r="R6" i="14"/>
  <c r="R45" i="14"/>
  <c r="R49" i="14"/>
  <c r="R28" i="14"/>
  <c r="R32" i="14"/>
  <c r="H32" i="14"/>
  <c r="G108" i="14"/>
  <c r="R7" i="14"/>
  <c r="R30" i="14"/>
  <c r="R54" i="14"/>
  <c r="R12" i="14"/>
  <c r="R13" i="14"/>
  <c r="R41" i="14"/>
  <c r="Q56" i="14"/>
  <c r="R56" i="14" s="1"/>
  <c r="H372" i="14"/>
  <c r="Q23" i="14"/>
  <c r="R23" i="14" s="1"/>
  <c r="Q8" i="14"/>
  <c r="R8" i="14" s="1"/>
  <c r="G48" i="14"/>
  <c r="G85" i="14"/>
  <c r="G155" i="14"/>
  <c r="G177" i="14"/>
  <c r="G204" i="14"/>
  <c r="G245" i="14"/>
  <c r="G330" i="14"/>
  <c r="G373" i="14"/>
  <c r="Q35" i="14"/>
  <c r="R35" i="14" s="1"/>
  <c r="Q26" i="14"/>
  <c r="R26" i="14" s="1"/>
  <c r="R31" i="14"/>
  <c r="R43" i="14"/>
  <c r="R46" i="14"/>
  <c r="R65" i="14"/>
  <c r="R9" i="14"/>
  <c r="R24" i="14"/>
  <c r="R44" i="14"/>
  <c r="R48" i="14"/>
  <c r="R60" i="14"/>
  <c r="R27" i="14"/>
  <c r="R57" i="14"/>
  <c r="G30" i="14"/>
  <c r="G36" i="14"/>
  <c r="H48" i="14"/>
  <c r="H83" i="14"/>
  <c r="G233" i="14"/>
  <c r="G235" i="14"/>
  <c r="G275" i="14"/>
  <c r="H373" i="14"/>
  <c r="G378" i="14"/>
  <c r="G398" i="14"/>
  <c r="G400" i="14"/>
  <c r="R22" i="14"/>
  <c r="G377" i="14"/>
  <c r="G427" i="14"/>
  <c r="R21" i="14"/>
  <c r="R47" i="14"/>
  <c r="R51" i="14"/>
  <c r="R25" i="14"/>
  <c r="R40" i="14"/>
  <c r="R42" i="14"/>
  <c r="R55" i="14"/>
  <c r="R20" i="14"/>
  <c r="R36" i="14"/>
  <c r="H3" i="14"/>
  <c r="G158" i="14"/>
  <c r="F446" i="14"/>
  <c r="R52" i="14"/>
  <c r="G3" i="14"/>
  <c r="G23" i="14"/>
  <c r="G82" i="14"/>
  <c r="G97" i="14"/>
  <c r="G344" i="14"/>
  <c r="Q10" i="14"/>
  <c r="R10" i="14" s="1"/>
  <c r="Q34" i="14"/>
  <c r="R34" i="14" s="1"/>
  <c r="Q50" i="14"/>
  <c r="R50" i="14" s="1"/>
  <c r="G141" i="14"/>
  <c r="G241" i="14"/>
  <c r="G325" i="14"/>
  <c r="H377" i="14"/>
  <c r="G391" i="14"/>
  <c r="G414" i="14"/>
  <c r="G418" i="14"/>
  <c r="R19" i="14"/>
  <c r="W46" i="8"/>
  <c r="W103" i="8"/>
  <c r="W78" i="8"/>
  <c r="G72" i="14"/>
  <c r="G259" i="14"/>
  <c r="G324" i="14"/>
  <c r="G41" i="14"/>
  <c r="G154" i="14"/>
  <c r="G171" i="14"/>
  <c r="G230" i="14"/>
  <c r="G32" i="14"/>
  <c r="G83" i="14"/>
  <c r="G202" i="14"/>
  <c r="G342" i="14"/>
  <c r="G370" i="14"/>
  <c r="J124" i="8"/>
  <c r="I124" i="8"/>
  <c r="C23" i="11"/>
  <c r="X24" i="13"/>
  <c r="X39" i="13"/>
  <c r="X65" i="13"/>
  <c r="X59" i="13"/>
  <c r="X27" i="13"/>
  <c r="X8" i="13"/>
  <c r="X56" i="13"/>
  <c r="X13" i="13"/>
  <c r="X17" i="13"/>
  <c r="X6" i="13"/>
  <c r="X10" i="13"/>
  <c r="X31" i="13"/>
  <c r="X35" i="13"/>
  <c r="X46" i="13"/>
  <c r="X50" i="13"/>
  <c r="X54" i="13"/>
  <c r="X63" i="13"/>
  <c r="X12" i="13"/>
  <c r="X18" i="13"/>
  <c r="X26" i="13"/>
  <c r="X58" i="13"/>
  <c r="X32" i="13"/>
  <c r="X34" i="13"/>
  <c r="X40" i="13"/>
  <c r="X49" i="13"/>
  <c r="X64" i="13"/>
  <c r="X5" i="13"/>
  <c r="X21" i="13"/>
  <c r="X28" i="13"/>
  <c r="X37" i="13"/>
  <c r="X44" i="13"/>
  <c r="X53" i="13"/>
  <c r="X60" i="13"/>
  <c r="X3" i="13"/>
  <c r="X16" i="13"/>
  <c r="X25" i="13"/>
  <c r="X41" i="13"/>
  <c r="X48" i="13"/>
  <c r="X57" i="13"/>
  <c r="X66" i="13"/>
  <c r="X4" i="13"/>
  <c r="X20" i="13"/>
  <c r="X29" i="13"/>
  <c r="X36" i="13"/>
  <c r="X45" i="13"/>
  <c r="X52" i="13"/>
  <c r="X61" i="13"/>
  <c r="G102" i="13"/>
  <c r="G62" i="13"/>
  <c r="R26" i="13"/>
  <c r="R46" i="13"/>
  <c r="G329" i="13"/>
  <c r="R5" i="13"/>
  <c r="Q13" i="13"/>
  <c r="Q21" i="13"/>
  <c r="R21" i="13" s="1"/>
  <c r="G286" i="13"/>
  <c r="R50" i="13"/>
  <c r="R54" i="13"/>
  <c r="R58" i="13"/>
  <c r="G128" i="13"/>
  <c r="R63" i="13"/>
  <c r="R16" i="13"/>
  <c r="Q22" i="13"/>
  <c r="R22" i="13" s="1"/>
  <c r="G17" i="13"/>
  <c r="R66" i="13"/>
  <c r="H100" i="13"/>
  <c r="Q14" i="13"/>
  <c r="R14" i="13" s="1"/>
  <c r="G280" i="13"/>
  <c r="G219" i="13"/>
  <c r="R48" i="13"/>
  <c r="R52" i="13"/>
  <c r="R60" i="13"/>
  <c r="G331" i="13"/>
  <c r="R40" i="13"/>
  <c r="R24" i="13"/>
  <c r="Q49" i="13"/>
  <c r="R49" i="13" s="1"/>
  <c r="Q15" i="13"/>
  <c r="R15" i="13" s="1"/>
  <c r="G88" i="13"/>
  <c r="G303" i="13"/>
  <c r="R20" i="13"/>
  <c r="R13" i="13"/>
  <c r="Q9" i="13"/>
  <c r="R9" i="13" s="1"/>
  <c r="Q17" i="13"/>
  <c r="R17" i="13" s="1"/>
  <c r="G29" i="13"/>
  <c r="G27" i="13"/>
  <c r="G262" i="13"/>
  <c r="G210" i="13"/>
  <c r="R53" i="13"/>
  <c r="R57" i="13"/>
  <c r="R61" i="13"/>
  <c r="R65" i="13"/>
  <c r="G5" i="13"/>
  <c r="R10" i="13"/>
  <c r="R30" i="13"/>
  <c r="R38" i="13"/>
  <c r="R42" i="13"/>
  <c r="Q32" i="13"/>
  <c r="R32" i="13" s="1"/>
  <c r="R6" i="13"/>
  <c r="W107" i="8"/>
  <c r="R25" i="13"/>
  <c r="G288" i="13"/>
  <c r="G240" i="13"/>
  <c r="R4" i="13"/>
  <c r="R8" i="13"/>
  <c r="R62" i="13"/>
  <c r="R19" i="13"/>
  <c r="R51" i="13"/>
  <c r="R55" i="13"/>
  <c r="R59" i="13"/>
  <c r="H47" i="13"/>
  <c r="H320" i="13"/>
  <c r="R11" i="13"/>
  <c r="R35" i="13"/>
  <c r="R39" i="13"/>
  <c r="R56" i="13"/>
  <c r="G272" i="13"/>
  <c r="R37" i="13"/>
  <c r="R41" i="13"/>
  <c r="R23" i="13"/>
  <c r="R31" i="13"/>
  <c r="R7" i="13"/>
  <c r="R43" i="13"/>
  <c r="R47" i="13"/>
  <c r="R27" i="13"/>
  <c r="R12" i="13"/>
  <c r="R28" i="13"/>
  <c r="R36" i="13"/>
  <c r="R44" i="13"/>
  <c r="R64" i="13"/>
  <c r="G111" i="13"/>
  <c r="G267" i="13"/>
  <c r="G229" i="13"/>
  <c r="G211" i="13"/>
  <c r="G185" i="13"/>
  <c r="G181" i="13"/>
  <c r="G137" i="13"/>
  <c r="R34" i="13"/>
  <c r="G100" i="13"/>
  <c r="H17" i="13"/>
  <c r="H9" i="13"/>
  <c r="H240" i="13"/>
  <c r="H216" i="13"/>
  <c r="R29" i="13"/>
  <c r="R33" i="13"/>
  <c r="R45" i="13"/>
  <c r="R18" i="13"/>
  <c r="R3" i="13"/>
  <c r="G321" i="13"/>
  <c r="G320" i="13"/>
  <c r="G292" i="13"/>
  <c r="G279" i="13"/>
  <c r="G241" i="13"/>
  <c r="G216" i="13"/>
  <c r="G190" i="13"/>
  <c r="W116" i="8"/>
  <c r="G155" i="13"/>
  <c r="G101" i="13"/>
  <c r="G97" i="13"/>
  <c r="G95" i="13"/>
  <c r="G47" i="13"/>
  <c r="G45" i="13"/>
  <c r="G9" i="13"/>
  <c r="G115" i="13"/>
  <c r="G23" i="13"/>
  <c r="Q4" i="12"/>
  <c r="H347" i="12"/>
  <c r="E347" i="12"/>
  <c r="G347" i="12" s="1"/>
  <c r="D24" i="5"/>
  <c r="D17" i="11"/>
  <c r="S26" i="12"/>
  <c r="S18" i="12" s="1"/>
  <c r="Q26" i="12"/>
  <c r="H346" i="12"/>
  <c r="E346" i="12"/>
  <c r="G346" i="12" s="1"/>
  <c r="V67" i="12"/>
  <c r="V66" i="12"/>
  <c r="V65" i="12"/>
  <c r="V64" i="12"/>
  <c r="V63" i="12"/>
  <c r="V62" i="12"/>
  <c r="V61" i="12"/>
  <c r="V60" i="12"/>
  <c r="V59" i="12"/>
  <c r="V58" i="12"/>
  <c r="V57" i="12"/>
  <c r="V56" i="12"/>
  <c r="V55" i="12"/>
  <c r="V54" i="12"/>
  <c r="V53" i="12"/>
  <c r="V52" i="12"/>
  <c r="V51" i="12"/>
  <c r="V50" i="12"/>
  <c r="V49" i="12"/>
  <c r="V48" i="12"/>
  <c r="V47" i="12"/>
  <c r="V46" i="12"/>
  <c r="V45" i="12"/>
  <c r="V44" i="12"/>
  <c r="V43" i="12"/>
  <c r="V42" i="12"/>
  <c r="V41" i="12"/>
  <c r="V40" i="12"/>
  <c r="V39" i="12"/>
  <c r="V38" i="12"/>
  <c r="V37" i="12"/>
  <c r="V36" i="12"/>
  <c r="V35" i="12"/>
  <c r="V34" i="12"/>
  <c r="V33" i="12"/>
  <c r="V32" i="12"/>
  <c r="V31" i="12"/>
  <c r="V30" i="12"/>
  <c r="X30" i="12" s="1"/>
  <c r="V29" i="12"/>
  <c r="V28" i="12"/>
  <c r="V27" i="12"/>
  <c r="V26" i="12"/>
  <c r="V25" i="12"/>
  <c r="V24" i="12"/>
  <c r="V23" i="12"/>
  <c r="V22" i="12"/>
  <c r="V21" i="12"/>
  <c r="V20" i="12"/>
  <c r="V19" i="12"/>
  <c r="V18" i="12"/>
  <c r="V17" i="12"/>
  <c r="V16" i="12"/>
  <c r="V15" i="12"/>
  <c r="V14" i="12"/>
  <c r="V13" i="12"/>
  <c r="V12" i="12"/>
  <c r="V11" i="12"/>
  <c r="V10" i="12"/>
  <c r="V9" i="12"/>
  <c r="V8" i="12"/>
  <c r="V7" i="12"/>
  <c r="V6" i="12"/>
  <c r="V5" i="12"/>
  <c r="V4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4" i="12"/>
  <c r="Q33" i="12"/>
  <c r="Q32" i="12"/>
  <c r="Q31" i="12"/>
  <c r="Q30" i="12"/>
  <c r="Q29" i="12"/>
  <c r="Q28" i="12"/>
  <c r="Q27" i="12"/>
  <c r="Q25" i="12"/>
  <c r="Q24" i="12"/>
  <c r="Q21" i="12"/>
  <c r="Q20" i="12"/>
  <c r="Q17" i="12"/>
  <c r="Q13" i="12"/>
  <c r="Q12" i="12"/>
  <c r="Q11" i="12"/>
  <c r="Q9" i="12"/>
  <c r="Q7" i="12"/>
  <c r="Q6" i="12"/>
  <c r="Q5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P4" i="12"/>
  <c r="F338" i="12"/>
  <c r="H338" i="12" s="1"/>
  <c r="F334" i="12"/>
  <c r="H334" i="12" s="1"/>
  <c r="F331" i="12"/>
  <c r="H331" i="12" s="1"/>
  <c r="F328" i="12"/>
  <c r="H328" i="12" s="1"/>
  <c r="F327" i="12"/>
  <c r="H327" i="12" s="1"/>
  <c r="F321" i="12"/>
  <c r="H321" i="12" s="1"/>
  <c r="F163" i="12"/>
  <c r="H163" i="12" s="1"/>
  <c r="E165" i="12"/>
  <c r="G165" i="12" s="1"/>
  <c r="H165" i="12"/>
  <c r="E166" i="12"/>
  <c r="G166" i="12" s="1"/>
  <c r="H166" i="12"/>
  <c r="E167" i="12"/>
  <c r="G167" i="12" s="1"/>
  <c r="H167" i="12"/>
  <c r="E168" i="12"/>
  <c r="G168" i="12" s="1"/>
  <c r="H168" i="12"/>
  <c r="E169" i="12"/>
  <c r="G169" i="12" s="1"/>
  <c r="H169" i="12"/>
  <c r="E170" i="12"/>
  <c r="G170" i="12" s="1"/>
  <c r="H170" i="12"/>
  <c r="F301" i="12"/>
  <c r="H301" i="12" s="1"/>
  <c r="F293" i="12"/>
  <c r="H293" i="12" s="1"/>
  <c r="F289" i="12"/>
  <c r="H289" i="12" s="1"/>
  <c r="F288" i="12"/>
  <c r="H288" i="12" s="1"/>
  <c r="F287" i="12"/>
  <c r="H287" i="12" s="1"/>
  <c r="F286" i="12"/>
  <c r="F284" i="12"/>
  <c r="H284" i="12" s="1"/>
  <c r="F280" i="12"/>
  <c r="H280" i="12" s="1"/>
  <c r="F266" i="12"/>
  <c r="H266" i="12" s="1"/>
  <c r="F250" i="12"/>
  <c r="F244" i="12"/>
  <c r="H244" i="12" s="1"/>
  <c r="F241" i="12"/>
  <c r="H241" i="12" s="1"/>
  <c r="E250" i="12"/>
  <c r="H250" i="12"/>
  <c r="E251" i="12"/>
  <c r="G251" i="12" s="1"/>
  <c r="H251" i="12"/>
  <c r="E252" i="12"/>
  <c r="G252" i="12" s="1"/>
  <c r="H252" i="12"/>
  <c r="E253" i="12"/>
  <c r="G253" i="12" s="1"/>
  <c r="H253" i="12"/>
  <c r="E254" i="12"/>
  <c r="G254" i="12" s="1"/>
  <c r="H254" i="12"/>
  <c r="E255" i="12"/>
  <c r="G255" i="12" s="1"/>
  <c r="H255" i="12"/>
  <c r="E256" i="12"/>
  <c r="G256" i="12" s="1"/>
  <c r="H256" i="12"/>
  <c r="E257" i="12"/>
  <c r="G257" i="12" s="1"/>
  <c r="H257" i="12"/>
  <c r="E258" i="12"/>
  <c r="G258" i="12" s="1"/>
  <c r="H258" i="12"/>
  <c r="E259" i="12"/>
  <c r="G259" i="12" s="1"/>
  <c r="H259" i="12"/>
  <c r="E260" i="12"/>
  <c r="G260" i="12" s="1"/>
  <c r="H260" i="12"/>
  <c r="E261" i="12"/>
  <c r="G261" i="12" s="1"/>
  <c r="H261" i="12"/>
  <c r="E262" i="12"/>
  <c r="G262" i="12" s="1"/>
  <c r="H262" i="12"/>
  <c r="E263" i="12"/>
  <c r="G263" i="12" s="1"/>
  <c r="H263" i="12"/>
  <c r="E264" i="12"/>
  <c r="G264" i="12" s="1"/>
  <c r="H264" i="12"/>
  <c r="E265" i="12"/>
  <c r="G265" i="12" s="1"/>
  <c r="H265" i="12"/>
  <c r="E266" i="12"/>
  <c r="E267" i="12"/>
  <c r="G267" i="12" s="1"/>
  <c r="H267" i="12"/>
  <c r="E268" i="12"/>
  <c r="G268" i="12" s="1"/>
  <c r="H268" i="12"/>
  <c r="E269" i="12"/>
  <c r="G269" i="12" s="1"/>
  <c r="H269" i="12"/>
  <c r="E270" i="12"/>
  <c r="G270" i="12" s="1"/>
  <c r="H270" i="12"/>
  <c r="E271" i="12"/>
  <c r="G271" i="12" s="1"/>
  <c r="H271" i="12"/>
  <c r="E272" i="12"/>
  <c r="G272" i="12" s="1"/>
  <c r="H272" i="12"/>
  <c r="E273" i="12"/>
  <c r="G273" i="12" s="1"/>
  <c r="H273" i="12"/>
  <c r="E274" i="12"/>
  <c r="G274" i="12" s="1"/>
  <c r="H274" i="12"/>
  <c r="E275" i="12"/>
  <c r="G275" i="12" s="1"/>
  <c r="H275" i="12"/>
  <c r="E276" i="12"/>
  <c r="G276" i="12" s="1"/>
  <c r="H276" i="12"/>
  <c r="E277" i="12"/>
  <c r="G277" i="12" s="1"/>
  <c r="H277" i="12"/>
  <c r="E278" i="12"/>
  <c r="G278" i="12" s="1"/>
  <c r="H278" i="12"/>
  <c r="E279" i="12"/>
  <c r="G279" i="12" s="1"/>
  <c r="H279" i="12"/>
  <c r="E280" i="12"/>
  <c r="E281" i="12"/>
  <c r="G281" i="12" s="1"/>
  <c r="H281" i="12"/>
  <c r="E282" i="12"/>
  <c r="G282" i="12" s="1"/>
  <c r="H282" i="12"/>
  <c r="E283" i="12"/>
  <c r="G283" i="12" s="1"/>
  <c r="H283" i="12"/>
  <c r="E284" i="12"/>
  <c r="E285" i="12"/>
  <c r="G285" i="12" s="1"/>
  <c r="H285" i="12"/>
  <c r="E286" i="12"/>
  <c r="E287" i="12"/>
  <c r="G287" i="12" s="1"/>
  <c r="E288" i="12"/>
  <c r="E289" i="12"/>
  <c r="G289" i="12" s="1"/>
  <c r="E290" i="12"/>
  <c r="G290" i="12" s="1"/>
  <c r="H290" i="12"/>
  <c r="E291" i="12"/>
  <c r="G291" i="12" s="1"/>
  <c r="H291" i="12"/>
  <c r="E292" i="12"/>
  <c r="G292" i="12" s="1"/>
  <c r="H292" i="12"/>
  <c r="E293" i="12"/>
  <c r="E294" i="12"/>
  <c r="G294" i="12" s="1"/>
  <c r="H294" i="12"/>
  <c r="E295" i="12"/>
  <c r="G295" i="12" s="1"/>
  <c r="H295" i="12"/>
  <c r="E296" i="12"/>
  <c r="G296" i="12" s="1"/>
  <c r="H296" i="12"/>
  <c r="E297" i="12"/>
  <c r="G297" i="12" s="1"/>
  <c r="H297" i="12"/>
  <c r="E298" i="12"/>
  <c r="G298" i="12" s="1"/>
  <c r="H298" i="12"/>
  <c r="E299" i="12"/>
  <c r="G299" i="12" s="1"/>
  <c r="H299" i="12"/>
  <c r="E300" i="12"/>
  <c r="G300" i="12" s="1"/>
  <c r="H300" i="12"/>
  <c r="E301" i="12"/>
  <c r="E302" i="12"/>
  <c r="G302" i="12" s="1"/>
  <c r="H302" i="12"/>
  <c r="E303" i="12"/>
  <c r="G303" i="12" s="1"/>
  <c r="H303" i="12"/>
  <c r="E304" i="12"/>
  <c r="G304" i="12" s="1"/>
  <c r="H304" i="12"/>
  <c r="E305" i="12"/>
  <c r="G305" i="12" s="1"/>
  <c r="H305" i="12"/>
  <c r="E306" i="12"/>
  <c r="G306" i="12" s="1"/>
  <c r="H306" i="12"/>
  <c r="E307" i="12"/>
  <c r="G307" i="12" s="1"/>
  <c r="H307" i="12"/>
  <c r="E308" i="12"/>
  <c r="G308" i="12" s="1"/>
  <c r="H308" i="12"/>
  <c r="E309" i="12"/>
  <c r="G309" i="12" s="1"/>
  <c r="H309" i="12"/>
  <c r="E310" i="12"/>
  <c r="G310" i="12" s="1"/>
  <c r="H310" i="12"/>
  <c r="E311" i="12"/>
  <c r="G311" i="12" s="1"/>
  <c r="H311" i="12"/>
  <c r="E312" i="12"/>
  <c r="G312" i="12" s="1"/>
  <c r="H312" i="12"/>
  <c r="E313" i="12"/>
  <c r="G313" i="12" s="1"/>
  <c r="H313" i="12"/>
  <c r="E314" i="12"/>
  <c r="G314" i="12" s="1"/>
  <c r="H314" i="12"/>
  <c r="E315" i="12"/>
  <c r="G315" i="12" s="1"/>
  <c r="H315" i="12"/>
  <c r="E316" i="12"/>
  <c r="G316" i="12" s="1"/>
  <c r="H316" i="12"/>
  <c r="E317" i="12"/>
  <c r="G317" i="12" s="1"/>
  <c r="H317" i="12"/>
  <c r="E318" i="12"/>
  <c r="G318" i="12" s="1"/>
  <c r="H318" i="12"/>
  <c r="E319" i="12"/>
  <c r="G319" i="12" s="1"/>
  <c r="H319" i="12"/>
  <c r="E320" i="12"/>
  <c r="G320" i="12" s="1"/>
  <c r="H320" i="12"/>
  <c r="E321" i="12"/>
  <c r="E322" i="12"/>
  <c r="G322" i="12" s="1"/>
  <c r="H322" i="12"/>
  <c r="E323" i="12"/>
  <c r="G323" i="12" s="1"/>
  <c r="H323" i="12"/>
  <c r="E324" i="12"/>
  <c r="G324" i="12" s="1"/>
  <c r="H324" i="12"/>
  <c r="E325" i="12"/>
  <c r="G325" i="12" s="1"/>
  <c r="H325" i="12"/>
  <c r="E326" i="12"/>
  <c r="G326" i="12" s="1"/>
  <c r="H326" i="12"/>
  <c r="E327" i="12"/>
  <c r="E328" i="12"/>
  <c r="E329" i="12"/>
  <c r="G329" i="12" s="1"/>
  <c r="H329" i="12"/>
  <c r="E330" i="12"/>
  <c r="G330" i="12" s="1"/>
  <c r="H330" i="12"/>
  <c r="E331" i="12"/>
  <c r="E332" i="12"/>
  <c r="G332" i="12" s="1"/>
  <c r="H332" i="12"/>
  <c r="E333" i="12"/>
  <c r="G333" i="12" s="1"/>
  <c r="H333" i="12"/>
  <c r="E334" i="12"/>
  <c r="E335" i="12"/>
  <c r="G335" i="12" s="1"/>
  <c r="H335" i="12"/>
  <c r="E336" i="12"/>
  <c r="G336" i="12" s="1"/>
  <c r="H336" i="12"/>
  <c r="E337" i="12"/>
  <c r="G337" i="12" s="1"/>
  <c r="H337" i="12"/>
  <c r="E338" i="12"/>
  <c r="E339" i="12"/>
  <c r="G339" i="12" s="1"/>
  <c r="H339" i="12"/>
  <c r="E340" i="12"/>
  <c r="G340" i="12" s="1"/>
  <c r="H340" i="12"/>
  <c r="E341" i="12"/>
  <c r="G341" i="12" s="1"/>
  <c r="H341" i="12"/>
  <c r="E342" i="12"/>
  <c r="G342" i="12" s="1"/>
  <c r="H342" i="12"/>
  <c r="E343" i="12"/>
  <c r="G343" i="12" s="1"/>
  <c r="H343" i="12"/>
  <c r="E344" i="12"/>
  <c r="G344" i="12" s="1"/>
  <c r="H344" i="12"/>
  <c r="E345" i="12"/>
  <c r="G345" i="12" s="1"/>
  <c r="H345" i="12"/>
  <c r="E348" i="12"/>
  <c r="G348" i="12" s="1"/>
  <c r="H348" i="12"/>
  <c r="E349" i="12"/>
  <c r="G349" i="12" s="1"/>
  <c r="H349" i="12"/>
  <c r="E350" i="12"/>
  <c r="G350" i="12" s="1"/>
  <c r="H350" i="12"/>
  <c r="F236" i="12"/>
  <c r="H236" i="12" s="1"/>
  <c r="F214" i="12"/>
  <c r="H214" i="12" s="1"/>
  <c r="F212" i="12"/>
  <c r="H212" i="12" s="1"/>
  <c r="F209" i="12"/>
  <c r="H209" i="12" s="1"/>
  <c r="F191" i="12"/>
  <c r="H191" i="12" s="1"/>
  <c r="F188" i="12"/>
  <c r="H188" i="12" s="1"/>
  <c r="F158" i="12"/>
  <c r="H158" i="12" s="1"/>
  <c r="F146" i="12"/>
  <c r="H146" i="12" s="1"/>
  <c r="F148" i="12"/>
  <c r="H148" i="12" s="1"/>
  <c r="F142" i="12"/>
  <c r="H142" i="12" s="1"/>
  <c r="F145" i="12"/>
  <c r="H145" i="12" s="1"/>
  <c r="F126" i="12"/>
  <c r="H126" i="12" s="1"/>
  <c r="F115" i="12"/>
  <c r="H115" i="12" s="1"/>
  <c r="F121" i="12"/>
  <c r="H121" i="12" s="1"/>
  <c r="F118" i="12"/>
  <c r="H118" i="12" s="1"/>
  <c r="F110" i="12"/>
  <c r="H110" i="12" s="1"/>
  <c r="F105" i="12"/>
  <c r="H105" i="12" s="1"/>
  <c r="F86" i="12"/>
  <c r="H86" i="12" s="1"/>
  <c r="F81" i="12"/>
  <c r="H81" i="12" s="1"/>
  <c r="F68" i="12"/>
  <c r="H68" i="12" s="1"/>
  <c r="F67" i="12"/>
  <c r="H67" i="12" s="1"/>
  <c r="F48" i="12"/>
  <c r="H48" i="12" s="1"/>
  <c r="F47" i="12"/>
  <c r="H47" i="12" s="1"/>
  <c r="F45" i="12"/>
  <c r="H45" i="12" s="1"/>
  <c r="F43" i="12"/>
  <c r="H43" i="12" s="1"/>
  <c r="F38" i="12"/>
  <c r="H38" i="12" s="1"/>
  <c r="F33" i="12"/>
  <c r="H33" i="12" s="1"/>
  <c r="F31" i="12"/>
  <c r="H31" i="12" s="1"/>
  <c r="F30" i="12"/>
  <c r="H30" i="12" s="1"/>
  <c r="F13" i="12"/>
  <c r="H13" i="12" s="1"/>
  <c r="F10" i="12"/>
  <c r="H10" i="12" s="1"/>
  <c r="F11" i="12"/>
  <c r="H11" i="12" s="1"/>
  <c r="E4" i="12"/>
  <c r="G4" i="12" s="1"/>
  <c r="H4" i="12"/>
  <c r="E5" i="12"/>
  <c r="G5" i="12" s="1"/>
  <c r="H5" i="12"/>
  <c r="E6" i="12"/>
  <c r="G6" i="12" s="1"/>
  <c r="H6" i="12"/>
  <c r="E7" i="12"/>
  <c r="G7" i="12" s="1"/>
  <c r="H7" i="12"/>
  <c r="E8" i="12"/>
  <c r="G8" i="12" s="1"/>
  <c r="H8" i="12"/>
  <c r="E9" i="12"/>
  <c r="G9" i="12" s="1"/>
  <c r="H9" i="12"/>
  <c r="E10" i="12"/>
  <c r="E11" i="12"/>
  <c r="E12" i="12"/>
  <c r="G12" i="12" s="1"/>
  <c r="H12" i="12"/>
  <c r="E13" i="12"/>
  <c r="E14" i="12"/>
  <c r="G14" i="12" s="1"/>
  <c r="H14" i="12"/>
  <c r="E15" i="12"/>
  <c r="G15" i="12" s="1"/>
  <c r="H15" i="12"/>
  <c r="E16" i="12"/>
  <c r="G16" i="12" s="1"/>
  <c r="H16" i="12"/>
  <c r="E17" i="12"/>
  <c r="G17" i="12" s="1"/>
  <c r="H17" i="12"/>
  <c r="E18" i="12"/>
  <c r="G18" i="12" s="1"/>
  <c r="H18" i="12"/>
  <c r="E19" i="12"/>
  <c r="G19" i="12" s="1"/>
  <c r="H19" i="12"/>
  <c r="E20" i="12"/>
  <c r="G20" i="12" s="1"/>
  <c r="H20" i="12"/>
  <c r="E21" i="12"/>
  <c r="G21" i="12" s="1"/>
  <c r="H21" i="12"/>
  <c r="E22" i="12"/>
  <c r="G22" i="12" s="1"/>
  <c r="H22" i="12"/>
  <c r="E23" i="12"/>
  <c r="G23" i="12" s="1"/>
  <c r="H23" i="12"/>
  <c r="E24" i="12"/>
  <c r="G24" i="12" s="1"/>
  <c r="H24" i="12"/>
  <c r="E25" i="12"/>
  <c r="G25" i="12" s="1"/>
  <c r="H25" i="12"/>
  <c r="E26" i="12"/>
  <c r="G26" i="12" s="1"/>
  <c r="H26" i="12"/>
  <c r="E27" i="12"/>
  <c r="G27" i="12" s="1"/>
  <c r="H27" i="12"/>
  <c r="E28" i="12"/>
  <c r="G28" i="12" s="1"/>
  <c r="H28" i="12"/>
  <c r="E29" i="12"/>
  <c r="G29" i="12" s="1"/>
  <c r="H29" i="12"/>
  <c r="E30" i="12"/>
  <c r="E31" i="12"/>
  <c r="E32" i="12"/>
  <c r="G32" i="12" s="1"/>
  <c r="H32" i="12"/>
  <c r="E33" i="12"/>
  <c r="E34" i="12"/>
  <c r="G34" i="12" s="1"/>
  <c r="H34" i="12"/>
  <c r="E35" i="12"/>
  <c r="G35" i="12" s="1"/>
  <c r="H35" i="12"/>
  <c r="E36" i="12"/>
  <c r="G36" i="12" s="1"/>
  <c r="H36" i="12"/>
  <c r="E37" i="12"/>
  <c r="G37" i="12" s="1"/>
  <c r="H37" i="12"/>
  <c r="E38" i="12"/>
  <c r="E39" i="12"/>
  <c r="G39" i="12" s="1"/>
  <c r="H39" i="12"/>
  <c r="E40" i="12"/>
  <c r="G40" i="12" s="1"/>
  <c r="H40" i="12"/>
  <c r="E41" i="12"/>
  <c r="G41" i="12" s="1"/>
  <c r="H41" i="12"/>
  <c r="E42" i="12"/>
  <c r="G42" i="12" s="1"/>
  <c r="H42" i="12"/>
  <c r="E43" i="12"/>
  <c r="E44" i="12"/>
  <c r="G44" i="12" s="1"/>
  <c r="H44" i="12"/>
  <c r="E45" i="12"/>
  <c r="E46" i="12"/>
  <c r="G46" i="12" s="1"/>
  <c r="H46" i="12"/>
  <c r="E47" i="12"/>
  <c r="E48" i="12"/>
  <c r="E49" i="12"/>
  <c r="G49" i="12" s="1"/>
  <c r="H49" i="12"/>
  <c r="E50" i="12"/>
  <c r="G50" i="12" s="1"/>
  <c r="H50" i="12"/>
  <c r="E51" i="12"/>
  <c r="G51" i="12" s="1"/>
  <c r="H51" i="12"/>
  <c r="E52" i="12"/>
  <c r="G52" i="12" s="1"/>
  <c r="H52" i="12"/>
  <c r="E53" i="12"/>
  <c r="G53" i="12" s="1"/>
  <c r="H53" i="12"/>
  <c r="E54" i="12"/>
  <c r="G54" i="12" s="1"/>
  <c r="H54" i="12"/>
  <c r="E55" i="12"/>
  <c r="G55" i="12" s="1"/>
  <c r="H55" i="12"/>
  <c r="E56" i="12"/>
  <c r="G56" i="12" s="1"/>
  <c r="H56" i="12"/>
  <c r="E57" i="12"/>
  <c r="G57" i="12" s="1"/>
  <c r="H57" i="12"/>
  <c r="E58" i="12"/>
  <c r="G58" i="12" s="1"/>
  <c r="H58" i="12"/>
  <c r="E59" i="12"/>
  <c r="G59" i="12" s="1"/>
  <c r="H59" i="12"/>
  <c r="E60" i="12"/>
  <c r="G60" i="12" s="1"/>
  <c r="H60" i="12"/>
  <c r="E61" i="12"/>
  <c r="G61" i="12" s="1"/>
  <c r="H61" i="12"/>
  <c r="E62" i="12"/>
  <c r="G62" i="12" s="1"/>
  <c r="H62" i="12"/>
  <c r="E63" i="12"/>
  <c r="G63" i="12" s="1"/>
  <c r="H63" i="12"/>
  <c r="E64" i="12"/>
  <c r="G64" i="12" s="1"/>
  <c r="H64" i="12"/>
  <c r="E65" i="12"/>
  <c r="G65" i="12" s="1"/>
  <c r="H65" i="12"/>
  <c r="E66" i="12"/>
  <c r="G66" i="12" s="1"/>
  <c r="H66" i="12"/>
  <c r="E67" i="12"/>
  <c r="E68" i="12"/>
  <c r="E69" i="12"/>
  <c r="G69" i="12" s="1"/>
  <c r="H69" i="12"/>
  <c r="E70" i="12"/>
  <c r="G70" i="12" s="1"/>
  <c r="H70" i="12"/>
  <c r="E71" i="12"/>
  <c r="G71" i="12" s="1"/>
  <c r="H71" i="12"/>
  <c r="E72" i="12"/>
  <c r="G72" i="12" s="1"/>
  <c r="H72" i="12"/>
  <c r="E73" i="12"/>
  <c r="G73" i="12" s="1"/>
  <c r="H73" i="12"/>
  <c r="E74" i="12"/>
  <c r="G74" i="12" s="1"/>
  <c r="H74" i="12"/>
  <c r="E75" i="12"/>
  <c r="G75" i="12" s="1"/>
  <c r="H75" i="12"/>
  <c r="E76" i="12"/>
  <c r="G76" i="12" s="1"/>
  <c r="H76" i="12"/>
  <c r="E77" i="12"/>
  <c r="G77" i="12" s="1"/>
  <c r="H77" i="12"/>
  <c r="E78" i="12"/>
  <c r="G78" i="12" s="1"/>
  <c r="H78" i="12"/>
  <c r="E79" i="12"/>
  <c r="G79" i="12" s="1"/>
  <c r="H79" i="12"/>
  <c r="E80" i="12"/>
  <c r="G80" i="12" s="1"/>
  <c r="H80" i="12"/>
  <c r="E81" i="12"/>
  <c r="E82" i="12"/>
  <c r="G82" i="12" s="1"/>
  <c r="H82" i="12"/>
  <c r="E83" i="12"/>
  <c r="G83" i="12" s="1"/>
  <c r="H83" i="12"/>
  <c r="E84" i="12"/>
  <c r="G84" i="12" s="1"/>
  <c r="H84" i="12"/>
  <c r="E85" i="12"/>
  <c r="G85" i="12" s="1"/>
  <c r="H85" i="12"/>
  <c r="E86" i="12"/>
  <c r="E87" i="12"/>
  <c r="G87" i="12" s="1"/>
  <c r="H87" i="12"/>
  <c r="E88" i="12"/>
  <c r="G88" i="12" s="1"/>
  <c r="H88" i="12"/>
  <c r="E89" i="12"/>
  <c r="G89" i="12" s="1"/>
  <c r="H89" i="12"/>
  <c r="E90" i="12"/>
  <c r="G90" i="12" s="1"/>
  <c r="H90" i="12"/>
  <c r="E91" i="12"/>
  <c r="G91" i="12" s="1"/>
  <c r="H91" i="12"/>
  <c r="E92" i="12"/>
  <c r="G92" i="12" s="1"/>
  <c r="H92" i="12"/>
  <c r="E93" i="12"/>
  <c r="G93" i="12" s="1"/>
  <c r="H93" i="12"/>
  <c r="E94" i="12"/>
  <c r="G94" i="12" s="1"/>
  <c r="H94" i="12"/>
  <c r="E95" i="12"/>
  <c r="G95" i="12" s="1"/>
  <c r="H95" i="12"/>
  <c r="E96" i="12"/>
  <c r="G96" i="12" s="1"/>
  <c r="H96" i="12"/>
  <c r="E97" i="12"/>
  <c r="G97" i="12" s="1"/>
  <c r="H97" i="12"/>
  <c r="E98" i="12"/>
  <c r="G98" i="12" s="1"/>
  <c r="H98" i="12"/>
  <c r="E99" i="12"/>
  <c r="G99" i="12" s="1"/>
  <c r="H99" i="12"/>
  <c r="E100" i="12"/>
  <c r="G100" i="12" s="1"/>
  <c r="H100" i="12"/>
  <c r="E101" i="12"/>
  <c r="G101" i="12" s="1"/>
  <c r="H101" i="12"/>
  <c r="E102" i="12"/>
  <c r="G102" i="12" s="1"/>
  <c r="H102" i="12"/>
  <c r="E103" i="12"/>
  <c r="G103" i="12" s="1"/>
  <c r="H103" i="12"/>
  <c r="E104" i="12"/>
  <c r="G104" i="12" s="1"/>
  <c r="H104" i="12"/>
  <c r="E105" i="12"/>
  <c r="E106" i="12"/>
  <c r="G106" i="12" s="1"/>
  <c r="H106" i="12"/>
  <c r="E107" i="12"/>
  <c r="G107" i="12" s="1"/>
  <c r="H107" i="12"/>
  <c r="E108" i="12"/>
  <c r="G108" i="12" s="1"/>
  <c r="H108" i="12"/>
  <c r="E109" i="12"/>
  <c r="G109" i="12" s="1"/>
  <c r="H109" i="12"/>
  <c r="E110" i="12"/>
  <c r="E111" i="12"/>
  <c r="G111" i="12" s="1"/>
  <c r="H111" i="12"/>
  <c r="E112" i="12"/>
  <c r="G112" i="12" s="1"/>
  <c r="H112" i="12"/>
  <c r="E113" i="12"/>
  <c r="G113" i="12" s="1"/>
  <c r="H113" i="12"/>
  <c r="E114" i="12"/>
  <c r="G114" i="12" s="1"/>
  <c r="H114" i="12"/>
  <c r="E115" i="12"/>
  <c r="E116" i="12"/>
  <c r="G116" i="12" s="1"/>
  <c r="H116" i="12"/>
  <c r="E117" i="12"/>
  <c r="G117" i="12" s="1"/>
  <c r="H117" i="12"/>
  <c r="E118" i="12"/>
  <c r="E119" i="12"/>
  <c r="G119" i="12" s="1"/>
  <c r="H119" i="12"/>
  <c r="E120" i="12"/>
  <c r="G120" i="12" s="1"/>
  <c r="H120" i="12"/>
  <c r="E121" i="12"/>
  <c r="G121" i="12" s="1"/>
  <c r="E122" i="12"/>
  <c r="G122" i="12" s="1"/>
  <c r="H122" i="12"/>
  <c r="E123" i="12"/>
  <c r="G123" i="12" s="1"/>
  <c r="H123" i="12"/>
  <c r="E124" i="12"/>
  <c r="G124" i="12" s="1"/>
  <c r="H124" i="12"/>
  <c r="E125" i="12"/>
  <c r="G125" i="12" s="1"/>
  <c r="H125" i="12"/>
  <c r="E126" i="12"/>
  <c r="E127" i="12"/>
  <c r="G127" i="12" s="1"/>
  <c r="H127" i="12"/>
  <c r="E128" i="12"/>
  <c r="G128" i="12" s="1"/>
  <c r="H128" i="12"/>
  <c r="E129" i="12"/>
  <c r="G129" i="12" s="1"/>
  <c r="H129" i="12"/>
  <c r="E130" i="12"/>
  <c r="G130" i="12" s="1"/>
  <c r="H130" i="12"/>
  <c r="E131" i="12"/>
  <c r="G131" i="12" s="1"/>
  <c r="H131" i="12"/>
  <c r="E132" i="12"/>
  <c r="G132" i="12" s="1"/>
  <c r="H132" i="12"/>
  <c r="E133" i="12"/>
  <c r="G133" i="12" s="1"/>
  <c r="H133" i="12"/>
  <c r="E134" i="12"/>
  <c r="G134" i="12" s="1"/>
  <c r="H134" i="12"/>
  <c r="E135" i="12"/>
  <c r="G135" i="12" s="1"/>
  <c r="H135" i="12"/>
  <c r="E136" i="12"/>
  <c r="G136" i="12" s="1"/>
  <c r="H136" i="12"/>
  <c r="E137" i="12"/>
  <c r="G137" i="12" s="1"/>
  <c r="H137" i="12"/>
  <c r="E138" i="12"/>
  <c r="G138" i="12" s="1"/>
  <c r="H138" i="12"/>
  <c r="E139" i="12"/>
  <c r="G139" i="12" s="1"/>
  <c r="H139" i="12"/>
  <c r="E140" i="12"/>
  <c r="G140" i="12" s="1"/>
  <c r="H140" i="12"/>
  <c r="E141" i="12"/>
  <c r="G141" i="12" s="1"/>
  <c r="H141" i="12"/>
  <c r="E142" i="12"/>
  <c r="E143" i="12"/>
  <c r="G143" i="12" s="1"/>
  <c r="H143" i="12"/>
  <c r="E144" i="12"/>
  <c r="G144" i="12" s="1"/>
  <c r="H144" i="12"/>
  <c r="E145" i="12"/>
  <c r="E146" i="12"/>
  <c r="E147" i="12"/>
  <c r="G147" i="12" s="1"/>
  <c r="H147" i="12"/>
  <c r="E148" i="12"/>
  <c r="E149" i="12"/>
  <c r="G149" i="12" s="1"/>
  <c r="H149" i="12"/>
  <c r="E150" i="12"/>
  <c r="G150" i="12" s="1"/>
  <c r="H150" i="12"/>
  <c r="E151" i="12"/>
  <c r="G151" i="12" s="1"/>
  <c r="H151" i="12"/>
  <c r="E152" i="12"/>
  <c r="G152" i="12" s="1"/>
  <c r="H152" i="12"/>
  <c r="E153" i="12"/>
  <c r="G153" i="12" s="1"/>
  <c r="H153" i="12"/>
  <c r="E154" i="12"/>
  <c r="G154" i="12" s="1"/>
  <c r="H154" i="12"/>
  <c r="E155" i="12"/>
  <c r="G155" i="12" s="1"/>
  <c r="H155" i="12"/>
  <c r="E156" i="12"/>
  <c r="G156" i="12" s="1"/>
  <c r="H156" i="12"/>
  <c r="E157" i="12"/>
  <c r="G157" i="12" s="1"/>
  <c r="H157" i="12"/>
  <c r="E158" i="12"/>
  <c r="E159" i="12"/>
  <c r="G159" i="12" s="1"/>
  <c r="H159" i="12"/>
  <c r="E160" i="12"/>
  <c r="G160" i="12" s="1"/>
  <c r="H160" i="12"/>
  <c r="E161" i="12"/>
  <c r="G161" i="12" s="1"/>
  <c r="H161" i="12"/>
  <c r="E162" i="12"/>
  <c r="G162" i="12" s="1"/>
  <c r="H162" i="12"/>
  <c r="E163" i="12"/>
  <c r="E164" i="12"/>
  <c r="G164" i="12" s="1"/>
  <c r="H164" i="12"/>
  <c r="E171" i="12"/>
  <c r="G171" i="12" s="1"/>
  <c r="H171" i="12"/>
  <c r="E172" i="12"/>
  <c r="G172" i="12" s="1"/>
  <c r="H172" i="12"/>
  <c r="E173" i="12"/>
  <c r="G173" i="12" s="1"/>
  <c r="H173" i="12"/>
  <c r="E174" i="12"/>
  <c r="G174" i="12" s="1"/>
  <c r="H174" i="12"/>
  <c r="E175" i="12"/>
  <c r="G175" i="12" s="1"/>
  <c r="H175" i="12"/>
  <c r="E176" i="12"/>
  <c r="G176" i="12" s="1"/>
  <c r="H176" i="12"/>
  <c r="E177" i="12"/>
  <c r="G177" i="12" s="1"/>
  <c r="H177" i="12"/>
  <c r="E178" i="12"/>
  <c r="G178" i="12" s="1"/>
  <c r="H178" i="12"/>
  <c r="E179" i="12"/>
  <c r="G179" i="12" s="1"/>
  <c r="H179" i="12"/>
  <c r="E180" i="12"/>
  <c r="G180" i="12" s="1"/>
  <c r="H180" i="12"/>
  <c r="E181" i="12"/>
  <c r="G181" i="12" s="1"/>
  <c r="H181" i="12"/>
  <c r="E182" i="12"/>
  <c r="G182" i="12" s="1"/>
  <c r="H182" i="12"/>
  <c r="E183" i="12"/>
  <c r="G183" i="12" s="1"/>
  <c r="H183" i="12"/>
  <c r="E184" i="12"/>
  <c r="G184" i="12" s="1"/>
  <c r="H184" i="12"/>
  <c r="E185" i="12"/>
  <c r="G185" i="12" s="1"/>
  <c r="H185" i="12"/>
  <c r="E186" i="12"/>
  <c r="G186" i="12" s="1"/>
  <c r="H186" i="12"/>
  <c r="E187" i="12"/>
  <c r="G187" i="12" s="1"/>
  <c r="H187" i="12"/>
  <c r="E188" i="12"/>
  <c r="E189" i="12"/>
  <c r="G189" i="12" s="1"/>
  <c r="H189" i="12"/>
  <c r="E190" i="12"/>
  <c r="G190" i="12" s="1"/>
  <c r="H190" i="12"/>
  <c r="E191" i="12"/>
  <c r="E192" i="12"/>
  <c r="G192" i="12" s="1"/>
  <c r="H192" i="12"/>
  <c r="E193" i="12"/>
  <c r="G193" i="12" s="1"/>
  <c r="H193" i="12"/>
  <c r="E194" i="12"/>
  <c r="G194" i="12" s="1"/>
  <c r="H194" i="12"/>
  <c r="E195" i="12"/>
  <c r="G195" i="12" s="1"/>
  <c r="H195" i="12"/>
  <c r="E196" i="12"/>
  <c r="G196" i="12" s="1"/>
  <c r="H196" i="12"/>
  <c r="E197" i="12"/>
  <c r="G197" i="12" s="1"/>
  <c r="H197" i="12"/>
  <c r="E198" i="12"/>
  <c r="G198" i="12" s="1"/>
  <c r="H198" i="12"/>
  <c r="E199" i="12"/>
  <c r="G199" i="12" s="1"/>
  <c r="H199" i="12"/>
  <c r="E200" i="12"/>
  <c r="G200" i="12" s="1"/>
  <c r="H200" i="12"/>
  <c r="E201" i="12"/>
  <c r="G201" i="12" s="1"/>
  <c r="H201" i="12"/>
  <c r="E202" i="12"/>
  <c r="G202" i="12" s="1"/>
  <c r="H202" i="12"/>
  <c r="E203" i="12"/>
  <c r="G203" i="12" s="1"/>
  <c r="H203" i="12"/>
  <c r="E204" i="12"/>
  <c r="G204" i="12" s="1"/>
  <c r="H204" i="12"/>
  <c r="E205" i="12"/>
  <c r="G205" i="12" s="1"/>
  <c r="H205" i="12"/>
  <c r="E206" i="12"/>
  <c r="G206" i="12" s="1"/>
  <c r="H206" i="12"/>
  <c r="E207" i="12"/>
  <c r="G207" i="12" s="1"/>
  <c r="H207" i="12"/>
  <c r="E208" i="12"/>
  <c r="G208" i="12" s="1"/>
  <c r="H208" i="12"/>
  <c r="E209" i="12"/>
  <c r="E210" i="12"/>
  <c r="G210" i="12" s="1"/>
  <c r="H210" i="12"/>
  <c r="E211" i="12"/>
  <c r="G211" i="12" s="1"/>
  <c r="H211" i="12"/>
  <c r="E212" i="12"/>
  <c r="E213" i="12"/>
  <c r="G213" i="12" s="1"/>
  <c r="H213" i="12"/>
  <c r="E214" i="12"/>
  <c r="E215" i="12"/>
  <c r="G215" i="12" s="1"/>
  <c r="H215" i="12"/>
  <c r="E216" i="12"/>
  <c r="G216" i="12" s="1"/>
  <c r="H216" i="12"/>
  <c r="E217" i="12"/>
  <c r="G217" i="12" s="1"/>
  <c r="H217" i="12"/>
  <c r="E218" i="12"/>
  <c r="G218" i="12" s="1"/>
  <c r="H218" i="12"/>
  <c r="E219" i="12"/>
  <c r="G219" i="12" s="1"/>
  <c r="H219" i="12"/>
  <c r="E220" i="12"/>
  <c r="G220" i="12" s="1"/>
  <c r="H220" i="12"/>
  <c r="E221" i="12"/>
  <c r="G221" i="12" s="1"/>
  <c r="H221" i="12"/>
  <c r="E222" i="12"/>
  <c r="G222" i="12" s="1"/>
  <c r="H222" i="12"/>
  <c r="E223" i="12"/>
  <c r="G223" i="12" s="1"/>
  <c r="H223" i="12"/>
  <c r="E224" i="12"/>
  <c r="G224" i="12" s="1"/>
  <c r="H224" i="12"/>
  <c r="E225" i="12"/>
  <c r="G225" i="12" s="1"/>
  <c r="H225" i="12"/>
  <c r="E226" i="12"/>
  <c r="G226" i="12" s="1"/>
  <c r="H226" i="12"/>
  <c r="E227" i="12"/>
  <c r="G227" i="12" s="1"/>
  <c r="H227" i="12"/>
  <c r="E228" i="12"/>
  <c r="G228" i="12" s="1"/>
  <c r="H228" i="12"/>
  <c r="E229" i="12"/>
  <c r="G229" i="12" s="1"/>
  <c r="H229" i="12"/>
  <c r="E230" i="12"/>
  <c r="G230" i="12" s="1"/>
  <c r="H230" i="12"/>
  <c r="E231" i="12"/>
  <c r="G231" i="12" s="1"/>
  <c r="H231" i="12"/>
  <c r="E232" i="12"/>
  <c r="G232" i="12" s="1"/>
  <c r="H232" i="12"/>
  <c r="E233" i="12"/>
  <c r="G233" i="12" s="1"/>
  <c r="H233" i="12"/>
  <c r="E234" i="12"/>
  <c r="G234" i="12" s="1"/>
  <c r="H234" i="12"/>
  <c r="E235" i="12"/>
  <c r="G235" i="12" s="1"/>
  <c r="H235" i="12"/>
  <c r="E236" i="12"/>
  <c r="E237" i="12"/>
  <c r="G237" i="12" s="1"/>
  <c r="H237" i="12"/>
  <c r="E238" i="12"/>
  <c r="G238" i="12" s="1"/>
  <c r="H238" i="12"/>
  <c r="E239" i="12"/>
  <c r="G239" i="12" s="1"/>
  <c r="H239" i="12"/>
  <c r="E240" i="12"/>
  <c r="G240" i="12" s="1"/>
  <c r="H240" i="12"/>
  <c r="E241" i="12"/>
  <c r="E242" i="12"/>
  <c r="G242" i="12" s="1"/>
  <c r="H242" i="12"/>
  <c r="E243" i="12"/>
  <c r="G243" i="12" s="1"/>
  <c r="H243" i="12"/>
  <c r="E244" i="12"/>
  <c r="E245" i="12"/>
  <c r="G245" i="12" s="1"/>
  <c r="H245" i="12"/>
  <c r="E246" i="12"/>
  <c r="G246" i="12" s="1"/>
  <c r="H246" i="12"/>
  <c r="E247" i="12"/>
  <c r="G247" i="12" s="1"/>
  <c r="H247" i="12"/>
  <c r="E248" i="12"/>
  <c r="G248" i="12" s="1"/>
  <c r="H248" i="12"/>
  <c r="E249" i="12"/>
  <c r="G249" i="12" s="1"/>
  <c r="H249" i="12"/>
  <c r="H3" i="12"/>
  <c r="E3" i="12"/>
  <c r="G3" i="12" s="1"/>
  <c r="AA67" i="9"/>
  <c r="V71" i="4"/>
  <c r="C6" i="11"/>
  <c r="N57" i="4"/>
  <c r="N61" i="1"/>
  <c r="J51" i="17"/>
  <c r="J46" i="22"/>
  <c r="C47" i="5" l="1"/>
  <c r="C36" i="11"/>
  <c r="R18" i="14"/>
  <c r="R68" i="14"/>
  <c r="Q68" i="14"/>
  <c r="H446" i="14"/>
  <c r="G446" i="14"/>
  <c r="C4" i="11"/>
  <c r="E4" i="11" s="1"/>
  <c r="E5" i="11" s="1"/>
  <c r="E6" i="11" s="1"/>
  <c r="E7" i="11" s="1"/>
  <c r="E8" i="11" s="1"/>
  <c r="E3" i="7"/>
  <c r="E4" i="7" s="1"/>
  <c r="E5" i="7" s="1"/>
  <c r="W67" i="13"/>
  <c r="X9" i="13"/>
  <c r="X67" i="13" s="1"/>
  <c r="Q67" i="13"/>
  <c r="R67" i="13"/>
  <c r="G67" i="12"/>
  <c r="G338" i="12"/>
  <c r="Q15" i="12"/>
  <c r="G236" i="12"/>
  <c r="Q23" i="12"/>
  <c r="R23" i="12" s="1"/>
  <c r="X32" i="12"/>
  <c r="R21" i="12"/>
  <c r="R41" i="12"/>
  <c r="R45" i="12"/>
  <c r="R49" i="12"/>
  <c r="R53" i="12"/>
  <c r="R57" i="12"/>
  <c r="R61" i="12"/>
  <c r="R65" i="12"/>
  <c r="R13" i="12"/>
  <c r="R17" i="12"/>
  <c r="R25" i="12"/>
  <c r="R29" i="12"/>
  <c r="R33" i="12"/>
  <c r="G244" i="12"/>
  <c r="G163" i="12"/>
  <c r="X4" i="12"/>
  <c r="X6" i="12"/>
  <c r="G331" i="12"/>
  <c r="R31" i="12"/>
  <c r="X57" i="12"/>
  <c r="Q14" i="12"/>
  <c r="R14" i="12" s="1"/>
  <c r="G148" i="12"/>
  <c r="G30" i="12"/>
  <c r="G328" i="12"/>
  <c r="R64" i="12"/>
  <c r="X7" i="12"/>
  <c r="X12" i="12"/>
  <c r="X54" i="12"/>
  <c r="X58" i="12"/>
  <c r="X66" i="12"/>
  <c r="X37" i="12"/>
  <c r="X43" i="12"/>
  <c r="X45" i="12"/>
  <c r="X47" i="12"/>
  <c r="X49" i="12"/>
  <c r="X51" i="12"/>
  <c r="X53" i="12"/>
  <c r="X48" i="12"/>
  <c r="X9" i="12"/>
  <c r="X17" i="12"/>
  <c r="X25" i="12"/>
  <c r="X27" i="12"/>
  <c r="X29" i="12"/>
  <c r="X31" i="12"/>
  <c r="X33" i="12"/>
  <c r="R46" i="12"/>
  <c r="R62" i="12"/>
  <c r="R66" i="12"/>
  <c r="X64" i="12"/>
  <c r="X5" i="12"/>
  <c r="G301" i="12"/>
  <c r="G334" i="12"/>
  <c r="R63" i="12"/>
  <c r="R67" i="12"/>
  <c r="X11" i="12"/>
  <c r="X13" i="12"/>
  <c r="X21" i="12"/>
  <c r="X24" i="12"/>
  <c r="X41" i="12"/>
  <c r="X59" i="12"/>
  <c r="X61" i="12"/>
  <c r="X63" i="12"/>
  <c r="X65" i="12"/>
  <c r="X67" i="12"/>
  <c r="X34" i="12"/>
  <c r="X38" i="12"/>
  <c r="X42" i="12"/>
  <c r="X44" i="12"/>
  <c r="X50" i="12"/>
  <c r="G293" i="12"/>
  <c r="H286" i="12"/>
  <c r="H351" i="12" s="1"/>
  <c r="R7" i="12"/>
  <c r="R39" i="12"/>
  <c r="R43" i="12"/>
  <c r="X36" i="12"/>
  <c r="G286" i="12"/>
  <c r="R47" i="12"/>
  <c r="X40" i="12"/>
  <c r="X56" i="12"/>
  <c r="X52" i="12"/>
  <c r="X18" i="12"/>
  <c r="R5" i="12"/>
  <c r="R9" i="12"/>
  <c r="R27" i="12"/>
  <c r="R30" i="12"/>
  <c r="R37" i="12"/>
  <c r="R51" i="12"/>
  <c r="R55" i="12"/>
  <c r="R59" i="12"/>
  <c r="R18" i="12"/>
  <c r="X20" i="12"/>
  <c r="X26" i="12"/>
  <c r="X28" i="12"/>
  <c r="X39" i="12"/>
  <c r="X46" i="12"/>
  <c r="X55" i="12"/>
  <c r="X60" i="12"/>
  <c r="X62" i="12"/>
  <c r="Q22" i="12"/>
  <c r="X16" i="12"/>
  <c r="R34" i="12"/>
  <c r="R50" i="12"/>
  <c r="R15" i="12"/>
  <c r="Q19" i="12"/>
  <c r="R19" i="12" s="1"/>
  <c r="Q35" i="12"/>
  <c r="R35" i="12" s="1"/>
  <c r="X15" i="12"/>
  <c r="X19" i="12"/>
  <c r="X23" i="12"/>
  <c r="X35" i="12"/>
  <c r="G327" i="12"/>
  <c r="G321" i="12"/>
  <c r="G266" i="12"/>
  <c r="R6" i="12"/>
  <c r="R22" i="12"/>
  <c r="R38" i="12"/>
  <c r="R54" i="12"/>
  <c r="R4" i="12"/>
  <c r="Q8" i="12"/>
  <c r="R8" i="12" s="1"/>
  <c r="R12" i="12"/>
  <c r="Q16" i="12"/>
  <c r="R16" i="12" s="1"/>
  <c r="R20" i="12"/>
  <c r="R24" i="12"/>
  <c r="R28" i="12"/>
  <c r="R32" i="12"/>
  <c r="R36" i="12"/>
  <c r="R40" i="12"/>
  <c r="R44" i="12"/>
  <c r="R48" i="12"/>
  <c r="R52" i="12"/>
  <c r="R56" i="12"/>
  <c r="R60" i="12"/>
  <c r="F351" i="12"/>
  <c r="X10" i="12"/>
  <c r="X14" i="12"/>
  <c r="X22" i="12"/>
  <c r="Q10" i="12"/>
  <c r="R10" i="12" s="1"/>
  <c r="R26" i="12"/>
  <c r="R42" i="12"/>
  <c r="R58" i="12"/>
  <c r="R11" i="12"/>
  <c r="G146" i="12"/>
  <c r="G38" i="12"/>
  <c r="G145" i="12"/>
  <c r="G214" i="12"/>
  <c r="G13" i="12"/>
  <c r="G191" i="12"/>
  <c r="G115" i="12"/>
  <c r="G105" i="12"/>
  <c r="G43" i="12"/>
  <c r="G280" i="12"/>
  <c r="G241" i="12"/>
  <c r="G110" i="12"/>
  <c r="G68" i="12"/>
  <c r="G11" i="12"/>
  <c r="G284" i="12"/>
  <c r="G209" i="12"/>
  <c r="G188" i="12"/>
  <c r="G142" i="12"/>
  <c r="G126" i="12"/>
  <c r="G86" i="12"/>
  <c r="G45" i="12"/>
  <c r="G31" i="12"/>
  <c r="G250" i="12"/>
  <c r="G212" i="12"/>
  <c r="G158" i="12"/>
  <c r="G118" i="12"/>
  <c r="G81" i="12"/>
  <c r="G47" i="12"/>
  <c r="G33" i="12"/>
  <c r="G288" i="12"/>
  <c r="G48" i="12"/>
  <c r="G10" i="12"/>
  <c r="C19" i="5"/>
  <c r="Q27" i="10"/>
  <c r="Q15" i="10"/>
  <c r="Y13" i="10"/>
  <c r="Y26" i="10"/>
  <c r="X26" i="10"/>
  <c r="Q26" i="10"/>
  <c r="Q41" i="10"/>
  <c r="X67" i="10"/>
  <c r="H114" i="8"/>
  <c r="H327" i="10"/>
  <c r="E327" i="10"/>
  <c r="G327" i="10" s="1"/>
  <c r="X13" i="10"/>
  <c r="X18" i="10"/>
  <c r="X24" i="10"/>
  <c r="H4" i="10"/>
  <c r="H5" i="10"/>
  <c r="H6" i="10"/>
  <c r="H7" i="10"/>
  <c r="H8" i="10"/>
  <c r="H9" i="10"/>
  <c r="H11" i="10"/>
  <c r="H13" i="10"/>
  <c r="H14" i="10"/>
  <c r="H15" i="10"/>
  <c r="H16" i="10"/>
  <c r="H17" i="10"/>
  <c r="H18" i="10"/>
  <c r="H19" i="10"/>
  <c r="H20" i="10"/>
  <c r="H21" i="10"/>
  <c r="H22" i="10"/>
  <c r="H23" i="10"/>
  <c r="H26" i="10"/>
  <c r="H27" i="10"/>
  <c r="H28" i="10"/>
  <c r="H29" i="10"/>
  <c r="H30" i="10"/>
  <c r="H32" i="10"/>
  <c r="H33" i="10"/>
  <c r="H34" i="10"/>
  <c r="H35" i="10"/>
  <c r="H36" i="10"/>
  <c r="H37" i="10"/>
  <c r="H38" i="10"/>
  <c r="H39" i="10"/>
  <c r="H41" i="10"/>
  <c r="H42" i="10"/>
  <c r="H43" i="10"/>
  <c r="H44" i="10"/>
  <c r="H46" i="10"/>
  <c r="H47" i="10"/>
  <c r="H48" i="10"/>
  <c r="H49" i="10"/>
  <c r="H50" i="10"/>
  <c r="H51" i="10"/>
  <c r="H52" i="10"/>
  <c r="H54" i="10"/>
  <c r="H55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2" i="10"/>
  <c r="H74" i="10"/>
  <c r="H75" i="10"/>
  <c r="H76" i="10"/>
  <c r="H77" i="10"/>
  <c r="H78" i="10"/>
  <c r="H79" i="10"/>
  <c r="H80" i="10"/>
  <c r="H81" i="10"/>
  <c r="H82" i="10"/>
  <c r="H83" i="10"/>
  <c r="H86" i="10"/>
  <c r="H87" i="10"/>
  <c r="H88" i="10"/>
  <c r="H89" i="10"/>
  <c r="H90" i="10"/>
  <c r="H91" i="10"/>
  <c r="H92" i="10"/>
  <c r="H94" i="10"/>
  <c r="H95" i="10"/>
  <c r="H97" i="10"/>
  <c r="H98" i="10"/>
  <c r="H99" i="10"/>
  <c r="H101" i="10"/>
  <c r="H103" i="10"/>
  <c r="H104" i="10"/>
  <c r="H105" i="10"/>
  <c r="H106" i="10"/>
  <c r="H107" i="10"/>
  <c r="H109" i="10"/>
  <c r="H110" i="10"/>
  <c r="H111" i="10"/>
  <c r="H112" i="10"/>
  <c r="H113" i="10"/>
  <c r="H114" i="10"/>
  <c r="H115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6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5" i="10"/>
  <c r="H197" i="10"/>
  <c r="H198" i="10"/>
  <c r="H199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6" i="10"/>
  <c r="H217" i="10"/>
  <c r="H218" i="10"/>
  <c r="H220" i="10"/>
  <c r="H221" i="10"/>
  <c r="H222" i="10"/>
  <c r="H223" i="10"/>
  <c r="H224" i="10"/>
  <c r="H225" i="10"/>
  <c r="H227" i="10"/>
  <c r="H228" i="10"/>
  <c r="H229" i="10"/>
  <c r="H231" i="10"/>
  <c r="H232" i="10"/>
  <c r="H233" i="10"/>
  <c r="H235" i="10"/>
  <c r="H236" i="10"/>
  <c r="H237" i="10"/>
  <c r="H239" i="10"/>
  <c r="H241" i="10"/>
  <c r="H242" i="10"/>
  <c r="H243" i="10"/>
  <c r="H244" i="10"/>
  <c r="H246" i="10"/>
  <c r="H247" i="10"/>
  <c r="H251" i="10"/>
  <c r="H253" i="10"/>
  <c r="H254" i="10"/>
  <c r="H255" i="10"/>
  <c r="H256" i="10"/>
  <c r="H257" i="10"/>
  <c r="H259" i="10"/>
  <c r="H262" i="10"/>
  <c r="H264" i="10"/>
  <c r="H265" i="10"/>
  <c r="H266" i="10"/>
  <c r="H267" i="10"/>
  <c r="H269" i="10"/>
  <c r="H270" i="10"/>
  <c r="H271" i="10"/>
  <c r="H272" i="10"/>
  <c r="H273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90" i="10"/>
  <c r="H291" i="10"/>
  <c r="H292" i="10"/>
  <c r="H293" i="10"/>
  <c r="H294" i="10"/>
  <c r="H295" i="10"/>
  <c r="H296" i="10"/>
  <c r="H297" i="10"/>
  <c r="H298" i="10"/>
  <c r="H300" i="10"/>
  <c r="H301" i="10"/>
  <c r="H302" i="10"/>
  <c r="H303" i="10"/>
  <c r="H304" i="10"/>
  <c r="H305" i="10"/>
  <c r="H307" i="10"/>
  <c r="H308" i="10"/>
  <c r="H309" i="10"/>
  <c r="H310" i="10"/>
  <c r="H312" i="10"/>
  <c r="H313" i="10"/>
  <c r="H314" i="10"/>
  <c r="H316" i="10"/>
  <c r="H317" i="10"/>
  <c r="H318" i="10"/>
  <c r="H319" i="10"/>
  <c r="H320" i="10"/>
  <c r="H321" i="10"/>
  <c r="H322" i="10"/>
  <c r="H323" i="10"/>
  <c r="H324" i="10"/>
  <c r="H325" i="10"/>
  <c r="H326" i="10"/>
  <c r="H328" i="10"/>
  <c r="H329" i="10"/>
  <c r="H330" i="10"/>
  <c r="H331" i="10"/>
  <c r="H332" i="10"/>
  <c r="H3" i="10"/>
  <c r="Q42" i="10"/>
  <c r="Q43" i="10"/>
  <c r="Q44" i="10"/>
  <c r="Q45" i="10"/>
  <c r="Q46" i="10"/>
  <c r="Q47" i="10"/>
  <c r="Q48" i="10"/>
  <c r="Q49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4" i="10"/>
  <c r="Q65" i="10"/>
  <c r="Q66" i="10"/>
  <c r="Q5" i="10"/>
  <c r="Q6" i="10"/>
  <c r="Q7" i="10"/>
  <c r="Q8" i="10"/>
  <c r="Q9" i="10"/>
  <c r="Q11" i="10"/>
  <c r="Q12" i="10"/>
  <c r="Q17" i="10"/>
  <c r="Q20" i="10"/>
  <c r="Q21" i="10"/>
  <c r="Q24" i="10"/>
  <c r="Q25" i="10"/>
  <c r="Q29" i="10"/>
  <c r="Q31" i="10"/>
  <c r="Q32" i="10"/>
  <c r="Q36" i="10"/>
  <c r="Q37" i="10"/>
  <c r="Q38" i="10"/>
  <c r="Q39" i="10"/>
  <c r="Q40" i="10"/>
  <c r="Q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4" i="10"/>
  <c r="R4" i="10" s="1"/>
  <c r="H64" i="8"/>
  <c r="H32" i="8"/>
  <c r="H113" i="8"/>
  <c r="V113" i="8" s="1"/>
  <c r="H11" i="8"/>
  <c r="V11" i="8" s="1"/>
  <c r="H4" i="8"/>
  <c r="V4" i="8" s="1"/>
  <c r="H31" i="8"/>
  <c r="V31" i="8" s="1"/>
  <c r="H106" i="8"/>
  <c r="H108" i="8"/>
  <c r="H88" i="8"/>
  <c r="H96" i="8"/>
  <c r="H91" i="8"/>
  <c r="H93" i="8"/>
  <c r="H70" i="8"/>
  <c r="H59" i="8"/>
  <c r="H83" i="8"/>
  <c r="H79" i="8"/>
  <c r="H75" i="8"/>
  <c r="H74" i="8"/>
  <c r="H73" i="8"/>
  <c r="H69" i="8"/>
  <c r="H68" i="8"/>
  <c r="H67" i="8"/>
  <c r="H66" i="8"/>
  <c r="H63" i="8"/>
  <c r="H61" i="8"/>
  <c r="H62" i="8"/>
  <c r="H58" i="8"/>
  <c r="H54" i="8"/>
  <c r="H56" i="8"/>
  <c r="H53" i="8"/>
  <c r="H50" i="8"/>
  <c r="H52" i="8"/>
  <c r="H49" i="8"/>
  <c r="H47" i="8"/>
  <c r="H48" i="8"/>
  <c r="H45" i="8"/>
  <c r="H44" i="8"/>
  <c r="H42" i="8"/>
  <c r="H41" i="8"/>
  <c r="H28" i="8"/>
  <c r="H26" i="8"/>
  <c r="H39" i="8"/>
  <c r="H36" i="8"/>
  <c r="H30" i="8"/>
  <c r="H24" i="8"/>
  <c r="H19" i="8"/>
  <c r="H12" i="8"/>
  <c r="H8" i="8"/>
  <c r="H14" i="8"/>
  <c r="H9" i="8"/>
  <c r="H3" i="8"/>
  <c r="E332" i="10"/>
  <c r="G332" i="10" s="1"/>
  <c r="E331" i="10"/>
  <c r="G331" i="10" s="1"/>
  <c r="E330" i="10"/>
  <c r="G330" i="10" s="1"/>
  <c r="E329" i="10"/>
  <c r="G329" i="10" s="1"/>
  <c r="E328" i="10"/>
  <c r="G328" i="10" s="1"/>
  <c r="F315" i="10"/>
  <c r="H315" i="10" s="1"/>
  <c r="F311" i="10"/>
  <c r="H311" i="10" s="1"/>
  <c r="F306" i="10"/>
  <c r="H306" i="10" s="1"/>
  <c r="E309" i="10"/>
  <c r="G309" i="10" s="1"/>
  <c r="E310" i="10"/>
  <c r="G310" i="10" s="1"/>
  <c r="E311" i="10"/>
  <c r="G311" i="10" s="1"/>
  <c r="E312" i="10"/>
  <c r="G312" i="10" s="1"/>
  <c r="E313" i="10"/>
  <c r="G313" i="10" s="1"/>
  <c r="E314" i="10"/>
  <c r="G314" i="10" s="1"/>
  <c r="E315" i="10"/>
  <c r="E316" i="10"/>
  <c r="G316" i="10" s="1"/>
  <c r="E317" i="10"/>
  <c r="G317" i="10" s="1"/>
  <c r="E318" i="10"/>
  <c r="G318" i="10" s="1"/>
  <c r="E319" i="10"/>
  <c r="G319" i="10" s="1"/>
  <c r="E320" i="10"/>
  <c r="G320" i="10" s="1"/>
  <c r="E321" i="10"/>
  <c r="G321" i="10" s="1"/>
  <c r="E322" i="10"/>
  <c r="G322" i="10" s="1"/>
  <c r="E323" i="10"/>
  <c r="G323" i="10" s="1"/>
  <c r="E324" i="10"/>
  <c r="G324" i="10" s="1"/>
  <c r="E325" i="10"/>
  <c r="G325" i="10" s="1"/>
  <c r="E326" i="10"/>
  <c r="G326" i="10" s="1"/>
  <c r="F299" i="10"/>
  <c r="Q63" i="10" s="1"/>
  <c r="F289" i="10"/>
  <c r="H289" i="10" s="1"/>
  <c r="F274" i="10"/>
  <c r="H274" i="10" s="1"/>
  <c r="F268" i="10"/>
  <c r="H268" i="10" s="1"/>
  <c r="F261" i="10"/>
  <c r="H261" i="10" s="1"/>
  <c r="F263" i="10"/>
  <c r="H263" i="10" s="1"/>
  <c r="F260" i="10"/>
  <c r="H260" i="10" s="1"/>
  <c r="F258" i="10"/>
  <c r="H258" i="10" s="1"/>
  <c r="F250" i="10"/>
  <c r="F252" i="10"/>
  <c r="H252" i="10" s="1"/>
  <c r="F249" i="10"/>
  <c r="H249" i="10" s="1"/>
  <c r="F248" i="10"/>
  <c r="Q19" i="10" s="1"/>
  <c r="F245" i="10"/>
  <c r="H245" i="10" s="1"/>
  <c r="E255" i="10"/>
  <c r="G255" i="10" s="1"/>
  <c r="E256" i="10"/>
  <c r="G256" i="10" s="1"/>
  <c r="E257" i="10"/>
  <c r="G257" i="10" s="1"/>
  <c r="E258" i="10"/>
  <c r="E259" i="10"/>
  <c r="G259" i="10" s="1"/>
  <c r="E260" i="10"/>
  <c r="E261" i="10"/>
  <c r="E262" i="10"/>
  <c r="G262" i="10" s="1"/>
  <c r="E263" i="10"/>
  <c r="G263" i="10" s="1"/>
  <c r="E264" i="10"/>
  <c r="G264" i="10" s="1"/>
  <c r="E265" i="10"/>
  <c r="G265" i="10" s="1"/>
  <c r="E266" i="10"/>
  <c r="G266" i="10" s="1"/>
  <c r="E267" i="10"/>
  <c r="G267" i="10" s="1"/>
  <c r="E268" i="10"/>
  <c r="E269" i="10"/>
  <c r="G269" i="10" s="1"/>
  <c r="E270" i="10"/>
  <c r="G270" i="10" s="1"/>
  <c r="E271" i="10"/>
  <c r="G271" i="10" s="1"/>
  <c r="E272" i="10"/>
  <c r="G272" i="10" s="1"/>
  <c r="E273" i="10"/>
  <c r="G273" i="10" s="1"/>
  <c r="E274" i="10"/>
  <c r="E275" i="10"/>
  <c r="G275" i="10" s="1"/>
  <c r="E276" i="10"/>
  <c r="G276" i="10" s="1"/>
  <c r="E277" i="10"/>
  <c r="G277" i="10" s="1"/>
  <c r="E278" i="10"/>
  <c r="G278" i="10" s="1"/>
  <c r="E279" i="10"/>
  <c r="G279" i="10" s="1"/>
  <c r="E280" i="10"/>
  <c r="G280" i="10" s="1"/>
  <c r="E281" i="10"/>
  <c r="G281" i="10" s="1"/>
  <c r="E282" i="10"/>
  <c r="G282" i="10" s="1"/>
  <c r="E283" i="10"/>
  <c r="G283" i="10" s="1"/>
  <c r="E284" i="10"/>
  <c r="G284" i="10" s="1"/>
  <c r="E285" i="10"/>
  <c r="G285" i="10" s="1"/>
  <c r="E286" i="10"/>
  <c r="G286" i="10" s="1"/>
  <c r="E287" i="10"/>
  <c r="G287" i="10" s="1"/>
  <c r="E288" i="10"/>
  <c r="G288" i="10" s="1"/>
  <c r="E289" i="10"/>
  <c r="E290" i="10"/>
  <c r="G290" i="10" s="1"/>
  <c r="E291" i="10"/>
  <c r="G291" i="10" s="1"/>
  <c r="E292" i="10"/>
  <c r="G292" i="10" s="1"/>
  <c r="E293" i="10"/>
  <c r="G293" i="10" s="1"/>
  <c r="E294" i="10"/>
  <c r="G294" i="10" s="1"/>
  <c r="E295" i="10"/>
  <c r="G295" i="10" s="1"/>
  <c r="E296" i="10"/>
  <c r="G296" i="10" s="1"/>
  <c r="E297" i="10"/>
  <c r="G297" i="10" s="1"/>
  <c r="E298" i="10"/>
  <c r="G298" i="10" s="1"/>
  <c r="E299" i="10"/>
  <c r="E300" i="10"/>
  <c r="G300" i="10" s="1"/>
  <c r="E301" i="10"/>
  <c r="G301" i="10" s="1"/>
  <c r="E302" i="10"/>
  <c r="G302" i="10" s="1"/>
  <c r="E303" i="10"/>
  <c r="G303" i="10" s="1"/>
  <c r="E304" i="10"/>
  <c r="G304" i="10" s="1"/>
  <c r="E305" i="10"/>
  <c r="G305" i="10" s="1"/>
  <c r="E306" i="10"/>
  <c r="E307" i="10"/>
  <c r="G307" i="10" s="1"/>
  <c r="E308" i="10"/>
  <c r="G308" i="10" s="1"/>
  <c r="F240" i="10"/>
  <c r="H240" i="10" s="1"/>
  <c r="F238" i="10"/>
  <c r="H238" i="10" s="1"/>
  <c r="F226" i="10"/>
  <c r="H226" i="10" s="1"/>
  <c r="F234" i="10"/>
  <c r="H234" i="10" s="1"/>
  <c r="F230" i="10"/>
  <c r="H230" i="10" s="1"/>
  <c r="F45" i="10"/>
  <c r="H45" i="10" s="1"/>
  <c r="F40" i="10"/>
  <c r="H40" i="10" s="1"/>
  <c r="F219" i="10"/>
  <c r="H219" i="10" s="1"/>
  <c r="E254" i="10"/>
  <c r="G254" i="10" s="1"/>
  <c r="E253" i="10"/>
  <c r="G253" i="10" s="1"/>
  <c r="E252" i="10"/>
  <c r="G252" i="10" s="1"/>
  <c r="E251" i="10"/>
  <c r="G251" i="10" s="1"/>
  <c r="E250" i="10"/>
  <c r="E249" i="10"/>
  <c r="E248" i="10"/>
  <c r="E247" i="10"/>
  <c r="G247" i="10" s="1"/>
  <c r="E246" i="10"/>
  <c r="G246" i="10" s="1"/>
  <c r="E245" i="10"/>
  <c r="E244" i="10"/>
  <c r="G244" i="10" s="1"/>
  <c r="E243" i="10"/>
  <c r="G243" i="10" s="1"/>
  <c r="E242" i="10"/>
  <c r="G242" i="10" s="1"/>
  <c r="E241" i="10"/>
  <c r="G241" i="10" s="1"/>
  <c r="E240" i="10"/>
  <c r="G240" i="10" s="1"/>
  <c r="E239" i="10"/>
  <c r="G239" i="10" s="1"/>
  <c r="E238" i="10"/>
  <c r="E237" i="10"/>
  <c r="G237" i="10" s="1"/>
  <c r="E236" i="10"/>
  <c r="G236" i="10" s="1"/>
  <c r="E235" i="10"/>
  <c r="G235" i="10" s="1"/>
  <c r="E234" i="10"/>
  <c r="E233" i="10"/>
  <c r="G233" i="10" s="1"/>
  <c r="E232" i="10"/>
  <c r="G232" i="10" s="1"/>
  <c r="E231" i="10"/>
  <c r="G231" i="10" s="1"/>
  <c r="E230" i="10"/>
  <c r="E229" i="10"/>
  <c r="G229" i="10" s="1"/>
  <c r="E228" i="10"/>
  <c r="G228" i="10" s="1"/>
  <c r="E227" i="10"/>
  <c r="G227" i="10" s="1"/>
  <c r="E226" i="10"/>
  <c r="E225" i="10"/>
  <c r="G225" i="10" s="1"/>
  <c r="E224" i="10"/>
  <c r="G224" i="10" s="1"/>
  <c r="E223" i="10"/>
  <c r="G223" i="10" s="1"/>
  <c r="E222" i="10"/>
  <c r="G222" i="10" s="1"/>
  <c r="E221" i="10"/>
  <c r="G221" i="10" s="1"/>
  <c r="E220" i="10"/>
  <c r="G220" i="10" s="1"/>
  <c r="E219" i="10"/>
  <c r="E218" i="10"/>
  <c r="G218" i="10" s="1"/>
  <c r="E217" i="10"/>
  <c r="G217" i="10" s="1"/>
  <c r="E216" i="10"/>
  <c r="G216" i="10" s="1"/>
  <c r="F215" i="10"/>
  <c r="H215" i="10" s="1"/>
  <c r="F214" i="10"/>
  <c r="F200" i="10"/>
  <c r="H200" i="10" s="1"/>
  <c r="F196" i="10"/>
  <c r="H196" i="10" s="1"/>
  <c r="F194" i="10"/>
  <c r="H194" i="10" s="1"/>
  <c r="F167" i="10"/>
  <c r="H167" i="10" s="1"/>
  <c r="F165" i="10"/>
  <c r="H165" i="10" s="1"/>
  <c r="F164" i="10"/>
  <c r="H164" i="10" s="1"/>
  <c r="F139" i="10"/>
  <c r="H139" i="10" s="1"/>
  <c r="F120" i="10"/>
  <c r="F116" i="10"/>
  <c r="H116" i="10" s="1"/>
  <c r="F108" i="10"/>
  <c r="H108" i="10" s="1"/>
  <c r="F102" i="10"/>
  <c r="H102" i="10" s="1"/>
  <c r="F100" i="10"/>
  <c r="H100" i="10" s="1"/>
  <c r="F96" i="10"/>
  <c r="H96" i="10" s="1"/>
  <c r="F93" i="10"/>
  <c r="H93" i="10" s="1"/>
  <c r="F85" i="10"/>
  <c r="H85" i="10" s="1"/>
  <c r="F84" i="10"/>
  <c r="Q30" i="10" s="1"/>
  <c r="F73" i="10"/>
  <c r="H73" i="10" s="1"/>
  <c r="F71" i="10"/>
  <c r="F56" i="10"/>
  <c r="Q28" i="10" s="1"/>
  <c r="F57" i="10"/>
  <c r="F53" i="10"/>
  <c r="H53" i="10" s="1"/>
  <c r="F31" i="10"/>
  <c r="H31" i="10" s="1"/>
  <c r="F25" i="10"/>
  <c r="H25" i="10" s="1"/>
  <c r="F24" i="10"/>
  <c r="Q23" i="10" s="1"/>
  <c r="F12" i="10"/>
  <c r="H12" i="10" s="1"/>
  <c r="F10" i="10"/>
  <c r="H10" i="10" s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3" i="10"/>
  <c r="L73" i="14"/>
  <c r="H124" i="8" l="1"/>
  <c r="W113" i="8"/>
  <c r="W4" i="8"/>
  <c r="W31" i="8"/>
  <c r="W11" i="8"/>
  <c r="Q68" i="12"/>
  <c r="W68" i="12"/>
  <c r="G351" i="12"/>
  <c r="I351" i="12" s="1"/>
  <c r="X8" i="12"/>
  <c r="X68" i="12" s="1"/>
  <c r="R68" i="12"/>
  <c r="R27" i="10"/>
  <c r="R40" i="10"/>
  <c r="G274" i="10"/>
  <c r="Q14" i="10"/>
  <c r="R11" i="10"/>
  <c r="Q13" i="10"/>
  <c r="R13" i="10" s="1"/>
  <c r="Q18" i="10"/>
  <c r="G289" i="10"/>
  <c r="H24" i="10"/>
  <c r="R60" i="10"/>
  <c r="R56" i="10"/>
  <c r="R52" i="10"/>
  <c r="R48" i="10"/>
  <c r="R44" i="10"/>
  <c r="R36" i="10"/>
  <c r="R32" i="10"/>
  <c r="R20" i="10"/>
  <c r="H84" i="10"/>
  <c r="F333" i="10"/>
  <c r="R39" i="10"/>
  <c r="R23" i="10"/>
  <c r="Q50" i="10"/>
  <c r="R50" i="10" s="1"/>
  <c r="R15" i="10"/>
  <c r="W68" i="10"/>
  <c r="R26" i="10"/>
  <c r="R65" i="10"/>
  <c r="R9" i="10"/>
  <c r="R5" i="10"/>
  <c r="R64" i="10"/>
  <c r="R28" i="10"/>
  <c r="R8" i="10"/>
  <c r="R67" i="10"/>
  <c r="R7" i="10"/>
  <c r="R66" i="10"/>
  <c r="R38" i="10"/>
  <c r="R30" i="10"/>
  <c r="R6" i="10"/>
  <c r="H250" i="10"/>
  <c r="G299" i="10"/>
  <c r="R63" i="10"/>
  <c r="R59" i="10"/>
  <c r="R55" i="10"/>
  <c r="R51" i="10"/>
  <c r="R47" i="10"/>
  <c r="R43" i="10"/>
  <c r="R31" i="10"/>
  <c r="R19" i="10"/>
  <c r="R24" i="10"/>
  <c r="R12" i="10"/>
  <c r="Q33" i="10"/>
  <c r="R33" i="10" s="1"/>
  <c r="G306" i="10"/>
  <c r="G268" i="10"/>
  <c r="R62" i="10"/>
  <c r="R58" i="10"/>
  <c r="R54" i="10"/>
  <c r="R46" i="10"/>
  <c r="R42" i="10"/>
  <c r="R18" i="10"/>
  <c r="R14" i="10"/>
  <c r="Q34" i="10"/>
  <c r="R34" i="10" s="1"/>
  <c r="H248" i="10"/>
  <c r="H56" i="10"/>
  <c r="G226" i="10"/>
  <c r="R61" i="10"/>
  <c r="R57" i="10"/>
  <c r="R53" i="10"/>
  <c r="R49" i="10"/>
  <c r="R45" i="10"/>
  <c r="R41" i="10"/>
  <c r="R37" i="10"/>
  <c r="R29" i="10"/>
  <c r="R25" i="10"/>
  <c r="R21" i="10"/>
  <c r="R17" i="10"/>
  <c r="H299" i="10"/>
  <c r="H71" i="10"/>
  <c r="G261" i="10"/>
  <c r="Q35" i="10"/>
  <c r="R35" i="10" s="1"/>
  <c r="G260" i="10"/>
  <c r="Q22" i="10"/>
  <c r="R22" i="10" s="1"/>
  <c r="Q10" i="10"/>
  <c r="R10" i="10" s="1"/>
  <c r="G245" i="10"/>
  <c r="G234" i="10"/>
  <c r="G250" i="10"/>
  <c r="G258" i="10"/>
  <c r="Q16" i="10"/>
  <c r="R16" i="10" s="1"/>
  <c r="X68" i="10"/>
  <c r="G249" i="10"/>
  <c r="G230" i="10"/>
  <c r="G315" i="10"/>
  <c r="G219" i="10"/>
  <c r="G248" i="10"/>
  <c r="G238" i="10"/>
  <c r="G213" i="10"/>
  <c r="G209" i="10"/>
  <c r="G205" i="10"/>
  <c r="G201" i="10"/>
  <c r="G196" i="10"/>
  <c r="G192" i="10"/>
  <c r="G188" i="10"/>
  <c r="G184" i="10"/>
  <c r="G180" i="10"/>
  <c r="G176" i="10"/>
  <c r="G172" i="10"/>
  <c r="G168" i="10"/>
  <c r="G164" i="10"/>
  <c r="G160" i="10"/>
  <c r="G156" i="10"/>
  <c r="G152" i="10"/>
  <c r="G148" i="10"/>
  <c r="G144" i="10"/>
  <c r="G140" i="10"/>
  <c r="G136" i="10"/>
  <c r="G132" i="10"/>
  <c r="G128" i="10"/>
  <c r="G124" i="10"/>
  <c r="G120" i="10"/>
  <c r="G116" i="10"/>
  <c r="G112" i="10"/>
  <c r="G108" i="10"/>
  <c r="G104" i="10"/>
  <c r="G100" i="10"/>
  <c r="G96" i="10"/>
  <c r="G92" i="10"/>
  <c r="G88" i="10"/>
  <c r="G84" i="10"/>
  <c r="G80" i="10"/>
  <c r="G76" i="10"/>
  <c r="G72" i="10"/>
  <c r="G68" i="10"/>
  <c r="G64" i="10"/>
  <c r="G60" i="10"/>
  <c r="G56" i="10"/>
  <c r="G52" i="10"/>
  <c r="G48" i="10"/>
  <c r="G45" i="10"/>
  <c r="G41" i="10"/>
  <c r="G37" i="10"/>
  <c r="G33" i="10"/>
  <c r="G29" i="10"/>
  <c r="G25" i="10"/>
  <c r="G21" i="10"/>
  <c r="G17" i="10"/>
  <c r="G13" i="10"/>
  <c r="G9" i="10"/>
  <c r="G5" i="10"/>
  <c r="G3" i="10"/>
  <c r="G215" i="10"/>
  <c r="G214" i="10"/>
  <c r="G212" i="10"/>
  <c r="G211" i="10"/>
  <c r="G210" i="10"/>
  <c r="G208" i="10"/>
  <c r="G207" i="10"/>
  <c r="G206" i="10"/>
  <c r="G204" i="10"/>
  <c r="G203" i="10"/>
  <c r="G202" i="10"/>
  <c r="G200" i="10"/>
  <c r="G199" i="10"/>
  <c r="G198" i="10"/>
  <c r="G195" i="10"/>
  <c r="G194" i="10"/>
  <c r="G193" i="10"/>
  <c r="G191" i="10"/>
  <c r="G190" i="10"/>
  <c r="G189" i="10"/>
  <c r="G187" i="10"/>
  <c r="G186" i="10"/>
  <c r="G185" i="10"/>
  <c r="G183" i="10"/>
  <c r="G182" i="10"/>
  <c r="G181" i="10"/>
  <c r="G179" i="10"/>
  <c r="G178" i="10"/>
  <c r="G177" i="10"/>
  <c r="G175" i="10"/>
  <c r="G174" i="10"/>
  <c r="G173" i="10"/>
  <c r="G171" i="10"/>
  <c r="G170" i="10"/>
  <c r="G169" i="10"/>
  <c r="G167" i="10"/>
  <c r="G166" i="10"/>
  <c r="G165" i="10"/>
  <c r="G163" i="10"/>
  <c r="G162" i="10"/>
  <c r="G161" i="10"/>
  <c r="G159" i="10"/>
  <c r="G158" i="10"/>
  <c r="G157" i="10"/>
  <c r="G155" i="10"/>
  <c r="G154" i="10"/>
  <c r="G153" i="10"/>
  <c r="G151" i="10"/>
  <c r="G150" i="10"/>
  <c r="G149" i="10"/>
  <c r="G147" i="10"/>
  <c r="G146" i="10"/>
  <c r="G145" i="10"/>
  <c r="G143" i="10"/>
  <c r="G142" i="10"/>
  <c r="G141" i="10"/>
  <c r="G139" i="10"/>
  <c r="G138" i="10"/>
  <c r="G137" i="10"/>
  <c r="G135" i="10"/>
  <c r="G134" i="10"/>
  <c r="G133" i="10"/>
  <c r="G131" i="10"/>
  <c r="G130" i="10"/>
  <c r="G129" i="10"/>
  <c r="G127" i="10"/>
  <c r="G126" i="10"/>
  <c r="G125" i="10"/>
  <c r="G123" i="10"/>
  <c r="G122" i="10"/>
  <c r="G121" i="10"/>
  <c r="G119" i="10"/>
  <c r="G118" i="10"/>
  <c r="G117" i="10"/>
  <c r="G115" i="10"/>
  <c r="G114" i="10"/>
  <c r="G113" i="10"/>
  <c r="G111" i="10"/>
  <c r="G110" i="10"/>
  <c r="G109" i="10"/>
  <c r="G107" i="10"/>
  <c r="G106" i="10"/>
  <c r="G105" i="10"/>
  <c r="G103" i="10"/>
  <c r="G102" i="10"/>
  <c r="G101" i="10"/>
  <c r="G99" i="10"/>
  <c r="G98" i="10"/>
  <c r="G97" i="10"/>
  <c r="G95" i="10"/>
  <c r="G94" i="10"/>
  <c r="G93" i="10"/>
  <c r="G91" i="10"/>
  <c r="G90" i="10"/>
  <c r="G89" i="10"/>
  <c r="G87" i="10"/>
  <c r="G86" i="10"/>
  <c r="G85" i="10"/>
  <c r="G83" i="10"/>
  <c r="G82" i="10"/>
  <c r="G81" i="10"/>
  <c r="G79" i="10"/>
  <c r="G78" i="10"/>
  <c r="G77" i="10"/>
  <c r="G75" i="10"/>
  <c r="G74" i="10"/>
  <c r="G73" i="10"/>
  <c r="G71" i="10"/>
  <c r="G70" i="10"/>
  <c r="G69" i="10"/>
  <c r="G67" i="10"/>
  <c r="G66" i="10"/>
  <c r="G65" i="10"/>
  <c r="G63" i="10"/>
  <c r="G62" i="10"/>
  <c r="G61" i="10"/>
  <c r="G59" i="10"/>
  <c r="G58" i="10"/>
  <c r="G57" i="10"/>
  <c r="G55" i="10"/>
  <c r="G54" i="10"/>
  <c r="G53" i="10"/>
  <c r="G51" i="10"/>
  <c r="G50" i="10"/>
  <c r="G49" i="10"/>
  <c r="G47" i="10"/>
  <c r="G46" i="10"/>
  <c r="G44" i="10"/>
  <c r="G43" i="10"/>
  <c r="G42" i="10"/>
  <c r="G40" i="10"/>
  <c r="G39" i="10"/>
  <c r="G38" i="10"/>
  <c r="G36" i="10"/>
  <c r="G35" i="10"/>
  <c r="G34" i="10"/>
  <c r="G32" i="10"/>
  <c r="G31" i="10"/>
  <c r="G30" i="10"/>
  <c r="G28" i="10"/>
  <c r="G27" i="10"/>
  <c r="G26" i="10"/>
  <c r="G24" i="10"/>
  <c r="G23" i="10"/>
  <c r="G22" i="10"/>
  <c r="G20" i="10"/>
  <c r="G19" i="10"/>
  <c r="G18" i="10"/>
  <c r="G16" i="10"/>
  <c r="G15" i="10"/>
  <c r="G14" i="10"/>
  <c r="G12" i="10"/>
  <c r="G11" i="10"/>
  <c r="G10" i="10"/>
  <c r="G8" i="10"/>
  <c r="G7" i="10"/>
  <c r="G6" i="10"/>
  <c r="G4" i="10"/>
  <c r="E70" i="8"/>
  <c r="H4" i="9"/>
  <c r="H5" i="9"/>
  <c r="H6" i="9"/>
  <c r="H7" i="9"/>
  <c r="H318" i="9" s="1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" i="9"/>
  <c r="E3" i="9"/>
  <c r="E314" i="9"/>
  <c r="G314" i="9" s="1"/>
  <c r="E48" i="8"/>
  <c r="P53" i="1"/>
  <c r="H5" i="1"/>
  <c r="H6" i="1"/>
  <c r="H7" i="1"/>
  <c r="H8" i="1"/>
  <c r="H9" i="1"/>
  <c r="H10" i="1"/>
  <c r="H11" i="1"/>
  <c r="H12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51" i="1"/>
  <c r="H53" i="1"/>
  <c r="H54" i="1"/>
  <c r="H55" i="1"/>
  <c r="H56" i="1"/>
  <c r="H57" i="1"/>
  <c r="H59" i="1"/>
  <c r="H61" i="1"/>
  <c r="H62" i="1"/>
  <c r="H63" i="1"/>
  <c r="H64" i="1"/>
  <c r="H65" i="1"/>
  <c r="H66" i="1"/>
  <c r="H67" i="1"/>
  <c r="H69" i="1"/>
  <c r="H70" i="1"/>
  <c r="H71" i="1"/>
  <c r="H72" i="1"/>
  <c r="H73" i="1"/>
  <c r="H74" i="1"/>
  <c r="H75" i="1"/>
  <c r="H76" i="1"/>
  <c r="H77" i="1"/>
  <c r="H78" i="1"/>
  <c r="H79" i="1"/>
  <c r="H80" i="1"/>
  <c r="H82" i="1"/>
  <c r="H83" i="1"/>
  <c r="H84" i="1"/>
  <c r="H85" i="1"/>
  <c r="H86" i="1"/>
  <c r="H87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7" i="1"/>
  <c r="H139" i="1"/>
  <c r="H140" i="1"/>
  <c r="H143" i="1"/>
  <c r="H144" i="1"/>
  <c r="H145" i="1"/>
  <c r="H146" i="1"/>
  <c r="H148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2" i="1"/>
  <c r="H193" i="1"/>
  <c r="H194" i="1"/>
  <c r="H195" i="1"/>
  <c r="H196" i="1"/>
  <c r="H197" i="1"/>
  <c r="H198" i="1"/>
  <c r="H200" i="1"/>
  <c r="H201" i="1"/>
  <c r="H202" i="1"/>
  <c r="H203" i="1"/>
  <c r="H204" i="1"/>
  <c r="H205" i="1"/>
  <c r="H206" i="1"/>
  <c r="H208" i="1"/>
  <c r="H209" i="1"/>
  <c r="H211" i="1"/>
  <c r="H212" i="1"/>
  <c r="H213" i="1"/>
  <c r="H214" i="1"/>
  <c r="H216" i="1"/>
  <c r="H217" i="1"/>
  <c r="H218" i="1"/>
  <c r="H220" i="1"/>
  <c r="H223" i="1"/>
  <c r="H224" i="1"/>
  <c r="H225" i="1"/>
  <c r="H226" i="1"/>
  <c r="H227" i="1"/>
  <c r="H228" i="1"/>
  <c r="H229" i="1"/>
  <c r="H230" i="1"/>
  <c r="H4" i="1"/>
  <c r="E22" i="1"/>
  <c r="G22" i="1" s="1"/>
  <c r="F21" i="1"/>
  <c r="E21" i="1"/>
  <c r="E20" i="1"/>
  <c r="G20" i="1" s="1"/>
  <c r="E19" i="1"/>
  <c r="G19" i="1" s="1"/>
  <c r="E18" i="1"/>
  <c r="G18" i="1" s="1"/>
  <c r="E17" i="1"/>
  <c r="G17" i="1" s="1"/>
  <c r="E16" i="1"/>
  <c r="G16" i="1" s="1"/>
  <c r="F15" i="1"/>
  <c r="E15" i="1"/>
  <c r="F14" i="1"/>
  <c r="H14" i="1" s="1"/>
  <c r="E14" i="1"/>
  <c r="J249" i="9"/>
  <c r="J250" i="9" s="1"/>
  <c r="E45" i="8"/>
  <c r="F317" i="9"/>
  <c r="C26" i="5" l="1"/>
  <c r="H333" i="10"/>
  <c r="G333" i="10"/>
  <c r="Q68" i="10"/>
  <c r="R68" i="10"/>
  <c r="G15" i="1"/>
  <c r="H15" i="1"/>
  <c r="G14" i="1"/>
  <c r="G21" i="1"/>
  <c r="H21" i="1"/>
  <c r="AB13" i="9"/>
  <c r="G105" i="8"/>
  <c r="V105" i="8" s="1"/>
  <c r="G70" i="8"/>
  <c r="V70" i="8" s="1"/>
  <c r="G59" i="8"/>
  <c r="V59" i="8" s="1"/>
  <c r="G88" i="8"/>
  <c r="V88" i="8" s="1"/>
  <c r="W88" i="8" s="1"/>
  <c r="C7" i="5"/>
  <c r="G114" i="8"/>
  <c r="V114" i="8" s="1"/>
  <c r="G115" i="8"/>
  <c r="V115" i="8" s="1"/>
  <c r="G12" i="8"/>
  <c r="V12" i="8" s="1"/>
  <c r="G7" i="8"/>
  <c r="V7" i="8" s="1"/>
  <c r="G6" i="8"/>
  <c r="G8" i="8"/>
  <c r="V8" i="8" s="1"/>
  <c r="G85" i="8"/>
  <c r="V85" i="8" s="1"/>
  <c r="G106" i="8"/>
  <c r="V106" i="8" s="1"/>
  <c r="G33" i="8"/>
  <c r="V33" i="8" s="1"/>
  <c r="G40" i="8"/>
  <c r="G51" i="8"/>
  <c r="V51" i="8" s="1"/>
  <c r="G104" i="8"/>
  <c r="V104" i="8" s="1"/>
  <c r="G108" i="8"/>
  <c r="G80" i="8"/>
  <c r="V80" i="8" s="1"/>
  <c r="G28" i="8"/>
  <c r="V28" i="8" s="1"/>
  <c r="G94" i="8"/>
  <c r="G92" i="8"/>
  <c r="G93" i="8"/>
  <c r="G82" i="8"/>
  <c r="G81" i="8"/>
  <c r="G83" i="8"/>
  <c r="G77" i="8"/>
  <c r="G79" i="8"/>
  <c r="G72" i="8"/>
  <c r="G71" i="8"/>
  <c r="G69" i="8"/>
  <c r="G68" i="8"/>
  <c r="G67" i="8"/>
  <c r="G66" i="8"/>
  <c r="G63" i="8"/>
  <c r="G64" i="8"/>
  <c r="G61" i="8"/>
  <c r="G62" i="8"/>
  <c r="G58" i="8"/>
  <c r="G55" i="8"/>
  <c r="G56" i="8"/>
  <c r="G53" i="8"/>
  <c r="G50" i="8"/>
  <c r="G52" i="8"/>
  <c r="G49" i="8"/>
  <c r="G47" i="8"/>
  <c r="G48" i="8"/>
  <c r="G45" i="8"/>
  <c r="G44" i="8"/>
  <c r="G41" i="8"/>
  <c r="G39" i="8"/>
  <c r="G24" i="8"/>
  <c r="G22" i="8"/>
  <c r="G19" i="8"/>
  <c r="G14" i="8"/>
  <c r="G3" i="8"/>
  <c r="AB67" i="9"/>
  <c r="AB18" i="9"/>
  <c r="U67" i="9"/>
  <c r="U66" i="9"/>
  <c r="U65" i="9"/>
  <c r="U63" i="9"/>
  <c r="U62" i="9"/>
  <c r="U61" i="9"/>
  <c r="U60" i="9"/>
  <c r="U59" i="9"/>
  <c r="U58" i="9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0" i="9"/>
  <c r="V40" i="9" s="1"/>
  <c r="U39" i="9"/>
  <c r="U38" i="9"/>
  <c r="U37" i="9"/>
  <c r="U36" i="9"/>
  <c r="V36" i="9" s="1"/>
  <c r="U34" i="9"/>
  <c r="U32" i="9"/>
  <c r="U31" i="9"/>
  <c r="U30" i="9"/>
  <c r="U29" i="9"/>
  <c r="U28" i="9"/>
  <c r="U27" i="9"/>
  <c r="U26" i="9"/>
  <c r="U25" i="9"/>
  <c r="U24" i="9"/>
  <c r="U21" i="9"/>
  <c r="U20" i="9"/>
  <c r="V20" i="9" s="1"/>
  <c r="U17" i="9"/>
  <c r="U11" i="9"/>
  <c r="U9" i="9"/>
  <c r="U7" i="9"/>
  <c r="U6" i="9"/>
  <c r="U5" i="9"/>
  <c r="U4" i="9"/>
  <c r="T67" i="9"/>
  <c r="T66" i="9"/>
  <c r="T65" i="9"/>
  <c r="T64" i="9"/>
  <c r="V64" i="9" s="1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P58" i="9"/>
  <c r="F313" i="9"/>
  <c r="E317" i="9"/>
  <c r="G317" i="9" s="1"/>
  <c r="E316" i="9"/>
  <c r="G316" i="9" s="1"/>
  <c r="F311" i="9"/>
  <c r="F308" i="9"/>
  <c r="F307" i="9"/>
  <c r="F305" i="9"/>
  <c r="F295" i="9"/>
  <c r="F288" i="9"/>
  <c r="F27" i="9"/>
  <c r="U33" i="9" s="1"/>
  <c r="V33" i="9" s="1"/>
  <c r="E304" i="9"/>
  <c r="G304" i="9" s="1"/>
  <c r="E305" i="9"/>
  <c r="E306" i="9"/>
  <c r="G306" i="9" s="1"/>
  <c r="E307" i="9"/>
  <c r="G307" i="9" s="1"/>
  <c r="E308" i="9"/>
  <c r="E309" i="9"/>
  <c r="G309" i="9" s="1"/>
  <c r="E310" i="9"/>
  <c r="G310" i="9" s="1"/>
  <c r="E311" i="9"/>
  <c r="E312" i="9"/>
  <c r="G312" i="9" s="1"/>
  <c r="E313" i="9"/>
  <c r="E315" i="9"/>
  <c r="G315" i="9" s="1"/>
  <c r="F279" i="9"/>
  <c r="U14" i="9" s="1"/>
  <c r="E279" i="9"/>
  <c r="E280" i="9"/>
  <c r="G280" i="9" s="1"/>
  <c r="E281" i="9"/>
  <c r="G281" i="9" s="1"/>
  <c r="E282" i="9"/>
  <c r="G282" i="9" s="1"/>
  <c r="E283" i="9"/>
  <c r="G283" i="9" s="1"/>
  <c r="E284" i="9"/>
  <c r="E285" i="9"/>
  <c r="G285" i="9" s="1"/>
  <c r="E286" i="9"/>
  <c r="G286" i="9" s="1"/>
  <c r="E287" i="9"/>
  <c r="G287" i="9" s="1"/>
  <c r="E288" i="9"/>
  <c r="E289" i="9"/>
  <c r="G289" i="9" s="1"/>
  <c r="E290" i="9"/>
  <c r="G290" i="9" s="1"/>
  <c r="E291" i="9"/>
  <c r="G291" i="9" s="1"/>
  <c r="E292" i="9"/>
  <c r="G292" i="9" s="1"/>
  <c r="E293" i="9"/>
  <c r="G293" i="9" s="1"/>
  <c r="E294" i="9"/>
  <c r="G294" i="9" s="1"/>
  <c r="E295" i="9"/>
  <c r="E296" i="9"/>
  <c r="G296" i="9" s="1"/>
  <c r="E297" i="9"/>
  <c r="G297" i="9" s="1"/>
  <c r="E298" i="9"/>
  <c r="G298" i="9" s="1"/>
  <c r="E299" i="9"/>
  <c r="G299" i="9" s="1"/>
  <c r="E300" i="9"/>
  <c r="G300" i="9" s="1"/>
  <c r="E301" i="9"/>
  <c r="G301" i="9" s="1"/>
  <c r="E302" i="9"/>
  <c r="G302" i="9" s="1"/>
  <c r="E303" i="9"/>
  <c r="G303" i="9" s="1"/>
  <c r="F284" i="9"/>
  <c r="F278" i="9"/>
  <c r="F274" i="9"/>
  <c r="F271" i="9"/>
  <c r="F270" i="9"/>
  <c r="F268" i="9"/>
  <c r="U8" i="9" s="1"/>
  <c r="F263" i="9"/>
  <c r="F253" i="9"/>
  <c r="F245" i="9"/>
  <c r="E244" i="9"/>
  <c r="G244" i="9" s="1"/>
  <c r="E245" i="9"/>
  <c r="E246" i="9"/>
  <c r="G246" i="9" s="1"/>
  <c r="E247" i="9"/>
  <c r="G247" i="9" s="1"/>
  <c r="E248" i="9"/>
  <c r="G248" i="9" s="1"/>
  <c r="G249" i="9"/>
  <c r="E250" i="9"/>
  <c r="G250" i="9" s="1"/>
  <c r="E251" i="9"/>
  <c r="G251" i="9" s="1"/>
  <c r="E252" i="9"/>
  <c r="G252" i="9" s="1"/>
  <c r="E253" i="9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261" i="9"/>
  <c r="G261" i="9" s="1"/>
  <c r="E262" i="9"/>
  <c r="G262" i="9" s="1"/>
  <c r="E263" i="9"/>
  <c r="E264" i="9"/>
  <c r="G264" i="9" s="1"/>
  <c r="E265" i="9"/>
  <c r="G265" i="9" s="1"/>
  <c r="E266" i="9"/>
  <c r="G266" i="9" s="1"/>
  <c r="E267" i="9"/>
  <c r="G267" i="9" s="1"/>
  <c r="E268" i="9"/>
  <c r="E269" i="9"/>
  <c r="G269" i="9" s="1"/>
  <c r="E270" i="9"/>
  <c r="E271" i="9"/>
  <c r="E272" i="9"/>
  <c r="G272" i="9" s="1"/>
  <c r="E273" i="9"/>
  <c r="G273" i="9" s="1"/>
  <c r="E274" i="9"/>
  <c r="E275" i="9"/>
  <c r="G275" i="9" s="1"/>
  <c r="E276" i="9"/>
  <c r="G276" i="9" s="1"/>
  <c r="E277" i="9"/>
  <c r="G277" i="9" s="1"/>
  <c r="E278" i="9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F211" i="9"/>
  <c r="F207" i="9"/>
  <c r="U35" i="9" s="1"/>
  <c r="V35" i="9" s="1"/>
  <c r="F206" i="9"/>
  <c r="U19" i="9" s="1"/>
  <c r="F202" i="9"/>
  <c r="F200" i="9"/>
  <c r="F199" i="9"/>
  <c r="F177" i="9"/>
  <c r="F175" i="9"/>
  <c r="F173" i="9"/>
  <c r="F150" i="9"/>
  <c r="F73" i="9"/>
  <c r="F144" i="9"/>
  <c r="F140" i="9"/>
  <c r="F138" i="9"/>
  <c r="F131" i="9"/>
  <c r="U12" i="9" s="1"/>
  <c r="F119" i="9"/>
  <c r="F103" i="9"/>
  <c r="F94" i="9"/>
  <c r="F87" i="9"/>
  <c r="F74" i="9"/>
  <c r="U15" i="9" s="1"/>
  <c r="F66" i="9"/>
  <c r="F64" i="9"/>
  <c r="F56" i="9"/>
  <c r="F51" i="9"/>
  <c r="F46" i="9"/>
  <c r="F45" i="9"/>
  <c r="U13" i="9" s="1"/>
  <c r="F40" i="9"/>
  <c r="F25" i="9"/>
  <c r="U22" i="9" s="1"/>
  <c r="F24" i="9"/>
  <c r="F22" i="9"/>
  <c r="F18" i="9"/>
  <c r="U10" i="9" s="1"/>
  <c r="V10" i="9" s="1"/>
  <c r="F7" i="9"/>
  <c r="U18" i="9" s="1"/>
  <c r="E4" i="9"/>
  <c r="G4" i="9" s="1"/>
  <c r="E5" i="9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E23" i="9"/>
  <c r="G23" i="9" s="1"/>
  <c r="E24" i="9"/>
  <c r="E25" i="9"/>
  <c r="E26" i="9"/>
  <c r="G26" i="9" s="1"/>
  <c r="E27" i="9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E41" i="9"/>
  <c r="G41" i="9" s="1"/>
  <c r="E42" i="9"/>
  <c r="G42" i="9" s="1"/>
  <c r="E43" i="9"/>
  <c r="G43" i="9" s="1"/>
  <c r="E44" i="9"/>
  <c r="G44" i="9" s="1"/>
  <c r="E45" i="9"/>
  <c r="E46" i="9"/>
  <c r="E47" i="9"/>
  <c r="G47" i="9" s="1"/>
  <c r="E48" i="9"/>
  <c r="G48" i="9" s="1"/>
  <c r="E49" i="9"/>
  <c r="G49" i="9" s="1"/>
  <c r="E50" i="9"/>
  <c r="G50" i="9" s="1"/>
  <c r="E51" i="9"/>
  <c r="E52" i="9"/>
  <c r="G52" i="9" s="1"/>
  <c r="E53" i="9"/>
  <c r="G53" i="9" s="1"/>
  <c r="E54" i="9"/>
  <c r="G54" i="9" s="1"/>
  <c r="E55" i="9"/>
  <c r="G55" i="9" s="1"/>
  <c r="E56" i="9"/>
  <c r="E57" i="9"/>
  <c r="G57" i="9" s="1"/>
  <c r="E58" i="9"/>
  <c r="G58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E65" i="9"/>
  <c r="G65" i="9" s="1"/>
  <c r="E66" i="9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E74" i="9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E139" i="9"/>
  <c r="G139" i="9" s="1"/>
  <c r="E140" i="9"/>
  <c r="E141" i="9"/>
  <c r="G141" i="9" s="1"/>
  <c r="E142" i="9"/>
  <c r="G142" i="9" s="1"/>
  <c r="E143" i="9"/>
  <c r="G143" i="9" s="1"/>
  <c r="E144" i="9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E174" i="9"/>
  <c r="G174" i="9" s="1"/>
  <c r="E175" i="9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E200" i="9"/>
  <c r="E201" i="9"/>
  <c r="G201" i="9" s="1"/>
  <c r="E202" i="9"/>
  <c r="E203" i="9"/>
  <c r="G203" i="9" s="1"/>
  <c r="E204" i="9"/>
  <c r="G204" i="9" s="1"/>
  <c r="E205" i="9"/>
  <c r="G205" i="9" s="1"/>
  <c r="E206" i="9"/>
  <c r="E207" i="9"/>
  <c r="E208" i="9"/>
  <c r="G208" i="9" s="1"/>
  <c r="E209" i="9"/>
  <c r="G209" i="9" s="1"/>
  <c r="E210" i="9"/>
  <c r="G210" i="9" s="1"/>
  <c r="E211" i="9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G3" i="9"/>
  <c r="AA13" i="4"/>
  <c r="U4" i="4"/>
  <c r="F95" i="8"/>
  <c r="V95" i="8" s="1"/>
  <c r="F96" i="8"/>
  <c r="V96" i="8" s="1"/>
  <c r="F93" i="8"/>
  <c r="F87" i="8"/>
  <c r="F82" i="8"/>
  <c r="F83" i="8"/>
  <c r="F77" i="8"/>
  <c r="F79" i="8"/>
  <c r="F75" i="8"/>
  <c r="V75" i="8" s="1"/>
  <c r="F76" i="8"/>
  <c r="F74" i="8"/>
  <c r="F72" i="8"/>
  <c r="F73" i="8"/>
  <c r="F71" i="8"/>
  <c r="F69" i="8"/>
  <c r="F68" i="8"/>
  <c r="F67" i="8"/>
  <c r="F66" i="8"/>
  <c r="F63" i="8"/>
  <c r="V63" i="8" s="1"/>
  <c r="F64" i="8"/>
  <c r="F61" i="8"/>
  <c r="F62" i="8"/>
  <c r="F58" i="8"/>
  <c r="F57" i="8"/>
  <c r="V57" i="8" s="1"/>
  <c r="F55" i="8"/>
  <c r="F56" i="8"/>
  <c r="F53" i="8"/>
  <c r="F50" i="8"/>
  <c r="F52" i="8"/>
  <c r="F49" i="8"/>
  <c r="F47" i="8"/>
  <c r="F48" i="8"/>
  <c r="F45" i="8"/>
  <c r="F44" i="8"/>
  <c r="F42" i="8"/>
  <c r="F41" i="8"/>
  <c r="F39" i="8"/>
  <c r="F32" i="8"/>
  <c r="F30" i="8"/>
  <c r="F24" i="8"/>
  <c r="F22" i="8"/>
  <c r="F21" i="8"/>
  <c r="F19" i="8"/>
  <c r="F14" i="8"/>
  <c r="F10" i="8"/>
  <c r="V10" i="8" s="1"/>
  <c r="F9" i="8"/>
  <c r="V9" i="8" s="1"/>
  <c r="F5" i="8"/>
  <c r="F3" i="8"/>
  <c r="E53" i="8"/>
  <c r="E76" i="8"/>
  <c r="V76" i="8" s="1"/>
  <c r="E94" i="8"/>
  <c r="V94" i="8" s="1"/>
  <c r="E92" i="8"/>
  <c r="V92" i="8" s="1"/>
  <c r="E91" i="8"/>
  <c r="V91" i="8" s="1"/>
  <c r="W91" i="8" s="1"/>
  <c r="E90" i="8"/>
  <c r="V90" i="8" s="1"/>
  <c r="E89" i="8"/>
  <c r="V89" i="8" s="1"/>
  <c r="E93" i="8"/>
  <c r="E87" i="8"/>
  <c r="E82" i="8"/>
  <c r="V82" i="8" s="1"/>
  <c r="E81" i="8"/>
  <c r="V81" i="8" s="1"/>
  <c r="E77" i="8"/>
  <c r="E79" i="8"/>
  <c r="E74" i="8"/>
  <c r="E72" i="8"/>
  <c r="E73" i="8"/>
  <c r="E71" i="8"/>
  <c r="E69" i="8"/>
  <c r="E68" i="8"/>
  <c r="E67" i="8"/>
  <c r="E65" i="8"/>
  <c r="V65" i="8" s="1"/>
  <c r="E64" i="8"/>
  <c r="E62" i="8"/>
  <c r="E58" i="8"/>
  <c r="E55" i="8"/>
  <c r="E54" i="8"/>
  <c r="V54" i="8" s="1"/>
  <c r="E50" i="8"/>
  <c r="E52" i="8"/>
  <c r="E41" i="8"/>
  <c r="E26" i="8"/>
  <c r="V26" i="8" s="1"/>
  <c r="W26" i="8" s="1"/>
  <c r="E37" i="8"/>
  <c r="V37" i="8" s="1"/>
  <c r="E39" i="8"/>
  <c r="E36" i="8"/>
  <c r="V36" i="8" s="1"/>
  <c r="E32" i="8"/>
  <c r="V32" i="8" s="1"/>
  <c r="W32" i="8" s="1"/>
  <c r="E30" i="8"/>
  <c r="V30" i="8" s="1"/>
  <c r="W30" i="8" s="1"/>
  <c r="E27" i="8"/>
  <c r="V27" i="8" s="1"/>
  <c r="E23" i="8"/>
  <c r="V23" i="8" s="1"/>
  <c r="E22" i="8"/>
  <c r="E21" i="8"/>
  <c r="E20" i="8"/>
  <c r="V20" i="8" s="1"/>
  <c r="E19" i="8"/>
  <c r="E13" i="8"/>
  <c r="V13" i="8" s="1"/>
  <c r="E5" i="8"/>
  <c r="V5" i="8" s="1"/>
  <c r="E3" i="8"/>
  <c r="E112" i="8"/>
  <c r="V112" i="8" s="1"/>
  <c r="E111" i="8"/>
  <c r="V111" i="8" s="1"/>
  <c r="W111" i="8" s="1"/>
  <c r="I280" i="4"/>
  <c r="AA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2" i="4"/>
  <c r="U31" i="4"/>
  <c r="U30" i="4"/>
  <c r="U29" i="4"/>
  <c r="U28" i="4"/>
  <c r="U27" i="4"/>
  <c r="U25" i="4"/>
  <c r="U24" i="4"/>
  <c r="U21" i="4"/>
  <c r="U20" i="4"/>
  <c r="U17" i="4"/>
  <c r="U12" i="4"/>
  <c r="U11" i="4"/>
  <c r="U9" i="4"/>
  <c r="U8" i="4"/>
  <c r="U7" i="4"/>
  <c r="U6" i="4"/>
  <c r="U5" i="4"/>
  <c r="U7" i="1"/>
  <c r="E3" i="4"/>
  <c r="AB18" i="4"/>
  <c r="P51" i="4"/>
  <c r="H274" i="4"/>
  <c r="H276" i="4"/>
  <c r="H277" i="4"/>
  <c r="H278" i="4"/>
  <c r="F275" i="4"/>
  <c r="H275" i="4" s="1"/>
  <c r="F273" i="4"/>
  <c r="H273" i="4" s="1"/>
  <c r="E278" i="4"/>
  <c r="G278" i="4" s="1"/>
  <c r="E277" i="4"/>
  <c r="G277" i="4" s="1"/>
  <c r="E276" i="4"/>
  <c r="G276" i="4" s="1"/>
  <c r="E275" i="4"/>
  <c r="G275" i="4" s="1"/>
  <c r="E274" i="4"/>
  <c r="G274" i="4" s="1"/>
  <c r="E273" i="4"/>
  <c r="G273" i="4" s="1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V67" i="4" s="1"/>
  <c r="T4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2" i="4"/>
  <c r="H231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6" i="4"/>
  <c r="H215" i="4"/>
  <c r="H214" i="4"/>
  <c r="H213" i="4"/>
  <c r="H212" i="4"/>
  <c r="H211" i="4"/>
  <c r="H210" i="4"/>
  <c r="H209" i="4"/>
  <c r="H208" i="4"/>
  <c r="H206" i="4"/>
  <c r="H205" i="4"/>
  <c r="H204" i="4"/>
  <c r="H202" i="4"/>
  <c r="H200" i="4"/>
  <c r="H199" i="4"/>
  <c r="H198" i="4"/>
  <c r="H197" i="4"/>
  <c r="H196" i="4"/>
  <c r="H195" i="4"/>
  <c r="H194" i="4"/>
  <c r="H192" i="4"/>
  <c r="H191" i="4"/>
  <c r="H190" i="4"/>
  <c r="H189" i="4"/>
  <c r="H188" i="4"/>
  <c r="H187" i="4"/>
  <c r="H186" i="4"/>
  <c r="H184" i="4"/>
  <c r="H183" i="4"/>
  <c r="H182" i="4"/>
  <c r="H181" i="4"/>
  <c r="H179" i="4"/>
  <c r="H178" i="4"/>
  <c r="H177" i="4"/>
  <c r="H176" i="4"/>
  <c r="H175" i="4"/>
  <c r="H174" i="4"/>
  <c r="H173" i="4"/>
  <c r="H172" i="4"/>
  <c r="H170" i="4"/>
  <c r="H169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99" i="4"/>
  <c r="H98" i="4"/>
  <c r="H96" i="4"/>
  <c r="H95" i="4"/>
  <c r="H94" i="4"/>
  <c r="H93" i="4"/>
  <c r="H92" i="4"/>
  <c r="H91" i="4"/>
  <c r="H90" i="4"/>
  <c r="H89" i="4"/>
  <c r="H87" i="4"/>
  <c r="H86" i="4"/>
  <c r="H84" i="4"/>
  <c r="H83" i="4"/>
  <c r="H82" i="4"/>
  <c r="H81" i="4"/>
  <c r="H80" i="4"/>
  <c r="H79" i="4"/>
  <c r="H78" i="4"/>
  <c r="H76" i="4"/>
  <c r="H75" i="4"/>
  <c r="H74" i="4"/>
  <c r="H73" i="4"/>
  <c r="H72" i="4"/>
  <c r="H71" i="4"/>
  <c r="H69" i="4"/>
  <c r="H68" i="4"/>
  <c r="H67" i="4"/>
  <c r="H66" i="4"/>
  <c r="H65" i="4"/>
  <c r="H61" i="4"/>
  <c r="H60" i="4"/>
  <c r="H59" i="4"/>
  <c r="H58" i="4"/>
  <c r="H57" i="4"/>
  <c r="H56" i="4"/>
  <c r="H55" i="4"/>
  <c r="H53" i="4"/>
  <c r="H52" i="4"/>
  <c r="H51" i="4"/>
  <c r="H50" i="4"/>
  <c r="H47" i="4"/>
  <c r="H45" i="4"/>
  <c r="H44" i="4"/>
  <c r="H43" i="4"/>
  <c r="H42" i="4"/>
  <c r="H41" i="4"/>
  <c r="H40" i="4"/>
  <c r="H39" i="4"/>
  <c r="H38" i="4"/>
  <c r="H37" i="4"/>
  <c r="H36" i="4"/>
  <c r="H35" i="4"/>
  <c r="H34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F259" i="4"/>
  <c r="H259" i="4" s="1"/>
  <c r="F233" i="4"/>
  <c r="H233" i="4" s="1"/>
  <c r="F230" i="4"/>
  <c r="H230" i="4" s="1"/>
  <c r="F217" i="4"/>
  <c r="H217" i="4" s="1"/>
  <c r="F207" i="4"/>
  <c r="H207" i="4" s="1"/>
  <c r="F203" i="4"/>
  <c r="H203" i="4" s="1"/>
  <c r="F201" i="4"/>
  <c r="H201" i="4" s="1"/>
  <c r="F193" i="4"/>
  <c r="H193" i="4" s="1"/>
  <c r="E191" i="4"/>
  <c r="G191" i="4" s="1"/>
  <c r="F185" i="4"/>
  <c r="H185" i="4" s="1"/>
  <c r="F180" i="4"/>
  <c r="H180" i="4" s="1"/>
  <c r="E171" i="4"/>
  <c r="E170" i="4"/>
  <c r="G170" i="4" s="1"/>
  <c r="E169" i="4"/>
  <c r="G169" i="4" s="1"/>
  <c r="F171" i="4"/>
  <c r="H171" i="4" s="1"/>
  <c r="F168" i="4"/>
  <c r="H168" i="4" s="1"/>
  <c r="F155" i="4"/>
  <c r="H155" i="4" s="1"/>
  <c r="E113" i="4"/>
  <c r="G113" i="4" s="1"/>
  <c r="E18" i="4"/>
  <c r="G18" i="4" s="1"/>
  <c r="E17" i="4"/>
  <c r="G17" i="4" s="1"/>
  <c r="F141" i="4"/>
  <c r="H141" i="4" s="1"/>
  <c r="E129" i="4"/>
  <c r="G129" i="4" s="1"/>
  <c r="E130" i="4"/>
  <c r="G130" i="4" s="1"/>
  <c r="E131" i="4"/>
  <c r="G131" i="4" s="1"/>
  <c r="E132" i="4"/>
  <c r="G132" i="4" s="1"/>
  <c r="E133" i="4"/>
  <c r="G133" i="4" s="1"/>
  <c r="E134" i="4"/>
  <c r="G134" i="4" s="1"/>
  <c r="E135" i="4"/>
  <c r="G135" i="4" s="1"/>
  <c r="E136" i="4"/>
  <c r="G136" i="4" s="1"/>
  <c r="E137" i="4"/>
  <c r="G137" i="4" s="1"/>
  <c r="E138" i="4"/>
  <c r="G138" i="4" s="1"/>
  <c r="E139" i="4"/>
  <c r="G139" i="4" s="1"/>
  <c r="E140" i="4"/>
  <c r="G140" i="4" s="1"/>
  <c r="E141" i="4"/>
  <c r="E142" i="4"/>
  <c r="G142" i="4" s="1"/>
  <c r="E143" i="4"/>
  <c r="G143" i="4" s="1"/>
  <c r="E144" i="4"/>
  <c r="G144" i="4" s="1"/>
  <c r="E145" i="4"/>
  <c r="G145" i="4" s="1"/>
  <c r="E146" i="4"/>
  <c r="G146" i="4" s="1"/>
  <c r="E147" i="4"/>
  <c r="G147" i="4" s="1"/>
  <c r="E148" i="4"/>
  <c r="G148" i="4" s="1"/>
  <c r="E149" i="4"/>
  <c r="G149" i="4" s="1"/>
  <c r="E150" i="4"/>
  <c r="G150" i="4" s="1"/>
  <c r="E151" i="4"/>
  <c r="G151" i="4" s="1"/>
  <c r="E152" i="4"/>
  <c r="G152" i="4" s="1"/>
  <c r="E153" i="4"/>
  <c r="G153" i="4" s="1"/>
  <c r="E154" i="4"/>
  <c r="G154" i="4" s="1"/>
  <c r="E155" i="4"/>
  <c r="E156" i="4"/>
  <c r="G156" i="4" s="1"/>
  <c r="E157" i="4"/>
  <c r="G157" i="4" s="1"/>
  <c r="E158" i="4"/>
  <c r="G158" i="4" s="1"/>
  <c r="E159" i="4"/>
  <c r="G159" i="4" s="1"/>
  <c r="E160" i="4"/>
  <c r="G160" i="4" s="1"/>
  <c r="E161" i="4"/>
  <c r="G161" i="4" s="1"/>
  <c r="E162" i="4"/>
  <c r="G162" i="4" s="1"/>
  <c r="E163" i="4"/>
  <c r="G163" i="4" s="1"/>
  <c r="E164" i="4"/>
  <c r="G164" i="4" s="1"/>
  <c r="E165" i="4"/>
  <c r="G165" i="4" s="1"/>
  <c r="E166" i="4"/>
  <c r="G166" i="4" s="1"/>
  <c r="E167" i="4"/>
  <c r="G167" i="4" s="1"/>
  <c r="E168" i="4"/>
  <c r="E172" i="4"/>
  <c r="G172" i="4" s="1"/>
  <c r="E173" i="4"/>
  <c r="G173" i="4" s="1"/>
  <c r="E174" i="4"/>
  <c r="G174" i="4" s="1"/>
  <c r="E175" i="4"/>
  <c r="G175" i="4" s="1"/>
  <c r="E176" i="4"/>
  <c r="G176" i="4" s="1"/>
  <c r="E177" i="4"/>
  <c r="G177" i="4" s="1"/>
  <c r="E178" i="4"/>
  <c r="G178" i="4" s="1"/>
  <c r="E179" i="4"/>
  <c r="G179" i="4" s="1"/>
  <c r="E180" i="4"/>
  <c r="E181" i="4"/>
  <c r="G181" i="4" s="1"/>
  <c r="E182" i="4"/>
  <c r="G182" i="4" s="1"/>
  <c r="E183" i="4"/>
  <c r="G183" i="4" s="1"/>
  <c r="E184" i="4"/>
  <c r="G184" i="4" s="1"/>
  <c r="E185" i="4"/>
  <c r="E186" i="4"/>
  <c r="G186" i="4" s="1"/>
  <c r="E187" i="4"/>
  <c r="G187" i="4" s="1"/>
  <c r="E188" i="4"/>
  <c r="G188" i="4" s="1"/>
  <c r="E189" i="4"/>
  <c r="G189" i="4" s="1"/>
  <c r="E190" i="4"/>
  <c r="G190" i="4" s="1"/>
  <c r="E192" i="4"/>
  <c r="G192" i="4" s="1"/>
  <c r="E193" i="4"/>
  <c r="E194" i="4"/>
  <c r="G194" i="4" s="1"/>
  <c r="E195" i="4"/>
  <c r="G195" i="4" s="1"/>
  <c r="E196" i="4"/>
  <c r="G196" i="4" s="1"/>
  <c r="E197" i="4"/>
  <c r="G197" i="4" s="1"/>
  <c r="E198" i="4"/>
  <c r="G198" i="4" s="1"/>
  <c r="E199" i="4"/>
  <c r="G199" i="4" s="1"/>
  <c r="E200" i="4"/>
  <c r="G200" i="4" s="1"/>
  <c r="E201" i="4"/>
  <c r="E202" i="4"/>
  <c r="G202" i="4" s="1"/>
  <c r="E203" i="4"/>
  <c r="E204" i="4"/>
  <c r="G204" i="4" s="1"/>
  <c r="E205" i="4"/>
  <c r="G205" i="4" s="1"/>
  <c r="E206" i="4"/>
  <c r="G206" i="4" s="1"/>
  <c r="E207" i="4"/>
  <c r="E208" i="4"/>
  <c r="G208" i="4" s="1"/>
  <c r="E209" i="4"/>
  <c r="G209" i="4" s="1"/>
  <c r="E210" i="4"/>
  <c r="G210" i="4" s="1"/>
  <c r="E211" i="4"/>
  <c r="G211" i="4" s="1"/>
  <c r="E212" i="4"/>
  <c r="G212" i="4" s="1"/>
  <c r="E213" i="4"/>
  <c r="G213" i="4" s="1"/>
  <c r="E214" i="4"/>
  <c r="G214" i="4" s="1"/>
  <c r="E215" i="4"/>
  <c r="G215" i="4" s="1"/>
  <c r="E216" i="4"/>
  <c r="G216" i="4" s="1"/>
  <c r="E217" i="4"/>
  <c r="E218" i="4"/>
  <c r="G218" i="4" s="1"/>
  <c r="E219" i="4"/>
  <c r="G219" i="4" s="1"/>
  <c r="E220" i="4"/>
  <c r="G220" i="4" s="1"/>
  <c r="E221" i="4"/>
  <c r="G221" i="4" s="1"/>
  <c r="E222" i="4"/>
  <c r="G222" i="4" s="1"/>
  <c r="E223" i="4"/>
  <c r="G223" i="4" s="1"/>
  <c r="E224" i="4"/>
  <c r="G224" i="4" s="1"/>
  <c r="E225" i="4"/>
  <c r="G225" i="4" s="1"/>
  <c r="E226" i="4"/>
  <c r="G226" i="4" s="1"/>
  <c r="E227" i="4"/>
  <c r="G227" i="4" s="1"/>
  <c r="E228" i="4"/>
  <c r="G228" i="4" s="1"/>
  <c r="E229" i="4"/>
  <c r="G229" i="4" s="1"/>
  <c r="E230" i="4"/>
  <c r="G230" i="4" s="1"/>
  <c r="E231" i="4"/>
  <c r="G231" i="4" s="1"/>
  <c r="E232" i="4"/>
  <c r="G232" i="4" s="1"/>
  <c r="E233" i="4"/>
  <c r="G233" i="4" s="1"/>
  <c r="E234" i="4"/>
  <c r="G234" i="4" s="1"/>
  <c r="E235" i="4"/>
  <c r="G235" i="4" s="1"/>
  <c r="E236" i="4"/>
  <c r="G236" i="4" s="1"/>
  <c r="E237" i="4"/>
  <c r="G237" i="4" s="1"/>
  <c r="E238" i="4"/>
  <c r="G238" i="4" s="1"/>
  <c r="E239" i="4"/>
  <c r="G239" i="4" s="1"/>
  <c r="E240" i="4"/>
  <c r="G240" i="4" s="1"/>
  <c r="E241" i="4"/>
  <c r="G241" i="4" s="1"/>
  <c r="E242" i="4"/>
  <c r="G242" i="4" s="1"/>
  <c r="E243" i="4"/>
  <c r="G243" i="4" s="1"/>
  <c r="E244" i="4"/>
  <c r="G244" i="4" s="1"/>
  <c r="E245" i="4"/>
  <c r="G245" i="4" s="1"/>
  <c r="E246" i="4"/>
  <c r="G246" i="4" s="1"/>
  <c r="E247" i="4"/>
  <c r="G247" i="4" s="1"/>
  <c r="E248" i="4"/>
  <c r="G248" i="4" s="1"/>
  <c r="E249" i="4"/>
  <c r="G249" i="4" s="1"/>
  <c r="E250" i="4"/>
  <c r="G250" i="4" s="1"/>
  <c r="E251" i="4"/>
  <c r="G251" i="4" s="1"/>
  <c r="E252" i="4"/>
  <c r="G252" i="4" s="1"/>
  <c r="E253" i="4"/>
  <c r="G253" i="4" s="1"/>
  <c r="E254" i="4"/>
  <c r="G254" i="4" s="1"/>
  <c r="E255" i="4"/>
  <c r="G255" i="4" s="1"/>
  <c r="E256" i="4"/>
  <c r="G256" i="4" s="1"/>
  <c r="E257" i="4"/>
  <c r="G257" i="4" s="1"/>
  <c r="E258" i="4"/>
  <c r="G258" i="4" s="1"/>
  <c r="E259" i="4"/>
  <c r="E260" i="4"/>
  <c r="G260" i="4" s="1"/>
  <c r="E261" i="4"/>
  <c r="G261" i="4" s="1"/>
  <c r="E262" i="4"/>
  <c r="G262" i="4" s="1"/>
  <c r="E263" i="4"/>
  <c r="G263" i="4" s="1"/>
  <c r="E264" i="4"/>
  <c r="G264" i="4" s="1"/>
  <c r="E265" i="4"/>
  <c r="G265" i="4" s="1"/>
  <c r="E266" i="4"/>
  <c r="G266" i="4" s="1"/>
  <c r="E267" i="4"/>
  <c r="G267" i="4" s="1"/>
  <c r="E268" i="4"/>
  <c r="G268" i="4" s="1"/>
  <c r="E269" i="4"/>
  <c r="G269" i="4" s="1"/>
  <c r="E270" i="4"/>
  <c r="G270" i="4" s="1"/>
  <c r="E271" i="4"/>
  <c r="G271" i="4" s="1"/>
  <c r="E272" i="4"/>
  <c r="G272" i="4" s="1"/>
  <c r="F102" i="4"/>
  <c r="H102" i="4" s="1"/>
  <c r="F101" i="4"/>
  <c r="H101" i="4" s="1"/>
  <c r="F100" i="4"/>
  <c r="H100" i="4" s="1"/>
  <c r="F97" i="4"/>
  <c r="F88" i="4"/>
  <c r="H88" i="4" s="1"/>
  <c r="F85" i="4"/>
  <c r="H85" i="4" s="1"/>
  <c r="F77" i="4"/>
  <c r="H77" i="4" s="1"/>
  <c r="F70" i="4"/>
  <c r="H70" i="4" s="1"/>
  <c r="F64" i="4"/>
  <c r="H64" i="4" s="1"/>
  <c r="F63" i="4"/>
  <c r="U19" i="4" s="1"/>
  <c r="F62" i="4"/>
  <c r="H62" i="4" s="1"/>
  <c r="F54" i="4"/>
  <c r="U10" i="4" s="1"/>
  <c r="F49" i="4"/>
  <c r="H49" i="4" s="1"/>
  <c r="F48" i="4"/>
  <c r="H48" i="4" s="1"/>
  <c r="F46" i="4"/>
  <c r="U22" i="4" s="1"/>
  <c r="F33" i="4"/>
  <c r="H33" i="4" s="1"/>
  <c r="F32" i="4"/>
  <c r="H32" i="4" s="1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10" i="4"/>
  <c r="G10" i="4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9" i="4"/>
  <c r="G19" i="4" s="1"/>
  <c r="E20" i="4"/>
  <c r="G20" i="4" s="1"/>
  <c r="E21" i="4"/>
  <c r="G21" i="4" s="1"/>
  <c r="E22" i="4"/>
  <c r="G22" i="4" s="1"/>
  <c r="E23" i="4"/>
  <c r="G23" i="4" s="1"/>
  <c r="E24" i="4"/>
  <c r="G24" i="4" s="1"/>
  <c r="E25" i="4"/>
  <c r="G25" i="4" s="1"/>
  <c r="E26" i="4"/>
  <c r="G26" i="4" s="1"/>
  <c r="E27" i="4"/>
  <c r="G27" i="4" s="1"/>
  <c r="E28" i="4"/>
  <c r="G28" i="4" s="1"/>
  <c r="E29" i="4"/>
  <c r="G29" i="4" s="1"/>
  <c r="E30" i="4"/>
  <c r="G30" i="4" s="1"/>
  <c r="E31" i="4"/>
  <c r="G31" i="4" s="1"/>
  <c r="E32" i="4"/>
  <c r="E33" i="4"/>
  <c r="E34" i="4"/>
  <c r="G34" i="4" s="1"/>
  <c r="E35" i="4"/>
  <c r="G35" i="4" s="1"/>
  <c r="E36" i="4"/>
  <c r="G36" i="4" s="1"/>
  <c r="E37" i="4"/>
  <c r="G37" i="4" s="1"/>
  <c r="E38" i="4"/>
  <c r="G38" i="4" s="1"/>
  <c r="E39" i="4"/>
  <c r="G39" i="4" s="1"/>
  <c r="E40" i="4"/>
  <c r="G40" i="4" s="1"/>
  <c r="E41" i="4"/>
  <c r="G41" i="4" s="1"/>
  <c r="E42" i="4"/>
  <c r="G42" i="4" s="1"/>
  <c r="E43" i="4"/>
  <c r="G43" i="4" s="1"/>
  <c r="E44" i="4"/>
  <c r="G44" i="4" s="1"/>
  <c r="E45" i="4"/>
  <c r="G45" i="4" s="1"/>
  <c r="E46" i="4"/>
  <c r="E47" i="4"/>
  <c r="G47" i="4" s="1"/>
  <c r="E48" i="4"/>
  <c r="E49" i="4"/>
  <c r="G49" i="4" s="1"/>
  <c r="E50" i="4"/>
  <c r="G50" i="4" s="1"/>
  <c r="E51" i="4"/>
  <c r="G51" i="4" s="1"/>
  <c r="E52" i="4"/>
  <c r="G52" i="4" s="1"/>
  <c r="E53" i="4"/>
  <c r="G53" i="4" s="1"/>
  <c r="E54" i="4"/>
  <c r="E55" i="4"/>
  <c r="G55" i="4" s="1"/>
  <c r="E56" i="4"/>
  <c r="G56" i="4" s="1"/>
  <c r="E57" i="4"/>
  <c r="G57" i="4" s="1"/>
  <c r="E58" i="4"/>
  <c r="G58" i="4" s="1"/>
  <c r="E59" i="4"/>
  <c r="G59" i="4" s="1"/>
  <c r="E60" i="4"/>
  <c r="G60" i="4" s="1"/>
  <c r="E61" i="4"/>
  <c r="G61" i="4" s="1"/>
  <c r="E62" i="4"/>
  <c r="E63" i="4"/>
  <c r="G63" i="4" s="1"/>
  <c r="E64" i="4"/>
  <c r="E65" i="4"/>
  <c r="G65" i="4" s="1"/>
  <c r="E66" i="4"/>
  <c r="G66" i="4" s="1"/>
  <c r="E67" i="4"/>
  <c r="G67" i="4" s="1"/>
  <c r="E68" i="4"/>
  <c r="G68" i="4" s="1"/>
  <c r="E69" i="4"/>
  <c r="G69" i="4" s="1"/>
  <c r="E70" i="4"/>
  <c r="E71" i="4"/>
  <c r="G71" i="4" s="1"/>
  <c r="E72" i="4"/>
  <c r="G72" i="4" s="1"/>
  <c r="E73" i="4"/>
  <c r="G73" i="4" s="1"/>
  <c r="E74" i="4"/>
  <c r="G74" i="4" s="1"/>
  <c r="E75" i="4"/>
  <c r="G75" i="4" s="1"/>
  <c r="E76" i="4"/>
  <c r="G76" i="4" s="1"/>
  <c r="E77" i="4"/>
  <c r="E78" i="4"/>
  <c r="G78" i="4" s="1"/>
  <c r="E79" i="4"/>
  <c r="G79" i="4" s="1"/>
  <c r="E80" i="4"/>
  <c r="G80" i="4" s="1"/>
  <c r="E81" i="4"/>
  <c r="G81" i="4" s="1"/>
  <c r="E82" i="4"/>
  <c r="G82" i="4" s="1"/>
  <c r="E83" i="4"/>
  <c r="G83" i="4" s="1"/>
  <c r="E84" i="4"/>
  <c r="G84" i="4" s="1"/>
  <c r="E85" i="4"/>
  <c r="E86" i="4"/>
  <c r="G86" i="4" s="1"/>
  <c r="E87" i="4"/>
  <c r="G87" i="4" s="1"/>
  <c r="E88" i="4"/>
  <c r="E89" i="4"/>
  <c r="G89" i="4" s="1"/>
  <c r="E90" i="4"/>
  <c r="G90" i="4" s="1"/>
  <c r="E91" i="4"/>
  <c r="G91" i="4" s="1"/>
  <c r="E92" i="4"/>
  <c r="G92" i="4" s="1"/>
  <c r="E93" i="4"/>
  <c r="G93" i="4" s="1"/>
  <c r="E94" i="4"/>
  <c r="G94" i="4" s="1"/>
  <c r="E95" i="4"/>
  <c r="G95" i="4" s="1"/>
  <c r="E96" i="4"/>
  <c r="G96" i="4" s="1"/>
  <c r="E97" i="4"/>
  <c r="E98" i="4"/>
  <c r="G98" i="4" s="1"/>
  <c r="E99" i="4"/>
  <c r="G99" i="4" s="1"/>
  <c r="E100" i="4"/>
  <c r="E101" i="4"/>
  <c r="E102" i="4"/>
  <c r="E103" i="4"/>
  <c r="G103" i="4" s="1"/>
  <c r="E104" i="4"/>
  <c r="G104" i="4" s="1"/>
  <c r="E105" i="4"/>
  <c r="G105" i="4" s="1"/>
  <c r="E106" i="4"/>
  <c r="G106" i="4" s="1"/>
  <c r="E107" i="4"/>
  <c r="G107" i="4" s="1"/>
  <c r="E108" i="4"/>
  <c r="G108" i="4" s="1"/>
  <c r="E109" i="4"/>
  <c r="G109" i="4" s="1"/>
  <c r="E110" i="4"/>
  <c r="G110" i="4" s="1"/>
  <c r="E111" i="4"/>
  <c r="G111" i="4" s="1"/>
  <c r="E112" i="4"/>
  <c r="G112" i="4" s="1"/>
  <c r="E114" i="4"/>
  <c r="G114" i="4" s="1"/>
  <c r="E115" i="4"/>
  <c r="G115" i="4" s="1"/>
  <c r="E116" i="4"/>
  <c r="G116" i="4" s="1"/>
  <c r="E117" i="4"/>
  <c r="G117" i="4" s="1"/>
  <c r="E118" i="4"/>
  <c r="G118" i="4" s="1"/>
  <c r="E119" i="4"/>
  <c r="G119" i="4" s="1"/>
  <c r="E120" i="4"/>
  <c r="G120" i="4" s="1"/>
  <c r="E121" i="4"/>
  <c r="G121" i="4" s="1"/>
  <c r="E122" i="4"/>
  <c r="G122" i="4" s="1"/>
  <c r="E123" i="4"/>
  <c r="G123" i="4" s="1"/>
  <c r="E124" i="4"/>
  <c r="G124" i="4" s="1"/>
  <c r="E125" i="4"/>
  <c r="G125" i="4" s="1"/>
  <c r="E126" i="4"/>
  <c r="G126" i="4" s="1"/>
  <c r="E127" i="4"/>
  <c r="G127" i="4" s="1"/>
  <c r="E128" i="4"/>
  <c r="G128" i="4" s="1"/>
  <c r="L62" i="12"/>
  <c r="L63" i="10"/>
  <c r="V44" i="8" l="1"/>
  <c r="W44" i="8" s="1"/>
  <c r="E124" i="8"/>
  <c r="V73" i="8"/>
  <c r="W73" i="8" s="1"/>
  <c r="V69" i="8"/>
  <c r="W69" i="8" s="1"/>
  <c r="V74" i="8"/>
  <c r="W74" i="8" s="1"/>
  <c r="V67" i="8"/>
  <c r="W67" i="8" s="1"/>
  <c r="V77" i="8"/>
  <c r="W77" i="8" s="1"/>
  <c r="V93" i="8"/>
  <c r="W93" i="8" s="1"/>
  <c r="V61" i="8"/>
  <c r="W61" i="8" s="1"/>
  <c r="V22" i="8"/>
  <c r="W22" i="8" s="1"/>
  <c r="V49" i="8"/>
  <c r="W49" i="8" s="1"/>
  <c r="V56" i="8"/>
  <c r="W56" i="8" s="1"/>
  <c r="V55" i="8"/>
  <c r="V45" i="8"/>
  <c r="W45" i="8" s="1"/>
  <c r="V3" i="8"/>
  <c r="V39" i="8"/>
  <c r="W39" i="8" s="1"/>
  <c r="V52" i="8"/>
  <c r="W52" i="8" s="1"/>
  <c r="V58" i="8"/>
  <c r="W58" i="8" s="1"/>
  <c r="V14" i="8"/>
  <c r="W14" i="8" s="1"/>
  <c r="V24" i="8"/>
  <c r="W24" i="8" s="1"/>
  <c r="V48" i="8"/>
  <c r="W48" i="8" s="1"/>
  <c r="V108" i="8"/>
  <c r="W108" i="8" s="1"/>
  <c r="V6" i="8"/>
  <c r="W6" i="8" s="1"/>
  <c r="V21" i="8"/>
  <c r="W21" i="8" s="1"/>
  <c r="V50" i="8"/>
  <c r="W50" i="8" s="1"/>
  <c r="V62" i="8"/>
  <c r="W62" i="8" s="1"/>
  <c r="V68" i="8"/>
  <c r="W68" i="8" s="1"/>
  <c r="V72" i="8"/>
  <c r="W72" i="8" s="1"/>
  <c r="V42" i="8"/>
  <c r="W42" i="8" s="1"/>
  <c r="V47" i="8"/>
  <c r="V64" i="8"/>
  <c r="W64" i="8" s="1"/>
  <c r="V66" i="8"/>
  <c r="W66" i="8" s="1"/>
  <c r="V83" i="8"/>
  <c r="V19" i="8"/>
  <c r="W19" i="8" s="1"/>
  <c r="V41" i="8"/>
  <c r="W41" i="8" s="1"/>
  <c r="V71" i="8"/>
  <c r="W71" i="8" s="1"/>
  <c r="V79" i="8"/>
  <c r="W79" i="8" s="1"/>
  <c r="V87" i="8"/>
  <c r="W87" i="8" s="1"/>
  <c r="V53" i="8"/>
  <c r="W53" i="8" s="1"/>
  <c r="V40" i="8"/>
  <c r="W40" i="8" s="1"/>
  <c r="F124" i="8"/>
  <c r="G124" i="8"/>
  <c r="W92" i="8"/>
  <c r="W5" i="8"/>
  <c r="W54" i="8"/>
  <c r="W94" i="8"/>
  <c r="W112" i="8"/>
  <c r="W23" i="8"/>
  <c r="W36" i="8"/>
  <c r="W65" i="8"/>
  <c r="W76" i="8"/>
  <c r="W9" i="8"/>
  <c r="W96" i="8"/>
  <c r="W28" i="8"/>
  <c r="W51" i="8"/>
  <c r="W85" i="8"/>
  <c r="W12" i="8"/>
  <c r="W37" i="8"/>
  <c r="W89" i="8"/>
  <c r="W57" i="8"/>
  <c r="W33" i="8"/>
  <c r="W70" i="8"/>
  <c r="W13" i="8"/>
  <c r="W82" i="8"/>
  <c r="W90" i="8"/>
  <c r="W63" i="8"/>
  <c r="W104" i="8"/>
  <c r="W106" i="8"/>
  <c r="W7" i="8"/>
  <c r="W105" i="8"/>
  <c r="W20" i="8"/>
  <c r="W27" i="8"/>
  <c r="W10" i="8"/>
  <c r="W75" i="8"/>
  <c r="W95" i="8"/>
  <c r="W80" i="8"/>
  <c r="W8" i="8"/>
  <c r="W115" i="8"/>
  <c r="W59" i="8"/>
  <c r="W81" i="8"/>
  <c r="C19" i="11"/>
  <c r="C12" i="11"/>
  <c r="S72" i="10"/>
  <c r="C20" i="5"/>
  <c r="I333" i="10"/>
  <c r="V49" i="4"/>
  <c r="V18" i="9"/>
  <c r="V22" i="9"/>
  <c r="V15" i="9"/>
  <c r="V14" i="9"/>
  <c r="V24" i="9"/>
  <c r="V28" i="9"/>
  <c r="V32" i="9"/>
  <c r="V12" i="9"/>
  <c r="V19" i="9"/>
  <c r="V8" i="9"/>
  <c r="V44" i="9"/>
  <c r="G73" i="9"/>
  <c r="V48" i="9"/>
  <c r="V52" i="9"/>
  <c r="V56" i="9"/>
  <c r="V60" i="9"/>
  <c r="AA68" i="9"/>
  <c r="V13" i="9"/>
  <c r="G56" i="9"/>
  <c r="U23" i="9"/>
  <c r="V23" i="9" s="1"/>
  <c r="G295" i="9"/>
  <c r="G308" i="9"/>
  <c r="U16" i="9"/>
  <c r="V16" i="9" s="1"/>
  <c r="V6" i="9"/>
  <c r="V21" i="9"/>
  <c r="V25" i="9"/>
  <c r="V29" i="9"/>
  <c r="V37" i="9"/>
  <c r="V41" i="9"/>
  <c r="V45" i="9"/>
  <c r="V49" i="9"/>
  <c r="V53" i="9"/>
  <c r="V57" i="9"/>
  <c r="V61" i="9"/>
  <c r="V65" i="9"/>
  <c r="AB68" i="9"/>
  <c r="V9" i="9"/>
  <c r="F318" i="9"/>
  <c r="V7" i="9"/>
  <c r="V11" i="9"/>
  <c r="V17" i="9"/>
  <c r="V26" i="9"/>
  <c r="V30" i="9"/>
  <c r="V34" i="9"/>
  <c r="V38" i="9"/>
  <c r="V42" i="9"/>
  <c r="V46" i="9"/>
  <c r="V50" i="9"/>
  <c r="V54" i="9"/>
  <c r="V58" i="9"/>
  <c r="V62" i="9"/>
  <c r="V66" i="9"/>
  <c r="V5" i="9"/>
  <c r="V27" i="9"/>
  <c r="V31" i="9"/>
  <c r="V39" i="9"/>
  <c r="V43" i="9"/>
  <c r="V47" i="9"/>
  <c r="V51" i="9"/>
  <c r="V55" i="9"/>
  <c r="V59" i="9"/>
  <c r="V63" i="9"/>
  <c r="V67" i="9"/>
  <c r="V4" i="9"/>
  <c r="G206" i="9"/>
  <c r="G175" i="9"/>
  <c r="G119" i="9"/>
  <c r="G51" i="9"/>
  <c r="G202" i="9"/>
  <c r="G74" i="9"/>
  <c r="G263" i="9"/>
  <c r="G305" i="9"/>
  <c r="G313" i="9"/>
  <c r="G311" i="9"/>
  <c r="G288" i="9"/>
  <c r="G200" i="9"/>
  <c r="G140" i="9"/>
  <c r="G245" i="9"/>
  <c r="G279" i="9"/>
  <c r="G271" i="9"/>
  <c r="G278" i="9"/>
  <c r="G207" i="9"/>
  <c r="G199" i="9"/>
  <c r="G27" i="9"/>
  <c r="G211" i="9"/>
  <c r="G103" i="9"/>
  <c r="G274" i="9"/>
  <c r="G66" i="9"/>
  <c r="G46" i="9"/>
  <c r="G284" i="9"/>
  <c r="G173" i="9"/>
  <c r="G64" i="9"/>
  <c r="G270" i="9"/>
  <c r="G268" i="9"/>
  <c r="G253" i="9"/>
  <c r="G150" i="9"/>
  <c r="G138" i="9"/>
  <c r="G94" i="9"/>
  <c r="G144" i="9"/>
  <c r="G87" i="9"/>
  <c r="G45" i="9"/>
  <c r="G40" i="9"/>
  <c r="G25" i="9"/>
  <c r="G24" i="9"/>
  <c r="G22" i="9"/>
  <c r="U14" i="4"/>
  <c r="U23" i="4"/>
  <c r="V65" i="4"/>
  <c r="V57" i="4"/>
  <c r="V53" i="4"/>
  <c r="V37" i="4"/>
  <c r="U15" i="4"/>
  <c r="U16" i="4"/>
  <c r="U33" i="4"/>
  <c r="U26" i="4"/>
  <c r="V26" i="4" s="1"/>
  <c r="U34" i="4"/>
  <c r="V18" i="4"/>
  <c r="AA68" i="4"/>
  <c r="AB68" i="4"/>
  <c r="V11" i="4"/>
  <c r="V21" i="4"/>
  <c r="V56" i="4"/>
  <c r="V52" i="4"/>
  <c r="V31" i="4"/>
  <c r="V27" i="4"/>
  <c r="G203" i="4"/>
  <c r="V22" i="4"/>
  <c r="G155" i="4"/>
  <c r="V62" i="4"/>
  <c r="V50" i="4"/>
  <c r="G185" i="4"/>
  <c r="V29" i="4"/>
  <c r="V9" i="4"/>
  <c r="V38" i="4"/>
  <c r="V58" i="4"/>
  <c r="V33" i="4"/>
  <c r="V13" i="4"/>
  <c r="V30" i="4"/>
  <c r="G201" i="4"/>
  <c r="G180" i="4"/>
  <c r="V4" i="4"/>
  <c r="V28" i="4"/>
  <c r="V20" i="4"/>
  <c r="V5" i="4"/>
  <c r="V14" i="4"/>
  <c r="V7" i="4"/>
  <c r="G101" i="4"/>
  <c r="G85" i="4"/>
  <c r="V66" i="4"/>
  <c r="V54" i="4"/>
  <c r="V46" i="4"/>
  <c r="V34" i="4"/>
  <c r="V42" i="4"/>
  <c r="G88" i="4"/>
  <c r="G64" i="4"/>
  <c r="G48" i="4"/>
  <c r="G32" i="4"/>
  <c r="V10" i="4"/>
  <c r="V16" i="4"/>
  <c r="V17" i="4"/>
  <c r="V25" i="4"/>
  <c r="V41" i="4"/>
  <c r="V45" i="4"/>
  <c r="V61" i="4"/>
  <c r="V19" i="4"/>
  <c r="H97" i="4"/>
  <c r="G259" i="4"/>
  <c r="H46" i="4"/>
  <c r="G102" i="4"/>
  <c r="G62" i="4"/>
  <c r="G46" i="4"/>
  <c r="H63" i="4"/>
  <c r="V15" i="4"/>
  <c r="V23" i="4"/>
  <c r="G207" i="4"/>
  <c r="H54" i="4"/>
  <c r="G97" i="4"/>
  <c r="G217" i="4"/>
  <c r="V8" i="4"/>
  <c r="V12" i="4"/>
  <c r="V24" i="4"/>
  <c r="V32" i="4"/>
  <c r="V36" i="4"/>
  <c r="V40" i="4"/>
  <c r="V44" i="4"/>
  <c r="V48" i="4"/>
  <c r="V60" i="4"/>
  <c r="V6" i="4"/>
  <c r="V64" i="4"/>
  <c r="V35" i="4"/>
  <c r="V39" i="4"/>
  <c r="V43" i="4"/>
  <c r="V47" i="4"/>
  <c r="V51" i="4"/>
  <c r="V55" i="4"/>
  <c r="V59" i="4"/>
  <c r="V63" i="4"/>
  <c r="G193" i="4"/>
  <c r="G171" i="4"/>
  <c r="G168" i="4"/>
  <c r="G77" i="4"/>
  <c r="G100" i="4"/>
  <c r="G70" i="4"/>
  <c r="G54" i="4"/>
  <c r="G33" i="4"/>
  <c r="G141" i="4"/>
  <c r="L65" i="9"/>
  <c r="S73" i="10"/>
  <c r="V124" i="8" l="1"/>
  <c r="W3" i="8"/>
  <c r="W124" i="8" s="1"/>
  <c r="C9" i="1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C13" i="5"/>
  <c r="H279" i="4"/>
  <c r="G318" i="9"/>
  <c r="U68" i="9"/>
  <c r="V68" i="9"/>
  <c r="C15" i="5" s="1"/>
  <c r="V68" i="4"/>
  <c r="C10" i="5" s="1"/>
  <c r="U68" i="4"/>
  <c r="Y72" i="9" l="1"/>
  <c r="G3" i="4"/>
  <c r="U66" i="1"/>
  <c r="U65" i="1"/>
  <c r="V65" i="1" s="1"/>
  <c r="U213" i="1"/>
  <c r="V213" i="1" s="1"/>
  <c r="U63" i="1"/>
  <c r="V63" i="1" s="1"/>
  <c r="U62" i="1"/>
  <c r="V62" i="1" s="1"/>
  <c r="U61" i="1"/>
  <c r="V61" i="1" s="1"/>
  <c r="U60" i="1"/>
  <c r="V60" i="1" s="1"/>
  <c r="U59" i="1"/>
  <c r="U57" i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U48" i="1"/>
  <c r="V48" i="1" s="1"/>
  <c r="U47" i="1"/>
  <c r="V47" i="1" s="1"/>
  <c r="U46" i="1"/>
  <c r="U45" i="1"/>
  <c r="V45" i="1" s="1"/>
  <c r="U44" i="1"/>
  <c r="V44" i="1" s="1"/>
  <c r="U43" i="1"/>
  <c r="V43" i="1" s="1"/>
  <c r="U42" i="1"/>
  <c r="U41" i="1"/>
  <c r="U40" i="1"/>
  <c r="V40" i="1" s="1"/>
  <c r="U39" i="1"/>
  <c r="V39" i="1" s="1"/>
  <c r="U38" i="1"/>
  <c r="V38" i="1" s="1"/>
  <c r="U37" i="1"/>
  <c r="V37" i="1" s="1"/>
  <c r="U36" i="1"/>
  <c r="V36" i="1" s="1"/>
  <c r="U34" i="1"/>
  <c r="V34" i="1" s="1"/>
  <c r="U33" i="1"/>
  <c r="U32" i="1"/>
  <c r="V32" i="1" s="1"/>
  <c r="U31" i="1"/>
  <c r="V31" i="1" s="1"/>
  <c r="U30" i="1"/>
  <c r="V30" i="1" s="1"/>
  <c r="U29" i="1"/>
  <c r="U28" i="1"/>
  <c r="V28" i="1" s="1"/>
  <c r="U27" i="1"/>
  <c r="V27" i="1" s="1"/>
  <c r="U26" i="1"/>
  <c r="V26" i="1" s="1"/>
  <c r="U25" i="1"/>
  <c r="U24" i="1"/>
  <c r="U21" i="1"/>
  <c r="U20" i="1"/>
  <c r="V20" i="1" s="1"/>
  <c r="U18" i="1"/>
  <c r="V18" i="1" s="1"/>
  <c r="U17" i="1"/>
  <c r="V17" i="1" s="1"/>
  <c r="U15" i="1"/>
  <c r="V15" i="1" s="1"/>
  <c r="U12" i="1"/>
  <c r="V12" i="1" s="1"/>
  <c r="U11" i="1"/>
  <c r="V11" i="1" s="1"/>
  <c r="U9" i="1"/>
  <c r="V9" i="1" s="1"/>
  <c r="U8" i="1"/>
  <c r="V8" i="1" s="1"/>
  <c r="V7" i="1"/>
  <c r="U6" i="1"/>
  <c r="V6" i="1" s="1"/>
  <c r="U5" i="1"/>
  <c r="V5" i="1" s="1"/>
  <c r="U4" i="1"/>
  <c r="V4" i="1" s="1"/>
  <c r="V66" i="1"/>
  <c r="V59" i="1"/>
  <c r="V57" i="1"/>
  <c r="V49" i="1"/>
  <c r="V33" i="1"/>
  <c r="V29" i="1"/>
  <c r="V24" i="1"/>
  <c r="V21" i="1"/>
  <c r="V46" i="1"/>
  <c r="V42" i="1"/>
  <c r="V41" i="1"/>
  <c r="V25" i="1"/>
  <c r="E92" i="1"/>
  <c r="G92" i="1" s="1"/>
  <c r="E91" i="1"/>
  <c r="G91" i="1" s="1"/>
  <c r="E4" i="1"/>
  <c r="G4" i="1" s="1"/>
  <c r="E8" i="1"/>
  <c r="G8" i="1" s="1"/>
  <c r="F222" i="1"/>
  <c r="H222" i="1" s="1"/>
  <c r="F221" i="1"/>
  <c r="H221" i="1" s="1"/>
  <c r="F219" i="1"/>
  <c r="H219" i="1" s="1"/>
  <c r="E193" i="1"/>
  <c r="G193" i="1" s="1"/>
  <c r="E192" i="1"/>
  <c r="G192" i="1" s="1"/>
  <c r="F215" i="1"/>
  <c r="H215" i="1" s="1"/>
  <c r="E217" i="1"/>
  <c r="G217" i="1" s="1"/>
  <c r="E216" i="1"/>
  <c r="G216" i="1" s="1"/>
  <c r="E215" i="1"/>
  <c r="E214" i="1"/>
  <c r="G214" i="1" s="1"/>
  <c r="E213" i="1"/>
  <c r="G213" i="1" s="1"/>
  <c r="F210" i="1"/>
  <c r="H210" i="1" s="1"/>
  <c r="F207" i="1"/>
  <c r="H207" i="1" s="1"/>
  <c r="F199" i="1"/>
  <c r="H199" i="1" s="1"/>
  <c r="F142" i="1"/>
  <c r="H142" i="1" s="1"/>
  <c r="F141" i="1"/>
  <c r="H141" i="1" s="1"/>
  <c r="F136" i="1"/>
  <c r="H136" i="1" s="1"/>
  <c r="F191" i="1"/>
  <c r="H19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E221" i="1"/>
  <c r="E220" i="1"/>
  <c r="G220" i="1" s="1"/>
  <c r="E219" i="1"/>
  <c r="E218" i="1"/>
  <c r="G218" i="1" s="1"/>
  <c r="E212" i="1"/>
  <c r="G212" i="1" s="1"/>
  <c r="E211" i="1"/>
  <c r="G211" i="1" s="1"/>
  <c r="E210" i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E198" i="1"/>
  <c r="G198" i="1" s="1"/>
  <c r="E197" i="1"/>
  <c r="G197" i="1" s="1"/>
  <c r="E196" i="1"/>
  <c r="G196" i="1" s="1"/>
  <c r="E195" i="1"/>
  <c r="G195" i="1" s="1"/>
  <c r="E194" i="1"/>
  <c r="G194" i="1" s="1"/>
  <c r="E191" i="1"/>
  <c r="E144" i="1"/>
  <c r="G144" i="1" s="1"/>
  <c r="E143" i="1"/>
  <c r="G143" i="1" s="1"/>
  <c r="E142" i="1"/>
  <c r="F138" i="1"/>
  <c r="H138" i="1" s="1"/>
  <c r="F147" i="1"/>
  <c r="H147" i="1" s="1"/>
  <c r="F150" i="1"/>
  <c r="H150" i="1" s="1"/>
  <c r="F149" i="1"/>
  <c r="H149" i="1" s="1"/>
  <c r="F107" i="1"/>
  <c r="H107" i="1" s="1"/>
  <c r="F94" i="1"/>
  <c r="H94" i="1" s="1"/>
  <c r="F81" i="1"/>
  <c r="H81" i="1" s="1"/>
  <c r="F68" i="1"/>
  <c r="H68" i="1" s="1"/>
  <c r="F60" i="1"/>
  <c r="H60" i="1" s="1"/>
  <c r="F58" i="1"/>
  <c r="H58" i="1" s="1"/>
  <c r="F52" i="1"/>
  <c r="H52" i="1" s="1"/>
  <c r="F50" i="1"/>
  <c r="H50" i="1" s="1"/>
  <c r="F49" i="1"/>
  <c r="H49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E149" i="1"/>
  <c r="E148" i="1"/>
  <c r="G148" i="1" s="1"/>
  <c r="E147" i="1"/>
  <c r="E146" i="1"/>
  <c r="G146" i="1" s="1"/>
  <c r="E145" i="1"/>
  <c r="G145" i="1" s="1"/>
  <c r="E141" i="1"/>
  <c r="E140" i="1"/>
  <c r="G140" i="1" s="1"/>
  <c r="E139" i="1"/>
  <c r="G139" i="1" s="1"/>
  <c r="E138" i="1"/>
  <c r="G138" i="1" s="1"/>
  <c r="E137" i="1"/>
  <c r="G137" i="1" s="1"/>
  <c r="E136" i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E93" i="1"/>
  <c r="G93" i="1" s="1"/>
  <c r="E90" i="1"/>
  <c r="G90" i="1" s="1"/>
  <c r="E89" i="1"/>
  <c r="G89" i="1" s="1"/>
  <c r="E88" i="1"/>
  <c r="G88" i="1" s="1"/>
  <c r="E54" i="1"/>
  <c r="G54" i="1" s="1"/>
  <c r="E53" i="1"/>
  <c r="G53" i="1" s="1"/>
  <c r="E52" i="1"/>
  <c r="E51" i="1"/>
  <c r="G51" i="1" s="1"/>
  <c r="E50" i="1"/>
  <c r="G50" i="1" s="1"/>
  <c r="E49" i="1"/>
  <c r="E48" i="1"/>
  <c r="G48" i="1" s="1"/>
  <c r="E47" i="1"/>
  <c r="G47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E67" i="1"/>
  <c r="G67" i="1" s="1"/>
  <c r="E161" i="1"/>
  <c r="G161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E59" i="1"/>
  <c r="G59" i="1" s="1"/>
  <c r="E58" i="1"/>
  <c r="E57" i="1"/>
  <c r="G57" i="1" s="1"/>
  <c r="E56" i="1"/>
  <c r="G56" i="1" s="1"/>
  <c r="E55" i="1"/>
  <c r="G55" i="1" s="1"/>
  <c r="F13" i="1"/>
  <c r="H13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13" i="1"/>
  <c r="E12" i="1"/>
  <c r="G12" i="1" s="1"/>
  <c r="E11" i="1"/>
  <c r="G11" i="1" s="1"/>
  <c r="E10" i="1"/>
  <c r="G10" i="1" s="1"/>
  <c r="E9" i="1"/>
  <c r="G9" i="1" s="1"/>
  <c r="E7" i="1"/>
  <c r="G7" i="1" s="1"/>
  <c r="E6" i="1"/>
  <c r="G6" i="1" s="1"/>
  <c r="E5" i="1"/>
  <c r="G5" i="1" s="1"/>
  <c r="G49" i="1" l="1"/>
  <c r="H231" i="1"/>
  <c r="G279" i="4"/>
  <c r="I279" i="4" s="1"/>
  <c r="U58" i="1"/>
  <c r="V58" i="1" s="1"/>
  <c r="U14" i="1"/>
  <c r="V14" i="1" s="1"/>
  <c r="U10" i="1"/>
  <c r="V10" i="1" s="1"/>
  <c r="U23" i="1"/>
  <c r="V23" i="1" s="1"/>
  <c r="U16" i="1"/>
  <c r="V16" i="1" s="1"/>
  <c r="U64" i="1"/>
  <c r="V64" i="1" s="1"/>
  <c r="U22" i="1"/>
  <c r="V22" i="1" s="1"/>
  <c r="U19" i="1"/>
  <c r="V19" i="1" s="1"/>
  <c r="U35" i="1"/>
  <c r="V35" i="1" s="1"/>
  <c r="U13" i="1"/>
  <c r="V13" i="1" s="1"/>
  <c r="G222" i="1"/>
  <c r="G215" i="1"/>
  <c r="G221" i="1"/>
  <c r="G60" i="1"/>
  <c r="G219" i="1"/>
  <c r="G210" i="1"/>
  <c r="G199" i="1"/>
  <c r="G191" i="1"/>
  <c r="G142" i="1"/>
  <c r="G58" i="1"/>
  <c r="G52" i="1"/>
  <c r="G141" i="1"/>
  <c r="G107" i="1"/>
  <c r="G94" i="1"/>
  <c r="G81" i="1"/>
  <c r="G136" i="1"/>
  <c r="G147" i="1"/>
  <c r="G150" i="1"/>
  <c r="G149" i="1"/>
  <c r="G68" i="1"/>
  <c r="G13" i="1"/>
  <c r="V67" i="1" l="1"/>
  <c r="C4" i="5" s="1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U67" i="1"/>
  <c r="G231" i="1"/>
  <c r="R71" i="22" l="1"/>
  <c r="J47" i="22"/>
</calcChain>
</file>

<file path=xl/sharedStrings.xml><?xml version="1.0" encoding="utf-8"?>
<sst xmlns="http://schemas.openxmlformats.org/spreadsheetml/2006/main" count="13600" uniqueCount="440">
  <si>
    <t>Berat</t>
  </si>
  <si>
    <t xml:space="preserve">Harga </t>
  </si>
  <si>
    <t>Nama</t>
  </si>
  <si>
    <t>Total Harga</t>
  </si>
  <si>
    <t>RT</t>
  </si>
  <si>
    <t>Pak Wawan</t>
  </si>
  <si>
    <t>Naso</t>
  </si>
  <si>
    <t>Emberan</t>
  </si>
  <si>
    <t>No</t>
  </si>
  <si>
    <t>Jenis Barang</t>
  </si>
  <si>
    <t>Jumlah</t>
  </si>
  <si>
    <t>Satuan</t>
  </si>
  <si>
    <t>Total</t>
  </si>
  <si>
    <t>Acrylic</t>
  </si>
  <si>
    <t>AC Blower</t>
  </si>
  <si>
    <t>AC Indoor</t>
  </si>
  <si>
    <t>AKI</t>
  </si>
  <si>
    <t>Alumunium</t>
  </si>
  <si>
    <t>Alumunium Foil</t>
  </si>
  <si>
    <t>Asoy</t>
  </si>
  <si>
    <t>Babet</t>
  </si>
  <si>
    <t>Ban Bekas</t>
  </si>
  <si>
    <t>Besi</t>
  </si>
  <si>
    <t>Boncos</t>
  </si>
  <si>
    <t>Botol &amp; Kaca Beling</t>
  </si>
  <si>
    <t>Botol &amp; Gelas Putih (Kotor)</t>
  </si>
  <si>
    <t>Botol Berwarna</t>
  </si>
  <si>
    <t>Botol Putih Bersih</t>
  </si>
  <si>
    <t>Buku Tulis &amp; Pelajaran</t>
  </si>
  <si>
    <t>CD Kristal</t>
  </si>
  <si>
    <t>CPU</t>
  </si>
  <si>
    <t>Gabrukan</t>
  </si>
  <si>
    <t>Galon Aqua</t>
  </si>
  <si>
    <t>Gelas Berwarna</t>
  </si>
  <si>
    <t>Gelas Putih Bersih</t>
  </si>
  <si>
    <t>Handphone</t>
  </si>
  <si>
    <t>Impact</t>
  </si>
  <si>
    <t>Injek</t>
  </si>
  <si>
    <t>Kabel</t>
  </si>
  <si>
    <t>Kabel Internet</t>
  </si>
  <si>
    <t>Kabin</t>
  </si>
  <si>
    <t>Kaleng</t>
  </si>
  <si>
    <t>Kardus Baik/Kering</t>
  </si>
  <si>
    <t>Karpet Talang</t>
  </si>
  <si>
    <t>Karung Beras</t>
  </si>
  <si>
    <t>Kawat</t>
  </si>
  <si>
    <t>Kertas HVS Putih</t>
  </si>
  <si>
    <t>Kertas Semen</t>
  </si>
  <si>
    <t>Kipas Angin</t>
  </si>
  <si>
    <t>Koran/LKS</t>
  </si>
  <si>
    <t>Kulkas 1 Pintu</t>
  </si>
  <si>
    <t>Kulkas 2 Pintu</t>
  </si>
  <si>
    <t>Kuningan</t>
  </si>
  <si>
    <t>Magic Com Lengkap</t>
  </si>
  <si>
    <t>Majalah</t>
  </si>
  <si>
    <t>Mesin Cuci</t>
  </si>
  <si>
    <t>Minyak Jelantah</t>
  </si>
  <si>
    <t>Monitor LED</t>
  </si>
  <si>
    <t>Monitor Tabung</t>
  </si>
  <si>
    <t>Oli Bekas</t>
  </si>
  <si>
    <t>Paralon</t>
  </si>
  <si>
    <t>Plastik (PE)</t>
  </si>
  <si>
    <t>Selang Air</t>
  </si>
  <si>
    <t>Seng</t>
  </si>
  <si>
    <t>Seng Pasir</t>
  </si>
  <si>
    <t>Sterofoam</t>
  </si>
  <si>
    <t>Tembaga</t>
  </si>
  <si>
    <t>Toples Kue Kristal</t>
  </si>
  <si>
    <t>Try Telur</t>
  </si>
  <si>
    <t>Tutup Botol</t>
  </si>
  <si>
    <t>Tutup Galon</t>
  </si>
  <si>
    <t>TV LED</t>
  </si>
  <si>
    <t>TV Tabung</t>
  </si>
  <si>
    <t>kg</t>
  </si>
  <si>
    <t>unit</t>
  </si>
  <si>
    <t>ltr</t>
  </si>
  <si>
    <t>Bu Wiwin</t>
  </si>
  <si>
    <t>Kabel Kulit</t>
  </si>
  <si>
    <t>Bu Widodo</t>
  </si>
  <si>
    <t>Bu Alim</t>
  </si>
  <si>
    <t>Tina</t>
  </si>
  <si>
    <t>Grand Total</t>
  </si>
  <si>
    <t>Sum of Total Harga</t>
  </si>
  <si>
    <t>Bu Admini</t>
  </si>
  <si>
    <t>Selly</t>
  </si>
  <si>
    <t>Bu Eva</t>
  </si>
  <si>
    <t>Bu Neni</t>
  </si>
  <si>
    <t>Bu Hana</t>
  </si>
  <si>
    <t>Multilayer</t>
  </si>
  <si>
    <t>Bu Ani</t>
  </si>
  <si>
    <t>Bu Lidia</t>
  </si>
  <si>
    <t>Bu Devilie</t>
  </si>
  <si>
    <t>Kambam</t>
  </si>
  <si>
    <t>Bu Nurhayati</t>
  </si>
  <si>
    <t>Bu Sarti</t>
  </si>
  <si>
    <t>Bu Kamiem</t>
  </si>
  <si>
    <t>Bu Fardani</t>
  </si>
  <si>
    <t>Bu Wuri</t>
  </si>
  <si>
    <t>Akhsan</t>
  </si>
  <si>
    <t>Bu Nurhidayah</t>
  </si>
  <si>
    <t>Bu Sandra</t>
  </si>
  <si>
    <t>Dani</t>
  </si>
  <si>
    <t>Bu Tunut</t>
  </si>
  <si>
    <t>Bu Mala</t>
  </si>
  <si>
    <t>Bu Lena</t>
  </si>
  <si>
    <t>Bu Satini</t>
  </si>
  <si>
    <t>Bu Siti Mutmainah</t>
  </si>
  <si>
    <t>Bu Uum</t>
  </si>
  <si>
    <t>Bu Angga</t>
  </si>
  <si>
    <t>Bu Riris</t>
  </si>
  <si>
    <t>Bu Yanti</t>
  </si>
  <si>
    <t>Bu Lilis</t>
  </si>
  <si>
    <t>Bu Linda</t>
  </si>
  <si>
    <t>Rafi</t>
  </si>
  <si>
    <t>Bu Suci</t>
  </si>
  <si>
    <t>Novem</t>
  </si>
  <si>
    <t>Sela</t>
  </si>
  <si>
    <t>Bela</t>
  </si>
  <si>
    <t>Bu Suriya</t>
  </si>
  <si>
    <t>Freya</t>
  </si>
  <si>
    <t>Bu Sri Retno</t>
  </si>
  <si>
    <t>Harga Nasabah</t>
  </si>
  <si>
    <t>Harga Lapak</t>
  </si>
  <si>
    <t>083813791409</t>
  </si>
  <si>
    <t>Pak Hotles</t>
  </si>
  <si>
    <t>Contact Person</t>
  </si>
  <si>
    <t>No. RT</t>
  </si>
  <si>
    <t>Mbak Nurhayati</t>
  </si>
  <si>
    <t>Jenis Sampah</t>
  </si>
  <si>
    <t>Sabtu, 12 Juli 2025</t>
  </si>
  <si>
    <t>TOTAL</t>
  </si>
  <si>
    <t>Timbangan Bu Erta</t>
  </si>
  <si>
    <t>Bu Siti Alfiyah</t>
  </si>
  <si>
    <t>Bu Sarmiyah</t>
  </si>
  <si>
    <t>Bu Lia</t>
  </si>
  <si>
    <t>Bu Fisca</t>
  </si>
  <si>
    <t>Mba Dian</t>
  </si>
  <si>
    <t>Bu Titin</t>
  </si>
  <si>
    <t>Bu Sunarti</t>
  </si>
  <si>
    <t>Mama Wahyu</t>
  </si>
  <si>
    <t>Bu Ida Amanah</t>
  </si>
  <si>
    <t>Bu Yayuk</t>
  </si>
  <si>
    <t>Bu Rina</t>
  </si>
  <si>
    <t>Bu Tetty Hamdi</t>
  </si>
  <si>
    <t>Bu Nurlayli</t>
  </si>
  <si>
    <t>Bu Aminah</t>
  </si>
  <si>
    <t>kabin</t>
  </si>
  <si>
    <t>Bu Rumiyati</t>
  </si>
  <si>
    <t>Bu Nining</t>
  </si>
  <si>
    <t>Pak Soleh</t>
  </si>
  <si>
    <t>kabel</t>
  </si>
  <si>
    <t>Bu Rindra</t>
  </si>
  <si>
    <t>Bu Febri</t>
  </si>
  <si>
    <t>No RT</t>
  </si>
  <si>
    <t>Sabtu, 26 Juli 2025</t>
  </si>
  <si>
    <t>Keterangan</t>
  </si>
  <si>
    <t>Masuk</t>
  </si>
  <si>
    <t>Keluar</t>
  </si>
  <si>
    <t>Saldo awal</t>
  </si>
  <si>
    <t>Deskripsi</t>
  </si>
  <si>
    <t>Tanggal</t>
  </si>
  <si>
    <t>Soto Pak Beny (Qris)</t>
  </si>
  <si>
    <t>12 Juli</t>
  </si>
  <si>
    <t>26 Juli</t>
  </si>
  <si>
    <t>Bu Maria Miski</t>
  </si>
  <si>
    <t>Tabungan Nasabah</t>
  </si>
  <si>
    <t>Tabungan nasabah</t>
  </si>
  <si>
    <t>Tanggal 12 Juli 2025</t>
  </si>
  <si>
    <t>Setor sampah</t>
  </si>
  <si>
    <t>Timbangan Pak Surat</t>
  </si>
  <si>
    <t>Row Labels</t>
  </si>
  <si>
    <t>Sum of Berat</t>
  </si>
  <si>
    <t>Sum of RT</t>
  </si>
  <si>
    <t>Fotocopy</t>
  </si>
  <si>
    <t>Syifa Kamila</t>
  </si>
  <si>
    <t>Bu Hartinah</t>
  </si>
  <si>
    <t>Disimpan</t>
  </si>
  <si>
    <t>Dijual ke Pak Surat</t>
  </si>
  <si>
    <t>Bu Purwani</t>
  </si>
  <si>
    <t>9 Agustus</t>
  </si>
  <si>
    <t>Pak Sumarman</t>
  </si>
  <si>
    <t>Bu Ratu Tuti</t>
  </si>
  <si>
    <t>Mama Adam</t>
  </si>
  <si>
    <t>Bu Maryati</t>
  </si>
  <si>
    <t>Bu Hartati</t>
  </si>
  <si>
    <t>Bu Evi</t>
  </si>
  <si>
    <t>Bu Indrayani</t>
  </si>
  <si>
    <t>Bu Mimin</t>
  </si>
  <si>
    <t>Bu Halimah</t>
  </si>
  <si>
    <t>Bu Ecin Dwi</t>
  </si>
  <si>
    <t>Mbak Sari</t>
  </si>
  <si>
    <t>Bu Arsudin</t>
  </si>
  <si>
    <t>Bu Sariyanti</t>
  </si>
  <si>
    <t>Bu Nurjanah</t>
  </si>
  <si>
    <t>Bu Maryani</t>
  </si>
  <si>
    <t>Bu Nita</t>
  </si>
  <si>
    <t>Bu Maesaroh</t>
  </si>
  <si>
    <t>Bu Yenvitriati</t>
  </si>
  <si>
    <t>Bu Mutia</t>
  </si>
  <si>
    <t>Blok TD</t>
  </si>
  <si>
    <t>Kas</t>
  </si>
  <si>
    <t>Pos</t>
  </si>
  <si>
    <t>Sabtu, 9 Agustus 2025</t>
  </si>
  <si>
    <t>Disimpan, dijual tgl 9 Agustus</t>
  </si>
  <si>
    <t>Tabungan 12 Juli</t>
  </si>
  <si>
    <t>Tabungan 26 Juli</t>
  </si>
  <si>
    <t>Jual ke Bu Erta 12 Juli</t>
  </si>
  <si>
    <t>Jual ke Pak Surat 26 Juli</t>
  </si>
  <si>
    <t>Jual ke Bu Erta 26 Juli</t>
  </si>
  <si>
    <t>FC daftar hadir (Cash)</t>
  </si>
  <si>
    <t>Mie Gacoan</t>
  </si>
  <si>
    <t>Tarik Tunai Nasabah</t>
  </si>
  <si>
    <t>Tabungan 9 Agustus</t>
  </si>
  <si>
    <t>Jual ke Bu Erta 9 Agustus</t>
  </si>
  <si>
    <t>Jual ke Pak Surat 9 Agustus</t>
  </si>
  <si>
    <t>Aki</t>
  </si>
  <si>
    <t>Bu Anwar</t>
  </si>
  <si>
    <t>Bu Betria</t>
  </si>
  <si>
    <t>Bu Wulan</t>
  </si>
  <si>
    <t>Karang Taruna</t>
  </si>
  <si>
    <t>23 Agustus</t>
  </si>
  <si>
    <t>Sabtu, 23 Agustus 2025</t>
  </si>
  <si>
    <t>Gorengan</t>
  </si>
  <si>
    <t>Minum</t>
  </si>
  <si>
    <t>Jual ke Pak Surat 23 Agustus</t>
  </si>
  <si>
    <t>Jual ke Bu Erta 23 Agustus</t>
  </si>
  <si>
    <t>Tabungan 23 Agustus</t>
  </si>
  <si>
    <t>Keuntungan</t>
  </si>
  <si>
    <t>Keuntungan Penjualan</t>
  </si>
  <si>
    <t>Dipinjamkan ke koperasi PKK</t>
  </si>
  <si>
    <t>Admin Pinjaman PKK</t>
  </si>
  <si>
    <t>ATK</t>
  </si>
  <si>
    <t>Dipinjamkan ke PKK</t>
  </si>
  <si>
    <t>7 September</t>
  </si>
  <si>
    <t>Harga Baru</t>
  </si>
  <si>
    <t>Tanggal Ambil</t>
  </si>
  <si>
    <t>Pak Ade K</t>
  </si>
  <si>
    <t>Bu Larasati</t>
  </si>
  <si>
    <t>UE</t>
  </si>
  <si>
    <t>TD</t>
  </si>
  <si>
    <t>Kp Bambu</t>
  </si>
  <si>
    <t>Bu Rina RT 7</t>
  </si>
  <si>
    <t>Bu Sukayah</t>
  </si>
  <si>
    <t>Bu Dida</t>
  </si>
  <si>
    <t>Pak Suprayitno</t>
  </si>
  <si>
    <t>Bu Irma</t>
  </si>
  <si>
    <t>Rujak</t>
  </si>
  <si>
    <t>Jual ke Bu Erta 7 September</t>
  </si>
  <si>
    <t>Tabungan 7 September</t>
  </si>
  <si>
    <t>Sisa Saldo</t>
  </si>
  <si>
    <t>Dame</t>
  </si>
  <si>
    <t>Minggu, 7 September 2025</t>
  </si>
  <si>
    <t>2 Agustus</t>
  </si>
  <si>
    <t>Cash</t>
  </si>
  <si>
    <t>Transfer</t>
  </si>
  <si>
    <t>Mba Nurhayati</t>
  </si>
  <si>
    <t>Banner</t>
  </si>
  <si>
    <t>21 September</t>
  </si>
  <si>
    <t>Cetak Banner Bank Sampah</t>
  </si>
  <si>
    <t>Bu Minah</t>
  </si>
  <si>
    <t>Bu Rustinah</t>
  </si>
  <si>
    <t>Vena</t>
  </si>
  <si>
    <t>Bu Lia RT 2</t>
  </si>
  <si>
    <t>Mama Najwa</t>
  </si>
  <si>
    <t>Disimpan 1</t>
  </si>
  <si>
    <t>Minggu, 21 September 2025</t>
  </si>
  <si>
    <t>p</t>
  </si>
  <si>
    <t>Bubur Kacang</t>
  </si>
  <si>
    <t>Es Jeruk</t>
  </si>
  <si>
    <t>Jual ke Pak Surat 21 September</t>
  </si>
  <si>
    <t>Jual ke Bu Erta 21 September</t>
  </si>
  <si>
    <t>Tabungan 21 September</t>
  </si>
  <si>
    <t>Limpahan AC Bekas dari RW</t>
  </si>
  <si>
    <t>1 Oktober</t>
  </si>
  <si>
    <t>TF</t>
  </si>
  <si>
    <t>Tanggal 9 Agustus 2025</t>
  </si>
  <si>
    <t>Hasil Tabungan</t>
  </si>
  <si>
    <t>Timbangan 9 Agustus</t>
  </si>
  <si>
    <t>Timbangan 23 Agustus</t>
  </si>
  <si>
    <t>Timbangan 7 September</t>
  </si>
  <si>
    <t>Timbangan 21 September</t>
  </si>
  <si>
    <t>19 Oktober</t>
  </si>
  <si>
    <t>Trash Bag</t>
  </si>
  <si>
    <t>Mama Demas</t>
  </si>
  <si>
    <t>Bu Martinah</t>
  </si>
  <si>
    <t>Nabil</t>
  </si>
  <si>
    <t>23 Oktober</t>
  </si>
  <si>
    <t>Tabungan 26 Juli 2025</t>
  </si>
  <si>
    <t>Tanggal 23 Agustus 2025</t>
  </si>
  <si>
    <t>Tanggal 7 September 2025</t>
  </si>
  <si>
    <t>Tanggal 21 September 2025</t>
  </si>
  <si>
    <t>Tanggal 19 Oktoberr 2025</t>
  </si>
  <si>
    <t>Timbangan</t>
  </si>
  <si>
    <t>Minggu, 19 Oktober 2025</t>
  </si>
  <si>
    <t>Eshan</t>
  </si>
  <si>
    <t>Dipo</t>
  </si>
  <si>
    <t>Pak Danny</t>
  </si>
  <si>
    <t>Oma Carrisa</t>
  </si>
  <si>
    <t>Okta</t>
  </si>
  <si>
    <t>Bu Hadiyana</t>
  </si>
  <si>
    <t>Bangku Jongkok</t>
  </si>
  <si>
    <t>Sabtu, 1 November 2025</t>
  </si>
  <si>
    <t>1 November</t>
  </si>
  <si>
    <t>Konsumsi tamu</t>
  </si>
  <si>
    <t>Konsumsi anggota</t>
  </si>
  <si>
    <t>Pembelian Buku Tabungan</t>
  </si>
  <si>
    <t>Jual ke Pak Surat 1 November</t>
  </si>
  <si>
    <t>Jual ke Bu Erta 1 November</t>
  </si>
  <si>
    <t>Tabungan 1 November</t>
  </si>
  <si>
    <t>No. HP</t>
  </si>
  <si>
    <t>Kota</t>
  </si>
  <si>
    <t>Provinsi</t>
  </si>
  <si>
    <t>Kode Pos</t>
  </si>
  <si>
    <t>Nama Rekening</t>
  </si>
  <si>
    <t>No Rekening</t>
  </si>
  <si>
    <t>Alamat / RT</t>
  </si>
  <si>
    <t>Banten</t>
  </si>
  <si>
    <t>081316755852</t>
  </si>
  <si>
    <t>100620112110</t>
  </si>
  <si>
    <t>Luthfi Lailatul Arifah Syakur</t>
  </si>
  <si>
    <t>Form Data Nasabah Bank Sampah</t>
  </si>
  <si>
    <t>Tangerang Selatan</t>
  </si>
  <si>
    <t>Eco Bank 26</t>
  </si>
  <si>
    <t>Tangerang</t>
  </si>
  <si>
    <t>Nasi Oncom + Telur</t>
  </si>
  <si>
    <t>Tanggal 1 November</t>
  </si>
  <si>
    <t>Bu Susi</t>
  </si>
  <si>
    <t>Bu Termin</t>
  </si>
  <si>
    <t>Pak Giri</t>
  </si>
  <si>
    <t>Sabtu, 15 November 2025</t>
  </si>
  <si>
    <t>15 November</t>
  </si>
  <si>
    <t>Gado-Gado</t>
  </si>
  <si>
    <t>Es Campur</t>
  </si>
  <si>
    <t>Saklar, Tespen</t>
  </si>
  <si>
    <t>Bu Ani RT 7</t>
  </si>
  <si>
    <t>Mas Angga</t>
  </si>
  <si>
    <t>Nasi Padang</t>
  </si>
  <si>
    <t>Jual ke Pak Surat 13 Desember</t>
  </si>
  <si>
    <t>Sabtu, 13 Desember 2025</t>
  </si>
  <si>
    <t>Konsumsi</t>
  </si>
  <si>
    <t>Kopi</t>
  </si>
  <si>
    <t>Super pel</t>
  </si>
  <si>
    <t>13 Desember</t>
  </si>
  <si>
    <t>Sedot WC</t>
  </si>
  <si>
    <t>alu</t>
  </si>
  <si>
    <t>Sahabat Qur'an</t>
  </si>
  <si>
    <t>Sabtu, 3 Januari 2026</t>
  </si>
  <si>
    <t>3 Januari</t>
  </si>
  <si>
    <t>31 Januari</t>
  </si>
  <si>
    <t>Sabun Cuci Tangan</t>
  </si>
  <si>
    <t>ayam bakar</t>
  </si>
  <si>
    <t>gorengan</t>
  </si>
  <si>
    <t>bayar sampah Bu Wiwin</t>
  </si>
  <si>
    <t>Perlengkapan</t>
  </si>
  <si>
    <t>Magnet</t>
  </si>
  <si>
    <t>Peralatan bank sampah</t>
  </si>
  <si>
    <t>Bahan Sabun</t>
  </si>
  <si>
    <t>diambil oleh Bu Yenvitriati</t>
  </si>
  <si>
    <t>Bu Sri Rukiyati</t>
  </si>
  <si>
    <t>Bu Suhermiati</t>
  </si>
  <si>
    <t>Bu Yanti Bela</t>
  </si>
  <si>
    <t>UB</t>
  </si>
  <si>
    <t>timbangan sebelumnya</t>
  </si>
  <si>
    <t>(blank)</t>
  </si>
  <si>
    <t>botol le mineral</t>
  </si>
  <si>
    <t>Sabtu, 31 Januari 2026</t>
  </si>
  <si>
    <t>Peralatan tempat sampah</t>
  </si>
  <si>
    <t>Mie Ayam Banyumas</t>
  </si>
  <si>
    <t>PVC Board</t>
  </si>
  <si>
    <t>Gunting &amp; Cutter</t>
  </si>
  <si>
    <t>15 Februari</t>
  </si>
  <si>
    <t>BASAH</t>
  </si>
  <si>
    <t>Honor</t>
  </si>
  <si>
    <t>Palupi, Dika</t>
  </si>
  <si>
    <t>Inventaris Bank Sampah</t>
  </si>
  <si>
    <t>5 Kipas Angin</t>
  </si>
  <si>
    <t>Kabel Ties</t>
  </si>
  <si>
    <t>Minggu, 15 Februari 2026</t>
  </si>
  <si>
    <t>Timbangan Kami Box</t>
  </si>
  <si>
    <t>Kaset CD</t>
  </si>
  <si>
    <t>Mika</t>
  </si>
  <si>
    <t>PVC</t>
  </si>
  <si>
    <t>Tidak Terima</t>
  </si>
  <si>
    <t>Botol PET bersih</t>
  </si>
  <si>
    <t>Botol PET Kotor</t>
  </si>
  <si>
    <t>Galon PC</t>
  </si>
  <si>
    <t>Gelas PP Warna</t>
  </si>
  <si>
    <t>Kristal Putih</t>
  </si>
  <si>
    <t>Plastik PE</t>
  </si>
  <si>
    <t>Plastik Minyak goreng</t>
  </si>
  <si>
    <t>Styrofoam</t>
  </si>
  <si>
    <t>Botol Plastik Kemasan Campur</t>
  </si>
  <si>
    <t>Yakult</t>
  </si>
  <si>
    <t>Plastik Multilayer</t>
  </si>
  <si>
    <t>Arsip</t>
  </si>
  <si>
    <t>Buku, majalah, brosur, koran</t>
  </si>
  <si>
    <t>Kardus</t>
  </si>
  <si>
    <t>MIX A/Boncos</t>
  </si>
  <si>
    <t>Boncos Kotor</t>
  </si>
  <si>
    <t>Kantung Semen</t>
  </si>
  <si>
    <t>Kones</t>
  </si>
  <si>
    <t>Tetrapak/UBC</t>
  </si>
  <si>
    <t>Aluminium</t>
  </si>
  <si>
    <t>Seng/Kawat</t>
  </si>
  <si>
    <t>Botol Kaca Hijau</t>
  </si>
  <si>
    <t>Kaca</t>
  </si>
  <si>
    <t>AC</t>
  </si>
  <si>
    <t>Jelantah</t>
  </si>
  <si>
    <t>Komputer</t>
  </si>
  <si>
    <t>Kulkas</t>
  </si>
  <si>
    <t>TV</t>
  </si>
  <si>
    <t>set</t>
  </si>
  <si>
    <t>pcs</t>
  </si>
  <si>
    <t>Gabung dengan Multilayer</t>
  </si>
  <si>
    <t>Botol Kaca Bening/Putih</t>
  </si>
  <si>
    <t>Botol Kaca Campur</t>
  </si>
  <si>
    <t>Botol Kaca Coklat/Merah</t>
  </si>
  <si>
    <t>Upah</t>
  </si>
  <si>
    <t>Ambil sampah</t>
  </si>
  <si>
    <t>HVS</t>
  </si>
  <si>
    <t>Gelas PP Bersih</t>
  </si>
  <si>
    <t>Buku, Majalah, Brosur, Koran</t>
  </si>
  <si>
    <t>Botol PET Bersih</t>
  </si>
  <si>
    <t>dipindah ke bu wiwin</t>
  </si>
  <si>
    <t>Tanggal 15 November 2025</t>
  </si>
  <si>
    <t>Tanggal 13 Desember 2025</t>
  </si>
  <si>
    <t>Tanggal 3 Januari 2026</t>
  </si>
  <si>
    <t>Tanggal 31 Januari 2026</t>
  </si>
  <si>
    <t>Tanggal 15 Februari 2026</t>
  </si>
  <si>
    <t>Dewan</t>
  </si>
  <si>
    <t>Akrilik</t>
  </si>
  <si>
    <t>Gelas PP Kotor</t>
  </si>
  <si>
    <t>Buah</t>
  </si>
  <si>
    <t>Pak RW</t>
  </si>
  <si>
    <t>Stempel</t>
  </si>
  <si>
    <t>Stempel Bank Sampah</t>
  </si>
  <si>
    <t>Kue Pagi</t>
  </si>
  <si>
    <t>Bu Virgiawan</t>
  </si>
  <si>
    <t>Bu Natira Salmawati</t>
  </si>
  <si>
    <t>Bu Sarini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</si>
</sst>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0" xfId="1" applyNumberFormat="1" applyFont="1" applyBorder="1"/>
    <xf numFmtId="165" fontId="0" fillId="0" borderId="6" xfId="1" applyNumberFormat="1" applyFont="1" applyBorder="1"/>
    <xf numFmtId="165" fontId="0" fillId="0" borderId="8" xfId="1" applyNumberFormat="1" applyFont="1" applyBorder="1"/>
    <xf numFmtId="165" fontId="0" fillId="0" borderId="9" xfId="1" applyNumberFormat="1" applyFont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1" applyNumberFormat="1" applyFont="1" applyBorder="1"/>
    <xf numFmtId="165" fontId="0" fillId="0" borderId="12" xfId="1" applyNumberFormat="1" applyFont="1" applyBorder="1"/>
    <xf numFmtId="0" fontId="0" fillId="0" borderId="1" xfId="0" applyBorder="1"/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4" xfId="1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0" borderId="1" xfId="0" quotePrefix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165" fontId="2" fillId="0" borderId="0" xfId="1" applyNumberFormat="1" applyFont="1"/>
    <xf numFmtId="165" fontId="2" fillId="0" borderId="0" xfId="0" applyNumberFormat="1" applyFont="1"/>
    <xf numFmtId="0" fontId="0" fillId="0" borderId="1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165" fontId="0" fillId="0" borderId="1" xfId="1" applyNumberFormat="1" applyFont="1" applyBorder="1"/>
    <xf numFmtId="164" fontId="0" fillId="0" borderId="1" xfId="1" applyFont="1" applyBorder="1"/>
    <xf numFmtId="164" fontId="2" fillId="0" borderId="1" xfId="1" applyFont="1" applyBorder="1"/>
    <xf numFmtId="165" fontId="2" fillId="0" borderId="1" xfId="1" applyNumberFormat="1" applyFont="1" applyBorder="1"/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164" fontId="0" fillId="0" borderId="0" xfId="1" applyFont="1"/>
    <xf numFmtId="165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3" borderId="0" xfId="1" applyNumberFormat="1" applyFont="1" applyFill="1"/>
    <xf numFmtId="0" fontId="2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165" fontId="2" fillId="0" borderId="0" xfId="1" applyNumberFormat="1" applyFont="1" applyBorder="1"/>
    <xf numFmtId="0" fontId="3" fillId="0" borderId="0" xfId="0" applyFont="1"/>
    <xf numFmtId="0" fontId="0" fillId="0" borderId="0" xfId="0" quotePrefix="1"/>
    <xf numFmtId="0" fontId="0" fillId="3" borderId="0" xfId="0" applyFill="1"/>
    <xf numFmtId="43" fontId="0" fillId="0" borderId="0" xfId="0" applyNumberFormat="1"/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Fill="1"/>
    <xf numFmtId="165" fontId="0" fillId="0" borderId="0" xfId="0" applyNumberFormat="1" applyAlignment="1">
      <alignment horizontal="left"/>
    </xf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165" fontId="0" fillId="4" borderId="0" xfId="0" applyNumberFormat="1" applyFill="1"/>
    <xf numFmtId="165" fontId="0" fillId="0" borderId="0" xfId="1" applyNumberFormat="1" applyFont="1" applyFill="1" applyBorder="1" applyAlignment="1">
      <alignment horizontal="center"/>
    </xf>
    <xf numFmtId="165" fontId="2" fillId="0" borderId="1" xfId="1" applyNumberFormat="1" applyFont="1" applyFill="1" applyBorder="1"/>
    <xf numFmtId="15" fontId="0" fillId="0" borderId="0" xfId="0" applyNumberFormat="1"/>
    <xf numFmtId="165" fontId="0" fillId="5" borderId="0" xfId="1" applyNumberFormat="1" applyFont="1" applyFill="1"/>
    <xf numFmtId="165" fontId="0" fillId="0" borderId="1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0" fillId="0" borderId="0" xfId="1" applyFont="1" applyFill="1"/>
    <xf numFmtId="165" fontId="0" fillId="0" borderId="1" xfId="1" applyNumberFormat="1" applyFont="1" applyFill="1" applyBorder="1"/>
    <xf numFmtId="164" fontId="0" fillId="0" borderId="1" xfId="1" applyFont="1" applyFill="1" applyBorder="1"/>
    <xf numFmtId="164" fontId="2" fillId="0" borderId="1" xfId="1" applyFont="1" applyFill="1" applyBorder="1"/>
    <xf numFmtId="165" fontId="0" fillId="5" borderId="1" xfId="1" applyNumberFormat="1" applyFont="1" applyFill="1" applyBorder="1"/>
    <xf numFmtId="0" fontId="0" fillId="5" borderId="0" xfId="0" applyFill="1"/>
    <xf numFmtId="0" fontId="2" fillId="0" borderId="1" xfId="0" applyFont="1" applyBorder="1"/>
    <xf numFmtId="164" fontId="0" fillId="0" borderId="0" xfId="1" applyFont="1" applyFill="1" applyBorder="1"/>
    <xf numFmtId="49" fontId="0" fillId="0" borderId="0" xfId="0" applyNumberFormat="1" applyAlignment="1">
      <alignment horizontal="left" vertical="center"/>
    </xf>
    <xf numFmtId="165" fontId="0" fillId="0" borderId="0" xfId="1" applyNumberFormat="1" applyFont="1" applyFill="1" applyBorder="1"/>
    <xf numFmtId="165" fontId="0" fillId="6" borderId="0" xfId="1" applyNumberFormat="1" applyFont="1" applyFill="1"/>
    <xf numFmtId="0" fontId="0" fillId="0" borderId="1" xfId="0" applyBorder="1" applyAlignment="1">
      <alignment horizontal="center"/>
    </xf>
    <xf numFmtId="0" fontId="2" fillId="2" borderId="0" xfId="1" applyNumberFormat="1" applyFont="1" applyFill="1" applyAlignment="1">
      <alignment horizontal="center" vertical="center"/>
    </xf>
    <xf numFmtId="0" fontId="2" fillId="2" borderId="0" xfId="1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color theme="4" tint="0.79998168889431442"/>
      </font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46385</xdr:colOff>
      <xdr:row>2</xdr:row>
      <xdr:rowOff>13729</xdr:rowOff>
    </xdr:from>
    <xdr:to>
      <xdr:col>19</xdr:col>
      <xdr:colOff>381777</xdr:colOff>
      <xdr:row>57</xdr:row>
      <xdr:rowOff>13731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5E23A9-9A98-4DF0-FB36-1C651022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736" y="384432"/>
          <a:ext cx="7056095" cy="10194326"/>
        </a:xfrm>
        <a:prstGeom prst="rect">
          <a:avLst/>
        </a:prstGeom>
      </xdr:spPr>
    </xdr:pic>
    <xdr:clientData/>
  </xdr:twoCellAnchor>
  <xdr:twoCellAnchor editAs="oneCell">
    <xdr:from>
      <xdr:col>18</xdr:col>
      <xdr:colOff>68937</xdr:colOff>
      <xdr:row>3</xdr:row>
      <xdr:rowOff>7362</xdr:rowOff>
    </xdr:from>
    <xdr:to>
      <xdr:col>29</xdr:col>
      <xdr:colOff>290642</xdr:colOff>
      <xdr:row>58</xdr:row>
      <xdr:rowOff>7361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83331B-93EE-E349-DA87-3E834E79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6737" y="556002"/>
          <a:ext cx="6927305" cy="100583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878.328672222226" createdVersion="8" refreshedVersion="8" minRefreshableVersion="3" recordCount="276" xr:uid="{52856C1B-4D67-4F97-B4D9-F4FF47F6CADB}">
  <cacheSource type="worksheet">
    <worksheetSource ref="A2:G278" sheet="26-7-2025"/>
  </cacheSource>
  <cacheFields count="7">
    <cacheField name="No" numFmtId="0">
      <sharedItems containsString="0" containsBlank="1" containsNumber="1" containsInteger="1" minValue="1" maxValue="48"/>
    </cacheField>
    <cacheField name="Nama" numFmtId="0">
      <sharedItems count="53">
        <s v="Selly"/>
        <s v="Bu Hartinah"/>
        <s v="Bu Wiwin"/>
        <s v="Bu Eva"/>
        <s v="Bu Sarmiyah"/>
        <s v="Bu Lia"/>
        <s v="Bu Fisca"/>
        <s v="Mba Dian"/>
        <s v="Bu Neni"/>
        <s v="Bu Titin"/>
        <s v="Bu Linda"/>
        <s v="Bu Mala"/>
        <s v="Bu Sunarti"/>
        <s v="Mama Wahyu"/>
        <s v="Bu Yayuk"/>
        <s v="Bu Rina"/>
        <s v="Bu Sandra"/>
        <s v="Bu Tetty Hamdi"/>
        <s v="Bu Purwani"/>
        <s v="Bu Widodo"/>
        <s v="Bu Siti Alfiyah"/>
        <s v="Bu Aminah"/>
        <s v="Bu Lidia"/>
        <s v="Mbak Nurhayati"/>
        <s v="Bu Lilis"/>
        <s v="Bu Rumiyati"/>
        <s v="Bu Nining"/>
        <s v="Pak Soleh"/>
        <s v="Bu Suci"/>
        <s v="Pak Wawan"/>
        <s v="Bu Admini"/>
        <s v="Bu Maria Miski"/>
        <s v="Bu Alim"/>
        <s v="Bu Sarti"/>
        <s v="Bu Suriya"/>
        <s v="Bu Ida Amanah"/>
        <s v="Bu Siti Mutmainah"/>
        <s v="Bu Nurlayli"/>
        <s v="Syifa Kamila"/>
        <s v="Akhsan"/>
        <s v="Bu Rindra"/>
        <s v="Bu Kamiem"/>
        <s v="Bu Febri"/>
        <s v="Bu Wuri"/>
        <s v="Bu Ani"/>
        <s v="Bu Satini"/>
        <s v="Bu Angga"/>
        <s v="Bu Tunut"/>
        <s v="Bu Purwanti" u="1"/>
        <s v="Bu Hardinah" u="1"/>
        <s v="Bu Maria Rizki" u="1"/>
        <s v="Bu Suriyah" u="1"/>
        <s v="Bu Syifa Kamila" u="1"/>
      </sharedItems>
    </cacheField>
    <cacheField name="RT" numFmtId="0">
      <sharedItems containsString="0" containsBlank="1" containsNumber="1" containsInteger="1" minValue="1" maxValue="5"/>
    </cacheField>
    <cacheField name="Jenis Sampah" numFmtId="0">
      <sharedItems count="38">
        <s v="Kardus Baik/Kering"/>
        <s v="Toples Kue Kristal"/>
        <s v="Emberan"/>
        <s v="Asoy"/>
        <s v="Kaleng"/>
        <s v="Multilayer"/>
        <s v="Sterofoam"/>
        <s v="Botol Putih Bersih"/>
        <s v="Boncos"/>
        <s v="Besi"/>
        <s v="Minyak Jelantah"/>
        <s v="Karung Beras"/>
        <s v="Gabrukan"/>
        <s v="Naso"/>
        <s v="Botol &amp; Kaca Beling"/>
        <s v="Injek"/>
        <s v="Botol &amp; Gelas Putih (Kotor)"/>
        <s v="Try Telur"/>
        <s v="Kabin"/>
        <s v="Impact"/>
        <s v="Buku Tulis &amp; Pelajaran"/>
        <s v="Selang Air"/>
        <s v="Kabel"/>
        <s v="Gelas Putih Bersih"/>
        <s v="Tutup Botol"/>
        <s v="Kawat"/>
        <s v="CD Kristal"/>
        <s v="Magic Com Lengkap"/>
        <s v="Monitor Tabung"/>
        <s v="Oli Bekas"/>
        <s v="Alumunium"/>
        <s v="TV Tabung"/>
        <s v="Koran/LKS"/>
        <s v="Kertas HVS Putih"/>
        <s v="Handphone"/>
        <s v="Paralon"/>
        <s v="Seng"/>
        <s v="Monitor LED" u="1"/>
      </sharedItems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16.399999999999999"/>
    </cacheField>
    <cacheField name="Total Harga" numFmtId="165">
      <sharedItems containsSemiMixedTypes="0" containsString="0" containsNumber="1" minValue="7.5" maxValue="20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882.87733171296" createdVersion="8" refreshedVersion="8" minRefreshableVersion="3" recordCount="315" xr:uid="{4B44C7CD-8844-4D65-BB5B-A18C4552EEDB}">
  <cacheSource type="worksheet">
    <worksheetSource ref="A2:G317" sheet="9-8-2025"/>
  </cacheSource>
  <cacheFields count="7">
    <cacheField name="No" numFmtId="0">
      <sharedItems containsString="0" containsBlank="1" containsNumber="1" containsInteger="1" minValue="1" maxValue="55"/>
    </cacheField>
    <cacheField name="Nama" numFmtId="0">
      <sharedItems containsBlank="1" count="56">
        <s v="Bu Wuri"/>
        <s v="Bu Purwani"/>
        <s v="Bu Neni"/>
        <s v="Bu Ratu Tuti"/>
        <s v="Bu Fisca"/>
        <s v="Bu Rina"/>
        <s v="Mba Dian"/>
        <s v="Bu Wiwin"/>
        <s v="Pak Wawan"/>
        <s v="Mama Adam"/>
        <s v="Bu Maryati"/>
        <s v="Bu Hartati"/>
        <s v="Bu Sarmiyah"/>
        <s v="Bu Yayuk"/>
        <s v="Bu Eva"/>
        <s v="Bu Evi"/>
        <s v="Bu Indrayani"/>
        <s v="Bu Rumiyati"/>
        <s v="Bu Mimin"/>
        <s v="Bu Aminah"/>
        <s v="Bu Angga"/>
        <s v="Pak Sumarman"/>
        <s v="Bu Satini"/>
        <s v="Bu Linda"/>
        <s v="Bu Lilis"/>
        <s v="Bu Yanti"/>
        <s v="Mbak Sari"/>
        <s v="Bu Tunut"/>
        <s v="Bu Ani"/>
        <s v="Bu Halimah"/>
        <s v="Bu Ecin Dwi"/>
        <s v="Bu Sandra"/>
        <s v="Bu Arsudin"/>
        <s v="Bu Sariyanti"/>
        <s v="Bu Admini"/>
        <s v="Bu Lidia"/>
        <s v="Selly"/>
        <s v="Bu Nurlayli"/>
        <s v="Bu Rindra"/>
        <s v="Akhsan"/>
        <s v="Bu Nurjanah"/>
        <s v="Bu Maryani"/>
        <s v="Bu Nita"/>
        <s v="Bu Maesaroh"/>
        <s v="Bu Ida Amanah"/>
        <s v="Bu Yenvitriati"/>
        <s v="Bu Sarti"/>
        <s v="Rafi"/>
        <s v="Bu Febri"/>
        <s v="Bu Siti Mutmainah"/>
        <s v="Bu Hartinah"/>
        <s v="Mama Wahyu"/>
        <s v="Bu Mutia"/>
        <s v="Bu Nining"/>
        <s v="Kas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7">
        <s v="Kardus Baik/Kering"/>
        <s v="Kertas HVS Putih"/>
        <s v="Majalah"/>
        <s v="Buku Tulis &amp; Pelajaran"/>
        <s v="Botol Putih Bersih"/>
        <s v="Emberan"/>
        <s v="Alumunium"/>
        <s v="Tutup Botol"/>
        <s v="Botol &amp; Gelas Putih (Kotor)"/>
        <s v="Asoy"/>
        <s v="Boncos"/>
        <s v="Injek"/>
        <s v="Toples Kue Kristal"/>
        <s v="Gabrukan"/>
        <s v="CD Kristal"/>
        <s v="Kabin"/>
        <s v="Kaleng"/>
        <s v="Impact"/>
        <s v="Botol &amp; Kaca Beling"/>
        <s v="Karung Beras"/>
        <s v="Kipas Angin"/>
        <s v="Multilayer"/>
        <s v="Besi"/>
        <s v="Plastik (PE)"/>
        <s v="Sterofoam"/>
        <s v="Kabel"/>
        <s v="Magic Com Lengkap"/>
        <s v="Ban Bekas"/>
        <s v="Try Telur"/>
        <s v="Gelas Putih Bersih"/>
        <s v="Kabel Internet"/>
        <s v="Koran/LKS"/>
        <s v="Naso"/>
        <s v="Paralon"/>
        <s v="TV Tabung"/>
        <s v="Minyak Jelantah"/>
        <s v="Galon Aqua"/>
      </sharedItems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1" maxValue="17.05"/>
    </cacheField>
    <cacheField name="Total Harga" numFmtId="165">
      <sharedItems containsSemiMixedTypes="0" containsString="0" containsNumber="1" minValue="15" maxValue="4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910.459395601851" createdVersion="8" refreshedVersion="8" minRefreshableVersion="3" recordCount="348" xr:uid="{E96ADDEC-6219-4129-B649-0D44ED333DEA}">
  <cacheSource type="worksheet">
    <worksheetSource ref="A2:G350" sheet="7-9-2025"/>
  </cacheSource>
  <cacheFields count="7">
    <cacheField name="No" numFmtId="0">
      <sharedItems containsString="0" containsBlank="1" containsNumber="1" containsInteger="1" minValue="1" maxValue="54"/>
    </cacheField>
    <cacheField name="Nama" numFmtId="0">
      <sharedItems containsBlank="1" count="56">
        <s v="Bu Hartati"/>
        <s v="Pak Ade K"/>
        <s v="Bu Rina"/>
        <s v="Bu Sandra"/>
        <s v="Bu Fisca"/>
        <s v="Bu Purwani"/>
        <s v="Bu Evi"/>
        <s v="Bu Nurjanah"/>
        <s v="Bu Neni"/>
        <s v="Bu Halimah"/>
        <s v="Bu Larasati"/>
        <s v="Bu Devilie"/>
        <s v="Pak Sumarman"/>
        <s v="Bu Hartinah"/>
        <s v="Dame"/>
        <s v="Bu Wiwin"/>
        <s v="Bu Rina RT 7"/>
        <s v="Bu Sukayah"/>
        <s v="Mba Dian"/>
        <s v="Bu Ecin Dwi"/>
        <s v="Bu Suriya"/>
        <s v="Bu Angga"/>
        <s v="Bu Uum"/>
        <s v="Selly"/>
        <s v="Bu Betria"/>
        <s v="Bu Admini"/>
        <s v="Bu Satini"/>
        <s v="Bu Nurlayli"/>
        <s v="Bu Ani"/>
        <s v="Pak Wawan"/>
        <s v="Bu Riris"/>
        <s v="Bu Suci"/>
        <s v="Bu Yenvitriati"/>
        <s v="Bu Siti Alfiyah"/>
        <s v="Bu Dida"/>
        <s v="Mama Adam"/>
        <s v="Bu Aminah"/>
        <s v="Mama Wahyu"/>
        <s v="Bu Titin"/>
        <s v="Bu Sarti"/>
        <s v="Bu Linda"/>
        <s v="Bu Rindra"/>
        <s v="Pak Suprayitno"/>
        <s v="Bu Irma"/>
        <s v="Bu Lilis"/>
        <s v="Bu Mutia"/>
        <s v="Bu Alim"/>
        <s v="Bu Siti Mutmainah"/>
        <s v="Bu Sri Retno"/>
        <s v="Bu Tunut"/>
        <s v="Bu Yanti"/>
        <s v="Syifa Kamila"/>
        <s v="Kas"/>
        <s v="Karang Taruna"/>
        <s v="Mama Dame" u="1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ntainsBlank="1" count="35">
        <s v="Asoy"/>
        <s v="Botol &amp; Kaca Beling"/>
        <s v="Emberan"/>
        <s v="Tutup Botol"/>
        <s v="Botol Putih Bersih"/>
        <s v="Kaleng"/>
        <s v="Impact"/>
        <s v="Buku Tulis &amp; Pelajaran"/>
        <s v="Kertas HVS Putih"/>
        <s v="Boncos"/>
        <s v="CD Kristal"/>
        <s v="Kardus Baik/Kering"/>
        <s v="Kabin"/>
        <s v="Plastik (PE)"/>
        <s v="Botol &amp; Gelas Putih (Kotor)"/>
        <s v="Try Telur"/>
        <s v="Multilayer"/>
        <s v="Kabel"/>
        <s v="Alumunium"/>
        <s v="Naso"/>
        <s v="Gabrukan"/>
        <s v="Paralon"/>
        <s v="Minyak Jelantah"/>
        <s v="Besi"/>
        <s v="Sterofoam"/>
        <s v="Injek"/>
        <s v="Gelas Putih Bersih"/>
        <s v="Toples Kue Kristal"/>
        <s v="Kabel Internet"/>
        <s v="Aki"/>
        <s v="Koran/LKS"/>
        <s v="Oli Bekas"/>
        <s v="Kipas Angin"/>
        <s v="Tutup Galon"/>
        <m u="1"/>
      </sharedItems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18"/>
    </cacheField>
    <cacheField name="Total Harga" numFmtId="165">
      <sharedItems containsSemiMixedTypes="0" containsString="0" containsNumber="1" minValue="15" maxValue="25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949.418718749999" createdVersion="8" refreshedVersion="8" minRefreshableVersion="3" recordCount="330" xr:uid="{6DA3D8E6-43C3-4B2E-8A2C-C01525A4CF8E}">
  <cacheSource type="worksheet">
    <worksheetSource ref="A2:G332" sheet="23-8-2025"/>
  </cacheSource>
  <cacheFields count="7">
    <cacheField name="No" numFmtId="0">
      <sharedItems containsString="0" containsBlank="1" containsNumber="1" containsInteger="1" minValue="1" maxValue="52"/>
    </cacheField>
    <cacheField name="Nama" numFmtId="0">
      <sharedItems count="56">
        <s v="Bu Mimin"/>
        <s v="Akhsan"/>
        <s v="Bu Sariyanti"/>
        <s v="Bu Purwani"/>
        <s v="Bu Rina"/>
        <s v="Bu Widodo"/>
        <s v="Bu Ecin Dwi"/>
        <s v="Bu Neni"/>
        <s v="Bu Aminah"/>
        <s v="Bu Maryati"/>
        <s v="Bu Martinah"/>
        <s v="Bu Fisca"/>
        <s v="Bu Halimah"/>
        <s v="Bu Sarti"/>
        <s v="Bu Linda"/>
        <s v="Pak Wawan"/>
        <s v="Bu Tunut"/>
        <s v="Bu Titin"/>
        <s v="Bu Hartinah"/>
        <s v="Bu Anwar"/>
        <s v="Bu Sarmiyah"/>
        <s v="Bu Eva"/>
        <s v="Bu Sandra"/>
        <s v="Bu Admini"/>
        <s v="Bu Betria"/>
        <s v="Bu Yenvitriati"/>
        <s v="Bu Lidia"/>
        <s v="Bu Sunarti"/>
        <s v="Mama Wahyu"/>
        <s v="Bu Wiwin"/>
        <s v="Mba Dian"/>
        <s v="Pak Soleh"/>
        <s v="Bu Nurlayli"/>
        <s v="Bu Yayuk"/>
        <s v="Bu Uum"/>
        <s v="Bu Hana"/>
        <s v="Bu Suci"/>
        <s v="Bu Ratu Tuti"/>
        <s v="Mbak Nurhayati"/>
        <s v="Bu Rumiyati"/>
        <s v="Bu Lilis"/>
        <s v="Bu Nurjanah"/>
        <s v="Bu Nining"/>
        <s v="Bu Wulan"/>
        <s v="Bu Maria Miski"/>
        <s v="Karang Taruna"/>
        <s v="Novem"/>
        <s v="Bu Ani"/>
        <s v="Bu Febri"/>
        <s v="Bu Rindra"/>
        <s v="Kas"/>
        <s v="Bu Siti Alfiyah"/>
        <s v="Martinah" u="1"/>
        <s v="Tina" u="1"/>
        <s v="Bu Nurleli" u="1"/>
        <s v="Mba Nurhayati"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7">
        <s v="Besi"/>
        <s v="Kaleng"/>
        <s v="Botol &amp; Gelas Putih (Kotor)"/>
        <s v="Kabin"/>
        <s v="Kabel"/>
        <s v="Naso"/>
        <s v="Botol Putih Bersih"/>
        <s v="Emberan"/>
        <s v="Gelas Putih Bersih"/>
        <s v="Boncos"/>
        <s v="CD Kristal"/>
        <s v="Asoy"/>
        <s v="Multilayer"/>
        <s v="Tutup Botol"/>
        <s v="Kardus Baik/Kering"/>
        <s v="Impact"/>
        <s v="Gabrukan"/>
        <s v="Karung Beras"/>
        <s v="Minyak Jelantah"/>
        <s v="Botol &amp; Kaca Beling"/>
        <s v="Handphone"/>
        <s v="Buku Tulis &amp; Pelajaran"/>
        <s v="Try Telur"/>
        <s v="Magic Com Lengkap"/>
        <s v="Aki"/>
        <s v="Plastik (PE)"/>
        <s v="Sterofoam"/>
        <s v="Paralon"/>
        <s v="Toples Kue Kristal"/>
        <s v="Kertas HVS Putih"/>
        <s v="Alumunium"/>
        <s v="Injek"/>
        <s v="Selang Air"/>
        <s v="Kawat"/>
        <s v="Koran/LKS"/>
        <s v="Kipas Angin"/>
        <s v="TV Tabung"/>
      </sharedItems>
    </cacheField>
    <cacheField name="Harga " numFmtId="165">
      <sharedItems containsString="0" containsBlank="1" containsNumber="1" containsInteger="1" minValue="150" maxValue="13000"/>
    </cacheField>
    <cacheField name="Berat" numFmtId="0">
      <sharedItems containsSemiMixedTypes="0" containsString="0" containsNumber="1" minValue="0.05" maxValue="42.6"/>
    </cacheField>
    <cacheField name="Total Harga" numFmtId="165">
      <sharedItems containsString="0" containsBlank="1" containsNumber="1" minValue="15" maxValue="51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954.345891087964" createdVersion="8" refreshedVersion="8" minRefreshableVersion="3" recordCount="443" xr:uid="{7675277D-0DF9-49E3-AF03-A3753F564D61}">
  <cacheSource type="worksheet">
    <worksheetSource ref="A2:G445" sheet="19-10-25"/>
  </cacheSource>
  <cacheFields count="7">
    <cacheField name="No" numFmtId="0">
      <sharedItems containsString="0" containsBlank="1" containsNumber="1" containsInteger="1" minValue="1" maxValue="66"/>
    </cacheField>
    <cacheField name="Nama" numFmtId="0">
      <sharedItems count="66">
        <s v="Bu Eva"/>
        <s v="Bu Sarmiyah"/>
        <s v="Bu Evi"/>
        <s v="Bu Titin"/>
        <s v="Bu Indrayani"/>
        <s v="Bu Purwani"/>
        <s v="Bu Neni"/>
        <s v="Bu Sandra"/>
        <s v="Bu Mimin"/>
        <s v="Bu Rina"/>
        <s v="Bu Betria"/>
        <s v="Bu Yenvitriati"/>
        <s v="Bu Linda"/>
        <s v="Bu Rumiyati"/>
        <s v="Bu Ratu Tuti"/>
        <s v="Bu Admini"/>
        <s v="Bu Widodo"/>
        <s v="Bu Lidia"/>
        <s v="Mama Demas"/>
        <s v="Bu Ecin Dwi"/>
        <s v="Bu Dida"/>
        <s v="Bu Nurlayli"/>
        <s v="Bu Nita"/>
        <s v="Bu Rustinah"/>
        <s v="Bu Maria Miski"/>
        <s v="Bu Minah"/>
        <s v="Bu Martinah"/>
        <s v="Mbak Nurhayati"/>
        <s v="Bu Yanti"/>
        <s v="Bu Wiwin"/>
        <s v="Mba Dian"/>
        <s v="Akhsan"/>
        <s v="Bu Suriya"/>
        <s v="Pak Wawan"/>
        <s v="Bu Lilis"/>
        <s v="Bela"/>
        <s v="Bu Fisca"/>
        <s v="Mama Wahyu"/>
        <s v="Bu Anwar"/>
        <s v="Mama Adam"/>
        <s v="Bu Kamiem"/>
        <s v="Bu Sarti"/>
        <s v="Bu Siti Alfiyah"/>
        <s v="Bu Hartinah"/>
        <s v="Bu Ida Amanah"/>
        <s v="Selly"/>
        <s v="Bu Lia"/>
        <s v="Pak Sumarman"/>
        <s v="Bu Uum"/>
        <s v="Vena"/>
        <s v="Bu Febri"/>
        <s v="Bu Riris"/>
        <s v="Bu Maryani"/>
        <s v="Bu Sri Retno"/>
        <s v="Bu Irma"/>
        <s v="Nabil"/>
        <s v="Bu Tunut"/>
        <s v="Rafi"/>
        <s v="Bu Ani"/>
        <s v="Sela"/>
        <s v="Bu Halimah"/>
        <s v="Bu Rina RT 7"/>
        <s v="Bu Suci"/>
        <s v="Bu Wuri"/>
        <s v="Kas"/>
        <s v="Karang Taruna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0">
        <s v="Botol Putih Bersih"/>
        <s v="Gabrukan"/>
        <s v="Multilayer"/>
        <s v="Asoy"/>
        <s v="Kardus Baik/Kering"/>
        <s v="Gelas Putih Bersih"/>
        <s v="Emberan"/>
        <s v="Botol &amp; Gelas Putih (Kotor)"/>
        <s v="Naso"/>
        <s v="Kabin"/>
        <s v="Botol &amp; Kaca Beling"/>
        <s v="Boncos"/>
        <s v="Kaleng"/>
        <s v="Besi"/>
        <s v="Kabel Internet"/>
        <s v="CD Kristal"/>
        <s v="Paralon"/>
        <s v="Selang Air"/>
        <s v="Sterofoam"/>
        <s v="Plastik (PE)"/>
        <s v="Minyak Jelantah"/>
        <s v="Buku Tulis &amp; Pelajaran"/>
        <s v="Injek"/>
        <s v="Alumunium"/>
        <s v="Tutup Botol"/>
        <s v="Karung Beras"/>
        <s v="Try Telur"/>
        <s v="Koran/LKS"/>
        <s v="Tutup Galon"/>
        <s v="Ban Bekas"/>
      </sharedItems>
    </cacheField>
    <cacheField name="Harga " numFmtId="165">
      <sharedItems containsSemiMixedTypes="0" containsString="0" containsNumber="1" containsInteger="1" minValue="150" maxValue="8000"/>
    </cacheField>
    <cacheField name="Berat" numFmtId="0">
      <sharedItems containsSemiMixedTypes="0" containsString="0" containsNumber="1" minValue="0.05" maxValue="66.05"/>
    </cacheField>
    <cacheField name="Total Harga" numFmtId="165">
      <sharedItems containsSemiMixedTypes="0" containsString="0" containsNumber="1" minValue="7.5" maxValue="792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962.444319560185" createdVersion="8" refreshedVersion="8" minRefreshableVersion="3" recordCount="227" xr:uid="{66D22314-965D-4BA5-8A61-1FF870ACAE43}">
  <cacheSource type="worksheet">
    <worksheetSource ref="A3:G230" sheet="12-7-2025"/>
  </cacheSource>
  <cacheFields count="7">
    <cacheField name="No" numFmtId="0">
      <sharedItems containsString="0" containsBlank="1" containsNumber="1" containsInteger="1" minValue="1" maxValue="51"/>
    </cacheField>
    <cacheField name="Nama" numFmtId="0">
      <sharedItems containsBlank="1" count="66">
        <s v="Pak Wawan"/>
        <s v="Bu Wiwin"/>
        <s v="Bu Widodo"/>
        <s v="Bu Alim"/>
        <s v="Bu Martinah"/>
        <s v="Bu Febri"/>
        <s v="Bu Admini"/>
        <s v="Selly"/>
        <s v="Bu Eva"/>
        <s v="Bu Sarmiyah"/>
        <s v="Bu Rumiyati"/>
        <s v="Bu Neni"/>
        <s v="Bu Hana"/>
        <s v="Bu Ani"/>
        <s v="Bu Lidia"/>
        <s v="Bu Devilie"/>
        <s v="Mbak Nurhayati"/>
        <s v="Bu Sarti"/>
        <s v="Bu Kamiem"/>
        <s v="Bu Fardani"/>
        <s v="Bu Wuri"/>
        <s v="Akhsan"/>
        <s v="Bu Nurhidayah"/>
        <s v="Bu Sandra"/>
        <s v="Pak Danny"/>
        <s v="Bu Tunut"/>
        <s v="Bu Mala"/>
        <s v="Bu Lena"/>
        <s v="Bu Satini"/>
        <s v="Bu Siti Mutmainah"/>
        <s v="Bu Uum"/>
        <s v="Bu Angga"/>
        <s v="Bu Riris"/>
        <s v="Bu Yanti"/>
        <s v="Bu Lilis"/>
        <s v="Bu Nurhayati"/>
        <s v="Pak Sumarman"/>
        <s v="Bu Linda"/>
        <s v="Rafi"/>
        <s v="Bu Suci"/>
        <s v="Novem"/>
        <s v="Sela"/>
        <s v="Bela"/>
        <s v="Bu Suriya"/>
        <s v="Bu Ida Amanah"/>
        <s v="Bu Nurlayli"/>
        <s v="Bu Sariyanti"/>
        <s v="Bu Siti Alfiyah"/>
        <s v="Bu Sri Retno"/>
        <s v="Dani" u="1"/>
        <s v="Freya" u="1"/>
        <s v="Martinah" u="1"/>
        <s v="Tina" u="1"/>
        <s v="Bu Sarianti" u="1"/>
        <m u="1"/>
        <s v="Bu Helena" u="1"/>
        <s v="Bu Rumi" u="1"/>
        <s v="Pak Marman" u="1"/>
        <s v="Bu Suriyah" u="1"/>
        <s v="Bu Febry" u="1"/>
        <s v="Aji" u="1"/>
        <s v="Febi" u="1"/>
        <s v="Bu Leli" u="1"/>
        <s v="Bu Ida Aminah" u="1"/>
        <s v="Bu Sarmiah" u="1"/>
        <s v="Bu Siti Aftiyah" u="1"/>
      </sharedItems>
    </cacheField>
    <cacheField name="RT" numFmtId="0">
      <sharedItems containsBlank="1" containsMixedTypes="1" containsNumber="1" containsInteger="1" minValue="1" maxValue="5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32.950000000000003"/>
    </cacheField>
    <cacheField name="Total Harga" numFmtId="165">
      <sharedItems containsSemiMixedTypes="0" containsString="0" containsNumber="1" minValue="20" maxValue="7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968.731870370371" createdVersion="8" refreshedVersion="8" minRefreshableVersion="3" recordCount="294" xr:uid="{2E920649-13F2-49D6-A20D-7BEE0E196435}">
  <cacheSource type="worksheet">
    <worksheetSource ref="A2:G296" sheet="1-11-25"/>
  </cacheSource>
  <cacheFields count="7">
    <cacheField name="No" numFmtId="0">
      <sharedItems containsString="0" containsBlank="1" containsNumber="1" containsInteger="1" minValue="1" maxValue="45"/>
    </cacheField>
    <cacheField name="Nama" numFmtId="0">
      <sharedItems count="45">
        <s v="Bu Suci"/>
        <s v="Bu Admini"/>
        <s v="Bu Rina RT 7"/>
        <s v="Bu Lilis"/>
        <s v="Bu Angga"/>
        <s v="Bu Neni"/>
        <s v="Dipo"/>
        <s v="Pak Soleh"/>
        <s v="Bu Yenvitriati"/>
        <s v="Bu Suriya"/>
        <s v="Bu Wiwin"/>
        <s v="Bu Maryati"/>
        <s v="Novem"/>
        <s v="Bu Purwani"/>
        <s v="Bu Satini"/>
        <s v="Bu Sunarti"/>
        <s v="Pak Danny"/>
        <s v="Bu Tunut"/>
        <s v="Bu Sukayah"/>
        <s v="Oma Carrisa"/>
        <s v="Okta"/>
        <s v="Bu Betria"/>
        <s v="Bu Anwar"/>
        <s v="Bu Dida"/>
        <s v="Bu Sandra"/>
        <s v="Mama Demas"/>
        <s v="Bu Rumiyati"/>
        <s v="Bu Lidia"/>
        <s v="Mba Dian"/>
        <s v="Bu Hadiyana"/>
        <s v="Bu Minah"/>
        <s v="Bu Nurlayli"/>
        <s v="Bu Ani"/>
        <s v="Bu Fisca"/>
        <s v="Mama Adam"/>
        <s v="Bu Rindra"/>
        <s v="Bu Mutia"/>
        <s v="Bu Irma"/>
        <s v="Bu Siti Alfiyah"/>
        <s v="Bu Sariyanti"/>
        <s v="Bu Febri"/>
        <s v="Bu Halimah"/>
        <s v="Pak Wawan"/>
        <s v="Bu Maria Miski"/>
        <s v="Bu Ecin Dwi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8000"/>
    </cacheField>
    <cacheField name="Berat" numFmtId="0">
      <sharedItems containsSemiMixedTypes="0" containsString="0" containsNumber="1" minValue="0.05" maxValue="42.6"/>
    </cacheField>
    <cacheField name="Total Harga" numFmtId="165">
      <sharedItems containsSemiMixedTypes="0" containsString="0" containsNumber="1" minValue="15" maxValue="51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5977.431548148146" createdVersion="8" refreshedVersion="8" minRefreshableVersion="3" recordCount="329" xr:uid="{9619E282-7D60-43F9-BD81-11790DEDC0A1}">
  <cacheSource type="worksheet">
    <worksheetSource ref="A2:G331" sheet="21-9-2025"/>
  </cacheSource>
  <cacheFields count="7">
    <cacheField name="No" numFmtId="0">
      <sharedItems containsString="0" containsBlank="1" containsNumber="1" containsInteger="1" minValue="1" maxValue="53"/>
    </cacheField>
    <cacheField name="Nama" numFmtId="0">
      <sharedItems containsBlank="1" count="57">
        <s v="Bu Evi"/>
        <s v="Bu Satini"/>
        <s v="Bu Mimin"/>
        <s v="Bu Fisca"/>
        <s v="Pak Sumarman"/>
        <s v="Bu Sandra"/>
        <s v="Bu Hana"/>
        <s v="Bu Lia"/>
        <s v="Bu Neni"/>
        <s v="Bu Eva"/>
        <s v="Bu Sarmiyah"/>
        <s v="Bu Rumiyati"/>
        <s v="Bu Hartinah"/>
        <s v="Bu Purwani"/>
        <s v="Bu Maryati"/>
        <s v="Bu Anwar"/>
        <s v="Bu Lidia"/>
        <s v="Bu Tunut"/>
        <s v="Mba Dian"/>
        <s v="Bu Ecin Dwi"/>
        <s v="Bu Wiwin"/>
        <s v="Bu Febri"/>
        <s v="Bu Minah"/>
        <s v="Bu Suriya"/>
        <s v="Bu Ani"/>
        <s v="Bu Rustinah"/>
        <s v="Bu Betria"/>
        <s v="Bu Nining"/>
        <s v="Bu Nurjanah"/>
        <s v="Pak Wawan"/>
        <s v="Mbak Nurhayati"/>
        <s v="Bu Martinah"/>
        <s v="Bu Nita"/>
        <s v="Bu Titin"/>
        <s v="Sela"/>
        <s v="Eshan"/>
        <s v="Bu Siti Alfiyah"/>
        <s v="Pak Suprayitno"/>
        <s v="Vena"/>
        <s v="Bu Rina RT 7"/>
        <s v="Bu Riris"/>
        <s v="Bu Sarti"/>
        <s v="Bu Ida Amanah"/>
        <s v="Bu Tetty Hamdi"/>
        <s v="Bu Lilis"/>
        <s v="Bu Lia RT 2"/>
        <s v="Bu Irma"/>
        <s v="Bu Siti Mutmainah"/>
        <s v="Bu Sariyanti"/>
        <s v="Mama Adam"/>
        <s v="Bu Hadiyana"/>
        <s v="Bu Halimah"/>
        <s v="Kas"/>
        <s v="Mama Najwa" u="1"/>
        <s v="Ehsan" u="1"/>
        <s v="Tina" u="1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35">
        <s v="Kabin"/>
        <s v="Kaleng"/>
        <s v="Botol &amp; Kaca Beling"/>
        <s v="Kardus Baik/Kering"/>
        <s v="Asoy"/>
        <s v="Emberan"/>
        <s v="Gabrukan"/>
        <s v="Multilayer"/>
        <s v="Botol Putih Bersih"/>
        <s v="Boncos"/>
        <s v="Impact"/>
        <s v="Koran/LKS"/>
        <s v="Sterofoam"/>
        <s v="Plastik (PE)"/>
        <s v="Gelas Putih Bersih"/>
        <s v="Alumunium"/>
        <s v="Buku Tulis &amp; Pelajaran"/>
        <s v="Tutup Botol"/>
        <s v="Botol &amp; Gelas Putih (Kotor)"/>
        <s v="Besi"/>
        <s v="Injek"/>
        <s v="Naso"/>
        <s v="Tutup Galon"/>
        <s v="Selang Air"/>
        <s v="Paralon"/>
        <s v="Kabel"/>
        <s v="Minyak Jelantah"/>
        <s v="Kertas HVS Putih"/>
        <s v="Karung Beras"/>
        <s v="Kipas Angin"/>
        <s v="Seng"/>
        <s v="CD Kristal"/>
        <s v="Kulkas 2 Pintu"/>
        <s v="Galon Aqua"/>
        <s v="TV LED"/>
      </sharedItems>
    </cacheField>
    <cacheField name="Harga " numFmtId="165">
      <sharedItems containsSemiMixedTypes="0" containsString="0" containsNumber="1" containsInteger="1" minValue="150" maxValue="50000"/>
    </cacheField>
    <cacheField name="Berat" numFmtId="0">
      <sharedItems containsSemiMixedTypes="0" containsString="0" containsNumber="1" minValue="0.1" maxValue="170.60000000000002"/>
    </cacheField>
    <cacheField name="Total Harga" numFmtId="165">
      <sharedItems containsSemiMixedTypes="0" containsString="0" containsNumber="1" minValue="15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004.566107870371" createdVersion="8" refreshedVersion="8" minRefreshableVersion="3" recordCount="366" xr:uid="{32F1E398-D8BC-45C9-94B9-4CE549A071DC}">
  <cacheSource type="worksheet">
    <worksheetSource ref="A2:G368" sheet="13-12-25"/>
  </cacheSource>
  <cacheFields count="7">
    <cacheField name="No" numFmtId="0">
      <sharedItems containsString="0" containsBlank="1" containsNumber="1" containsInteger="1" minValue="1" maxValue="61"/>
    </cacheField>
    <cacheField name="Nama" numFmtId="0">
      <sharedItems count="64">
        <s v="Bu Widodo"/>
        <s v="Bu Suci"/>
        <s v="Bu Mimin"/>
        <s v="Bu Ecin Dwi"/>
        <s v="Bu Ani RT 7"/>
        <s v="Bu Purwani"/>
        <s v="Mba Dian"/>
        <s v="Bu Satini"/>
        <s v="Pak Sumarman"/>
        <s v="Bu Wuri"/>
        <s v="Bu Angga"/>
        <s v="Bu Rina"/>
        <s v="Bu Febri"/>
        <s v="Bu Nurjanah"/>
        <s v="Bu Kamiem"/>
        <s v="Eshan"/>
        <s v="Bu Titin"/>
        <s v="Bu Ratu Tuti"/>
        <s v="Bu Riris"/>
        <s v="Bu Suriya"/>
        <s v="Dipo"/>
        <s v="Bu Sarti"/>
        <s v="Dame"/>
        <s v="Bu Ani"/>
        <s v="Bu Eva"/>
        <s v="Bu Hana"/>
        <s v="Bu Tetty Hamdi"/>
        <s v="Bu Halimah"/>
        <s v="Bu Anwar"/>
        <s v="Pak Wawan"/>
        <s v="Mbak Nurhayati"/>
        <s v="Bu Rumiyati"/>
        <s v="Bu Sandra"/>
        <s v="Bu Tunut"/>
        <s v="Pak Suprayitno"/>
        <s v="Syifa Kamila"/>
        <s v="Bu Sukayah"/>
        <s v="Bu Rina RT 7"/>
        <s v="Bu Termin"/>
        <s v="Bu Admini"/>
        <s v="Bu Betria"/>
        <s v="Bu Minah"/>
        <s v="Bu Wulan"/>
        <s v="Mama Wahyu"/>
        <s v="Bu Mutia"/>
        <s v="Bu Wiwin"/>
        <s v="Bu Ida Amanah"/>
        <s v="Mama Adam"/>
        <s v="Bu Siti Alfiyah"/>
        <s v="Bu Nurlayli"/>
        <s v="Bu Hadiyana"/>
        <s v="Bu Yenvitriati"/>
        <s v="Novem"/>
        <s v="Bela"/>
        <s v="Bu Sri Retno"/>
        <s v="Akhsan"/>
        <s v="Mas Angga"/>
        <s v="Nabil"/>
        <s v="Bu Irma"/>
        <s v="Bu Lilis"/>
        <s v="Selly"/>
        <s v="Bu Rina RT 8" u="1"/>
        <s v="Bu Rina RT 9" u="1"/>
        <s v="Bu Rina RT 10"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13000"/>
    </cacheField>
    <cacheField name="Berat" numFmtId="0">
      <sharedItems containsSemiMixedTypes="0" containsString="0" containsNumber="1" minValue="0.05" maxValue="27"/>
    </cacheField>
    <cacheField name="Total Harga" numFmtId="165">
      <sharedItems containsSemiMixedTypes="0" containsString="0" containsNumber="1" minValue="15" maxValue="3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053.434552430554" createdVersion="8" refreshedVersion="8" minRefreshableVersion="3" recordCount="263" xr:uid="{3B89D338-3D7F-4E97-A0E1-6868DDF19CAA}">
  <cacheSource type="worksheet">
    <worksheetSource ref="A2:G265" sheet="15-11-25"/>
  </cacheSource>
  <cacheFields count="7">
    <cacheField name="No" numFmtId="0">
      <sharedItems containsString="0" containsBlank="1" containsNumber="1" containsInteger="1" minValue="1" maxValue="43"/>
    </cacheField>
    <cacheField name="Nama" numFmtId="0">
      <sharedItems containsBlank="1" count="46">
        <s v="Bu Suci"/>
        <s v="Bu Lilis"/>
        <s v="Bu Suhermiati"/>
        <s v="Bu Susi"/>
        <s v="Bu Eva"/>
        <s v="Bu Termin"/>
        <s v="Bu Sarmiyah"/>
        <s v="Pak Sumarman"/>
        <s v="Pak Giri"/>
        <s v="Bu Purwani"/>
        <s v="Mama Adam"/>
        <s v="Bu Ecin Dwi"/>
        <s v="Bu Sunarti"/>
        <s v="Bu Betria"/>
        <s v="Bu Nita"/>
        <s v="Oma Carrisa"/>
        <s v="Bu Rina"/>
        <s v="Mbak Nurhayati"/>
        <s v="Bu Fisca"/>
        <s v="Bu Hadiyana"/>
        <s v="Bu Lidia"/>
        <s v="Bu Titin"/>
        <s v="Mba Dian"/>
        <s v="Bu Sandra"/>
        <s v="Mama Wahyu"/>
        <s v="Bu Minah"/>
        <s v="Bu Sariyanti"/>
        <s v="Dipo"/>
        <s v="Bu Ida Amanah"/>
        <s v="Sela"/>
        <s v="Bu Wiwin"/>
        <s v="Bu Nurjanah"/>
        <s v="Bu Ani"/>
        <s v="Bu Tunut"/>
        <s v="Bu Sukayah"/>
        <s v="Bu Hartinah"/>
        <s v="Bu Riris"/>
        <s v="Bu Kamiem"/>
        <s v="Bu Sarti"/>
        <s v="Selly"/>
        <s v="Bu Irma"/>
        <s v="Kas"/>
        <s v="Bu Yanti"/>
        <s v="Bu Halimah"/>
        <s v="Bu Suher" u="1"/>
        <m u="1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unt="28">
        <s v="Kardus Baik/Kering"/>
        <s v="Asoy"/>
        <s v="Gabrukan"/>
        <s v="Boncos"/>
        <s v="Emberan"/>
        <s v="Toples Kue Kristal"/>
        <s v="Injek"/>
        <s v="Kaleng"/>
        <s v="Buku Tulis &amp; Pelajaran"/>
        <s v="Kabin"/>
        <s v="Kipas Angin"/>
        <s v="Tembaga"/>
        <s v="Kertas HVS Putih"/>
        <s v="Botol Putih Bersih"/>
        <s v="Tutup Botol"/>
        <s v="Botol &amp; Kaca Beling"/>
        <s v="Naso"/>
        <s v="Botol &amp; Gelas Putih (Kotor)"/>
        <s v="Koran/LKS"/>
        <s v="Minyak Jelantah"/>
        <s v="Besi"/>
        <s v="Gelas Putih Bersih"/>
        <s v="Tutup Galon"/>
        <s v="Alumunium"/>
        <s v="Impact"/>
        <s v="Seng"/>
        <s v="Aki"/>
        <s v="Karung Beras"/>
      </sharedItems>
    </cacheField>
    <cacheField name="Harga " numFmtId="165">
      <sharedItems containsSemiMixedTypes="0" containsString="0" containsNumber="1" containsInteger="1" minValue="150" maxValue="50000"/>
    </cacheField>
    <cacheField name="Berat" numFmtId="0">
      <sharedItems containsSemiMixedTypes="0" containsString="0" containsNumber="1" minValue="0.05" maxValue="24.49"/>
    </cacheField>
    <cacheField name="Total Harga" numFmtId="165">
      <sharedItems containsSemiMixedTypes="0" containsString="0" containsNumber="1" minValue="20" maxValue="45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053.54094097222" createdVersion="8" refreshedVersion="8" minRefreshableVersion="3" recordCount="287" xr:uid="{6D4E6376-175B-4951-91C6-113606B84E18}">
  <cacheSource type="worksheet">
    <worksheetSource ref="A2:G289" sheet="3-1-26"/>
  </cacheSource>
  <cacheFields count="7">
    <cacheField name="No" numFmtId="0">
      <sharedItems containsString="0" containsBlank="1" containsNumber="1" containsInteger="1" minValue="1" maxValue="45"/>
    </cacheField>
    <cacheField name="Nama" numFmtId="0">
      <sharedItems count="46">
        <s v="Bu Suci"/>
        <s v="Bu Sariyanti"/>
        <s v="Bu Ecin Dwi"/>
        <s v="Bu Wuri"/>
        <s v="Mba Dian"/>
        <s v="Bu Neni"/>
        <s v="Bu Purwani"/>
        <s v="Pak Danny"/>
        <s v="Bu Linda"/>
        <s v="Bu Lilis"/>
        <s v="Bu Dida"/>
        <s v="Bu Sukayah"/>
        <s v="Bu Rina"/>
        <s v="Bu Sunarti"/>
        <s v="Bu Tunut"/>
        <s v="Pak Soleh"/>
        <s v="Bu Nita"/>
        <s v="Bu Wiwin"/>
        <s v="Bu Termin"/>
        <s v="Bu Siti Alfiyah"/>
        <s v="Mama Adam"/>
        <s v="Mbak Nurhayati"/>
        <s v="Mama Demas"/>
        <s v="Bu Sandra"/>
        <s v="Selly"/>
        <s v="Bu Ida Amanah"/>
        <s v="Pak Sumarman"/>
        <s v="Bu Maryani"/>
        <s v="Mama Wahyu"/>
        <s v="Bu Angga"/>
        <s v="Bu Ani"/>
        <s v="Sahabat Qur'an"/>
        <s v="Bu Nurlayli"/>
        <s v="Bu Nurjanah"/>
        <s v="Bu Titin"/>
        <s v="Bu Minah"/>
        <s v="Bu Irma"/>
        <s v="Pak Wawan"/>
        <s v="Bu Sarti"/>
        <s v="Pak Suprayitno"/>
        <s v="Novem"/>
        <s v="Bu Suriya"/>
        <s v="Bu Fisca"/>
        <s v="Bu Maria Miski"/>
        <s v="Dipo"/>
        <s v="Bu Siti" u="1"/>
      </sharedItems>
    </cacheField>
    <cacheField name="RT" numFmtId="0">
      <sharedItems containsBlank="1" containsMixedTypes="1" containsNumber="1" containsInteger="1" minValue="1" maxValue="6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10000"/>
    </cacheField>
    <cacheField name="Berat" numFmtId="0">
      <sharedItems containsSemiMixedTypes="0" containsString="0" containsNumber="1" minValue="0" maxValue="80.900000000000006"/>
    </cacheField>
    <cacheField name="Total Harga" numFmtId="165">
      <sharedItems containsSemiMixedTypes="0" containsString="0" containsNumber="1" minValue="0" maxValue="202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053.545938194446" createdVersion="8" refreshedVersion="8" minRefreshableVersion="3" recordCount="330" xr:uid="{B1C015F6-DE2B-41BB-A029-F75624D7542E}">
  <cacheSource type="worksheet">
    <worksheetSource ref="A2:G332" sheet="31-1-26"/>
  </cacheSource>
  <cacheFields count="7">
    <cacheField name="No" numFmtId="0">
      <sharedItems containsString="0" containsBlank="1" containsNumber="1" containsInteger="1" minValue="1" maxValue="48"/>
    </cacheField>
    <cacheField name="Nama" numFmtId="0">
      <sharedItems containsBlank="1" count="48">
        <s v="Pak Sumarman"/>
        <s v="Dame"/>
        <s v="Bu Neni"/>
        <s v="Mba Dian"/>
        <s v="Bu Widodo"/>
        <s v="Bu Suci"/>
        <s v="Bu Kamiem"/>
        <s v="Bu Purwani"/>
        <s v="Bu Satini"/>
        <m/>
        <s v="Sela"/>
        <s v="Bu Sunarti"/>
        <s v="Bu Ratu Tuti"/>
        <s v="Bu Termin"/>
        <s v="Bu Angga"/>
        <s v="Bu Sarmiyah"/>
        <s v="Bu Sri Retno"/>
        <s v="Bu Tunut"/>
        <s v="Bu Sri Rukiyati"/>
        <s v="Pak Wawan"/>
        <s v="Bu Sarti"/>
        <s v="Bu Rumiyati"/>
        <s v="Bu Sandra"/>
        <s v="Mama Wahyu"/>
        <s v="Bu Wiwin"/>
        <s v="Bu Suhermiati"/>
        <s v="Bu Betria"/>
        <s v="Bu Yenvitriati"/>
        <s v="Mbak Nurhayati"/>
        <s v="Bu Yanti Bela"/>
        <s v="Bu Minah"/>
        <s v="Bu Sariyanti"/>
        <s v="Bu Nining"/>
        <s v="Bu Ani"/>
        <s v="Bu Hadiyana"/>
        <s v="Bu Ida Amanah"/>
        <s v="Dipo"/>
        <s v="Bu Fisca"/>
        <s v="Bu Lilis"/>
        <s v="Bu Riris"/>
        <s v="Bu Suriya"/>
        <s v="Bu Febri"/>
        <s v="Bu Irma"/>
        <s v="Bu Nurlayli"/>
        <s v="Bu Wuri"/>
        <s v="Selly"/>
        <s v="Mama Adam"/>
        <s v="Bu Halimah"/>
      </sharedItems>
    </cacheField>
    <cacheField name="RT" numFmtId="0">
      <sharedItems containsBlank="1" containsMixedTypes="1" containsNumber="1" containsInteger="1" minValue="1" maxValue="7"/>
    </cacheField>
    <cacheField name="Jenis Sampah" numFmtId="0">
      <sharedItems containsBlank="1"/>
    </cacheField>
    <cacheField name="Harga " numFmtId="165">
      <sharedItems containsString="0" containsBlank="1" containsNumber="1" containsInteger="1" minValue="150" maxValue="13000"/>
    </cacheField>
    <cacheField name="Berat" numFmtId="0">
      <sharedItems containsString="0" containsBlank="1" containsNumber="1" minValue="0.01" maxValue="47.45"/>
    </cacheField>
    <cacheField name="Total Harga" numFmtId="165">
      <sharedItems containsString="0" containsBlank="1" containsNumber="1" minValue="4" maxValue="360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cial media" refreshedDate="46070.413397453704" createdVersion="8" refreshedVersion="8" minRefreshableVersion="3" recordCount="269" xr:uid="{1A2F3DB9-48F6-4622-A563-5D7A870C268E}">
  <cacheSource type="worksheet">
    <worksheetSource ref="A2:G271" sheet="15-02-26"/>
  </cacheSource>
  <cacheFields count="7">
    <cacheField name="No" numFmtId="0">
      <sharedItems containsString="0" containsBlank="1" containsNumber="1" containsInteger="1" minValue="1" maxValue="38"/>
    </cacheField>
    <cacheField name="Nama" numFmtId="0">
      <sharedItems count="38">
        <s v="Bu Angga"/>
        <s v="Bu Suci"/>
        <s v="Bu Neni"/>
        <s v="Bu Ecin Dwi"/>
        <s v="Bu Purwani"/>
        <s v="Pak Soleh"/>
        <s v="Bu Widodo"/>
        <s v="Bu Lilis"/>
        <s v="Bu Nita"/>
        <s v="Bu Rina"/>
        <s v="Bu Tunut"/>
        <s v="Bu Admini"/>
        <s v="Bu Yenvitriati"/>
        <s v="Bu Betria"/>
        <s v="Oma Carrisa"/>
        <s v="Sahabat Qur'an"/>
        <s v="Bu Uum"/>
        <s v="Mbak Nurhayati"/>
        <s v="Bu Suriya"/>
        <s v="Bu Minah"/>
        <s v="Mama Adam"/>
        <s v="Bu Riris"/>
        <s v="Bu Anwar"/>
        <s v="Bu Yanti Bela"/>
        <s v="Bu Ani"/>
        <s v="Bu Sarti"/>
        <s v="Bu Wiwin"/>
        <s v="Bu Nining"/>
        <s v="Mama Wahyu"/>
        <s v="Bu Febri"/>
        <s v="Dipo"/>
        <s v="Bu Nurlayli"/>
        <s v="Bu Irma"/>
        <s v="Bu Ida Amanah"/>
        <s v="Bu Hadiyana"/>
        <s v="Pak Wawan"/>
        <s v="Bu Wuri"/>
        <s v="Bu Sariyanti"/>
      </sharedItems>
    </cacheField>
    <cacheField name="RT" numFmtId="0">
      <sharedItems containsBlank="1" containsMixedTypes="1" containsNumber="1" containsInteger="1" minValue="1" maxValue="6"/>
    </cacheField>
    <cacheField name="Jenis Sampah" numFmtId="0">
      <sharedItems/>
    </cacheField>
    <cacheField name="Harga " numFmtId="165">
      <sharedItems containsSemiMixedTypes="0" containsString="0" containsNumber="1" containsInteger="1" minValue="150" maxValue="8000"/>
    </cacheField>
    <cacheField name="Berat" numFmtId="0">
      <sharedItems containsSemiMixedTypes="0" containsString="0" containsNumber="1" minValue="0.05" maxValue="17.150000000000002"/>
    </cacheField>
    <cacheField name="Total Harga" numFmtId="165">
      <sharedItems containsSemiMixedTypes="0" containsString="0" containsNumber="1" minValue="7.5" maxValue="36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">
  <r>
    <n v="1"/>
    <x v="0"/>
    <n v="4"/>
    <x v="0"/>
    <n v="1000"/>
    <n v="2.0499999999999998"/>
    <n v="2050"/>
  </r>
  <r>
    <m/>
    <x v="0"/>
    <m/>
    <x v="1"/>
    <n v="2700"/>
    <n v="0.2"/>
    <n v="540"/>
  </r>
  <r>
    <m/>
    <x v="0"/>
    <m/>
    <x v="2"/>
    <n v="1400"/>
    <n v="0.75"/>
    <n v="1050"/>
  </r>
  <r>
    <m/>
    <x v="0"/>
    <m/>
    <x v="3"/>
    <n v="200"/>
    <n v="0.3"/>
    <n v="60"/>
  </r>
  <r>
    <m/>
    <x v="0"/>
    <m/>
    <x v="4"/>
    <n v="1500"/>
    <n v="0.2"/>
    <n v="300"/>
  </r>
  <r>
    <m/>
    <x v="0"/>
    <m/>
    <x v="5"/>
    <n v="300"/>
    <n v="0.3"/>
    <n v="90"/>
  </r>
  <r>
    <m/>
    <x v="0"/>
    <m/>
    <x v="6"/>
    <n v="150"/>
    <n v="0.3"/>
    <n v="45"/>
  </r>
  <r>
    <m/>
    <x v="0"/>
    <m/>
    <x v="7"/>
    <n v="2800"/>
    <n v="0.35"/>
    <n v="979.99999999999989"/>
  </r>
  <r>
    <m/>
    <x v="0"/>
    <m/>
    <x v="8"/>
    <n v="300"/>
    <n v="1.35"/>
    <n v="405"/>
  </r>
  <r>
    <m/>
    <x v="0"/>
    <m/>
    <x v="9"/>
    <n v="2500"/>
    <n v="0.15"/>
    <n v="375"/>
  </r>
  <r>
    <m/>
    <x v="0"/>
    <m/>
    <x v="10"/>
    <n v="4000"/>
    <n v="0.9"/>
    <n v="3600"/>
  </r>
  <r>
    <n v="2"/>
    <x v="1"/>
    <n v="2"/>
    <x v="5"/>
    <n v="300"/>
    <n v="3.2"/>
    <n v="960"/>
  </r>
  <r>
    <m/>
    <x v="1"/>
    <m/>
    <x v="11"/>
    <n v="400"/>
    <n v="1.8"/>
    <n v="720"/>
  </r>
  <r>
    <m/>
    <x v="1"/>
    <m/>
    <x v="3"/>
    <n v="200"/>
    <n v="0.9"/>
    <n v="180"/>
  </r>
  <r>
    <m/>
    <x v="1"/>
    <m/>
    <x v="12"/>
    <n v="1000"/>
    <n v="0.2"/>
    <n v="200"/>
  </r>
  <r>
    <m/>
    <x v="1"/>
    <m/>
    <x v="0"/>
    <n v="1000"/>
    <n v="3.3"/>
    <n v="3300"/>
  </r>
  <r>
    <n v="3"/>
    <x v="2"/>
    <n v="3"/>
    <x v="0"/>
    <n v="1000"/>
    <n v="2.4"/>
    <n v="2400"/>
  </r>
  <r>
    <m/>
    <x v="2"/>
    <m/>
    <x v="8"/>
    <n v="300"/>
    <n v="1.1000000000000001"/>
    <n v="330"/>
  </r>
  <r>
    <m/>
    <x v="2"/>
    <m/>
    <x v="6"/>
    <n v="150"/>
    <n v="0.2"/>
    <n v="30"/>
  </r>
  <r>
    <m/>
    <x v="2"/>
    <m/>
    <x v="13"/>
    <n v="2000"/>
    <n v="0.1"/>
    <n v="200"/>
  </r>
  <r>
    <m/>
    <x v="2"/>
    <m/>
    <x v="12"/>
    <n v="1000"/>
    <n v="0.45"/>
    <n v="450"/>
  </r>
  <r>
    <m/>
    <x v="2"/>
    <m/>
    <x v="7"/>
    <n v="2800"/>
    <n v="0.55000000000000004"/>
    <n v="1540.0000000000002"/>
  </r>
  <r>
    <m/>
    <x v="2"/>
    <m/>
    <x v="3"/>
    <n v="200"/>
    <n v="3.05"/>
    <n v="610"/>
  </r>
  <r>
    <m/>
    <x v="2"/>
    <m/>
    <x v="5"/>
    <n v="300"/>
    <n v="0.2"/>
    <n v="60"/>
  </r>
  <r>
    <m/>
    <x v="2"/>
    <m/>
    <x v="14"/>
    <n v="150"/>
    <n v="1.35"/>
    <n v="202.5"/>
  </r>
  <r>
    <m/>
    <x v="2"/>
    <m/>
    <x v="15"/>
    <n v="1600"/>
    <n v="0.35"/>
    <n v="560"/>
  </r>
  <r>
    <m/>
    <x v="2"/>
    <m/>
    <x v="1"/>
    <n v="2700"/>
    <n v="0.05"/>
    <n v="135"/>
  </r>
  <r>
    <m/>
    <x v="2"/>
    <m/>
    <x v="2"/>
    <n v="1400"/>
    <n v="1.05"/>
    <n v="1470"/>
  </r>
  <r>
    <m/>
    <x v="2"/>
    <m/>
    <x v="4"/>
    <n v="1500"/>
    <n v="0.35"/>
    <n v="525"/>
  </r>
  <r>
    <n v="4"/>
    <x v="3"/>
    <n v="4"/>
    <x v="16"/>
    <n v="1600"/>
    <n v="1.1499999999999999"/>
    <n v="1839.9999999999998"/>
  </r>
  <r>
    <m/>
    <x v="3"/>
    <m/>
    <x v="12"/>
    <n v="1000"/>
    <n v="2.6"/>
    <n v="2600"/>
  </r>
  <r>
    <m/>
    <x v="3"/>
    <m/>
    <x v="14"/>
    <n v="150"/>
    <n v="0.2"/>
    <n v="30"/>
  </r>
  <r>
    <n v="5"/>
    <x v="4"/>
    <n v="4"/>
    <x v="0"/>
    <n v="1000"/>
    <n v="4.5999999999999996"/>
    <n v="4600"/>
  </r>
  <r>
    <m/>
    <x v="4"/>
    <m/>
    <x v="17"/>
    <n v="150"/>
    <n v="0.5"/>
    <n v="75"/>
  </r>
  <r>
    <m/>
    <x v="4"/>
    <m/>
    <x v="1"/>
    <n v="2700"/>
    <n v="0.2"/>
    <n v="540"/>
  </r>
  <r>
    <m/>
    <x v="4"/>
    <m/>
    <x v="7"/>
    <n v="2800"/>
    <n v="0.55000000000000004"/>
    <n v="1540.0000000000002"/>
  </r>
  <r>
    <m/>
    <x v="4"/>
    <m/>
    <x v="13"/>
    <n v="2000"/>
    <n v="0.2"/>
    <n v="400"/>
  </r>
  <r>
    <m/>
    <x v="4"/>
    <m/>
    <x v="12"/>
    <n v="1000"/>
    <n v="2.1"/>
    <n v="2100"/>
  </r>
  <r>
    <m/>
    <x v="4"/>
    <m/>
    <x v="14"/>
    <n v="150"/>
    <n v="0.35"/>
    <n v="52.5"/>
  </r>
  <r>
    <m/>
    <x v="4"/>
    <m/>
    <x v="4"/>
    <n v="1500"/>
    <n v="0.75"/>
    <n v="1125"/>
  </r>
  <r>
    <m/>
    <x v="4"/>
    <m/>
    <x v="18"/>
    <n v="1800"/>
    <n v="0.8"/>
    <n v="1440"/>
  </r>
  <r>
    <n v="6"/>
    <x v="5"/>
    <n v="4"/>
    <x v="1"/>
    <n v="2700"/>
    <n v="0.65"/>
    <n v="1755"/>
  </r>
  <r>
    <m/>
    <x v="5"/>
    <m/>
    <x v="4"/>
    <n v="1500"/>
    <n v="0.65"/>
    <n v="975"/>
  </r>
  <r>
    <m/>
    <x v="5"/>
    <m/>
    <x v="2"/>
    <n v="1400"/>
    <n v="2.35"/>
    <n v="3290"/>
  </r>
  <r>
    <m/>
    <x v="5"/>
    <m/>
    <x v="15"/>
    <n v="1600"/>
    <n v="1.25"/>
    <n v="2000"/>
  </r>
  <r>
    <m/>
    <x v="5"/>
    <m/>
    <x v="16"/>
    <n v="1600"/>
    <n v="2.2999999999999998"/>
    <n v="3679.9999999999995"/>
  </r>
  <r>
    <m/>
    <x v="5"/>
    <m/>
    <x v="12"/>
    <n v="1000"/>
    <n v="2.9"/>
    <n v="2900"/>
  </r>
  <r>
    <m/>
    <x v="5"/>
    <m/>
    <x v="19"/>
    <n v="600"/>
    <n v="1.65"/>
    <n v="990"/>
  </r>
  <r>
    <m/>
    <x v="5"/>
    <m/>
    <x v="13"/>
    <n v="2000"/>
    <n v="0.2"/>
    <n v="400"/>
  </r>
  <r>
    <m/>
    <x v="5"/>
    <m/>
    <x v="18"/>
    <n v="1800"/>
    <n v="0.9"/>
    <n v="1620"/>
  </r>
  <r>
    <m/>
    <x v="5"/>
    <m/>
    <x v="9"/>
    <n v="2500"/>
    <n v="0.8"/>
    <n v="2000"/>
  </r>
  <r>
    <n v="7"/>
    <x v="6"/>
    <n v="4"/>
    <x v="3"/>
    <n v="200"/>
    <n v="6.75"/>
    <n v="1350"/>
  </r>
  <r>
    <m/>
    <x v="6"/>
    <m/>
    <x v="15"/>
    <n v="1600"/>
    <n v="2.4"/>
    <n v="3840"/>
  </r>
  <r>
    <m/>
    <x v="6"/>
    <m/>
    <x v="5"/>
    <n v="300"/>
    <n v="0.4"/>
    <n v="120"/>
  </r>
  <r>
    <m/>
    <x v="6"/>
    <m/>
    <x v="11"/>
    <n v="400"/>
    <n v="1.1499999999999999"/>
    <n v="459.99999999999994"/>
  </r>
  <r>
    <m/>
    <x v="6"/>
    <m/>
    <x v="2"/>
    <n v="1400"/>
    <n v="1.35"/>
    <n v="1890.0000000000002"/>
  </r>
  <r>
    <m/>
    <x v="6"/>
    <m/>
    <x v="9"/>
    <n v="2500"/>
    <n v="0.5"/>
    <n v="1250"/>
  </r>
  <r>
    <n v="8"/>
    <x v="7"/>
    <n v="4"/>
    <x v="12"/>
    <n v="1000"/>
    <n v="1.35"/>
    <n v="1350"/>
  </r>
  <r>
    <n v="9"/>
    <x v="8"/>
    <n v="4"/>
    <x v="5"/>
    <n v="300"/>
    <n v="0.25"/>
    <n v="75"/>
  </r>
  <r>
    <m/>
    <x v="8"/>
    <m/>
    <x v="3"/>
    <n v="200"/>
    <n v="2"/>
    <n v="400"/>
  </r>
  <r>
    <m/>
    <x v="8"/>
    <m/>
    <x v="20"/>
    <n v="1200"/>
    <n v="14.4"/>
    <n v="17280"/>
  </r>
  <r>
    <m/>
    <x v="8"/>
    <m/>
    <x v="2"/>
    <n v="1400"/>
    <n v="4.05"/>
    <n v="5670"/>
  </r>
  <r>
    <m/>
    <x v="8"/>
    <m/>
    <x v="18"/>
    <n v="1800"/>
    <n v="2.5499999999999998"/>
    <n v="4590"/>
  </r>
  <r>
    <m/>
    <x v="8"/>
    <m/>
    <x v="16"/>
    <n v="1600"/>
    <n v="0.45"/>
    <n v="720"/>
  </r>
  <r>
    <m/>
    <x v="8"/>
    <m/>
    <x v="15"/>
    <n v="1600"/>
    <n v="1.25"/>
    <n v="2000"/>
  </r>
  <r>
    <m/>
    <x v="8"/>
    <m/>
    <x v="12"/>
    <n v="1000"/>
    <n v="1.8"/>
    <n v="1800"/>
  </r>
  <r>
    <m/>
    <x v="8"/>
    <m/>
    <x v="21"/>
    <n v="400"/>
    <n v="2.25"/>
    <n v="900"/>
  </r>
  <r>
    <n v="10"/>
    <x v="9"/>
    <n v="4"/>
    <x v="12"/>
    <n v="1000"/>
    <n v="2.0499999999999998"/>
    <n v="2050"/>
  </r>
  <r>
    <m/>
    <x v="9"/>
    <m/>
    <x v="0"/>
    <n v="1000"/>
    <n v="1.75"/>
    <n v="1750"/>
  </r>
  <r>
    <n v="11"/>
    <x v="10"/>
    <n v="4"/>
    <x v="12"/>
    <n v="1000"/>
    <n v="7.85"/>
    <n v="7850"/>
  </r>
  <r>
    <m/>
    <x v="10"/>
    <m/>
    <x v="18"/>
    <n v="1800"/>
    <n v="0.75"/>
    <n v="1350"/>
  </r>
  <r>
    <m/>
    <x v="10"/>
    <m/>
    <x v="2"/>
    <n v="1400"/>
    <n v="0.8"/>
    <n v="1120"/>
  </r>
  <r>
    <n v="12"/>
    <x v="11"/>
    <n v="1"/>
    <x v="11"/>
    <n v="400"/>
    <n v="1.45"/>
    <n v="580"/>
  </r>
  <r>
    <m/>
    <x v="11"/>
    <m/>
    <x v="12"/>
    <n v="1000"/>
    <n v="0.4"/>
    <n v="400"/>
  </r>
  <r>
    <n v="13"/>
    <x v="12"/>
    <n v="1"/>
    <x v="2"/>
    <n v="1400"/>
    <n v="10.69"/>
    <n v="14966"/>
  </r>
  <r>
    <m/>
    <x v="12"/>
    <m/>
    <x v="19"/>
    <n v="600"/>
    <n v="3.05"/>
    <n v="1830"/>
  </r>
  <r>
    <m/>
    <x v="12"/>
    <m/>
    <x v="8"/>
    <n v="300"/>
    <n v="0.4"/>
    <n v="120"/>
  </r>
  <r>
    <m/>
    <x v="12"/>
    <m/>
    <x v="12"/>
    <n v="1000"/>
    <n v="0.55000000000000004"/>
    <n v="550"/>
  </r>
  <r>
    <m/>
    <x v="12"/>
    <m/>
    <x v="14"/>
    <n v="150"/>
    <n v="1.35"/>
    <n v="202.5"/>
  </r>
  <r>
    <m/>
    <x v="12"/>
    <m/>
    <x v="4"/>
    <n v="1500"/>
    <n v="1.2"/>
    <n v="1800"/>
  </r>
  <r>
    <m/>
    <x v="12"/>
    <m/>
    <x v="22"/>
    <n v="1400"/>
    <n v="2.9"/>
    <n v="4060"/>
  </r>
  <r>
    <m/>
    <x v="12"/>
    <m/>
    <x v="0"/>
    <n v="1000"/>
    <n v="0.4"/>
    <n v="400"/>
  </r>
  <r>
    <n v="14"/>
    <x v="13"/>
    <n v="1"/>
    <x v="23"/>
    <n v="3500"/>
    <n v="1.1000000000000001"/>
    <n v="3850.0000000000005"/>
  </r>
  <r>
    <m/>
    <x v="13"/>
    <m/>
    <x v="7"/>
    <n v="2800"/>
    <n v="0.15"/>
    <n v="420"/>
  </r>
  <r>
    <m/>
    <x v="13"/>
    <m/>
    <x v="1"/>
    <n v="2700"/>
    <n v="0.1"/>
    <n v="270"/>
  </r>
  <r>
    <m/>
    <x v="13"/>
    <m/>
    <x v="2"/>
    <n v="1400"/>
    <n v="5.15"/>
    <n v="7210.0000000000009"/>
  </r>
  <r>
    <m/>
    <x v="13"/>
    <m/>
    <x v="24"/>
    <n v="2500"/>
    <n v="0.15"/>
    <n v="375"/>
  </r>
  <r>
    <m/>
    <x v="13"/>
    <m/>
    <x v="4"/>
    <n v="1500"/>
    <n v="0.75"/>
    <n v="1125"/>
  </r>
  <r>
    <m/>
    <x v="13"/>
    <m/>
    <x v="3"/>
    <n v="200"/>
    <n v="0.5"/>
    <n v="100"/>
  </r>
  <r>
    <m/>
    <x v="13"/>
    <m/>
    <x v="8"/>
    <n v="300"/>
    <n v="0.35"/>
    <n v="105"/>
  </r>
  <r>
    <m/>
    <x v="13"/>
    <m/>
    <x v="6"/>
    <n v="150"/>
    <n v="0.3"/>
    <n v="45"/>
  </r>
  <r>
    <m/>
    <x v="13"/>
    <m/>
    <x v="11"/>
    <n v="400"/>
    <n v="1.55"/>
    <n v="620"/>
  </r>
  <r>
    <n v="15"/>
    <x v="14"/>
    <n v="3"/>
    <x v="20"/>
    <n v="1200"/>
    <n v="8.25"/>
    <n v="9900"/>
  </r>
  <r>
    <n v="16"/>
    <x v="15"/>
    <n v="4"/>
    <x v="10"/>
    <n v="4000"/>
    <n v="0.6"/>
    <n v="2400"/>
  </r>
  <r>
    <m/>
    <x v="15"/>
    <m/>
    <x v="14"/>
    <n v="150"/>
    <n v="7.6000000000000005"/>
    <n v="1140"/>
  </r>
  <r>
    <m/>
    <x v="15"/>
    <m/>
    <x v="2"/>
    <n v="1400"/>
    <n v="0.6"/>
    <n v="840"/>
  </r>
  <r>
    <m/>
    <x v="15"/>
    <m/>
    <x v="0"/>
    <n v="1000"/>
    <n v="1.65"/>
    <n v="1650"/>
  </r>
  <r>
    <n v="17"/>
    <x v="16"/>
    <n v="4"/>
    <x v="14"/>
    <n v="150"/>
    <n v="9.25"/>
    <n v="1387.5"/>
  </r>
  <r>
    <m/>
    <x v="16"/>
    <m/>
    <x v="18"/>
    <n v="1800"/>
    <n v="2.8"/>
    <n v="5040"/>
  </r>
  <r>
    <m/>
    <x v="16"/>
    <m/>
    <x v="2"/>
    <n v="1400"/>
    <n v="6.3000000000000007"/>
    <n v="8820.0000000000018"/>
  </r>
  <r>
    <m/>
    <x v="16"/>
    <m/>
    <x v="25"/>
    <n v="700"/>
    <n v="0.25"/>
    <n v="175"/>
  </r>
  <r>
    <m/>
    <x v="16"/>
    <m/>
    <x v="8"/>
    <n v="300"/>
    <n v="0.7"/>
    <n v="210"/>
  </r>
  <r>
    <m/>
    <x v="16"/>
    <m/>
    <x v="0"/>
    <n v="1000"/>
    <n v="1.2"/>
    <n v="1200"/>
  </r>
  <r>
    <m/>
    <x v="16"/>
    <m/>
    <x v="13"/>
    <n v="2000"/>
    <n v="1.1000000000000001"/>
    <n v="2200"/>
  </r>
  <r>
    <m/>
    <x v="16"/>
    <m/>
    <x v="16"/>
    <n v="1600"/>
    <n v="0.1"/>
    <n v="160"/>
  </r>
  <r>
    <m/>
    <x v="16"/>
    <m/>
    <x v="26"/>
    <n v="5000"/>
    <n v="4.05"/>
    <n v="20250"/>
  </r>
  <r>
    <n v="18"/>
    <x v="17"/>
    <n v="1"/>
    <x v="0"/>
    <n v="1000"/>
    <n v="16.399999999999999"/>
    <n v="16400"/>
  </r>
  <r>
    <m/>
    <x v="17"/>
    <m/>
    <x v="8"/>
    <n v="300"/>
    <n v="0.65"/>
    <n v="195"/>
  </r>
  <r>
    <m/>
    <x v="17"/>
    <m/>
    <x v="4"/>
    <n v="1500"/>
    <n v="1.6"/>
    <n v="2400"/>
  </r>
  <r>
    <m/>
    <x v="17"/>
    <m/>
    <x v="14"/>
    <n v="150"/>
    <n v="3.8"/>
    <n v="570"/>
  </r>
  <r>
    <m/>
    <x v="17"/>
    <m/>
    <x v="2"/>
    <n v="1400"/>
    <n v="0.1"/>
    <n v="140"/>
  </r>
  <r>
    <m/>
    <x v="17"/>
    <m/>
    <x v="27"/>
    <n v="10000"/>
    <n v="1"/>
    <n v="10000"/>
  </r>
  <r>
    <n v="19"/>
    <x v="18"/>
    <n v="3"/>
    <x v="3"/>
    <n v="200"/>
    <n v="1.65"/>
    <n v="330"/>
  </r>
  <r>
    <n v="20"/>
    <x v="19"/>
    <n v="2"/>
    <x v="7"/>
    <n v="2800"/>
    <n v="0.15"/>
    <n v="420"/>
  </r>
  <r>
    <m/>
    <x v="19"/>
    <m/>
    <x v="23"/>
    <n v="3500"/>
    <n v="0.05"/>
    <n v="175"/>
  </r>
  <r>
    <m/>
    <x v="19"/>
    <m/>
    <x v="4"/>
    <n v="1500"/>
    <n v="0.3"/>
    <n v="450"/>
  </r>
  <r>
    <m/>
    <x v="19"/>
    <m/>
    <x v="3"/>
    <n v="200"/>
    <n v="0.05"/>
    <n v="10"/>
  </r>
  <r>
    <m/>
    <x v="19"/>
    <m/>
    <x v="8"/>
    <n v="300"/>
    <n v="0.3"/>
    <n v="90"/>
  </r>
  <r>
    <m/>
    <x v="19"/>
    <m/>
    <x v="0"/>
    <n v="1000"/>
    <n v="3.35"/>
    <n v="3350"/>
  </r>
  <r>
    <m/>
    <x v="19"/>
    <m/>
    <x v="19"/>
    <n v="600"/>
    <n v="11.9"/>
    <n v="7140"/>
  </r>
  <r>
    <m/>
    <x v="19"/>
    <m/>
    <x v="9"/>
    <n v="2500"/>
    <n v="6.25"/>
    <n v="15625"/>
  </r>
  <r>
    <m/>
    <x v="19"/>
    <m/>
    <x v="2"/>
    <n v="1400"/>
    <n v="3.35"/>
    <n v="4690"/>
  </r>
  <r>
    <m/>
    <x v="19"/>
    <m/>
    <x v="28"/>
    <n v="13000"/>
    <n v="1"/>
    <n v="13000"/>
  </r>
  <r>
    <n v="21"/>
    <x v="20"/>
    <n v="4"/>
    <x v="17"/>
    <n v="150"/>
    <n v="0.65"/>
    <n v="97.5"/>
  </r>
  <r>
    <m/>
    <x v="20"/>
    <m/>
    <x v="14"/>
    <n v="150"/>
    <n v="1.65"/>
    <n v="247.5"/>
  </r>
  <r>
    <m/>
    <x v="20"/>
    <m/>
    <x v="16"/>
    <n v="1600"/>
    <n v="0.3"/>
    <n v="480"/>
  </r>
  <r>
    <m/>
    <x v="20"/>
    <m/>
    <x v="2"/>
    <n v="1400"/>
    <n v="0.05"/>
    <n v="70"/>
  </r>
  <r>
    <m/>
    <x v="20"/>
    <m/>
    <x v="4"/>
    <n v="1500"/>
    <n v="0.25"/>
    <n v="375"/>
  </r>
  <r>
    <m/>
    <x v="20"/>
    <m/>
    <x v="3"/>
    <n v="200"/>
    <n v="0.3"/>
    <n v="60"/>
  </r>
  <r>
    <n v="22"/>
    <x v="21"/>
    <n v="4"/>
    <x v="0"/>
    <n v="1000"/>
    <n v="6.5"/>
    <n v="6500"/>
  </r>
  <r>
    <m/>
    <x v="21"/>
    <m/>
    <x v="17"/>
    <n v="150"/>
    <n v="0.7"/>
    <n v="105"/>
  </r>
  <r>
    <m/>
    <x v="21"/>
    <m/>
    <x v="7"/>
    <n v="2800"/>
    <n v="1.1499999999999999"/>
    <n v="3219.9999999999995"/>
  </r>
  <r>
    <m/>
    <x v="21"/>
    <m/>
    <x v="16"/>
    <n v="1600"/>
    <n v="0.15"/>
    <n v="240"/>
  </r>
  <r>
    <m/>
    <x v="21"/>
    <m/>
    <x v="12"/>
    <n v="1000"/>
    <n v="1.35"/>
    <n v="1350"/>
  </r>
  <r>
    <m/>
    <x v="21"/>
    <m/>
    <x v="3"/>
    <n v="200"/>
    <n v="2.15"/>
    <n v="430"/>
  </r>
  <r>
    <n v="23"/>
    <x v="22"/>
    <n v="3"/>
    <x v="2"/>
    <n v="1400"/>
    <n v="0.2"/>
    <n v="280"/>
  </r>
  <r>
    <m/>
    <x v="22"/>
    <m/>
    <x v="29"/>
    <n v="500"/>
    <n v="0.75"/>
    <n v="375"/>
  </r>
  <r>
    <n v="24"/>
    <x v="23"/>
    <n v="2"/>
    <x v="0"/>
    <n v="1000"/>
    <n v="7.05"/>
    <n v="7050"/>
  </r>
  <r>
    <m/>
    <x v="23"/>
    <m/>
    <x v="2"/>
    <n v="1400"/>
    <n v="4.8"/>
    <n v="6720"/>
  </r>
  <r>
    <m/>
    <x v="23"/>
    <m/>
    <x v="15"/>
    <n v="1600"/>
    <n v="0.2"/>
    <n v="320"/>
  </r>
  <r>
    <m/>
    <x v="23"/>
    <m/>
    <x v="2"/>
    <n v="1400"/>
    <n v="0.6"/>
    <n v="840"/>
  </r>
  <r>
    <m/>
    <x v="23"/>
    <m/>
    <x v="16"/>
    <n v="1600"/>
    <n v="0.05"/>
    <n v="80"/>
  </r>
  <r>
    <m/>
    <x v="23"/>
    <m/>
    <x v="7"/>
    <n v="2800"/>
    <n v="0.45"/>
    <n v="1260"/>
  </r>
  <r>
    <m/>
    <x v="23"/>
    <m/>
    <x v="8"/>
    <n v="300"/>
    <n v="1.1000000000000001"/>
    <n v="330"/>
  </r>
  <r>
    <m/>
    <x v="23"/>
    <m/>
    <x v="4"/>
    <n v="1500"/>
    <n v="0.65"/>
    <n v="975"/>
  </r>
  <r>
    <m/>
    <x v="23"/>
    <m/>
    <x v="30"/>
    <n v="8000"/>
    <n v="0.1"/>
    <n v="800"/>
  </r>
  <r>
    <m/>
    <x v="23"/>
    <m/>
    <x v="14"/>
    <n v="150"/>
    <n v="3.9"/>
    <n v="585"/>
  </r>
  <r>
    <m/>
    <x v="23"/>
    <m/>
    <x v="31"/>
    <n v="13000"/>
    <n v="1"/>
    <n v="13000"/>
  </r>
  <r>
    <m/>
    <x v="23"/>
    <m/>
    <x v="20"/>
    <n v="1200"/>
    <n v="3.35"/>
    <n v="4020"/>
  </r>
  <r>
    <m/>
    <x v="23"/>
    <m/>
    <x v="3"/>
    <n v="200"/>
    <n v="0.3"/>
    <n v="60"/>
  </r>
  <r>
    <m/>
    <x v="23"/>
    <m/>
    <x v="24"/>
    <n v="2500"/>
    <n v="0.3"/>
    <n v="750"/>
  </r>
  <r>
    <n v="25"/>
    <x v="24"/>
    <n v="5"/>
    <x v="14"/>
    <n v="150"/>
    <n v="0.7"/>
    <n v="105"/>
  </r>
  <r>
    <m/>
    <x v="24"/>
    <m/>
    <x v="2"/>
    <n v="1400"/>
    <n v="3.35"/>
    <n v="4690"/>
  </r>
  <r>
    <m/>
    <x v="24"/>
    <m/>
    <x v="26"/>
    <n v="5000"/>
    <n v="1.25"/>
    <n v="6250"/>
  </r>
  <r>
    <m/>
    <x v="24"/>
    <m/>
    <x v="4"/>
    <n v="1500"/>
    <n v="0.8"/>
    <n v="1200"/>
  </r>
  <r>
    <m/>
    <x v="24"/>
    <m/>
    <x v="9"/>
    <n v="2500"/>
    <n v="0.1"/>
    <n v="250"/>
  </r>
  <r>
    <m/>
    <x v="24"/>
    <m/>
    <x v="8"/>
    <n v="300"/>
    <n v="1.9"/>
    <n v="570"/>
  </r>
  <r>
    <m/>
    <x v="24"/>
    <m/>
    <x v="3"/>
    <n v="600"/>
    <n v="1.1499999999999999"/>
    <n v="690"/>
  </r>
  <r>
    <m/>
    <x v="24"/>
    <m/>
    <x v="7"/>
    <n v="1000"/>
    <n v="1"/>
    <n v="1000"/>
  </r>
  <r>
    <m/>
    <x v="24"/>
    <m/>
    <x v="16"/>
    <n v="1800"/>
    <n v="0.15"/>
    <n v="270"/>
  </r>
  <r>
    <n v="26"/>
    <x v="25"/>
    <n v="3"/>
    <x v="8"/>
    <n v="300"/>
    <n v="0.85"/>
    <n v="255"/>
  </r>
  <r>
    <m/>
    <x v="25"/>
    <m/>
    <x v="0"/>
    <n v="1000"/>
    <n v="0.4"/>
    <n v="400"/>
  </r>
  <r>
    <m/>
    <x v="25"/>
    <m/>
    <x v="3"/>
    <n v="200"/>
    <n v="0.15"/>
    <n v="30"/>
  </r>
  <r>
    <m/>
    <x v="25"/>
    <m/>
    <x v="23"/>
    <n v="3500"/>
    <n v="0.6"/>
    <n v="2100"/>
  </r>
  <r>
    <m/>
    <x v="25"/>
    <m/>
    <x v="7"/>
    <n v="2800"/>
    <n v="0.25"/>
    <n v="700"/>
  </r>
  <r>
    <m/>
    <x v="25"/>
    <m/>
    <x v="2"/>
    <n v="1400"/>
    <n v="0.85000000000000009"/>
    <n v="1190.0000000000002"/>
  </r>
  <r>
    <m/>
    <x v="25"/>
    <m/>
    <x v="19"/>
    <n v="600"/>
    <n v="0.95"/>
    <n v="570"/>
  </r>
  <r>
    <m/>
    <x v="25"/>
    <m/>
    <x v="0"/>
    <n v="1000"/>
    <n v="0.4"/>
    <n v="400"/>
  </r>
  <r>
    <m/>
    <x v="25"/>
    <m/>
    <x v="18"/>
    <n v="1800"/>
    <n v="9.1999999999999993"/>
    <n v="16560"/>
  </r>
  <r>
    <n v="27"/>
    <x v="26"/>
    <n v="4"/>
    <x v="20"/>
    <n v="1200"/>
    <n v="0.85"/>
    <n v="1020"/>
  </r>
  <r>
    <m/>
    <x v="26"/>
    <m/>
    <x v="0"/>
    <n v="1000"/>
    <n v="10.8"/>
    <n v="10800"/>
  </r>
  <r>
    <m/>
    <x v="26"/>
    <m/>
    <x v="11"/>
    <n v="400"/>
    <n v="3.4"/>
    <n v="1360"/>
  </r>
  <r>
    <m/>
    <x v="26"/>
    <m/>
    <x v="17"/>
    <n v="150"/>
    <n v="6.65"/>
    <n v="997.5"/>
  </r>
  <r>
    <m/>
    <x v="26"/>
    <m/>
    <x v="10"/>
    <n v="4000"/>
    <n v="3.6"/>
    <n v="14400"/>
  </r>
  <r>
    <n v="28"/>
    <x v="27"/>
    <n v="5"/>
    <x v="12"/>
    <n v="1000"/>
    <n v="3.3"/>
    <n v="3300"/>
  </r>
  <r>
    <m/>
    <x v="27"/>
    <m/>
    <x v="8"/>
    <n v="300"/>
    <n v="1.45"/>
    <n v="435"/>
  </r>
  <r>
    <n v="29"/>
    <x v="28"/>
    <n v="4"/>
    <x v="17"/>
    <n v="150"/>
    <n v="3.85"/>
    <n v="577.5"/>
  </r>
  <r>
    <m/>
    <x v="28"/>
    <m/>
    <x v="3"/>
    <n v="200"/>
    <n v="4.6500000000000004"/>
    <n v="930.00000000000011"/>
  </r>
  <r>
    <n v="30"/>
    <x v="29"/>
    <n v="2"/>
    <x v="0"/>
    <n v="1000"/>
    <n v="1.6"/>
    <n v="1600"/>
  </r>
  <r>
    <m/>
    <x v="29"/>
    <m/>
    <x v="8"/>
    <n v="300"/>
    <n v="0.6"/>
    <n v="180"/>
  </r>
  <r>
    <m/>
    <x v="29"/>
    <m/>
    <x v="6"/>
    <n v="150"/>
    <n v="0.05"/>
    <n v="7.5"/>
  </r>
  <r>
    <m/>
    <x v="29"/>
    <m/>
    <x v="20"/>
    <n v="1200"/>
    <n v="9.65"/>
    <n v="11580"/>
  </r>
  <r>
    <m/>
    <x v="29"/>
    <m/>
    <x v="2"/>
    <n v="1400"/>
    <n v="2.5499999999999998"/>
    <n v="3569.9999999999995"/>
  </r>
  <r>
    <m/>
    <x v="29"/>
    <m/>
    <x v="1"/>
    <n v="2700"/>
    <n v="0.2"/>
    <n v="540"/>
  </r>
  <r>
    <m/>
    <x v="29"/>
    <m/>
    <x v="7"/>
    <n v="2800"/>
    <n v="0.3"/>
    <n v="840"/>
  </r>
  <r>
    <m/>
    <x v="29"/>
    <m/>
    <x v="23"/>
    <n v="3500"/>
    <n v="0.2"/>
    <n v="700"/>
  </r>
  <r>
    <m/>
    <x v="29"/>
    <m/>
    <x v="18"/>
    <n v="1800"/>
    <n v="0.6"/>
    <n v="1080"/>
  </r>
  <r>
    <n v="31"/>
    <x v="30"/>
    <n v="1"/>
    <x v="14"/>
    <n v="150"/>
    <n v="6.35"/>
    <n v="952.5"/>
  </r>
  <r>
    <n v="32"/>
    <x v="31"/>
    <n v="3"/>
    <x v="14"/>
    <n v="150"/>
    <n v="1.4"/>
    <n v="210"/>
  </r>
  <r>
    <m/>
    <x v="31"/>
    <m/>
    <x v="4"/>
    <n v="1500"/>
    <n v="1.1000000000000001"/>
    <n v="1650.0000000000002"/>
  </r>
  <r>
    <m/>
    <x v="31"/>
    <m/>
    <x v="18"/>
    <n v="1800"/>
    <n v="1.6"/>
    <n v="2880"/>
  </r>
  <r>
    <m/>
    <x v="31"/>
    <m/>
    <x v="2"/>
    <n v="1400"/>
    <n v="1.4"/>
    <n v="1959.9999999999998"/>
  </r>
  <r>
    <m/>
    <x v="31"/>
    <m/>
    <x v="25"/>
    <n v="700"/>
    <n v="0.15"/>
    <n v="105"/>
  </r>
  <r>
    <m/>
    <x v="31"/>
    <m/>
    <x v="0"/>
    <n v="1000"/>
    <n v="1.35"/>
    <n v="1350"/>
  </r>
  <r>
    <n v="33"/>
    <x v="32"/>
    <n v="2"/>
    <x v="32"/>
    <n v="800"/>
    <n v="8.1"/>
    <n v="6480"/>
  </r>
  <r>
    <m/>
    <x v="32"/>
    <m/>
    <x v="20"/>
    <n v="1200"/>
    <n v="8.6999999999999993"/>
    <n v="10440"/>
  </r>
  <r>
    <m/>
    <x v="32"/>
    <m/>
    <x v="8"/>
    <n v="300"/>
    <n v="0.6"/>
    <n v="180"/>
  </r>
  <r>
    <m/>
    <x v="32"/>
    <m/>
    <x v="1"/>
    <n v="2700"/>
    <n v="0.2"/>
    <n v="540"/>
  </r>
  <r>
    <m/>
    <x v="32"/>
    <m/>
    <x v="2"/>
    <n v="1400"/>
    <n v="6.1"/>
    <n v="8540"/>
  </r>
  <r>
    <n v="34"/>
    <x v="33"/>
    <n v="4"/>
    <x v="0"/>
    <n v="1000"/>
    <n v="0.55000000000000004"/>
    <n v="550"/>
  </r>
  <r>
    <m/>
    <x v="33"/>
    <m/>
    <x v="8"/>
    <n v="300"/>
    <n v="0.5"/>
    <n v="150"/>
  </r>
  <r>
    <m/>
    <x v="33"/>
    <m/>
    <x v="3"/>
    <n v="200"/>
    <n v="0.2"/>
    <n v="40"/>
  </r>
  <r>
    <m/>
    <x v="33"/>
    <m/>
    <x v="16"/>
    <n v="1600"/>
    <n v="0.35"/>
    <n v="560"/>
  </r>
  <r>
    <m/>
    <x v="33"/>
    <m/>
    <x v="2"/>
    <n v="1400"/>
    <n v="1.85"/>
    <n v="2590"/>
  </r>
  <r>
    <n v="35"/>
    <x v="34"/>
    <n v="4"/>
    <x v="14"/>
    <n v="150"/>
    <n v="7.75"/>
    <n v="1162.5"/>
  </r>
  <r>
    <m/>
    <x v="34"/>
    <m/>
    <x v="2"/>
    <n v="1400"/>
    <n v="1.95"/>
    <n v="2730"/>
  </r>
  <r>
    <m/>
    <x v="34"/>
    <m/>
    <x v="27"/>
    <n v="10000"/>
    <n v="1"/>
    <n v="10000"/>
  </r>
  <r>
    <m/>
    <x v="34"/>
    <m/>
    <x v="3"/>
    <n v="200"/>
    <n v="0.6"/>
    <n v="120"/>
  </r>
  <r>
    <n v="36"/>
    <x v="35"/>
    <n v="4"/>
    <x v="20"/>
    <n v="1200"/>
    <n v="5.25"/>
    <n v="6300"/>
  </r>
  <r>
    <m/>
    <x v="35"/>
    <m/>
    <x v="33"/>
    <n v="1400"/>
    <n v="5.05"/>
    <n v="7070"/>
  </r>
  <r>
    <m/>
    <x v="35"/>
    <m/>
    <x v="8"/>
    <n v="300"/>
    <n v="0.75"/>
    <n v="225"/>
  </r>
  <r>
    <m/>
    <x v="35"/>
    <m/>
    <x v="26"/>
    <n v="5000"/>
    <n v="0.9"/>
    <n v="4500"/>
  </r>
  <r>
    <m/>
    <x v="35"/>
    <m/>
    <x v="22"/>
    <n v="1400"/>
    <n v="9.4"/>
    <n v="13160"/>
  </r>
  <r>
    <m/>
    <x v="35"/>
    <m/>
    <x v="19"/>
    <n v="600"/>
    <n v="0.5"/>
    <n v="300"/>
  </r>
  <r>
    <m/>
    <x v="35"/>
    <m/>
    <x v="2"/>
    <n v="1400"/>
    <n v="1.8499999999999999"/>
    <n v="2590"/>
  </r>
  <r>
    <m/>
    <x v="35"/>
    <m/>
    <x v="30"/>
    <n v="8000"/>
    <n v="0.1"/>
    <n v="800"/>
  </r>
  <r>
    <n v="37"/>
    <x v="36"/>
    <n v="4"/>
    <x v="19"/>
    <n v="600"/>
    <n v="1.7"/>
    <n v="1020"/>
  </r>
  <r>
    <m/>
    <x v="36"/>
    <m/>
    <x v="8"/>
    <n v="300"/>
    <n v="0.35"/>
    <n v="105"/>
  </r>
  <r>
    <m/>
    <x v="36"/>
    <m/>
    <x v="2"/>
    <n v="1400"/>
    <n v="0.9"/>
    <n v="1260"/>
  </r>
  <r>
    <m/>
    <x v="36"/>
    <m/>
    <x v="16"/>
    <n v="1600"/>
    <n v="0.6"/>
    <n v="960"/>
  </r>
  <r>
    <n v="38"/>
    <x v="37"/>
    <n v="4"/>
    <x v="5"/>
    <n v="300"/>
    <n v="0.35"/>
    <n v="105"/>
  </r>
  <r>
    <m/>
    <x v="37"/>
    <m/>
    <x v="3"/>
    <n v="200"/>
    <n v="0.35"/>
    <n v="70"/>
  </r>
  <r>
    <n v="39"/>
    <x v="38"/>
    <n v="5"/>
    <x v="10"/>
    <n v="4000"/>
    <n v="4.55"/>
    <n v="18200"/>
  </r>
  <r>
    <n v="40"/>
    <x v="39"/>
    <n v="2"/>
    <x v="8"/>
    <n v="300"/>
    <n v="0.55000000000000004"/>
    <n v="165"/>
  </r>
  <r>
    <m/>
    <x v="39"/>
    <m/>
    <x v="3"/>
    <n v="200"/>
    <n v="0.25"/>
    <n v="50"/>
  </r>
  <r>
    <n v="41"/>
    <x v="40"/>
    <n v="4"/>
    <x v="22"/>
    <n v="1400"/>
    <n v="1.3"/>
    <n v="1820"/>
  </r>
  <r>
    <m/>
    <x v="40"/>
    <m/>
    <x v="13"/>
    <n v="2000"/>
    <n v="0.25"/>
    <n v="500"/>
  </r>
  <r>
    <m/>
    <x v="40"/>
    <m/>
    <x v="4"/>
    <n v="1500"/>
    <n v="1"/>
    <n v="1500"/>
  </r>
  <r>
    <m/>
    <x v="40"/>
    <m/>
    <x v="14"/>
    <n v="150"/>
    <n v="0.7"/>
    <n v="105"/>
  </r>
  <r>
    <m/>
    <x v="40"/>
    <m/>
    <x v="5"/>
    <n v="300"/>
    <n v="0.1"/>
    <n v="30"/>
  </r>
  <r>
    <m/>
    <x v="40"/>
    <m/>
    <x v="2"/>
    <n v="1400"/>
    <n v="2.25"/>
    <n v="3150"/>
  </r>
  <r>
    <m/>
    <x v="40"/>
    <m/>
    <x v="30"/>
    <n v="8000"/>
    <n v="0.1"/>
    <n v="800"/>
  </r>
  <r>
    <m/>
    <x v="40"/>
    <m/>
    <x v="25"/>
    <n v="700"/>
    <n v="0.15"/>
    <n v="105"/>
  </r>
  <r>
    <m/>
    <x v="40"/>
    <m/>
    <x v="9"/>
    <n v="2500"/>
    <n v="0.6"/>
    <n v="1500"/>
  </r>
  <r>
    <m/>
    <x v="40"/>
    <m/>
    <x v="7"/>
    <n v="2800"/>
    <n v="0.55000000000000004"/>
    <n v="1540.0000000000002"/>
  </r>
  <r>
    <m/>
    <x v="40"/>
    <m/>
    <x v="34"/>
    <n v="1800"/>
    <n v="4"/>
    <n v="7200"/>
  </r>
  <r>
    <n v="42"/>
    <x v="41"/>
    <n v="5"/>
    <x v="9"/>
    <n v="2500"/>
    <n v="1.8"/>
    <n v="4500"/>
  </r>
  <r>
    <m/>
    <x v="41"/>
    <m/>
    <x v="18"/>
    <n v="1800"/>
    <n v="0.85"/>
    <n v="1530"/>
  </r>
  <r>
    <m/>
    <x v="41"/>
    <m/>
    <x v="8"/>
    <n v="300"/>
    <n v="0.65"/>
    <n v="195"/>
  </r>
  <r>
    <m/>
    <x v="41"/>
    <m/>
    <x v="0"/>
    <n v="1000"/>
    <n v="2.0499999999999998"/>
    <n v="2050"/>
  </r>
  <r>
    <m/>
    <x v="41"/>
    <m/>
    <x v="35"/>
    <n v="1200"/>
    <n v="0.45"/>
    <n v="540"/>
  </r>
  <r>
    <m/>
    <x v="41"/>
    <m/>
    <x v="3"/>
    <n v="200"/>
    <n v="0.15"/>
    <n v="30"/>
  </r>
  <r>
    <m/>
    <x v="41"/>
    <m/>
    <x v="24"/>
    <n v="2500"/>
    <n v="0.3"/>
    <n v="750"/>
  </r>
  <r>
    <m/>
    <x v="41"/>
    <m/>
    <x v="2"/>
    <n v="1400"/>
    <n v="0.2"/>
    <n v="280"/>
  </r>
  <r>
    <m/>
    <x v="41"/>
    <m/>
    <x v="4"/>
    <n v="1500"/>
    <n v="0.7"/>
    <n v="1050"/>
  </r>
  <r>
    <m/>
    <x v="41"/>
    <m/>
    <x v="12"/>
    <n v="1000"/>
    <n v="2.65"/>
    <n v="2650"/>
  </r>
  <r>
    <n v="43"/>
    <x v="42"/>
    <n v="4"/>
    <x v="3"/>
    <n v="200"/>
    <n v="0.1"/>
    <n v="20"/>
  </r>
  <r>
    <m/>
    <x v="42"/>
    <m/>
    <x v="2"/>
    <n v="1400"/>
    <n v="1.8"/>
    <n v="2520"/>
  </r>
  <r>
    <m/>
    <x v="42"/>
    <m/>
    <x v="0"/>
    <n v="1000"/>
    <n v="0.45"/>
    <n v="450"/>
  </r>
  <r>
    <m/>
    <x v="42"/>
    <m/>
    <x v="8"/>
    <n v="300"/>
    <n v="0.15"/>
    <n v="45"/>
  </r>
  <r>
    <n v="44"/>
    <x v="43"/>
    <n v="4"/>
    <x v="14"/>
    <n v="150"/>
    <n v="3"/>
    <n v="450"/>
  </r>
  <r>
    <n v="45"/>
    <x v="44"/>
    <n v="4"/>
    <x v="14"/>
    <n v="150"/>
    <n v="3.05"/>
    <n v="457.5"/>
  </r>
  <r>
    <m/>
    <x v="44"/>
    <m/>
    <x v="2"/>
    <n v="1400"/>
    <n v="0.95"/>
    <n v="1330"/>
  </r>
  <r>
    <m/>
    <x v="44"/>
    <m/>
    <x v="3"/>
    <n v="200"/>
    <n v="0.55000000000000004"/>
    <n v="110.00000000000001"/>
  </r>
  <r>
    <m/>
    <x v="44"/>
    <m/>
    <x v="7"/>
    <n v="2800"/>
    <n v="0.45"/>
    <n v="1260"/>
  </r>
  <r>
    <n v="46"/>
    <x v="45"/>
    <n v="4"/>
    <x v="3"/>
    <n v="200"/>
    <n v="0.2"/>
    <n v="40"/>
  </r>
  <r>
    <m/>
    <x v="45"/>
    <m/>
    <x v="2"/>
    <n v="1400"/>
    <n v="3.9000000000000004"/>
    <n v="5460.0000000000009"/>
  </r>
  <r>
    <m/>
    <x v="45"/>
    <m/>
    <x v="7"/>
    <n v="2800"/>
    <n v="0.1"/>
    <n v="280"/>
  </r>
  <r>
    <m/>
    <x v="45"/>
    <m/>
    <x v="8"/>
    <n v="300"/>
    <n v="0.2"/>
    <n v="60"/>
  </r>
  <r>
    <m/>
    <x v="45"/>
    <m/>
    <x v="0"/>
    <n v="1000"/>
    <n v="0.35"/>
    <n v="350"/>
  </r>
  <r>
    <m/>
    <x v="45"/>
    <m/>
    <x v="4"/>
    <n v="1500"/>
    <n v="0.65"/>
    <n v="975"/>
  </r>
  <r>
    <m/>
    <x v="45"/>
    <m/>
    <x v="35"/>
    <n v="1200"/>
    <n v="0.7"/>
    <n v="840"/>
  </r>
  <r>
    <m/>
    <x v="45"/>
    <m/>
    <x v="18"/>
    <n v="1800"/>
    <n v="1.65"/>
    <n v="2970"/>
  </r>
  <r>
    <m/>
    <x v="45"/>
    <m/>
    <x v="36"/>
    <n v="800"/>
    <n v="3.1"/>
    <n v="2480"/>
  </r>
  <r>
    <n v="47"/>
    <x v="46"/>
    <n v="2"/>
    <x v="3"/>
    <n v="200"/>
    <n v="0.3"/>
    <n v="60"/>
  </r>
  <r>
    <m/>
    <x v="46"/>
    <m/>
    <x v="8"/>
    <n v="300"/>
    <n v="0.25"/>
    <n v="75"/>
  </r>
  <r>
    <m/>
    <x v="46"/>
    <m/>
    <x v="2"/>
    <n v="1400"/>
    <n v="2.0499999999999998"/>
    <n v="2869.9999999999995"/>
  </r>
  <r>
    <m/>
    <x v="46"/>
    <m/>
    <x v="12"/>
    <n v="1000"/>
    <n v="0.3"/>
    <n v="300"/>
  </r>
  <r>
    <m/>
    <x v="46"/>
    <m/>
    <x v="16"/>
    <n v="1600"/>
    <n v="1.05"/>
    <n v="1680"/>
  </r>
  <r>
    <m/>
    <x v="46"/>
    <m/>
    <x v="24"/>
    <n v="2500"/>
    <n v="0.1"/>
    <n v="250"/>
  </r>
  <r>
    <n v="48"/>
    <x v="47"/>
    <n v="4"/>
    <x v="20"/>
    <n v="1200"/>
    <n v="11.6"/>
    <n v="13920"/>
  </r>
  <r>
    <m/>
    <x v="47"/>
    <m/>
    <x v="22"/>
    <n v="1400"/>
    <n v="1.25"/>
    <n v="1750"/>
  </r>
  <r>
    <m/>
    <x v="47"/>
    <m/>
    <x v="8"/>
    <n v="300"/>
    <n v="3.75"/>
    <n v="1125"/>
  </r>
  <r>
    <m/>
    <x v="47"/>
    <m/>
    <x v="33"/>
    <n v="1400"/>
    <n v="4.5999999999999996"/>
    <n v="6439.9999999999991"/>
  </r>
  <r>
    <m/>
    <x v="47"/>
    <m/>
    <x v="2"/>
    <n v="1400"/>
    <n v="0.25"/>
    <n v="350"/>
  </r>
  <r>
    <m/>
    <x v="47"/>
    <m/>
    <x v="14"/>
    <n v="150"/>
    <n v="10.8"/>
    <n v="16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n v="1"/>
    <x v="0"/>
    <n v="4"/>
    <x v="0"/>
    <n v="1000"/>
    <n v="5.0999999999999996"/>
    <n v="5100"/>
  </r>
  <r>
    <m/>
    <x v="0"/>
    <m/>
    <x v="1"/>
    <n v="1400"/>
    <n v="2.8"/>
    <n v="3919.9999999999995"/>
  </r>
  <r>
    <m/>
    <x v="0"/>
    <m/>
    <x v="2"/>
    <n v="600"/>
    <n v="2.1"/>
    <n v="1260"/>
  </r>
  <r>
    <m/>
    <x v="0"/>
    <m/>
    <x v="3"/>
    <n v="1200"/>
    <n v="0.3"/>
    <n v="360"/>
  </r>
  <r>
    <m/>
    <x v="0"/>
    <m/>
    <x v="4"/>
    <n v="2800"/>
    <n v="2.1"/>
    <n v="5880"/>
  </r>
  <r>
    <m/>
    <x v="0"/>
    <m/>
    <x v="5"/>
    <n v="1400"/>
    <n v="1.1499999999999999"/>
    <n v="1609.9999999999998"/>
  </r>
  <r>
    <m/>
    <x v="0"/>
    <m/>
    <x v="6"/>
    <n v="8000"/>
    <n v="0.15"/>
    <n v="1200"/>
  </r>
  <r>
    <m/>
    <x v="0"/>
    <m/>
    <x v="7"/>
    <n v="2500"/>
    <n v="0.5"/>
    <n v="1250"/>
  </r>
  <r>
    <m/>
    <x v="0"/>
    <m/>
    <x v="8"/>
    <n v="1600"/>
    <n v="0.3"/>
    <n v="480"/>
  </r>
  <r>
    <m/>
    <x v="0"/>
    <m/>
    <x v="9"/>
    <n v="200"/>
    <n v="0.2"/>
    <n v="40"/>
  </r>
  <r>
    <m/>
    <x v="0"/>
    <m/>
    <x v="10"/>
    <n v="300"/>
    <n v="1.65"/>
    <n v="495"/>
  </r>
  <r>
    <m/>
    <x v="0"/>
    <m/>
    <x v="11"/>
    <n v="1600"/>
    <n v="0.25"/>
    <n v="400"/>
  </r>
  <r>
    <m/>
    <x v="0"/>
    <m/>
    <x v="12"/>
    <n v="2700"/>
    <n v="0.2"/>
    <n v="540"/>
  </r>
  <r>
    <n v="2"/>
    <x v="1"/>
    <n v="3"/>
    <x v="10"/>
    <n v="300"/>
    <n v="0.75"/>
    <n v="225"/>
  </r>
  <r>
    <m/>
    <x v="1"/>
    <m/>
    <x v="0"/>
    <n v="1000"/>
    <n v="0.45"/>
    <n v="450"/>
  </r>
  <r>
    <m/>
    <x v="1"/>
    <m/>
    <x v="9"/>
    <n v="200"/>
    <n v="2.15"/>
    <n v="430"/>
  </r>
  <r>
    <m/>
    <x v="1"/>
    <m/>
    <x v="13"/>
    <n v="1000"/>
    <n v="2"/>
    <n v="2000"/>
  </r>
  <r>
    <n v="3"/>
    <x v="2"/>
    <n v="4"/>
    <x v="9"/>
    <n v="200"/>
    <n v="0.7"/>
    <n v="140"/>
  </r>
  <r>
    <m/>
    <x v="2"/>
    <m/>
    <x v="0"/>
    <n v="1000"/>
    <n v="0.55000000000000004"/>
    <n v="550"/>
  </r>
  <r>
    <m/>
    <x v="2"/>
    <m/>
    <x v="10"/>
    <n v="300"/>
    <n v="0.6"/>
    <n v="180"/>
  </r>
  <r>
    <m/>
    <x v="2"/>
    <m/>
    <x v="3"/>
    <n v="1200"/>
    <n v="1.2"/>
    <n v="1440"/>
  </r>
  <r>
    <m/>
    <x v="2"/>
    <m/>
    <x v="13"/>
    <n v="1000"/>
    <n v="3.75"/>
    <n v="3750"/>
  </r>
  <r>
    <m/>
    <x v="2"/>
    <m/>
    <x v="5"/>
    <n v="1400"/>
    <n v="4.5999999999999996"/>
    <n v="6439.9999999999991"/>
  </r>
  <r>
    <m/>
    <x v="2"/>
    <m/>
    <x v="14"/>
    <n v="5000"/>
    <n v="2"/>
    <n v="10000"/>
  </r>
  <r>
    <m/>
    <x v="2"/>
    <m/>
    <x v="15"/>
    <n v="1800"/>
    <n v="2.9"/>
    <n v="5220"/>
  </r>
  <r>
    <m/>
    <x v="2"/>
    <m/>
    <x v="16"/>
    <n v="1500"/>
    <n v="0.15"/>
    <n v="225"/>
  </r>
  <r>
    <m/>
    <x v="2"/>
    <m/>
    <x v="17"/>
    <n v="600"/>
    <n v="0.55000000000000004"/>
    <n v="330"/>
  </r>
  <r>
    <m/>
    <x v="2"/>
    <m/>
    <x v="18"/>
    <n v="150"/>
    <n v="0.45"/>
    <n v="67.5"/>
  </r>
  <r>
    <n v="4"/>
    <x v="3"/>
    <n v="2"/>
    <x v="3"/>
    <n v="1200"/>
    <n v="2.2000000000000002"/>
    <n v="2640"/>
  </r>
  <r>
    <m/>
    <x v="3"/>
    <m/>
    <x v="0"/>
    <n v="1000"/>
    <n v="0.55000000000000004"/>
    <n v="550"/>
  </r>
  <r>
    <m/>
    <x v="3"/>
    <m/>
    <x v="8"/>
    <n v="1600"/>
    <n v="0.95"/>
    <n v="1520"/>
  </r>
  <r>
    <m/>
    <x v="3"/>
    <m/>
    <x v="9"/>
    <n v="200"/>
    <n v="0.2"/>
    <n v="40"/>
  </r>
  <r>
    <m/>
    <x v="3"/>
    <m/>
    <x v="19"/>
    <n v="400"/>
    <n v="0.15"/>
    <n v="60"/>
  </r>
  <r>
    <m/>
    <x v="3"/>
    <m/>
    <x v="16"/>
    <n v="1500"/>
    <n v="0.3"/>
    <n v="450"/>
  </r>
  <r>
    <m/>
    <x v="3"/>
    <m/>
    <x v="7"/>
    <n v="2500"/>
    <n v="0.15"/>
    <n v="375"/>
  </r>
  <r>
    <m/>
    <x v="3"/>
    <m/>
    <x v="20"/>
    <n v="13000"/>
    <n v="1"/>
    <n v="13000"/>
  </r>
  <r>
    <n v="5"/>
    <x v="4"/>
    <n v="4"/>
    <x v="18"/>
    <n v="150"/>
    <n v="1.6"/>
    <n v="240"/>
  </r>
  <r>
    <m/>
    <x v="4"/>
    <m/>
    <x v="5"/>
    <n v="1400"/>
    <n v="4.25"/>
    <n v="5950"/>
  </r>
  <r>
    <m/>
    <x v="4"/>
    <m/>
    <x v="21"/>
    <n v="300"/>
    <n v="0.3"/>
    <n v="90"/>
  </r>
  <r>
    <m/>
    <x v="4"/>
    <m/>
    <x v="9"/>
    <n v="200"/>
    <n v="3.25"/>
    <n v="650"/>
  </r>
  <r>
    <m/>
    <x v="4"/>
    <m/>
    <x v="4"/>
    <n v="2800"/>
    <n v="0.6"/>
    <n v="1680"/>
  </r>
  <r>
    <m/>
    <x v="4"/>
    <m/>
    <x v="8"/>
    <n v="1600"/>
    <n v="0.1"/>
    <n v="160"/>
  </r>
  <r>
    <m/>
    <x v="4"/>
    <m/>
    <x v="22"/>
    <n v="2500"/>
    <n v="2.5"/>
    <n v="6250"/>
  </r>
  <r>
    <m/>
    <x v="4"/>
    <m/>
    <x v="15"/>
    <n v="1800"/>
    <n v="5.9"/>
    <n v="10620"/>
  </r>
  <r>
    <n v="6"/>
    <x v="5"/>
    <n v="4"/>
    <x v="18"/>
    <n v="150"/>
    <n v="2.6"/>
    <n v="390"/>
  </r>
  <r>
    <m/>
    <x v="5"/>
    <m/>
    <x v="9"/>
    <n v="200"/>
    <n v="0.25"/>
    <n v="50"/>
  </r>
  <r>
    <m/>
    <x v="5"/>
    <m/>
    <x v="4"/>
    <n v="2800"/>
    <n v="0.25"/>
    <n v="700"/>
  </r>
  <r>
    <m/>
    <x v="5"/>
    <m/>
    <x v="5"/>
    <n v="1400"/>
    <n v="0.1"/>
    <n v="140"/>
  </r>
  <r>
    <n v="7"/>
    <x v="6"/>
    <n v="4"/>
    <x v="5"/>
    <n v="1400"/>
    <n v="1.9000000000000001"/>
    <n v="2660"/>
  </r>
  <r>
    <m/>
    <x v="6"/>
    <m/>
    <x v="15"/>
    <n v="1800"/>
    <n v="2.1"/>
    <n v="3780"/>
  </r>
  <r>
    <m/>
    <x v="6"/>
    <m/>
    <x v="17"/>
    <n v="600"/>
    <n v="0.75"/>
    <n v="450"/>
  </r>
  <r>
    <m/>
    <x v="6"/>
    <m/>
    <x v="10"/>
    <n v="300"/>
    <n v="0.9"/>
    <n v="270"/>
  </r>
  <r>
    <m/>
    <x v="6"/>
    <m/>
    <x v="16"/>
    <n v="1500"/>
    <n v="0.15"/>
    <n v="225"/>
  </r>
  <r>
    <m/>
    <x v="6"/>
    <m/>
    <x v="18"/>
    <n v="150"/>
    <n v="1.25"/>
    <n v="187.5"/>
  </r>
  <r>
    <m/>
    <x v="6"/>
    <m/>
    <x v="12"/>
    <n v="2700"/>
    <n v="0.1"/>
    <n v="270"/>
  </r>
  <r>
    <m/>
    <x v="6"/>
    <m/>
    <x v="8"/>
    <n v="1600"/>
    <n v="0.15"/>
    <n v="240"/>
  </r>
  <r>
    <m/>
    <x v="6"/>
    <m/>
    <x v="4"/>
    <n v="2800"/>
    <n v="0.75"/>
    <n v="2100"/>
  </r>
  <r>
    <n v="8"/>
    <x v="7"/>
    <n v="3"/>
    <x v="23"/>
    <n v="800"/>
    <n v="0.35"/>
    <n v="280"/>
  </r>
  <r>
    <m/>
    <x v="7"/>
    <m/>
    <x v="9"/>
    <n v="200"/>
    <n v="0.85"/>
    <n v="170"/>
  </r>
  <r>
    <m/>
    <x v="7"/>
    <m/>
    <x v="24"/>
    <n v="150"/>
    <n v="0.2"/>
    <n v="30"/>
  </r>
  <r>
    <m/>
    <x v="7"/>
    <m/>
    <x v="0"/>
    <n v="1000"/>
    <n v="1.4"/>
    <n v="1400"/>
  </r>
  <r>
    <m/>
    <x v="7"/>
    <m/>
    <x v="18"/>
    <n v="150"/>
    <n v="3.05"/>
    <n v="457.5"/>
  </r>
  <r>
    <m/>
    <x v="7"/>
    <m/>
    <x v="10"/>
    <n v="300"/>
    <n v="2.9"/>
    <n v="870"/>
  </r>
  <r>
    <m/>
    <x v="7"/>
    <m/>
    <x v="4"/>
    <n v="2800"/>
    <n v="1"/>
    <n v="2800"/>
  </r>
  <r>
    <m/>
    <x v="7"/>
    <m/>
    <x v="8"/>
    <n v="1600"/>
    <n v="0.25"/>
    <n v="400"/>
  </r>
  <r>
    <m/>
    <x v="7"/>
    <m/>
    <x v="7"/>
    <n v="2500"/>
    <n v="0.45"/>
    <n v="1125"/>
  </r>
  <r>
    <m/>
    <x v="7"/>
    <m/>
    <x v="5"/>
    <n v="1400"/>
    <n v="0.65"/>
    <n v="910"/>
  </r>
  <r>
    <m/>
    <x v="7"/>
    <m/>
    <x v="16"/>
    <n v="1500"/>
    <n v="0.35"/>
    <n v="525"/>
  </r>
  <r>
    <m/>
    <x v="7"/>
    <m/>
    <x v="21"/>
    <n v="300"/>
    <n v="0.2"/>
    <n v="60"/>
  </r>
  <r>
    <n v="9"/>
    <x v="8"/>
    <n v="2"/>
    <x v="0"/>
    <n v="1000"/>
    <n v="0.95"/>
    <n v="950"/>
  </r>
  <r>
    <m/>
    <x v="8"/>
    <m/>
    <x v="13"/>
    <n v="1000"/>
    <n v="1.8499999999999999"/>
    <n v="1849.9999999999998"/>
  </r>
  <r>
    <n v="10"/>
    <x v="9"/>
    <n v="4"/>
    <x v="8"/>
    <n v="1600"/>
    <n v="1.1000000000000001"/>
    <n v="1760.0000000000002"/>
  </r>
  <r>
    <m/>
    <x v="9"/>
    <m/>
    <x v="18"/>
    <n v="150"/>
    <n v="0.4"/>
    <n v="60"/>
  </r>
  <r>
    <m/>
    <x v="9"/>
    <m/>
    <x v="22"/>
    <n v="2500"/>
    <n v="0.6"/>
    <n v="1500"/>
  </r>
  <r>
    <m/>
    <x v="9"/>
    <m/>
    <x v="0"/>
    <n v="1000"/>
    <n v="2.5"/>
    <n v="2500"/>
  </r>
  <r>
    <n v="11"/>
    <x v="10"/>
    <n v="7"/>
    <x v="25"/>
    <n v="1400"/>
    <n v="2.25"/>
    <n v="3150"/>
  </r>
  <r>
    <m/>
    <x v="10"/>
    <m/>
    <x v="16"/>
    <n v="1500"/>
    <n v="0.75"/>
    <n v="1125"/>
  </r>
  <r>
    <m/>
    <x v="10"/>
    <m/>
    <x v="18"/>
    <n v="150"/>
    <n v="0.3"/>
    <n v="45"/>
  </r>
  <r>
    <m/>
    <x v="10"/>
    <m/>
    <x v="0"/>
    <n v="1000"/>
    <n v="1.4"/>
    <n v="1400"/>
  </r>
  <r>
    <m/>
    <x v="10"/>
    <m/>
    <x v="5"/>
    <n v="1400"/>
    <n v="0.2"/>
    <n v="280"/>
  </r>
  <r>
    <n v="12"/>
    <x v="11"/>
    <n v="7"/>
    <x v="8"/>
    <n v="1600"/>
    <n v="0.15"/>
    <n v="240"/>
  </r>
  <r>
    <m/>
    <x v="11"/>
    <m/>
    <x v="5"/>
    <n v="1400"/>
    <n v="0.15"/>
    <n v="210"/>
  </r>
  <r>
    <n v="13"/>
    <x v="12"/>
    <n v="4"/>
    <x v="5"/>
    <n v="1400"/>
    <n v="0.65"/>
    <n v="910"/>
  </r>
  <r>
    <m/>
    <x v="12"/>
    <m/>
    <x v="4"/>
    <n v="2800"/>
    <n v="0.15"/>
    <n v="420"/>
  </r>
  <r>
    <m/>
    <x v="12"/>
    <m/>
    <x v="15"/>
    <n v="1800"/>
    <n v="0.89999999999999991"/>
    <n v="1619.9999999999998"/>
  </r>
  <r>
    <m/>
    <x v="12"/>
    <m/>
    <x v="22"/>
    <n v="2500"/>
    <n v="0.4"/>
    <n v="1000"/>
  </r>
  <r>
    <m/>
    <x v="12"/>
    <m/>
    <x v="26"/>
    <n v="10000"/>
    <n v="1"/>
    <n v="10000"/>
  </r>
  <r>
    <n v="14"/>
    <x v="13"/>
    <n v="3"/>
    <x v="27"/>
    <n v="150"/>
    <n v="2.85"/>
    <n v="427.5"/>
  </r>
  <r>
    <m/>
    <x v="13"/>
    <m/>
    <x v="9"/>
    <n v="200"/>
    <n v="0.15"/>
    <n v="30"/>
  </r>
  <r>
    <m/>
    <x v="13"/>
    <m/>
    <x v="0"/>
    <n v="1000"/>
    <n v="1.05"/>
    <n v="1050"/>
  </r>
  <r>
    <m/>
    <x v="13"/>
    <m/>
    <x v="10"/>
    <n v="300"/>
    <n v="0.15"/>
    <n v="45"/>
  </r>
  <r>
    <m/>
    <x v="13"/>
    <m/>
    <x v="8"/>
    <n v="1600"/>
    <n v="1.05"/>
    <n v="1680"/>
  </r>
  <r>
    <n v="15"/>
    <x v="14"/>
    <n v="4"/>
    <x v="28"/>
    <n v="150"/>
    <n v="0.55000000000000004"/>
    <n v="82.5"/>
  </r>
  <r>
    <m/>
    <x v="14"/>
    <m/>
    <x v="1"/>
    <n v="1400"/>
    <n v="2.7"/>
    <n v="3780.0000000000005"/>
  </r>
  <r>
    <m/>
    <x v="14"/>
    <m/>
    <x v="0"/>
    <n v="1000"/>
    <n v="1.5"/>
    <n v="1500"/>
  </r>
  <r>
    <m/>
    <x v="14"/>
    <m/>
    <x v="10"/>
    <n v="300"/>
    <n v="1.1499999999999999"/>
    <n v="345"/>
  </r>
  <r>
    <m/>
    <x v="14"/>
    <m/>
    <x v="23"/>
    <n v="800"/>
    <n v="0.1"/>
    <n v="80"/>
  </r>
  <r>
    <m/>
    <x v="14"/>
    <m/>
    <x v="21"/>
    <n v="300"/>
    <n v="0.1"/>
    <n v="30"/>
  </r>
  <r>
    <m/>
    <x v="14"/>
    <m/>
    <x v="9"/>
    <n v="200"/>
    <n v="0.15"/>
    <n v="30"/>
  </r>
  <r>
    <n v="16"/>
    <x v="15"/>
    <n v="4"/>
    <x v="5"/>
    <n v="1400"/>
    <n v="7.6"/>
    <n v="10640"/>
  </r>
  <r>
    <n v="17"/>
    <x v="16"/>
    <n v="3"/>
    <x v="15"/>
    <n v="1800"/>
    <n v="1.9"/>
    <n v="3420"/>
  </r>
  <r>
    <m/>
    <x v="16"/>
    <m/>
    <x v="5"/>
    <n v="1400"/>
    <n v="2.4500000000000002"/>
    <n v="3430.0000000000005"/>
  </r>
  <r>
    <m/>
    <x v="16"/>
    <m/>
    <x v="0"/>
    <n v="1000"/>
    <n v="0.2"/>
    <n v="200"/>
  </r>
  <r>
    <m/>
    <x v="16"/>
    <m/>
    <x v="8"/>
    <n v="1600"/>
    <n v="0.7"/>
    <n v="1120"/>
  </r>
  <r>
    <m/>
    <x v="16"/>
    <m/>
    <x v="16"/>
    <n v="1500"/>
    <n v="0.15"/>
    <n v="225"/>
  </r>
  <r>
    <n v="18"/>
    <x v="17"/>
    <n v="3"/>
    <x v="4"/>
    <n v="2800"/>
    <n v="0.4"/>
    <n v="1120"/>
  </r>
  <r>
    <m/>
    <x v="17"/>
    <m/>
    <x v="29"/>
    <n v="3500"/>
    <n v="0.7"/>
    <n v="2450"/>
  </r>
  <r>
    <m/>
    <x v="17"/>
    <m/>
    <x v="30"/>
    <n v="150"/>
    <n v="0.85"/>
    <n v="127.5"/>
  </r>
  <r>
    <m/>
    <x v="17"/>
    <m/>
    <x v="5"/>
    <n v="1400"/>
    <n v="0.1"/>
    <n v="140"/>
  </r>
  <r>
    <m/>
    <x v="17"/>
    <m/>
    <x v="10"/>
    <n v="300"/>
    <n v="0.65"/>
    <n v="195"/>
  </r>
  <r>
    <m/>
    <x v="17"/>
    <m/>
    <x v="0"/>
    <n v="1000"/>
    <n v="0.35"/>
    <n v="350"/>
  </r>
  <r>
    <m/>
    <x v="17"/>
    <m/>
    <x v="9"/>
    <n v="200"/>
    <n v="0.25"/>
    <n v="50"/>
  </r>
  <r>
    <n v="19"/>
    <x v="18"/>
    <n v="4"/>
    <x v="5"/>
    <n v="1400"/>
    <n v="0.1"/>
    <n v="140"/>
  </r>
  <r>
    <m/>
    <x v="18"/>
    <m/>
    <x v="8"/>
    <n v="1600"/>
    <n v="0.35"/>
    <n v="560"/>
  </r>
  <r>
    <m/>
    <x v="18"/>
    <m/>
    <x v="15"/>
    <n v="1800"/>
    <n v="0.1"/>
    <n v="180"/>
  </r>
  <r>
    <m/>
    <x v="18"/>
    <m/>
    <x v="18"/>
    <n v="150"/>
    <n v="1.9"/>
    <n v="285"/>
  </r>
  <r>
    <n v="20"/>
    <x v="19"/>
    <n v="4"/>
    <x v="5"/>
    <n v="1400"/>
    <n v="12.6"/>
    <n v="17640"/>
  </r>
  <r>
    <m/>
    <x v="19"/>
    <m/>
    <x v="15"/>
    <n v="1800"/>
    <n v="4.05"/>
    <n v="7290"/>
  </r>
  <r>
    <m/>
    <x v="19"/>
    <m/>
    <x v="18"/>
    <n v="150"/>
    <n v="3.05"/>
    <n v="457.5"/>
  </r>
  <r>
    <m/>
    <x v="19"/>
    <m/>
    <x v="16"/>
    <n v="1500"/>
    <n v="0.2"/>
    <n v="300"/>
  </r>
  <r>
    <m/>
    <x v="19"/>
    <m/>
    <x v="10"/>
    <n v="300"/>
    <n v="0.95"/>
    <n v="285"/>
  </r>
  <r>
    <m/>
    <x v="19"/>
    <m/>
    <x v="31"/>
    <n v="800"/>
    <n v="1.1499999999999999"/>
    <n v="919.99999999999989"/>
  </r>
  <r>
    <m/>
    <x v="19"/>
    <m/>
    <x v="0"/>
    <n v="1000"/>
    <n v="5.55"/>
    <n v="5550"/>
  </r>
  <r>
    <m/>
    <x v="19"/>
    <m/>
    <x v="9"/>
    <n v="200"/>
    <n v="0.85"/>
    <n v="170"/>
  </r>
  <r>
    <n v="21"/>
    <x v="20"/>
    <n v="2"/>
    <x v="9"/>
    <n v="200"/>
    <n v="0.15"/>
    <n v="30"/>
  </r>
  <r>
    <m/>
    <x v="20"/>
    <m/>
    <x v="18"/>
    <n v="150"/>
    <n v="0.4"/>
    <n v="60"/>
  </r>
  <r>
    <m/>
    <x v="20"/>
    <m/>
    <x v="5"/>
    <n v="1400"/>
    <n v="0.6"/>
    <n v="840"/>
  </r>
  <r>
    <m/>
    <x v="20"/>
    <m/>
    <x v="8"/>
    <n v="1600"/>
    <n v="0.4"/>
    <n v="640"/>
  </r>
  <r>
    <m/>
    <x v="20"/>
    <m/>
    <x v="27"/>
    <n v="150"/>
    <n v="13.2"/>
    <n v="1980"/>
  </r>
  <r>
    <n v="22"/>
    <x v="21"/>
    <n v="4"/>
    <x v="13"/>
    <n v="1000"/>
    <n v="1.3"/>
    <n v="1300"/>
  </r>
  <r>
    <m/>
    <x v="21"/>
    <m/>
    <x v="9"/>
    <n v="200"/>
    <n v="0.6"/>
    <n v="120"/>
  </r>
  <r>
    <m/>
    <x v="21"/>
    <m/>
    <x v="10"/>
    <n v="300"/>
    <n v="0.9"/>
    <n v="270"/>
  </r>
  <r>
    <m/>
    <x v="21"/>
    <m/>
    <x v="0"/>
    <n v="1000"/>
    <n v="1.05"/>
    <n v="1050"/>
  </r>
  <r>
    <m/>
    <x v="21"/>
    <m/>
    <x v="15"/>
    <n v="1800"/>
    <n v="1.1000000000000001"/>
    <n v="1980.0000000000002"/>
  </r>
  <r>
    <m/>
    <x v="21"/>
    <m/>
    <x v="22"/>
    <n v="2500"/>
    <n v="2.85"/>
    <n v="7125"/>
  </r>
  <r>
    <n v="23"/>
    <x v="22"/>
    <n v="4"/>
    <x v="10"/>
    <n v="300"/>
    <n v="0.7"/>
    <n v="210"/>
  </r>
  <r>
    <m/>
    <x v="22"/>
    <m/>
    <x v="0"/>
    <n v="1000"/>
    <n v="0.65"/>
    <n v="650"/>
  </r>
  <r>
    <m/>
    <x v="22"/>
    <m/>
    <x v="5"/>
    <n v="1400"/>
    <n v="0.95"/>
    <n v="1330"/>
  </r>
  <r>
    <m/>
    <x v="22"/>
    <m/>
    <x v="4"/>
    <n v="2800"/>
    <n v="0.2"/>
    <n v="560"/>
  </r>
  <r>
    <m/>
    <x v="22"/>
    <m/>
    <x v="18"/>
    <n v="150"/>
    <n v="0.85"/>
    <n v="127.5"/>
  </r>
  <r>
    <m/>
    <x v="22"/>
    <m/>
    <x v="9"/>
    <n v="200"/>
    <n v="0.35"/>
    <n v="70"/>
  </r>
  <r>
    <n v="24"/>
    <x v="23"/>
    <n v="4"/>
    <x v="4"/>
    <n v="2800"/>
    <n v="1.1000000000000001"/>
    <n v="3080.0000000000005"/>
  </r>
  <r>
    <m/>
    <x v="23"/>
    <m/>
    <x v="17"/>
    <n v="600"/>
    <n v="0.25"/>
    <n v="150"/>
  </r>
  <r>
    <m/>
    <x v="23"/>
    <m/>
    <x v="8"/>
    <n v="1600"/>
    <n v="0.4"/>
    <n v="640"/>
  </r>
  <r>
    <m/>
    <x v="23"/>
    <m/>
    <x v="9"/>
    <n v="200"/>
    <n v="0.15"/>
    <n v="30"/>
  </r>
  <r>
    <m/>
    <x v="23"/>
    <m/>
    <x v="18"/>
    <n v="150"/>
    <n v="1.85"/>
    <n v="277.5"/>
  </r>
  <r>
    <m/>
    <x v="23"/>
    <m/>
    <x v="0"/>
    <n v="1000"/>
    <n v="0.2"/>
    <n v="200"/>
  </r>
  <r>
    <n v="25"/>
    <x v="24"/>
    <n v="5"/>
    <x v="9"/>
    <n v="200"/>
    <n v="1.75"/>
    <n v="350"/>
  </r>
  <r>
    <m/>
    <x v="24"/>
    <m/>
    <x v="10"/>
    <n v="300"/>
    <n v="2"/>
    <n v="600"/>
  </r>
  <r>
    <m/>
    <x v="24"/>
    <m/>
    <x v="5"/>
    <n v="1400"/>
    <n v="0.35"/>
    <n v="489.99999999999994"/>
  </r>
  <r>
    <m/>
    <x v="24"/>
    <m/>
    <x v="0"/>
    <n v="1000"/>
    <n v="0.1"/>
    <n v="100"/>
  </r>
  <r>
    <m/>
    <x v="24"/>
    <m/>
    <x v="7"/>
    <n v="2500"/>
    <n v="0.2"/>
    <n v="500"/>
  </r>
  <r>
    <m/>
    <x v="24"/>
    <m/>
    <x v="32"/>
    <n v="2000"/>
    <n v="0.35"/>
    <n v="700"/>
  </r>
  <r>
    <m/>
    <x v="24"/>
    <m/>
    <x v="18"/>
    <n v="150"/>
    <n v="0.1"/>
    <n v="15"/>
  </r>
  <r>
    <m/>
    <x v="24"/>
    <m/>
    <x v="33"/>
    <n v="1200"/>
    <n v="0.2"/>
    <n v="240"/>
  </r>
  <r>
    <m/>
    <x v="24"/>
    <m/>
    <x v="4"/>
    <n v="2800"/>
    <n v="0.75"/>
    <n v="2100"/>
  </r>
  <r>
    <n v="26"/>
    <x v="25"/>
    <n v="5"/>
    <x v="0"/>
    <n v="1000"/>
    <n v="0.9"/>
    <n v="900"/>
  </r>
  <r>
    <m/>
    <x v="25"/>
    <m/>
    <x v="10"/>
    <n v="300"/>
    <n v="0.3"/>
    <n v="90"/>
  </r>
  <r>
    <m/>
    <x v="25"/>
    <m/>
    <x v="5"/>
    <n v="1400"/>
    <n v="1.9"/>
    <n v="2660"/>
  </r>
  <r>
    <m/>
    <x v="25"/>
    <m/>
    <x v="16"/>
    <n v="1500"/>
    <n v="0.3"/>
    <n v="450"/>
  </r>
  <r>
    <m/>
    <x v="25"/>
    <m/>
    <x v="4"/>
    <n v="2800"/>
    <n v="0.3"/>
    <n v="840"/>
  </r>
  <r>
    <m/>
    <x v="25"/>
    <m/>
    <x v="32"/>
    <n v="2000"/>
    <n v="0.1"/>
    <n v="200"/>
  </r>
  <r>
    <m/>
    <x v="25"/>
    <m/>
    <x v="9"/>
    <n v="200"/>
    <n v="2"/>
    <n v="400"/>
  </r>
  <r>
    <n v="27"/>
    <x v="26"/>
    <n v="2"/>
    <x v="9"/>
    <n v="200"/>
    <n v="1.2"/>
    <n v="240"/>
  </r>
  <r>
    <m/>
    <x v="26"/>
    <m/>
    <x v="18"/>
    <n v="150"/>
    <n v="2"/>
    <n v="300"/>
  </r>
  <r>
    <m/>
    <x v="26"/>
    <m/>
    <x v="13"/>
    <n v="1000"/>
    <n v="2.75"/>
    <n v="2750"/>
  </r>
  <r>
    <m/>
    <x v="26"/>
    <m/>
    <x v="16"/>
    <n v="1500"/>
    <n v="0.25"/>
    <n v="375"/>
  </r>
  <r>
    <n v="28"/>
    <x v="27"/>
    <n v="4"/>
    <x v="0"/>
    <n v="1000"/>
    <n v="6.1"/>
    <n v="6100"/>
  </r>
  <r>
    <m/>
    <x v="27"/>
    <m/>
    <x v="8"/>
    <n v="1600"/>
    <n v="0.5"/>
    <n v="800"/>
  </r>
  <r>
    <m/>
    <x v="27"/>
    <m/>
    <x v="1"/>
    <n v="1400"/>
    <n v="1.6"/>
    <n v="2240"/>
  </r>
  <r>
    <m/>
    <x v="27"/>
    <m/>
    <x v="18"/>
    <n v="150"/>
    <n v="10.200000000000001"/>
    <n v="1530.0000000000002"/>
  </r>
  <r>
    <m/>
    <x v="27"/>
    <m/>
    <x v="16"/>
    <n v="1500"/>
    <n v="1.1000000000000001"/>
    <n v="1650.0000000000002"/>
  </r>
  <r>
    <m/>
    <x v="27"/>
    <m/>
    <x v="5"/>
    <n v="1400"/>
    <n v="2.0499999999999998"/>
    <n v="2869.9999999999995"/>
  </r>
  <r>
    <m/>
    <x v="27"/>
    <m/>
    <x v="23"/>
    <n v="800"/>
    <n v="0.1"/>
    <n v="80"/>
  </r>
  <r>
    <m/>
    <x v="27"/>
    <m/>
    <x v="9"/>
    <n v="200"/>
    <n v="1.2999999999999998"/>
    <n v="259.99999999999994"/>
  </r>
  <r>
    <m/>
    <x v="27"/>
    <m/>
    <x v="7"/>
    <n v="2500"/>
    <n v="0.35"/>
    <n v="875"/>
  </r>
  <r>
    <m/>
    <x v="27"/>
    <m/>
    <x v="15"/>
    <n v="1800"/>
    <n v="1"/>
    <n v="1800"/>
  </r>
  <r>
    <m/>
    <x v="27"/>
    <m/>
    <x v="21"/>
    <n v="300"/>
    <n v="0.2"/>
    <n v="60"/>
  </r>
  <r>
    <m/>
    <x v="27"/>
    <m/>
    <x v="13"/>
    <n v="1000"/>
    <n v="0.55000000000000004"/>
    <n v="550"/>
  </r>
  <r>
    <m/>
    <x v="27"/>
    <m/>
    <x v="32"/>
    <n v="2000"/>
    <n v="0.45"/>
    <n v="900"/>
  </r>
  <r>
    <m/>
    <x v="27"/>
    <m/>
    <x v="4"/>
    <n v="2800"/>
    <n v="1.7"/>
    <n v="4760"/>
  </r>
  <r>
    <m/>
    <x v="27"/>
    <m/>
    <x v="13"/>
    <n v="1000"/>
    <n v="0.25"/>
    <n v="250"/>
  </r>
  <r>
    <n v="29"/>
    <x v="28"/>
    <n v="4"/>
    <x v="1"/>
    <n v="1400"/>
    <n v="0.35"/>
    <n v="489.99999999999994"/>
  </r>
  <r>
    <m/>
    <x v="28"/>
    <m/>
    <x v="3"/>
    <n v="1200"/>
    <n v="5.35"/>
    <n v="6420"/>
  </r>
  <r>
    <m/>
    <x v="28"/>
    <m/>
    <x v="9"/>
    <n v="200"/>
    <n v="0.8"/>
    <n v="160"/>
  </r>
  <r>
    <m/>
    <x v="28"/>
    <m/>
    <x v="5"/>
    <n v="1400"/>
    <n v="1.35"/>
    <n v="1890.0000000000002"/>
  </r>
  <r>
    <m/>
    <x v="28"/>
    <m/>
    <x v="26"/>
    <n v="10000"/>
    <n v="1"/>
    <n v="10000"/>
  </r>
  <r>
    <n v="30"/>
    <x v="29"/>
    <n v="7"/>
    <x v="9"/>
    <n v="200"/>
    <n v="0.65"/>
    <n v="130"/>
  </r>
  <r>
    <m/>
    <x v="29"/>
    <m/>
    <x v="13"/>
    <n v="1000"/>
    <n v="1.45"/>
    <n v="1450"/>
  </r>
  <r>
    <m/>
    <x v="29"/>
    <m/>
    <x v="32"/>
    <n v="2000"/>
    <n v="0.4"/>
    <n v="800"/>
  </r>
  <r>
    <m/>
    <x v="29"/>
    <m/>
    <x v="3"/>
    <n v="1200"/>
    <n v="4"/>
    <n v="4800"/>
  </r>
  <r>
    <m/>
    <x v="29"/>
    <m/>
    <x v="0"/>
    <n v="1000"/>
    <n v="7.65"/>
    <n v="7650"/>
  </r>
  <r>
    <n v="31"/>
    <x v="30"/>
    <n v="5"/>
    <x v="34"/>
    <n v="13000"/>
    <n v="1"/>
    <n v="13000"/>
  </r>
  <r>
    <m/>
    <x v="30"/>
    <m/>
    <x v="29"/>
    <n v="3500"/>
    <n v="2.7"/>
    <n v="9450"/>
  </r>
  <r>
    <m/>
    <x v="30"/>
    <m/>
    <x v="0"/>
    <n v="1000"/>
    <n v="2.6"/>
    <n v="2600"/>
  </r>
  <r>
    <m/>
    <x v="30"/>
    <m/>
    <x v="9"/>
    <n v="200"/>
    <n v="0.4"/>
    <n v="80"/>
  </r>
  <r>
    <n v="32"/>
    <x v="31"/>
    <n v="4"/>
    <x v="15"/>
    <n v="1800"/>
    <n v="6.05"/>
    <n v="10890"/>
  </r>
  <r>
    <m/>
    <x v="31"/>
    <m/>
    <x v="18"/>
    <n v="150"/>
    <n v="1.9"/>
    <n v="285"/>
  </r>
  <r>
    <m/>
    <x v="31"/>
    <m/>
    <x v="22"/>
    <n v="2500"/>
    <n v="1.2"/>
    <n v="3000"/>
  </r>
  <r>
    <m/>
    <x v="31"/>
    <m/>
    <x v="5"/>
    <n v="1400"/>
    <n v="4.1500000000000004"/>
    <n v="5810.0000000000009"/>
  </r>
  <r>
    <m/>
    <x v="31"/>
    <m/>
    <x v="0"/>
    <n v="1000"/>
    <n v="3.3"/>
    <n v="3300"/>
  </r>
  <r>
    <m/>
    <x v="31"/>
    <m/>
    <x v="9"/>
    <n v="200"/>
    <n v="0.2"/>
    <n v="40"/>
  </r>
  <r>
    <n v="33"/>
    <x v="32"/>
    <n v="5"/>
    <x v="35"/>
    <n v="4000"/>
    <n v="10.3"/>
    <n v="41200"/>
  </r>
  <r>
    <n v="34"/>
    <x v="33"/>
    <n v="4"/>
    <x v="3"/>
    <n v="1200"/>
    <n v="6.75"/>
    <n v="8100"/>
  </r>
  <r>
    <m/>
    <x v="33"/>
    <m/>
    <x v="0"/>
    <n v="1000"/>
    <n v="4.7"/>
    <n v="4700"/>
  </r>
  <r>
    <m/>
    <x v="33"/>
    <m/>
    <x v="3"/>
    <n v="1200"/>
    <n v="3"/>
    <n v="3600"/>
  </r>
  <r>
    <m/>
    <x v="33"/>
    <m/>
    <x v="22"/>
    <n v="2500"/>
    <n v="0.25"/>
    <n v="625"/>
  </r>
  <r>
    <m/>
    <x v="33"/>
    <m/>
    <x v="16"/>
    <n v="1500"/>
    <n v="0.75"/>
    <n v="1125"/>
  </r>
  <r>
    <m/>
    <x v="33"/>
    <m/>
    <x v="9"/>
    <n v="200"/>
    <n v="1.2000000000000002"/>
    <n v="240.00000000000003"/>
  </r>
  <r>
    <m/>
    <x v="33"/>
    <m/>
    <x v="18"/>
    <n v="150"/>
    <n v="1.35"/>
    <n v="202.5"/>
  </r>
  <r>
    <m/>
    <x v="33"/>
    <m/>
    <x v="5"/>
    <n v="1400"/>
    <n v="1.35"/>
    <n v="1890.0000000000002"/>
  </r>
  <r>
    <m/>
    <x v="33"/>
    <m/>
    <x v="12"/>
    <n v="2700"/>
    <n v="0.25"/>
    <n v="675"/>
  </r>
  <r>
    <m/>
    <x v="33"/>
    <m/>
    <x v="24"/>
    <n v="150"/>
    <n v="0.15"/>
    <n v="22.5"/>
  </r>
  <r>
    <n v="35"/>
    <x v="34"/>
    <n v="1"/>
    <x v="10"/>
    <n v="300"/>
    <n v="1.95"/>
    <n v="585"/>
  </r>
  <r>
    <m/>
    <x v="34"/>
    <m/>
    <x v="9"/>
    <n v="200"/>
    <n v="0.55000000000000004"/>
    <n v="110.00000000000001"/>
  </r>
  <r>
    <m/>
    <x v="34"/>
    <m/>
    <x v="4"/>
    <n v="2800"/>
    <n v="0.45"/>
    <n v="1260"/>
  </r>
  <r>
    <m/>
    <x v="34"/>
    <m/>
    <x v="16"/>
    <n v="1500"/>
    <n v="0.75"/>
    <n v="1125"/>
  </r>
  <r>
    <m/>
    <x v="34"/>
    <m/>
    <x v="33"/>
    <n v="1200"/>
    <n v="0.35"/>
    <n v="420"/>
  </r>
  <r>
    <m/>
    <x v="34"/>
    <m/>
    <x v="5"/>
    <n v="1400"/>
    <n v="1.25"/>
    <n v="1750"/>
  </r>
  <r>
    <m/>
    <x v="34"/>
    <m/>
    <x v="0"/>
    <n v="1000"/>
    <n v="2.2000000000000002"/>
    <n v="2200"/>
  </r>
  <r>
    <n v="36"/>
    <x v="35"/>
    <n v="3"/>
    <x v="18"/>
    <n v="150"/>
    <n v="1.45"/>
    <n v="217.5"/>
  </r>
  <r>
    <m/>
    <x v="35"/>
    <m/>
    <x v="15"/>
    <n v="1800"/>
    <n v="1.75"/>
    <n v="3150"/>
  </r>
  <r>
    <n v="37"/>
    <x v="36"/>
    <n v="4"/>
    <x v="0"/>
    <n v="1000"/>
    <n v="1.2"/>
    <n v="1200"/>
  </r>
  <r>
    <m/>
    <x v="36"/>
    <m/>
    <x v="10"/>
    <n v="300"/>
    <n v="0.9"/>
    <n v="270"/>
  </r>
  <r>
    <m/>
    <x v="36"/>
    <m/>
    <x v="5"/>
    <n v="1400"/>
    <n v="0.95"/>
    <n v="1330"/>
  </r>
  <r>
    <m/>
    <x v="36"/>
    <m/>
    <x v="17"/>
    <n v="600"/>
    <n v="0.1"/>
    <n v="60"/>
  </r>
  <r>
    <m/>
    <x v="36"/>
    <m/>
    <x v="9"/>
    <n v="200"/>
    <n v="0.45"/>
    <n v="90"/>
  </r>
  <r>
    <m/>
    <x v="36"/>
    <m/>
    <x v="21"/>
    <n v="300"/>
    <n v="0.45"/>
    <n v="135"/>
  </r>
  <r>
    <m/>
    <x v="36"/>
    <m/>
    <x v="25"/>
    <n v="1400"/>
    <n v="0.25"/>
    <n v="350"/>
  </r>
  <r>
    <m/>
    <x v="36"/>
    <m/>
    <x v="16"/>
    <n v="1500"/>
    <n v="0.25"/>
    <n v="375"/>
  </r>
  <r>
    <m/>
    <x v="36"/>
    <m/>
    <x v="7"/>
    <n v="2500"/>
    <n v="0.15"/>
    <n v="375"/>
  </r>
  <r>
    <m/>
    <x v="36"/>
    <m/>
    <x v="18"/>
    <n v="150"/>
    <n v="0.3"/>
    <n v="45"/>
  </r>
  <r>
    <m/>
    <x v="36"/>
    <m/>
    <x v="15"/>
    <n v="1800"/>
    <n v="0.2"/>
    <n v="360"/>
  </r>
  <r>
    <m/>
    <x v="36"/>
    <m/>
    <x v="4"/>
    <n v="2800"/>
    <n v="0.5"/>
    <n v="1400"/>
  </r>
  <r>
    <m/>
    <x v="36"/>
    <m/>
    <x v="8"/>
    <n v="1600"/>
    <n v="0.1"/>
    <n v="160"/>
  </r>
  <r>
    <n v="38"/>
    <x v="37"/>
    <n v="4"/>
    <x v="21"/>
    <n v="300"/>
    <n v="0.35"/>
    <n v="105"/>
  </r>
  <r>
    <m/>
    <x v="37"/>
    <m/>
    <x v="9"/>
    <n v="200"/>
    <n v="0.5"/>
    <n v="100"/>
  </r>
  <r>
    <m/>
    <x v="37"/>
    <m/>
    <x v="5"/>
    <n v="1400"/>
    <n v="0.4"/>
    <n v="560"/>
  </r>
  <r>
    <n v="39"/>
    <x v="38"/>
    <n v="4"/>
    <x v="8"/>
    <n v="1600"/>
    <n v="0.65"/>
    <n v="1040"/>
  </r>
  <r>
    <m/>
    <x v="38"/>
    <m/>
    <x v="18"/>
    <n v="150"/>
    <n v="1.45"/>
    <n v="217.5"/>
  </r>
  <r>
    <m/>
    <x v="38"/>
    <m/>
    <x v="5"/>
    <n v="1400"/>
    <n v="0.1"/>
    <n v="140"/>
  </r>
  <r>
    <m/>
    <x v="38"/>
    <m/>
    <x v="6"/>
    <n v="8000"/>
    <n v="0.1"/>
    <n v="800"/>
  </r>
  <r>
    <m/>
    <x v="38"/>
    <m/>
    <x v="22"/>
    <n v="2500"/>
    <n v="2.2000000000000002"/>
    <n v="5500"/>
  </r>
  <r>
    <m/>
    <x v="38"/>
    <m/>
    <x v="25"/>
    <n v="1400"/>
    <n v="0.4"/>
    <n v="560"/>
  </r>
  <r>
    <m/>
    <x v="38"/>
    <m/>
    <x v="13"/>
    <n v="1000"/>
    <n v="0.45"/>
    <n v="450"/>
  </r>
  <r>
    <m/>
    <x v="38"/>
    <m/>
    <x v="10"/>
    <n v="300"/>
    <n v="1"/>
    <n v="300"/>
  </r>
  <r>
    <n v="40"/>
    <x v="39"/>
    <n v="2"/>
    <x v="22"/>
    <n v="2775"/>
    <n v="6"/>
    <n v="16650"/>
  </r>
  <r>
    <n v="41"/>
    <x v="40"/>
    <n v="1"/>
    <x v="35"/>
    <n v="4000"/>
    <n v="5.9"/>
    <n v="23600"/>
  </r>
  <r>
    <m/>
    <x v="40"/>
    <m/>
    <x v="10"/>
    <n v="300"/>
    <n v="0.2"/>
    <n v="60"/>
  </r>
  <r>
    <m/>
    <x v="40"/>
    <m/>
    <x v="13"/>
    <n v="1000"/>
    <n v="0.4"/>
    <n v="400"/>
  </r>
  <r>
    <n v="42"/>
    <x v="41"/>
    <n v="1"/>
    <x v="5"/>
    <n v="1400"/>
    <n v="7.25"/>
    <n v="10150"/>
  </r>
  <r>
    <m/>
    <x v="41"/>
    <m/>
    <x v="10"/>
    <n v="300"/>
    <n v="0.4"/>
    <n v="120"/>
  </r>
  <r>
    <m/>
    <x v="41"/>
    <m/>
    <x v="14"/>
    <n v="5000"/>
    <n v="1.6"/>
    <n v="8000"/>
  </r>
  <r>
    <m/>
    <x v="41"/>
    <m/>
    <x v="15"/>
    <n v="1800"/>
    <n v="1.25"/>
    <n v="2250"/>
  </r>
  <r>
    <n v="43"/>
    <x v="42"/>
    <n v="1"/>
    <x v="13"/>
    <n v="1000"/>
    <n v="2.2000000000000002"/>
    <n v="2200"/>
  </r>
  <r>
    <n v="44"/>
    <x v="43"/>
    <n v="7"/>
    <x v="13"/>
    <n v="1000"/>
    <n v="1"/>
    <n v="1000"/>
  </r>
  <r>
    <m/>
    <x v="43"/>
    <m/>
    <x v="16"/>
    <n v="1500"/>
    <n v="0.15"/>
    <n v="225"/>
  </r>
  <r>
    <m/>
    <x v="43"/>
    <m/>
    <x v="18"/>
    <n v="150"/>
    <n v="0.15"/>
    <n v="22.5"/>
  </r>
  <r>
    <n v="45"/>
    <x v="44"/>
    <n v="4"/>
    <x v="8"/>
    <n v="1600"/>
    <n v="1.6"/>
    <n v="2560"/>
  </r>
  <r>
    <m/>
    <x v="44"/>
    <m/>
    <x v="11"/>
    <n v="1600"/>
    <n v="0.25"/>
    <n v="400"/>
  </r>
  <r>
    <m/>
    <x v="44"/>
    <m/>
    <x v="5"/>
    <n v="1400"/>
    <n v="5.95"/>
    <n v="8330"/>
  </r>
  <r>
    <m/>
    <x v="44"/>
    <m/>
    <x v="16"/>
    <n v="1500"/>
    <n v="0.1"/>
    <n v="150"/>
  </r>
  <r>
    <m/>
    <x v="44"/>
    <m/>
    <x v="36"/>
    <n v="4000"/>
    <n v="1"/>
    <n v="4000"/>
  </r>
  <r>
    <m/>
    <x v="44"/>
    <m/>
    <x v="10"/>
    <n v="300"/>
    <n v="0.25"/>
    <n v="75"/>
  </r>
  <r>
    <m/>
    <x v="44"/>
    <m/>
    <x v="0"/>
    <n v="1000"/>
    <n v="1.8"/>
    <n v="1800"/>
  </r>
  <r>
    <m/>
    <x v="44"/>
    <m/>
    <x v="6"/>
    <n v="8000"/>
    <n v="0.4"/>
    <n v="3200"/>
  </r>
  <r>
    <m/>
    <x v="44"/>
    <m/>
    <x v="18"/>
    <n v="150"/>
    <n v="1.65"/>
    <n v="247.5"/>
  </r>
  <r>
    <m/>
    <x v="44"/>
    <m/>
    <x v="22"/>
    <n v="2500"/>
    <n v="8.1"/>
    <n v="20250"/>
  </r>
  <r>
    <m/>
    <x v="44"/>
    <m/>
    <x v="15"/>
    <n v="1800"/>
    <n v="0.6"/>
    <n v="1080"/>
  </r>
  <r>
    <m/>
    <x v="44"/>
    <m/>
    <x v="25"/>
    <n v="1400"/>
    <n v="1.6"/>
    <n v="2240"/>
  </r>
  <r>
    <m/>
    <x v="44"/>
    <m/>
    <x v="13"/>
    <n v="1000"/>
    <n v="0.45"/>
    <n v="450"/>
  </r>
  <r>
    <n v="46"/>
    <x v="45"/>
    <n v="1"/>
    <x v="13"/>
    <n v="1000"/>
    <n v="2.8"/>
    <n v="2800"/>
  </r>
  <r>
    <n v="47"/>
    <x v="46"/>
    <n v="4"/>
    <x v="4"/>
    <n v="2800"/>
    <n v="0.4"/>
    <n v="1120"/>
  </r>
  <r>
    <m/>
    <x v="46"/>
    <m/>
    <x v="9"/>
    <n v="200"/>
    <n v="0.25"/>
    <n v="50"/>
  </r>
  <r>
    <m/>
    <x v="46"/>
    <m/>
    <x v="32"/>
    <n v="2000"/>
    <n v="0.1"/>
    <n v="200"/>
  </r>
  <r>
    <m/>
    <x v="46"/>
    <m/>
    <x v="5"/>
    <n v="1400"/>
    <n v="0.85000000000000009"/>
    <n v="1190.0000000000002"/>
  </r>
  <r>
    <m/>
    <x v="46"/>
    <m/>
    <x v="10"/>
    <n v="300"/>
    <n v="1.75"/>
    <n v="525"/>
  </r>
  <r>
    <m/>
    <x v="46"/>
    <m/>
    <x v="0"/>
    <n v="1000"/>
    <n v="0.7"/>
    <n v="700"/>
  </r>
  <r>
    <m/>
    <x v="46"/>
    <m/>
    <x v="3"/>
    <n v="1200"/>
    <n v="4"/>
    <n v="4800"/>
  </r>
  <r>
    <m/>
    <x v="46"/>
    <m/>
    <x v="25"/>
    <n v="1400"/>
    <n v="0.35"/>
    <n v="489.99999999999994"/>
  </r>
  <r>
    <m/>
    <x v="46"/>
    <m/>
    <x v="15"/>
    <n v="1800"/>
    <n v="1.9"/>
    <n v="3420"/>
  </r>
  <r>
    <m/>
    <x v="46"/>
    <m/>
    <x v="22"/>
    <n v="2500"/>
    <n v="5.75"/>
    <n v="14375"/>
  </r>
  <r>
    <n v="48"/>
    <x v="47"/>
    <n v="5"/>
    <x v="10"/>
    <n v="300"/>
    <n v="1.1499999999999999"/>
    <n v="345"/>
  </r>
  <r>
    <m/>
    <x v="47"/>
    <m/>
    <x v="32"/>
    <n v="2000"/>
    <n v="0.2"/>
    <n v="400"/>
  </r>
  <r>
    <m/>
    <x v="47"/>
    <m/>
    <x v="4"/>
    <n v="2800"/>
    <n v="0.45"/>
    <n v="1260"/>
  </r>
  <r>
    <m/>
    <x v="47"/>
    <m/>
    <x v="5"/>
    <n v="1400"/>
    <n v="0.65"/>
    <n v="910"/>
  </r>
  <r>
    <m/>
    <x v="47"/>
    <m/>
    <x v="9"/>
    <n v="200"/>
    <n v="0.6"/>
    <n v="120"/>
  </r>
  <r>
    <m/>
    <x v="47"/>
    <m/>
    <x v="21"/>
    <n v="300"/>
    <n v="0.85"/>
    <n v="255"/>
  </r>
  <r>
    <m/>
    <x v="47"/>
    <m/>
    <x v="7"/>
    <n v="2500"/>
    <n v="0.15"/>
    <n v="375"/>
  </r>
  <r>
    <n v="49"/>
    <x v="48"/>
    <n v="4"/>
    <x v="15"/>
    <n v="1800"/>
    <n v="1.45"/>
    <n v="2610"/>
  </r>
  <r>
    <m/>
    <x v="48"/>
    <m/>
    <x v="5"/>
    <n v="1400"/>
    <n v="1"/>
    <n v="1400"/>
  </r>
  <r>
    <m/>
    <x v="48"/>
    <m/>
    <x v="21"/>
    <n v="300"/>
    <n v="0.1"/>
    <n v="30"/>
  </r>
  <r>
    <n v="50"/>
    <x v="49"/>
    <n v="4"/>
    <x v="15"/>
    <n v="1800"/>
    <n v="0.35"/>
    <n v="630"/>
  </r>
  <r>
    <m/>
    <x v="49"/>
    <m/>
    <x v="22"/>
    <n v="2500"/>
    <n v="1"/>
    <n v="2500"/>
  </r>
  <r>
    <m/>
    <x v="49"/>
    <m/>
    <x v="8"/>
    <n v="1600"/>
    <n v="0.5"/>
    <n v="800"/>
  </r>
  <r>
    <m/>
    <x v="49"/>
    <m/>
    <x v="0"/>
    <n v="1000"/>
    <n v="1.9"/>
    <n v="1900"/>
  </r>
  <r>
    <m/>
    <x v="49"/>
    <m/>
    <x v="10"/>
    <n v="300"/>
    <n v="1.2"/>
    <n v="360"/>
  </r>
  <r>
    <m/>
    <x v="49"/>
    <m/>
    <x v="9"/>
    <n v="200"/>
    <n v="0.15"/>
    <n v="30"/>
  </r>
  <r>
    <n v="51"/>
    <x v="50"/>
    <n v="2"/>
    <x v="21"/>
    <n v="300"/>
    <n v="2.4500000000000002"/>
    <n v="735"/>
  </r>
  <r>
    <m/>
    <x v="50"/>
    <m/>
    <x v="0"/>
    <n v="1000"/>
    <n v="0.95"/>
    <n v="950"/>
  </r>
  <r>
    <m/>
    <x v="50"/>
    <m/>
    <x v="13"/>
    <n v="1000"/>
    <n v="2.5499999999999998"/>
    <n v="2550"/>
  </r>
  <r>
    <n v="52"/>
    <x v="51"/>
    <n v="1"/>
    <x v="19"/>
    <n v="400"/>
    <n v="0.3"/>
    <n v="120"/>
  </r>
  <r>
    <m/>
    <x v="51"/>
    <m/>
    <x v="9"/>
    <n v="200"/>
    <n v="1.95"/>
    <n v="390"/>
  </r>
  <r>
    <m/>
    <x v="51"/>
    <m/>
    <x v="13"/>
    <n v="1000"/>
    <n v="0.55000000000000004"/>
    <n v="550"/>
  </r>
  <r>
    <n v="53"/>
    <x v="52"/>
    <s v="Blok TD"/>
    <x v="18"/>
    <n v="150"/>
    <n v="0.8"/>
    <n v="120"/>
  </r>
  <r>
    <m/>
    <x v="52"/>
    <m/>
    <x v="5"/>
    <n v="1400"/>
    <n v="1.7999999999999998"/>
    <n v="2519.9999999999995"/>
  </r>
  <r>
    <n v="54"/>
    <x v="53"/>
    <n v="4"/>
    <x v="28"/>
    <n v="150"/>
    <n v="6.05"/>
    <n v="907.5"/>
  </r>
  <r>
    <m/>
    <x v="53"/>
    <m/>
    <x v="35"/>
    <n v="4000"/>
    <n v="1.7"/>
    <n v="6800"/>
  </r>
  <r>
    <n v="55"/>
    <x v="54"/>
    <s v="Pos"/>
    <x v="0"/>
    <n v="1000"/>
    <n v="1.2"/>
    <n v="1200"/>
  </r>
  <r>
    <m/>
    <x v="54"/>
    <m/>
    <x v="1"/>
    <n v="1400"/>
    <n v="1.1499999999999999"/>
    <n v="1609.9999999999998"/>
  </r>
  <r>
    <m/>
    <x v="54"/>
    <m/>
    <x v="5"/>
    <n v="1400"/>
    <n v="17.05"/>
    <n v="23870"/>
  </r>
  <r>
    <m/>
    <x v="54"/>
    <m/>
    <x v="10"/>
    <n v="300"/>
    <n v="0.1"/>
    <n v="30"/>
  </r>
  <r>
    <m/>
    <x v="54"/>
    <m/>
    <x v="16"/>
    <n v="1500"/>
    <n v="0.25"/>
    <n v="375"/>
  </r>
  <r>
    <m/>
    <x v="54"/>
    <m/>
    <x v="25"/>
    <n v="1400"/>
    <n v="0.35"/>
    <n v="489.99999999999994"/>
  </r>
  <r>
    <m/>
    <x v="54"/>
    <m/>
    <x v="4"/>
    <n v="2800"/>
    <n v="0.25"/>
    <n v="7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n v="1"/>
    <x v="0"/>
    <n v="7"/>
    <x v="0"/>
    <n v="200"/>
    <n v="0.3"/>
    <n v="60"/>
  </r>
  <r>
    <m/>
    <x v="0"/>
    <m/>
    <x v="1"/>
    <n v="150"/>
    <n v="1.1499999999999999"/>
    <n v="172.5"/>
  </r>
  <r>
    <m/>
    <x v="0"/>
    <m/>
    <x v="2"/>
    <n v="1400"/>
    <n v="0.35"/>
    <n v="489.99999999999994"/>
  </r>
  <r>
    <m/>
    <x v="0"/>
    <m/>
    <x v="3"/>
    <n v="2500"/>
    <n v="0.05"/>
    <n v="125"/>
  </r>
  <r>
    <m/>
    <x v="0"/>
    <m/>
    <x v="4"/>
    <n v="2800"/>
    <n v="0.4"/>
    <n v="1120"/>
  </r>
  <r>
    <m/>
    <x v="0"/>
    <m/>
    <x v="5"/>
    <n v="1500"/>
    <n v="0.05"/>
    <n v="75"/>
  </r>
  <r>
    <n v="2"/>
    <x v="1"/>
    <n v="7"/>
    <x v="6"/>
    <n v="600"/>
    <n v="0.8"/>
    <n v="480"/>
  </r>
  <r>
    <m/>
    <x v="1"/>
    <m/>
    <x v="2"/>
    <n v="1400"/>
    <n v="2.35"/>
    <n v="3290"/>
  </r>
  <r>
    <m/>
    <x v="1"/>
    <m/>
    <x v="7"/>
    <n v="1200"/>
    <n v="10.4"/>
    <n v="12480"/>
  </r>
  <r>
    <m/>
    <x v="1"/>
    <m/>
    <x v="8"/>
    <n v="1400"/>
    <n v="2.8"/>
    <n v="3919.9999999999995"/>
  </r>
  <r>
    <m/>
    <x v="1"/>
    <m/>
    <x v="9"/>
    <n v="300"/>
    <n v="0.44999999999999996"/>
    <n v="135"/>
  </r>
  <r>
    <m/>
    <x v="1"/>
    <m/>
    <x v="10"/>
    <n v="5000"/>
    <n v="0.15"/>
    <n v="750"/>
  </r>
  <r>
    <m/>
    <x v="1"/>
    <m/>
    <x v="11"/>
    <n v="1000"/>
    <n v="0.15"/>
    <n v="150"/>
  </r>
  <r>
    <m/>
    <x v="1"/>
    <m/>
    <x v="1"/>
    <n v="150"/>
    <n v="0.15"/>
    <n v="22.5"/>
  </r>
  <r>
    <m/>
    <x v="1"/>
    <m/>
    <x v="12"/>
    <n v="1800"/>
    <n v="0.2"/>
    <n v="360"/>
  </r>
  <r>
    <n v="3"/>
    <x v="2"/>
    <n v="4"/>
    <x v="13"/>
    <n v="800"/>
    <n v="0.35"/>
    <n v="280"/>
  </r>
  <r>
    <m/>
    <x v="2"/>
    <m/>
    <x v="11"/>
    <n v="1000"/>
    <n v="3.4"/>
    <n v="3400"/>
  </r>
  <r>
    <m/>
    <x v="2"/>
    <m/>
    <x v="0"/>
    <n v="200"/>
    <n v="0.3"/>
    <n v="60"/>
  </r>
  <r>
    <m/>
    <x v="2"/>
    <m/>
    <x v="14"/>
    <n v="1600"/>
    <n v="0.15"/>
    <n v="240"/>
  </r>
  <r>
    <m/>
    <x v="2"/>
    <m/>
    <x v="15"/>
    <n v="150"/>
    <n v="0.15"/>
    <n v="22.5"/>
  </r>
  <r>
    <m/>
    <x v="2"/>
    <m/>
    <x v="16"/>
    <n v="300"/>
    <n v="0.05"/>
    <n v="15"/>
  </r>
  <r>
    <m/>
    <x v="2"/>
    <m/>
    <x v="17"/>
    <n v="1400"/>
    <n v="0.55000000000000004"/>
    <n v="770.00000000000011"/>
  </r>
  <r>
    <m/>
    <x v="2"/>
    <m/>
    <x v="18"/>
    <n v="8000"/>
    <n v="0.1"/>
    <n v="800"/>
  </r>
  <r>
    <n v="4"/>
    <x v="3"/>
    <n v="4"/>
    <x v="10"/>
    <n v="5000"/>
    <n v="2"/>
    <n v="10000"/>
  </r>
  <r>
    <m/>
    <x v="3"/>
    <m/>
    <x v="2"/>
    <n v="1400"/>
    <n v="2"/>
    <n v="2800"/>
  </r>
  <r>
    <m/>
    <x v="3"/>
    <m/>
    <x v="11"/>
    <n v="1000"/>
    <n v="0.9"/>
    <n v="900"/>
  </r>
  <r>
    <m/>
    <x v="3"/>
    <m/>
    <x v="19"/>
    <n v="2000"/>
    <n v="1.85"/>
    <n v="3700"/>
  </r>
  <r>
    <m/>
    <x v="3"/>
    <m/>
    <x v="9"/>
    <n v="300"/>
    <n v="0.15000000000000002"/>
    <n v="45.000000000000007"/>
  </r>
  <r>
    <m/>
    <x v="3"/>
    <m/>
    <x v="14"/>
    <n v="1600"/>
    <n v="0.25"/>
    <n v="400"/>
  </r>
  <r>
    <m/>
    <x v="3"/>
    <m/>
    <x v="0"/>
    <n v="200"/>
    <n v="0.3"/>
    <n v="60"/>
  </r>
  <r>
    <n v="5"/>
    <x v="4"/>
    <n v="4"/>
    <x v="0"/>
    <n v="200"/>
    <n v="2.5499999999999998"/>
    <n v="509.99999999999994"/>
  </r>
  <r>
    <m/>
    <x v="4"/>
    <m/>
    <x v="16"/>
    <n v="300"/>
    <n v="0.15"/>
    <n v="45"/>
  </r>
  <r>
    <m/>
    <x v="4"/>
    <m/>
    <x v="4"/>
    <n v="2800"/>
    <n v="0.7"/>
    <n v="1959.9999999999998"/>
  </r>
  <r>
    <m/>
    <x v="4"/>
    <m/>
    <x v="3"/>
    <n v="2500"/>
    <n v="0.35"/>
    <n v="875"/>
  </r>
  <r>
    <n v="6"/>
    <x v="5"/>
    <n v="3"/>
    <x v="20"/>
    <n v="1000"/>
    <n v="2.25"/>
    <n v="2250"/>
  </r>
  <r>
    <m/>
    <x v="5"/>
    <m/>
    <x v="0"/>
    <n v="200"/>
    <n v="1.7"/>
    <n v="340"/>
  </r>
  <r>
    <m/>
    <x v="5"/>
    <m/>
    <x v="9"/>
    <n v="300"/>
    <n v="1.3"/>
    <n v="390"/>
  </r>
  <r>
    <m/>
    <x v="5"/>
    <m/>
    <x v="5"/>
    <n v="1500"/>
    <n v="0.2"/>
    <n v="300"/>
  </r>
  <r>
    <m/>
    <x v="5"/>
    <m/>
    <x v="2"/>
    <n v="1400"/>
    <n v="0.15"/>
    <n v="210"/>
  </r>
  <r>
    <m/>
    <x v="5"/>
    <m/>
    <x v="12"/>
    <n v="1800"/>
    <n v="0.3"/>
    <n v="540"/>
  </r>
  <r>
    <m/>
    <x v="5"/>
    <m/>
    <x v="1"/>
    <n v="150"/>
    <n v="0.15000000000000002"/>
    <n v="22.500000000000004"/>
  </r>
  <r>
    <n v="7"/>
    <x v="6"/>
    <n v="4"/>
    <x v="11"/>
    <n v="1000"/>
    <n v="0.9"/>
    <n v="900"/>
  </r>
  <r>
    <m/>
    <x v="6"/>
    <m/>
    <x v="20"/>
    <n v="1000"/>
    <n v="3.8499999999999996"/>
    <n v="3849.9999999999995"/>
  </r>
  <r>
    <m/>
    <x v="6"/>
    <m/>
    <x v="5"/>
    <n v="1500"/>
    <n v="1.3"/>
    <n v="1950"/>
  </r>
  <r>
    <m/>
    <x v="6"/>
    <m/>
    <x v="18"/>
    <n v="8000"/>
    <n v="1.2999999999999998"/>
    <n v="10399.999999999998"/>
  </r>
  <r>
    <n v="8"/>
    <x v="7"/>
    <n v="1"/>
    <x v="0"/>
    <n v="200"/>
    <n v="0.39999999999999997"/>
    <n v="80"/>
  </r>
  <r>
    <m/>
    <x v="7"/>
    <m/>
    <x v="9"/>
    <n v="300"/>
    <n v="0.2"/>
    <n v="60"/>
  </r>
  <r>
    <m/>
    <x v="7"/>
    <m/>
    <x v="20"/>
    <n v="1000"/>
    <n v="0.8"/>
    <n v="800"/>
  </r>
  <r>
    <n v="9"/>
    <x v="8"/>
    <n v="4"/>
    <x v="0"/>
    <n v="200"/>
    <n v="0.95"/>
    <n v="190"/>
  </r>
  <r>
    <m/>
    <x v="8"/>
    <m/>
    <x v="4"/>
    <n v="2800"/>
    <n v="0.4"/>
    <n v="1120"/>
  </r>
  <r>
    <m/>
    <x v="8"/>
    <m/>
    <x v="2"/>
    <n v="1400"/>
    <n v="2.9"/>
    <n v="4060"/>
  </r>
  <r>
    <m/>
    <x v="8"/>
    <m/>
    <x v="17"/>
    <n v="1400"/>
    <n v="0.2"/>
    <n v="280"/>
  </r>
  <r>
    <m/>
    <x v="8"/>
    <m/>
    <x v="21"/>
    <n v="1200"/>
    <n v="0.4"/>
    <n v="480"/>
  </r>
  <r>
    <m/>
    <x v="8"/>
    <m/>
    <x v="12"/>
    <n v="1800"/>
    <n v="1.8"/>
    <n v="3240"/>
  </r>
  <r>
    <n v="10"/>
    <x v="9"/>
    <n v="7"/>
    <x v="0"/>
    <n v="200"/>
    <n v="1.2"/>
    <n v="240"/>
  </r>
  <r>
    <m/>
    <x v="9"/>
    <m/>
    <x v="20"/>
    <n v="1000"/>
    <n v="3.35"/>
    <n v="3350"/>
  </r>
  <r>
    <m/>
    <x v="9"/>
    <m/>
    <x v="11"/>
    <n v="1000"/>
    <n v="5.6"/>
    <n v="5600"/>
  </r>
  <r>
    <n v="11"/>
    <x v="10"/>
    <s v="UE"/>
    <x v="22"/>
    <n v="4000"/>
    <n v="5"/>
    <n v="20000"/>
  </r>
  <r>
    <m/>
    <x v="10"/>
    <m/>
    <x v="19"/>
    <n v="2000"/>
    <n v="0.05"/>
    <n v="100"/>
  </r>
  <r>
    <n v="12"/>
    <x v="11"/>
    <s v="Kp Bambu"/>
    <x v="2"/>
    <n v="1400"/>
    <n v="0.7"/>
    <n v="979.99999999999989"/>
  </r>
  <r>
    <m/>
    <x v="11"/>
    <m/>
    <x v="22"/>
    <n v="4000"/>
    <n v="5.55"/>
    <n v="22200"/>
  </r>
  <r>
    <m/>
    <x v="11"/>
    <m/>
    <x v="20"/>
    <n v="1000"/>
    <n v="1.25"/>
    <n v="1250"/>
  </r>
  <r>
    <m/>
    <x v="11"/>
    <m/>
    <x v="5"/>
    <n v="1500"/>
    <n v="1.1499999999999999"/>
    <n v="1724.9999999999998"/>
  </r>
  <r>
    <m/>
    <x v="11"/>
    <m/>
    <x v="1"/>
    <n v="150"/>
    <n v="0.75"/>
    <n v="112.5"/>
  </r>
  <r>
    <m/>
    <x v="11"/>
    <m/>
    <x v="4"/>
    <n v="2800"/>
    <n v="2.2999999999999998"/>
    <n v="6439.9999999999991"/>
  </r>
  <r>
    <m/>
    <x v="11"/>
    <m/>
    <x v="11"/>
    <n v="1000"/>
    <n v="7.5"/>
    <n v="7500"/>
  </r>
  <r>
    <m/>
    <x v="11"/>
    <m/>
    <x v="9"/>
    <n v="300"/>
    <n v="0.9"/>
    <n v="270"/>
  </r>
  <r>
    <n v="13"/>
    <x v="12"/>
    <n v="4"/>
    <x v="11"/>
    <n v="1000"/>
    <n v="3.8"/>
    <n v="3800"/>
  </r>
  <r>
    <m/>
    <x v="12"/>
    <m/>
    <x v="0"/>
    <n v="200"/>
    <n v="0.8"/>
    <n v="160"/>
  </r>
  <r>
    <m/>
    <x v="12"/>
    <m/>
    <x v="1"/>
    <n v="150"/>
    <n v="2.4"/>
    <n v="360"/>
  </r>
  <r>
    <m/>
    <x v="12"/>
    <m/>
    <x v="4"/>
    <n v="2800"/>
    <n v="0.7"/>
    <n v="1959.9999999999998"/>
  </r>
  <r>
    <m/>
    <x v="12"/>
    <m/>
    <x v="9"/>
    <n v="300"/>
    <n v="0.1"/>
    <n v="30"/>
  </r>
  <r>
    <m/>
    <x v="12"/>
    <m/>
    <x v="6"/>
    <n v="600"/>
    <n v="0.15"/>
    <n v="90"/>
  </r>
  <r>
    <m/>
    <x v="12"/>
    <m/>
    <x v="19"/>
    <n v="2000"/>
    <n v="0.15"/>
    <n v="300"/>
  </r>
  <r>
    <m/>
    <x v="12"/>
    <m/>
    <x v="2"/>
    <n v="1400"/>
    <n v="0.2"/>
    <n v="280"/>
  </r>
  <r>
    <m/>
    <x v="12"/>
    <m/>
    <x v="12"/>
    <n v="1800"/>
    <n v="2.95"/>
    <n v="5310"/>
  </r>
  <r>
    <n v="14"/>
    <x v="13"/>
    <n v="2"/>
    <x v="11"/>
    <n v="1000"/>
    <n v="1.75"/>
    <n v="1750"/>
  </r>
  <r>
    <m/>
    <x v="13"/>
    <m/>
    <x v="9"/>
    <n v="300"/>
    <n v="0.3"/>
    <n v="90"/>
  </r>
  <r>
    <m/>
    <x v="13"/>
    <m/>
    <x v="2"/>
    <n v="1400"/>
    <n v="1.65"/>
    <n v="2310"/>
  </r>
  <r>
    <m/>
    <x v="13"/>
    <m/>
    <x v="16"/>
    <n v="300"/>
    <n v="0.65"/>
    <n v="195"/>
  </r>
  <r>
    <m/>
    <x v="13"/>
    <m/>
    <x v="0"/>
    <n v="200"/>
    <n v="0.3"/>
    <n v="60"/>
  </r>
  <r>
    <m/>
    <x v="13"/>
    <m/>
    <x v="21"/>
    <n v="1200"/>
    <n v="0.45"/>
    <n v="540"/>
  </r>
  <r>
    <m/>
    <x v="13"/>
    <m/>
    <x v="17"/>
    <n v="1400"/>
    <n v="1"/>
    <n v="1400"/>
  </r>
  <r>
    <m/>
    <x v="13"/>
    <m/>
    <x v="20"/>
    <n v="1000"/>
    <n v="1"/>
    <n v="1000"/>
  </r>
  <r>
    <m/>
    <x v="13"/>
    <m/>
    <x v="12"/>
    <n v="1800"/>
    <n v="0.4"/>
    <n v="720"/>
  </r>
  <r>
    <m/>
    <x v="13"/>
    <m/>
    <x v="1"/>
    <n v="150"/>
    <n v="1.35"/>
    <n v="202.5"/>
  </r>
  <r>
    <n v="15"/>
    <x v="14"/>
    <n v="4"/>
    <x v="20"/>
    <n v="1000"/>
    <n v="3"/>
    <n v="3000"/>
  </r>
  <r>
    <m/>
    <x v="14"/>
    <m/>
    <x v="11"/>
    <n v="1000"/>
    <n v="0.1"/>
    <n v="100"/>
  </r>
  <r>
    <m/>
    <x v="14"/>
    <m/>
    <x v="9"/>
    <n v="300"/>
    <n v="0.1"/>
    <n v="30"/>
  </r>
  <r>
    <m/>
    <x v="14"/>
    <m/>
    <x v="6"/>
    <n v="600"/>
    <n v="0.6"/>
    <n v="360"/>
  </r>
  <r>
    <m/>
    <x v="14"/>
    <m/>
    <x v="0"/>
    <n v="200"/>
    <n v="1.35"/>
    <n v="270"/>
  </r>
  <r>
    <n v="16"/>
    <x v="15"/>
    <n v="3"/>
    <x v="23"/>
    <n v="2500"/>
    <n v="0.8"/>
    <n v="2000"/>
  </r>
  <r>
    <m/>
    <x v="15"/>
    <m/>
    <x v="1"/>
    <n v="150"/>
    <n v="0.95"/>
    <n v="142.5"/>
  </r>
  <r>
    <m/>
    <x v="15"/>
    <m/>
    <x v="2"/>
    <n v="1400"/>
    <n v="0.5"/>
    <n v="700"/>
  </r>
  <r>
    <m/>
    <x v="15"/>
    <m/>
    <x v="16"/>
    <n v="300"/>
    <n v="0.3"/>
    <n v="90"/>
  </r>
  <r>
    <m/>
    <x v="15"/>
    <m/>
    <x v="9"/>
    <n v="300"/>
    <n v="2.5499999999999998"/>
    <n v="765"/>
  </r>
  <r>
    <m/>
    <x v="15"/>
    <m/>
    <x v="13"/>
    <n v="800"/>
    <n v="0.45"/>
    <n v="360"/>
  </r>
  <r>
    <m/>
    <x v="15"/>
    <m/>
    <x v="0"/>
    <n v="200"/>
    <n v="0.55000000000000004"/>
    <n v="110.00000000000001"/>
  </r>
  <r>
    <m/>
    <x v="15"/>
    <m/>
    <x v="4"/>
    <n v="2800"/>
    <n v="0.9"/>
    <n v="2520"/>
  </r>
  <r>
    <m/>
    <x v="15"/>
    <m/>
    <x v="24"/>
    <n v="150"/>
    <n v="0.2"/>
    <n v="30"/>
  </r>
  <r>
    <m/>
    <x v="15"/>
    <m/>
    <x v="2"/>
    <n v="1400"/>
    <n v="0.35"/>
    <n v="489.99999999999994"/>
  </r>
  <r>
    <m/>
    <x v="15"/>
    <m/>
    <x v="11"/>
    <n v="1000"/>
    <n v="3.15"/>
    <n v="3150"/>
  </r>
  <r>
    <n v="17"/>
    <x v="16"/>
    <n v="7"/>
    <x v="0"/>
    <n v="200"/>
    <n v="0.95"/>
    <n v="190"/>
  </r>
  <r>
    <m/>
    <x v="16"/>
    <m/>
    <x v="9"/>
    <n v="300"/>
    <n v="1.85"/>
    <n v="555"/>
  </r>
  <r>
    <m/>
    <x v="16"/>
    <m/>
    <x v="11"/>
    <n v="1000"/>
    <n v="0.7"/>
    <n v="700"/>
  </r>
  <r>
    <m/>
    <x v="16"/>
    <m/>
    <x v="2"/>
    <n v="1400"/>
    <n v="0.15"/>
    <n v="210"/>
  </r>
  <r>
    <n v="18"/>
    <x v="17"/>
    <n v="3"/>
    <x v="18"/>
    <n v="8000"/>
    <n v="0.7"/>
    <n v="5600"/>
  </r>
  <r>
    <m/>
    <x v="17"/>
    <m/>
    <x v="2"/>
    <n v="1400"/>
    <n v="3.9499999999999997"/>
    <n v="5530"/>
  </r>
  <r>
    <m/>
    <x v="17"/>
    <m/>
    <x v="25"/>
    <n v="1600"/>
    <n v="0.3"/>
    <n v="480"/>
  </r>
  <r>
    <n v="19"/>
    <x v="18"/>
    <n v="4"/>
    <x v="4"/>
    <n v="2800"/>
    <n v="1.4"/>
    <n v="3919.9999999999995"/>
  </r>
  <r>
    <m/>
    <x v="18"/>
    <m/>
    <x v="26"/>
    <n v="3500"/>
    <n v="0.6"/>
    <n v="2100"/>
  </r>
  <r>
    <m/>
    <x v="18"/>
    <m/>
    <x v="3"/>
    <n v="2500"/>
    <n v="0.4"/>
    <n v="1000"/>
  </r>
  <r>
    <m/>
    <x v="18"/>
    <m/>
    <x v="2"/>
    <n v="1400"/>
    <n v="2.6"/>
    <n v="3640"/>
  </r>
  <r>
    <m/>
    <x v="18"/>
    <m/>
    <x v="27"/>
    <n v="2700"/>
    <n v="0.35"/>
    <n v="944.99999999999989"/>
  </r>
  <r>
    <m/>
    <x v="18"/>
    <m/>
    <x v="23"/>
    <n v="2500"/>
    <n v="1.9"/>
    <n v="4750"/>
  </r>
  <r>
    <m/>
    <x v="18"/>
    <m/>
    <x v="0"/>
    <n v="200"/>
    <n v="0.8"/>
    <n v="160"/>
  </r>
  <r>
    <m/>
    <x v="18"/>
    <m/>
    <x v="16"/>
    <n v="300"/>
    <n v="0.15"/>
    <n v="45"/>
  </r>
  <r>
    <m/>
    <x v="18"/>
    <m/>
    <x v="6"/>
    <n v="600"/>
    <n v="0.4"/>
    <n v="240"/>
  </r>
  <r>
    <m/>
    <x v="18"/>
    <m/>
    <x v="11"/>
    <n v="1000"/>
    <n v="0.79999999999999993"/>
    <n v="799.99999999999989"/>
  </r>
  <r>
    <m/>
    <x v="18"/>
    <m/>
    <x v="9"/>
    <n v="300"/>
    <n v="0.1"/>
    <n v="30"/>
  </r>
  <r>
    <m/>
    <x v="18"/>
    <m/>
    <x v="18"/>
    <n v="8000"/>
    <n v="0.5"/>
    <n v="4000"/>
  </r>
  <r>
    <m/>
    <x v="18"/>
    <m/>
    <x v="21"/>
    <n v="1200"/>
    <n v="0.25"/>
    <n v="300"/>
  </r>
  <r>
    <n v="20"/>
    <x v="19"/>
    <n v="5"/>
    <x v="11"/>
    <n v="1000"/>
    <n v="2.85"/>
    <n v="2850"/>
  </r>
  <r>
    <m/>
    <x v="19"/>
    <m/>
    <x v="2"/>
    <n v="1400"/>
    <n v="6.5"/>
    <n v="9100"/>
  </r>
  <r>
    <m/>
    <x v="19"/>
    <m/>
    <x v="18"/>
    <n v="8000"/>
    <n v="0.15"/>
    <n v="1200"/>
  </r>
  <r>
    <m/>
    <x v="19"/>
    <m/>
    <x v="0"/>
    <n v="200"/>
    <n v="0.6"/>
    <n v="120"/>
  </r>
  <r>
    <m/>
    <x v="19"/>
    <m/>
    <x v="26"/>
    <n v="3500"/>
    <n v="2.0499999999999998"/>
    <n v="7174.9999999999991"/>
  </r>
  <r>
    <m/>
    <x v="19"/>
    <m/>
    <x v="28"/>
    <n v="150"/>
    <n v="1"/>
    <n v="150"/>
  </r>
  <r>
    <m/>
    <x v="19"/>
    <m/>
    <x v="7"/>
    <n v="1200"/>
    <n v="3.75"/>
    <n v="4500"/>
  </r>
  <r>
    <n v="21"/>
    <x v="20"/>
    <n v="4"/>
    <x v="1"/>
    <n v="150"/>
    <n v="2.7"/>
    <n v="405"/>
  </r>
  <r>
    <m/>
    <x v="20"/>
    <m/>
    <x v="19"/>
    <n v="2000"/>
    <n v="0.45"/>
    <n v="900"/>
  </r>
  <r>
    <m/>
    <x v="20"/>
    <m/>
    <x v="11"/>
    <n v="1000"/>
    <n v="0.25"/>
    <n v="250"/>
  </r>
  <r>
    <m/>
    <x v="20"/>
    <m/>
    <x v="16"/>
    <n v="300"/>
    <n v="0.2"/>
    <n v="60"/>
  </r>
  <r>
    <m/>
    <x v="20"/>
    <m/>
    <x v="14"/>
    <n v="1600"/>
    <n v="0.2"/>
    <n v="320"/>
  </r>
  <r>
    <m/>
    <x v="20"/>
    <m/>
    <x v="0"/>
    <n v="200"/>
    <n v="0.4"/>
    <n v="80"/>
  </r>
  <r>
    <m/>
    <x v="20"/>
    <m/>
    <x v="13"/>
    <n v="800"/>
    <n v="0.2"/>
    <n v="160"/>
  </r>
  <r>
    <n v="22"/>
    <x v="21"/>
    <n v="2"/>
    <x v="8"/>
    <n v="1400"/>
    <n v="8.3000000000000007"/>
    <n v="11620.000000000002"/>
  </r>
  <r>
    <m/>
    <x v="21"/>
    <m/>
    <x v="7"/>
    <n v="1200"/>
    <n v="1.65"/>
    <n v="1980"/>
  </r>
  <r>
    <m/>
    <x v="21"/>
    <m/>
    <x v="11"/>
    <n v="1000"/>
    <n v="0.4"/>
    <n v="400"/>
  </r>
  <r>
    <m/>
    <x v="21"/>
    <m/>
    <x v="9"/>
    <n v="300"/>
    <n v="1.05"/>
    <n v="315"/>
  </r>
  <r>
    <m/>
    <x v="21"/>
    <m/>
    <x v="13"/>
    <n v="800"/>
    <n v="0.15"/>
    <n v="120"/>
  </r>
  <r>
    <m/>
    <x v="21"/>
    <m/>
    <x v="29"/>
    <n v="6000"/>
    <n v="1.25"/>
    <n v="7500"/>
  </r>
  <r>
    <m/>
    <x v="21"/>
    <m/>
    <x v="14"/>
    <n v="1600"/>
    <n v="0.3"/>
    <n v="480"/>
  </r>
  <r>
    <m/>
    <x v="21"/>
    <m/>
    <x v="1"/>
    <n v="150"/>
    <n v="1"/>
    <n v="150"/>
  </r>
  <r>
    <m/>
    <x v="21"/>
    <m/>
    <x v="0"/>
    <n v="200"/>
    <n v="0.55000000000000004"/>
    <n v="110.00000000000001"/>
  </r>
  <r>
    <m/>
    <x v="21"/>
    <m/>
    <x v="2"/>
    <n v="1400"/>
    <n v="0.75"/>
    <n v="1050"/>
  </r>
  <r>
    <m/>
    <x v="21"/>
    <m/>
    <x v="3"/>
    <n v="2500"/>
    <n v="0.2"/>
    <n v="500"/>
  </r>
  <r>
    <m/>
    <x v="21"/>
    <m/>
    <x v="16"/>
    <n v="300"/>
    <n v="0.15"/>
    <n v="45"/>
  </r>
  <r>
    <m/>
    <x v="21"/>
    <m/>
    <x v="4"/>
    <n v="2800"/>
    <n v="0.5"/>
    <n v="1400"/>
  </r>
  <r>
    <m/>
    <x v="21"/>
    <m/>
    <x v="22"/>
    <n v="4000"/>
    <n v="1.85"/>
    <n v="7400"/>
  </r>
  <r>
    <n v="23"/>
    <x v="22"/>
    <n v="5"/>
    <x v="4"/>
    <n v="2800"/>
    <n v="1.85"/>
    <n v="5180"/>
  </r>
  <r>
    <m/>
    <x v="22"/>
    <m/>
    <x v="3"/>
    <n v="2500"/>
    <n v="0.3"/>
    <n v="750"/>
  </r>
  <r>
    <m/>
    <x v="22"/>
    <m/>
    <x v="1"/>
    <n v="150"/>
    <n v="0.95"/>
    <n v="142.5"/>
  </r>
  <r>
    <m/>
    <x v="22"/>
    <m/>
    <x v="0"/>
    <n v="200"/>
    <n v="0.25"/>
    <n v="50"/>
  </r>
  <r>
    <m/>
    <x v="22"/>
    <m/>
    <x v="9"/>
    <n v="300"/>
    <n v="0.4"/>
    <n v="120"/>
  </r>
  <r>
    <m/>
    <x v="22"/>
    <m/>
    <x v="2"/>
    <n v="1400"/>
    <n v="2.2999999999999998"/>
    <n v="3219.9999999999995"/>
  </r>
  <r>
    <m/>
    <x v="22"/>
    <m/>
    <x v="5"/>
    <n v="1500"/>
    <n v="0.15"/>
    <n v="225"/>
  </r>
  <r>
    <m/>
    <x v="22"/>
    <m/>
    <x v="23"/>
    <n v="2500"/>
    <n v="1.1000000000000001"/>
    <n v="2750"/>
  </r>
  <r>
    <n v="24"/>
    <x v="23"/>
    <n v="4"/>
    <x v="11"/>
    <n v="1000"/>
    <n v="1.6"/>
    <n v="1600"/>
  </r>
  <r>
    <m/>
    <x v="23"/>
    <m/>
    <x v="9"/>
    <n v="300"/>
    <n v="1.8"/>
    <n v="540"/>
  </r>
  <r>
    <m/>
    <x v="23"/>
    <m/>
    <x v="2"/>
    <n v="1400"/>
    <n v="1.5"/>
    <n v="2100"/>
  </r>
  <r>
    <m/>
    <x v="23"/>
    <m/>
    <x v="4"/>
    <n v="2800"/>
    <n v="0.55000000000000004"/>
    <n v="1540.0000000000002"/>
  </r>
  <r>
    <m/>
    <x v="23"/>
    <m/>
    <x v="0"/>
    <n v="200"/>
    <n v="1"/>
    <n v="200"/>
  </r>
  <r>
    <m/>
    <x v="23"/>
    <m/>
    <x v="16"/>
    <n v="300"/>
    <n v="0.45"/>
    <n v="135"/>
  </r>
  <r>
    <m/>
    <x v="23"/>
    <m/>
    <x v="3"/>
    <n v="2500"/>
    <n v="0.15"/>
    <n v="375"/>
  </r>
  <r>
    <m/>
    <x v="23"/>
    <m/>
    <x v="18"/>
    <n v="8000"/>
    <n v="0.1"/>
    <n v="800"/>
  </r>
  <r>
    <m/>
    <x v="23"/>
    <m/>
    <x v="1"/>
    <n v="150"/>
    <n v="0.3"/>
    <n v="45"/>
  </r>
  <r>
    <m/>
    <x v="23"/>
    <m/>
    <x v="13"/>
    <n v="800"/>
    <n v="0.15"/>
    <n v="120"/>
  </r>
  <r>
    <n v="25"/>
    <x v="24"/>
    <n v="1"/>
    <x v="16"/>
    <n v="300"/>
    <n v="1.05"/>
    <n v="315"/>
  </r>
  <r>
    <m/>
    <x v="24"/>
    <m/>
    <x v="0"/>
    <n v="200"/>
    <n v="0.75"/>
    <n v="150"/>
  </r>
  <r>
    <m/>
    <x v="24"/>
    <m/>
    <x v="9"/>
    <n v="300"/>
    <n v="1.25"/>
    <n v="375"/>
  </r>
  <r>
    <m/>
    <x v="24"/>
    <m/>
    <x v="1"/>
    <n v="150"/>
    <n v="0.7"/>
    <n v="105"/>
  </r>
  <r>
    <m/>
    <x v="24"/>
    <m/>
    <x v="5"/>
    <n v="1500"/>
    <n v="0.5"/>
    <n v="750"/>
  </r>
  <r>
    <m/>
    <x v="24"/>
    <m/>
    <x v="20"/>
    <n v="1000"/>
    <n v="2.7"/>
    <n v="2700"/>
  </r>
  <r>
    <m/>
    <x v="24"/>
    <m/>
    <x v="11"/>
    <n v="1000"/>
    <n v="5.15"/>
    <n v="5150"/>
  </r>
  <r>
    <n v="26"/>
    <x v="25"/>
    <n v="1"/>
    <x v="11"/>
    <n v="1000"/>
    <n v="3.4"/>
    <n v="3400"/>
  </r>
  <r>
    <m/>
    <x v="25"/>
    <m/>
    <x v="0"/>
    <n v="200"/>
    <n v="0.15"/>
    <n v="30"/>
  </r>
  <r>
    <m/>
    <x v="25"/>
    <m/>
    <x v="9"/>
    <n v="300"/>
    <n v="0.5"/>
    <n v="150"/>
  </r>
  <r>
    <m/>
    <x v="25"/>
    <m/>
    <x v="16"/>
    <n v="300"/>
    <n v="0.2"/>
    <n v="60"/>
  </r>
  <r>
    <m/>
    <x v="25"/>
    <m/>
    <x v="13"/>
    <n v="800"/>
    <n v="0.15"/>
    <n v="120"/>
  </r>
  <r>
    <m/>
    <x v="25"/>
    <m/>
    <x v="4"/>
    <n v="2800"/>
    <n v="0.4"/>
    <n v="1120"/>
  </r>
  <r>
    <m/>
    <x v="25"/>
    <m/>
    <x v="20"/>
    <n v="1000"/>
    <n v="0.75"/>
    <n v="750"/>
  </r>
  <r>
    <m/>
    <x v="25"/>
    <m/>
    <x v="23"/>
    <n v="2500"/>
    <n v="0.25"/>
    <n v="625"/>
  </r>
  <r>
    <m/>
    <x v="25"/>
    <m/>
    <x v="5"/>
    <n v="1500"/>
    <n v="0.25"/>
    <n v="375"/>
  </r>
  <r>
    <m/>
    <x v="25"/>
    <m/>
    <x v="12"/>
    <n v="1800"/>
    <n v="0.15"/>
    <n v="270"/>
  </r>
  <r>
    <n v="27"/>
    <x v="26"/>
    <n v="4"/>
    <x v="0"/>
    <n v="200"/>
    <n v="0.6"/>
    <n v="120"/>
  </r>
  <r>
    <m/>
    <x v="26"/>
    <m/>
    <x v="9"/>
    <n v="300"/>
    <n v="0.35"/>
    <n v="105"/>
  </r>
  <r>
    <m/>
    <x v="26"/>
    <m/>
    <x v="11"/>
    <n v="1000"/>
    <n v="0.45"/>
    <n v="450"/>
  </r>
  <r>
    <m/>
    <x v="26"/>
    <m/>
    <x v="2"/>
    <n v="1400"/>
    <n v="0.65"/>
    <n v="910"/>
  </r>
  <r>
    <m/>
    <x v="26"/>
    <m/>
    <x v="17"/>
    <n v="1400"/>
    <n v="1.4"/>
    <n v="1959.9999999999998"/>
  </r>
  <r>
    <m/>
    <x v="26"/>
    <m/>
    <x v="4"/>
    <n v="2800"/>
    <n v="0.25"/>
    <n v="700"/>
  </r>
  <r>
    <m/>
    <x v="26"/>
    <m/>
    <x v="23"/>
    <n v="2500"/>
    <n v="1.75"/>
    <n v="4375"/>
  </r>
  <r>
    <n v="28"/>
    <x v="27"/>
    <n v="4"/>
    <x v="16"/>
    <n v="300"/>
    <n v="0.7"/>
    <n v="210"/>
  </r>
  <r>
    <m/>
    <x v="27"/>
    <m/>
    <x v="17"/>
    <n v="1400"/>
    <n v="0.15"/>
    <n v="210"/>
  </r>
  <r>
    <m/>
    <x v="27"/>
    <m/>
    <x v="2"/>
    <n v="1400"/>
    <n v="0.2"/>
    <n v="280"/>
  </r>
  <r>
    <m/>
    <x v="27"/>
    <m/>
    <x v="7"/>
    <n v="1200"/>
    <n v="1.1000000000000001"/>
    <n v="1320"/>
  </r>
  <r>
    <n v="29"/>
    <x v="28"/>
    <n v="4"/>
    <x v="13"/>
    <n v="800"/>
    <n v="0.15"/>
    <n v="120"/>
  </r>
  <r>
    <m/>
    <x v="28"/>
    <m/>
    <x v="0"/>
    <n v="200"/>
    <n v="0.9"/>
    <n v="180"/>
  </r>
  <r>
    <m/>
    <x v="28"/>
    <m/>
    <x v="4"/>
    <n v="2800"/>
    <n v="0.5"/>
    <n v="1400"/>
  </r>
  <r>
    <m/>
    <x v="28"/>
    <m/>
    <x v="26"/>
    <n v="3500"/>
    <n v="0.15"/>
    <n v="525"/>
  </r>
  <r>
    <m/>
    <x v="28"/>
    <m/>
    <x v="25"/>
    <n v="1600"/>
    <n v="0.55000000000000004"/>
    <n v="880.00000000000011"/>
  </r>
  <r>
    <m/>
    <x v="28"/>
    <m/>
    <x v="2"/>
    <n v="1400"/>
    <n v="0.55000000000000004"/>
    <n v="770.00000000000011"/>
  </r>
  <r>
    <m/>
    <x v="28"/>
    <m/>
    <x v="9"/>
    <n v="300"/>
    <n v="0.55000000000000004"/>
    <n v="165"/>
  </r>
  <r>
    <m/>
    <x v="28"/>
    <m/>
    <x v="11"/>
    <n v="1000"/>
    <n v="0.6"/>
    <n v="600"/>
  </r>
  <r>
    <n v="30"/>
    <x v="29"/>
    <n v="2"/>
    <x v="9"/>
    <n v="300"/>
    <n v="1.1000000000000001"/>
    <n v="330"/>
  </r>
  <r>
    <m/>
    <x v="29"/>
    <m/>
    <x v="11"/>
    <n v="1000"/>
    <n v="2.0499999999999998"/>
    <n v="2050"/>
  </r>
  <r>
    <m/>
    <x v="29"/>
    <m/>
    <x v="4"/>
    <n v="2800"/>
    <n v="1.4000000000000001"/>
    <n v="3920.0000000000005"/>
  </r>
  <r>
    <n v="31"/>
    <x v="30"/>
    <n v="4"/>
    <x v="25"/>
    <n v="1600"/>
    <n v="0.25"/>
    <n v="400"/>
  </r>
  <r>
    <m/>
    <x v="30"/>
    <m/>
    <x v="5"/>
    <n v="1500"/>
    <n v="0.8"/>
    <n v="1200"/>
  </r>
  <r>
    <m/>
    <x v="30"/>
    <m/>
    <x v="1"/>
    <n v="150"/>
    <n v="2.5499999999999998"/>
    <n v="382.5"/>
  </r>
  <r>
    <m/>
    <x v="30"/>
    <m/>
    <x v="3"/>
    <n v="2500"/>
    <n v="0.95"/>
    <n v="2375"/>
  </r>
  <r>
    <m/>
    <x v="30"/>
    <m/>
    <x v="2"/>
    <n v="1400"/>
    <n v="0.75"/>
    <n v="1050"/>
  </r>
  <r>
    <m/>
    <x v="30"/>
    <m/>
    <x v="9"/>
    <n v="300"/>
    <n v="3.05"/>
    <n v="915"/>
  </r>
  <r>
    <m/>
    <x v="30"/>
    <m/>
    <x v="4"/>
    <n v="2800"/>
    <n v="0.5"/>
    <n v="1400"/>
  </r>
  <r>
    <n v="32"/>
    <x v="31"/>
    <n v="4"/>
    <x v="0"/>
    <n v="200"/>
    <n v="2.35"/>
    <n v="470"/>
  </r>
  <r>
    <m/>
    <x v="31"/>
    <m/>
    <x v="20"/>
    <n v="1000"/>
    <n v="1.45"/>
    <n v="1450"/>
  </r>
  <r>
    <m/>
    <x v="31"/>
    <m/>
    <x v="14"/>
    <n v="1600"/>
    <n v="0.7"/>
    <n v="1120"/>
  </r>
  <r>
    <m/>
    <x v="31"/>
    <m/>
    <x v="2"/>
    <n v="1400"/>
    <n v="0.1"/>
    <n v="140"/>
  </r>
  <r>
    <m/>
    <x v="31"/>
    <m/>
    <x v="15"/>
    <n v="150"/>
    <n v="2.4500000000000002"/>
    <n v="367.5"/>
  </r>
  <r>
    <m/>
    <x v="31"/>
    <m/>
    <x v="8"/>
    <n v="1400"/>
    <n v="18"/>
    <n v="25200"/>
  </r>
  <r>
    <m/>
    <x v="31"/>
    <m/>
    <x v="11"/>
    <n v="1000"/>
    <n v="0.25"/>
    <n v="250"/>
  </r>
  <r>
    <m/>
    <x v="31"/>
    <m/>
    <x v="23"/>
    <n v="2500"/>
    <n v="5.75"/>
    <n v="14375"/>
  </r>
  <r>
    <n v="33"/>
    <x v="32"/>
    <n v="1"/>
    <x v="0"/>
    <n v="200"/>
    <n v="1.25"/>
    <n v="250"/>
  </r>
  <r>
    <m/>
    <x v="32"/>
    <m/>
    <x v="16"/>
    <n v="300"/>
    <n v="0.5"/>
    <n v="150"/>
  </r>
  <r>
    <m/>
    <x v="32"/>
    <m/>
    <x v="20"/>
    <n v="1000"/>
    <n v="1.6"/>
    <n v="1600"/>
  </r>
  <r>
    <m/>
    <x v="32"/>
    <m/>
    <x v="9"/>
    <n v="300"/>
    <n v="1.95"/>
    <n v="585"/>
  </r>
  <r>
    <n v="34"/>
    <x v="33"/>
    <n v="4"/>
    <x v="13"/>
    <n v="800"/>
    <n v="1.35"/>
    <n v="1080"/>
  </r>
  <r>
    <m/>
    <x v="33"/>
    <m/>
    <x v="0"/>
    <n v="200"/>
    <n v="0.85"/>
    <n v="170"/>
  </r>
  <r>
    <m/>
    <x v="33"/>
    <m/>
    <x v="4"/>
    <n v="2800"/>
    <n v="0.4"/>
    <n v="1120"/>
  </r>
  <r>
    <m/>
    <x v="33"/>
    <m/>
    <x v="14"/>
    <n v="1600"/>
    <n v="0.1"/>
    <n v="160"/>
  </r>
  <r>
    <m/>
    <x v="33"/>
    <m/>
    <x v="20"/>
    <n v="1000"/>
    <n v="0.85"/>
    <n v="850"/>
  </r>
  <r>
    <n v="35"/>
    <x v="34"/>
    <n v="5"/>
    <x v="30"/>
    <n v="800"/>
    <n v="2.95"/>
    <n v="2360"/>
  </r>
  <r>
    <m/>
    <x v="34"/>
    <m/>
    <x v="7"/>
    <n v="1200"/>
    <n v="2.15"/>
    <n v="2580"/>
  </r>
  <r>
    <m/>
    <x v="34"/>
    <m/>
    <x v="2"/>
    <n v="1400"/>
    <n v="1.4500000000000002"/>
    <n v="2030.0000000000002"/>
  </r>
  <r>
    <m/>
    <x v="34"/>
    <m/>
    <x v="11"/>
    <n v="1000"/>
    <n v="2"/>
    <n v="2000"/>
  </r>
  <r>
    <m/>
    <x v="34"/>
    <m/>
    <x v="4"/>
    <n v="2800"/>
    <n v="1.3"/>
    <n v="3640"/>
  </r>
  <r>
    <n v="36"/>
    <x v="35"/>
    <n v="4"/>
    <x v="20"/>
    <n v="1000"/>
    <n v="2.95"/>
    <n v="2950"/>
  </r>
  <r>
    <m/>
    <x v="35"/>
    <m/>
    <x v="11"/>
    <n v="1000"/>
    <n v="0.95"/>
    <n v="950"/>
  </r>
  <r>
    <n v="37"/>
    <x v="36"/>
    <n v="4"/>
    <x v="2"/>
    <n v="1400"/>
    <n v="2.35"/>
    <n v="3290"/>
  </r>
  <r>
    <m/>
    <x v="36"/>
    <m/>
    <x v="3"/>
    <n v="2500"/>
    <n v="0.4"/>
    <n v="1000"/>
  </r>
  <r>
    <m/>
    <x v="36"/>
    <m/>
    <x v="0"/>
    <n v="200"/>
    <n v="0.4"/>
    <n v="80"/>
  </r>
  <r>
    <m/>
    <x v="36"/>
    <m/>
    <x v="9"/>
    <n v="300"/>
    <n v="2.0499999999999998"/>
    <n v="615"/>
  </r>
  <r>
    <m/>
    <x v="36"/>
    <m/>
    <x v="12"/>
    <n v="1800"/>
    <n v="0.1"/>
    <n v="180"/>
  </r>
  <r>
    <m/>
    <x v="36"/>
    <m/>
    <x v="5"/>
    <n v="1500"/>
    <n v="0.15"/>
    <n v="225"/>
  </r>
  <r>
    <m/>
    <x v="36"/>
    <m/>
    <x v="1"/>
    <n v="150"/>
    <n v="0.35"/>
    <n v="52.5"/>
  </r>
  <r>
    <m/>
    <x v="36"/>
    <m/>
    <x v="11"/>
    <n v="1000"/>
    <n v="0.6"/>
    <n v="600"/>
  </r>
  <r>
    <n v="38"/>
    <x v="37"/>
    <n v="1"/>
    <x v="20"/>
    <n v="1000"/>
    <n v="0.35"/>
    <n v="350"/>
  </r>
  <r>
    <m/>
    <x v="37"/>
    <m/>
    <x v="0"/>
    <n v="200"/>
    <n v="2.4"/>
    <n v="480"/>
  </r>
  <r>
    <m/>
    <x v="37"/>
    <m/>
    <x v="9"/>
    <n v="300"/>
    <n v="0.15"/>
    <n v="45"/>
  </r>
  <r>
    <m/>
    <x v="37"/>
    <m/>
    <x v="11"/>
    <n v="1000"/>
    <n v="0.25"/>
    <n v="250"/>
  </r>
  <r>
    <n v="39"/>
    <x v="38"/>
    <n v="4"/>
    <x v="0"/>
    <n v="200"/>
    <n v="0.45"/>
    <n v="90"/>
  </r>
  <r>
    <m/>
    <x v="38"/>
    <m/>
    <x v="16"/>
    <n v="300"/>
    <n v="0.65"/>
    <n v="195"/>
  </r>
  <r>
    <m/>
    <x v="38"/>
    <m/>
    <x v="20"/>
    <n v="1000"/>
    <n v="0.4"/>
    <n v="400"/>
  </r>
  <r>
    <m/>
    <x v="38"/>
    <m/>
    <x v="9"/>
    <n v="300"/>
    <n v="0.15"/>
    <n v="45"/>
  </r>
  <r>
    <m/>
    <x v="38"/>
    <m/>
    <x v="11"/>
    <n v="1000"/>
    <n v="1.3"/>
    <n v="1300"/>
  </r>
  <r>
    <n v="40"/>
    <x v="39"/>
    <n v="4"/>
    <x v="13"/>
    <n v="800"/>
    <n v="0.4"/>
    <n v="320"/>
  </r>
  <r>
    <m/>
    <x v="39"/>
    <m/>
    <x v="4"/>
    <n v="2800"/>
    <n v="0.25"/>
    <n v="700"/>
  </r>
  <r>
    <m/>
    <x v="39"/>
    <m/>
    <x v="19"/>
    <n v="2000"/>
    <n v="0.1"/>
    <n v="200"/>
  </r>
  <r>
    <m/>
    <x v="39"/>
    <m/>
    <x v="16"/>
    <n v="300"/>
    <n v="0.15"/>
    <n v="45"/>
  </r>
  <r>
    <m/>
    <x v="39"/>
    <m/>
    <x v="0"/>
    <n v="200"/>
    <n v="0.35"/>
    <n v="70"/>
  </r>
  <r>
    <m/>
    <x v="39"/>
    <m/>
    <x v="11"/>
    <n v="1000"/>
    <n v="0.1"/>
    <n v="100"/>
  </r>
  <r>
    <m/>
    <x v="39"/>
    <m/>
    <x v="30"/>
    <n v="800"/>
    <n v="1.5"/>
    <n v="1200"/>
  </r>
  <r>
    <m/>
    <x v="39"/>
    <m/>
    <x v="9"/>
    <n v="300"/>
    <n v="0.3"/>
    <n v="90"/>
  </r>
  <r>
    <m/>
    <x v="39"/>
    <m/>
    <x v="2"/>
    <n v="1400"/>
    <n v="1.35"/>
    <n v="1890.0000000000002"/>
  </r>
  <r>
    <n v="41"/>
    <x v="40"/>
    <n v="4"/>
    <x v="14"/>
    <n v="1600"/>
    <n v="0.25"/>
    <n v="400"/>
  </r>
  <r>
    <m/>
    <x v="40"/>
    <m/>
    <x v="16"/>
    <n v="300"/>
    <n v="0.35"/>
    <n v="105"/>
  </r>
  <r>
    <m/>
    <x v="40"/>
    <m/>
    <x v="11"/>
    <n v="1000"/>
    <n v="0.55000000000000004"/>
    <n v="550"/>
  </r>
  <r>
    <m/>
    <x v="40"/>
    <m/>
    <x v="13"/>
    <n v="800"/>
    <n v="0.5"/>
    <n v="400"/>
  </r>
  <r>
    <m/>
    <x v="40"/>
    <m/>
    <x v="20"/>
    <n v="1000"/>
    <n v="2.25"/>
    <n v="2250"/>
  </r>
  <r>
    <m/>
    <x v="40"/>
    <m/>
    <x v="2"/>
    <n v="1400"/>
    <n v="0.25"/>
    <n v="350"/>
  </r>
  <r>
    <m/>
    <x v="40"/>
    <m/>
    <x v="31"/>
    <n v="500"/>
    <n v="1.95"/>
    <n v="975"/>
  </r>
  <r>
    <n v="42"/>
    <x v="41"/>
    <n v="4"/>
    <x v="2"/>
    <n v="1400"/>
    <n v="0.5"/>
    <n v="700"/>
  </r>
  <r>
    <m/>
    <x v="41"/>
    <m/>
    <x v="1"/>
    <n v="150"/>
    <n v="0.35"/>
    <n v="52.5"/>
  </r>
  <r>
    <m/>
    <x v="41"/>
    <m/>
    <x v="14"/>
    <n v="1600"/>
    <n v="0.15"/>
    <n v="240"/>
  </r>
  <r>
    <m/>
    <x v="41"/>
    <m/>
    <x v="18"/>
    <n v="8000"/>
    <n v="0.15"/>
    <n v="1200"/>
  </r>
  <r>
    <m/>
    <x v="41"/>
    <m/>
    <x v="23"/>
    <n v="2500"/>
    <n v="0.8"/>
    <n v="2000"/>
  </r>
  <r>
    <n v="43"/>
    <x v="42"/>
    <n v="2"/>
    <x v="0"/>
    <n v="200"/>
    <n v="0.55000000000000004"/>
    <n v="110.00000000000001"/>
  </r>
  <r>
    <m/>
    <x v="42"/>
    <m/>
    <x v="2"/>
    <n v="1400"/>
    <n v="5.25"/>
    <n v="7350"/>
  </r>
  <r>
    <m/>
    <x v="42"/>
    <m/>
    <x v="19"/>
    <n v="2000"/>
    <n v="0.2"/>
    <n v="400"/>
  </r>
  <r>
    <m/>
    <x v="42"/>
    <m/>
    <x v="18"/>
    <n v="8000"/>
    <n v="1"/>
    <n v="8000"/>
  </r>
  <r>
    <m/>
    <x v="42"/>
    <m/>
    <x v="23"/>
    <n v="2500"/>
    <n v="4.0999999999999996"/>
    <n v="10250"/>
  </r>
  <r>
    <n v="44"/>
    <x v="43"/>
    <n v="4"/>
    <x v="7"/>
    <n v="1200"/>
    <n v="17.399999999999999"/>
    <n v="20880"/>
  </r>
  <r>
    <m/>
    <x v="43"/>
    <m/>
    <x v="8"/>
    <n v="1400"/>
    <n v="1.1000000000000001"/>
    <n v="1540.0000000000002"/>
  </r>
  <r>
    <m/>
    <x v="43"/>
    <m/>
    <x v="9"/>
    <n v="300"/>
    <n v="1.2"/>
    <n v="360"/>
  </r>
  <r>
    <m/>
    <x v="43"/>
    <m/>
    <x v="2"/>
    <n v="1400"/>
    <n v="7.75"/>
    <n v="10850"/>
  </r>
  <r>
    <m/>
    <x v="43"/>
    <m/>
    <x v="1"/>
    <n v="150"/>
    <n v="2.1"/>
    <n v="315"/>
  </r>
  <r>
    <m/>
    <x v="43"/>
    <m/>
    <x v="14"/>
    <n v="1600"/>
    <n v="0.3"/>
    <n v="480"/>
  </r>
  <r>
    <m/>
    <x v="43"/>
    <m/>
    <x v="23"/>
    <n v="2500"/>
    <n v="1.1499999999999999"/>
    <n v="2875"/>
  </r>
  <r>
    <m/>
    <x v="43"/>
    <m/>
    <x v="12"/>
    <n v="1800"/>
    <n v="1"/>
    <n v="1800"/>
  </r>
  <r>
    <m/>
    <x v="43"/>
    <m/>
    <x v="11"/>
    <n v="1000"/>
    <n v="0.9"/>
    <n v="900"/>
  </r>
  <r>
    <n v="45"/>
    <x v="44"/>
    <n v="5"/>
    <x v="9"/>
    <n v="300"/>
    <n v="0.95000000000000007"/>
    <n v="285"/>
  </r>
  <r>
    <m/>
    <x v="44"/>
    <m/>
    <x v="24"/>
    <n v="150"/>
    <n v="0.2"/>
    <n v="30"/>
  </r>
  <r>
    <m/>
    <x v="44"/>
    <m/>
    <x v="0"/>
    <n v="200"/>
    <n v="0.9"/>
    <n v="180"/>
  </r>
  <r>
    <m/>
    <x v="44"/>
    <m/>
    <x v="2"/>
    <n v="1400"/>
    <n v="0.2"/>
    <n v="280"/>
  </r>
  <r>
    <m/>
    <x v="44"/>
    <m/>
    <x v="4"/>
    <n v="2800"/>
    <n v="0.8"/>
    <n v="2240"/>
  </r>
  <r>
    <n v="46"/>
    <x v="45"/>
    <s v="TD"/>
    <x v="7"/>
    <n v="1200"/>
    <n v="6.2"/>
    <n v="7440"/>
  </r>
  <r>
    <m/>
    <x v="45"/>
    <m/>
    <x v="11"/>
    <n v="1000"/>
    <n v="1.35"/>
    <n v="1350"/>
  </r>
  <r>
    <m/>
    <x v="45"/>
    <m/>
    <x v="2"/>
    <n v="1400"/>
    <n v="0.7"/>
    <n v="979.99999999999989"/>
  </r>
  <r>
    <n v="47"/>
    <x v="46"/>
    <n v="2"/>
    <x v="7"/>
    <n v="1200"/>
    <n v="11.399999999999999"/>
    <n v="13679.999999999998"/>
  </r>
  <r>
    <m/>
    <x v="46"/>
    <m/>
    <x v="2"/>
    <n v="1400"/>
    <n v="1.2"/>
    <n v="1680"/>
  </r>
  <r>
    <m/>
    <x v="46"/>
    <m/>
    <x v="3"/>
    <n v="2500"/>
    <n v="0.1"/>
    <n v="250"/>
  </r>
  <r>
    <m/>
    <x v="46"/>
    <m/>
    <x v="14"/>
    <n v="1600"/>
    <n v="0.6"/>
    <n v="960"/>
  </r>
  <r>
    <n v="48"/>
    <x v="47"/>
    <n v="4"/>
    <x v="20"/>
    <n v="1000"/>
    <n v="1.5"/>
    <n v="1500"/>
  </r>
  <r>
    <m/>
    <x v="47"/>
    <m/>
    <x v="9"/>
    <n v="300"/>
    <n v="0.35"/>
    <n v="105"/>
  </r>
  <r>
    <m/>
    <x v="47"/>
    <m/>
    <x v="8"/>
    <n v="1400"/>
    <n v="0.2"/>
    <n v="280"/>
  </r>
  <r>
    <m/>
    <x v="47"/>
    <m/>
    <x v="12"/>
    <n v="1800"/>
    <n v="1.2"/>
    <n v="2160"/>
  </r>
  <r>
    <m/>
    <x v="47"/>
    <m/>
    <x v="11"/>
    <n v="1000"/>
    <n v="0.2"/>
    <n v="200"/>
  </r>
  <r>
    <n v="49"/>
    <x v="48"/>
    <n v="5"/>
    <x v="2"/>
    <n v="1400"/>
    <n v="0.45"/>
    <n v="630"/>
  </r>
  <r>
    <m/>
    <x v="48"/>
    <m/>
    <x v="8"/>
    <n v="1400"/>
    <n v="2.25"/>
    <n v="3150"/>
  </r>
  <r>
    <m/>
    <x v="48"/>
    <m/>
    <x v="7"/>
    <n v="1200"/>
    <n v="1.25"/>
    <n v="1500"/>
  </r>
  <r>
    <m/>
    <x v="48"/>
    <m/>
    <x v="11"/>
    <n v="1000"/>
    <n v="0.4"/>
    <n v="400"/>
  </r>
  <r>
    <m/>
    <x v="48"/>
    <m/>
    <x v="0"/>
    <n v="200"/>
    <n v="0.35"/>
    <n v="70"/>
  </r>
  <r>
    <m/>
    <x v="48"/>
    <m/>
    <x v="12"/>
    <n v="1800"/>
    <n v="1"/>
    <n v="1800"/>
  </r>
  <r>
    <m/>
    <x v="48"/>
    <m/>
    <x v="20"/>
    <n v="1000"/>
    <n v="1.3"/>
    <n v="1300"/>
  </r>
  <r>
    <m/>
    <x v="48"/>
    <m/>
    <x v="3"/>
    <n v="2500"/>
    <n v="0.1"/>
    <n v="250"/>
  </r>
  <r>
    <m/>
    <x v="48"/>
    <m/>
    <x v="14"/>
    <n v="1600"/>
    <n v="1.95"/>
    <n v="3120"/>
  </r>
  <r>
    <n v="50"/>
    <x v="49"/>
    <n v="4"/>
    <x v="4"/>
    <n v="2800"/>
    <n v="1.6"/>
    <n v="4480"/>
  </r>
  <r>
    <m/>
    <x v="49"/>
    <m/>
    <x v="18"/>
    <n v="8000"/>
    <n v="0.1"/>
    <n v="800"/>
  </r>
  <r>
    <m/>
    <x v="49"/>
    <m/>
    <x v="1"/>
    <n v="150"/>
    <n v="0.75"/>
    <n v="112.5"/>
  </r>
  <r>
    <m/>
    <x v="49"/>
    <m/>
    <x v="19"/>
    <n v="2000"/>
    <n v="0.25"/>
    <n v="500"/>
  </r>
  <r>
    <m/>
    <x v="49"/>
    <m/>
    <x v="3"/>
    <n v="2500"/>
    <n v="0.25"/>
    <n v="625"/>
  </r>
  <r>
    <m/>
    <x v="49"/>
    <m/>
    <x v="20"/>
    <n v="1000"/>
    <n v="0.55000000000000004"/>
    <n v="550"/>
  </r>
  <r>
    <m/>
    <x v="49"/>
    <m/>
    <x v="23"/>
    <n v="2500"/>
    <n v="0.15"/>
    <n v="375"/>
  </r>
  <r>
    <m/>
    <x v="49"/>
    <m/>
    <x v="13"/>
    <n v="800"/>
    <n v="0.2"/>
    <n v="160"/>
  </r>
  <r>
    <m/>
    <x v="49"/>
    <m/>
    <x v="2"/>
    <n v="1400"/>
    <n v="4.1500000000000004"/>
    <n v="5810.0000000000009"/>
  </r>
  <r>
    <m/>
    <x v="49"/>
    <m/>
    <x v="0"/>
    <n v="200"/>
    <n v="1.7"/>
    <n v="340"/>
  </r>
  <r>
    <m/>
    <x v="49"/>
    <m/>
    <x v="12"/>
    <n v="1800"/>
    <n v="2.2999999999999998"/>
    <n v="4140"/>
  </r>
  <r>
    <m/>
    <x v="49"/>
    <m/>
    <x v="17"/>
    <n v="1400"/>
    <n v="0.8"/>
    <n v="1120"/>
  </r>
  <r>
    <n v="51"/>
    <x v="50"/>
    <n v="5"/>
    <x v="2"/>
    <n v="1400"/>
    <n v="2.4500000000000006"/>
    <n v="3430.0000000000009"/>
  </r>
  <r>
    <m/>
    <x v="50"/>
    <m/>
    <x v="12"/>
    <n v="1800"/>
    <n v="2.8"/>
    <n v="5040"/>
  </r>
  <r>
    <m/>
    <x v="50"/>
    <m/>
    <x v="23"/>
    <n v="2500"/>
    <n v="0.25"/>
    <n v="625"/>
  </r>
  <r>
    <m/>
    <x v="50"/>
    <m/>
    <x v="4"/>
    <n v="2800"/>
    <n v="0.6"/>
    <n v="1680"/>
  </r>
  <r>
    <m/>
    <x v="50"/>
    <m/>
    <x v="14"/>
    <n v="1600"/>
    <n v="0.2"/>
    <n v="320"/>
  </r>
  <r>
    <m/>
    <x v="50"/>
    <m/>
    <x v="0"/>
    <n v="200"/>
    <n v="2.7"/>
    <n v="540"/>
  </r>
  <r>
    <m/>
    <x v="50"/>
    <m/>
    <x v="5"/>
    <n v="1500"/>
    <n v="0.25"/>
    <n v="375"/>
  </r>
  <r>
    <m/>
    <x v="50"/>
    <m/>
    <x v="11"/>
    <n v="1000"/>
    <n v="5.15"/>
    <n v="5150"/>
  </r>
  <r>
    <m/>
    <x v="50"/>
    <m/>
    <x v="1"/>
    <n v="150"/>
    <n v="1.3"/>
    <n v="195"/>
  </r>
  <r>
    <m/>
    <x v="50"/>
    <m/>
    <x v="9"/>
    <n v="300"/>
    <n v="1.35"/>
    <n v="405"/>
  </r>
  <r>
    <n v="52"/>
    <x v="51"/>
    <n v="5"/>
    <x v="17"/>
    <n v="1400"/>
    <n v="1.1499999999999999"/>
    <n v="1609.9999999999998"/>
  </r>
  <r>
    <m/>
    <x v="51"/>
    <m/>
    <x v="20"/>
    <n v="1000"/>
    <n v="0.7"/>
    <n v="700"/>
  </r>
  <r>
    <m/>
    <x v="51"/>
    <m/>
    <x v="1"/>
    <n v="150"/>
    <n v="1.45"/>
    <n v="217.5"/>
  </r>
  <r>
    <m/>
    <x v="51"/>
    <m/>
    <x v="5"/>
    <n v="1500"/>
    <n v="0.5"/>
    <n v="750"/>
  </r>
  <r>
    <n v="53"/>
    <x v="52"/>
    <s v="Pos"/>
    <x v="32"/>
    <n v="13000"/>
    <n v="1"/>
    <n v="13000"/>
  </r>
  <r>
    <m/>
    <x v="52"/>
    <m/>
    <x v="4"/>
    <n v="2800"/>
    <n v="1.05"/>
    <n v="2940"/>
  </r>
  <r>
    <n v="54"/>
    <x v="53"/>
    <s v="Pos"/>
    <x v="2"/>
    <n v="1400"/>
    <n v="0.2"/>
    <n v="280"/>
  </r>
  <r>
    <m/>
    <x v="53"/>
    <m/>
    <x v="16"/>
    <n v="300"/>
    <n v="0.3"/>
    <n v="90"/>
  </r>
  <r>
    <m/>
    <x v="53"/>
    <m/>
    <x v="14"/>
    <n v="1600"/>
    <n v="0.7"/>
    <n v="1120"/>
  </r>
  <r>
    <m/>
    <x v="53"/>
    <m/>
    <x v="33"/>
    <n v="3500"/>
    <n v="0.15"/>
    <n v="52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1"/>
    <x v="0"/>
    <n v="4"/>
    <x v="0"/>
    <n v="2500"/>
    <n v="7.8"/>
    <n v="19500"/>
  </r>
  <r>
    <m/>
    <x v="0"/>
    <m/>
    <x v="1"/>
    <n v="1500"/>
    <n v="0.2"/>
    <n v="300"/>
  </r>
  <r>
    <m/>
    <x v="0"/>
    <m/>
    <x v="2"/>
    <n v="1600"/>
    <n v="0.3"/>
    <n v="480"/>
  </r>
  <r>
    <m/>
    <x v="0"/>
    <m/>
    <x v="3"/>
    <n v="1800"/>
    <n v="0.5"/>
    <n v="900"/>
  </r>
  <r>
    <m/>
    <x v="0"/>
    <m/>
    <x v="4"/>
    <n v="1400"/>
    <n v="0.55000000000000004"/>
    <n v="770.00000000000011"/>
  </r>
  <r>
    <m/>
    <x v="0"/>
    <m/>
    <x v="5"/>
    <n v="2000"/>
    <n v="0.5"/>
    <n v="1000"/>
  </r>
  <r>
    <n v="2"/>
    <x v="1"/>
    <n v="2"/>
    <x v="6"/>
    <n v="2800"/>
    <n v="0.35"/>
    <n v="979.99999999999989"/>
  </r>
  <r>
    <m/>
    <x v="1"/>
    <m/>
    <x v="7"/>
    <n v="1400"/>
    <n v="2.75"/>
    <n v="3850"/>
  </r>
  <r>
    <m/>
    <x v="1"/>
    <m/>
    <x v="8"/>
    <n v="3500"/>
    <n v="0.05"/>
    <n v="175"/>
  </r>
  <r>
    <m/>
    <x v="1"/>
    <m/>
    <x v="1"/>
    <n v="1500"/>
    <n v="0.89999999999999991"/>
    <n v="1349.9999999999998"/>
  </r>
  <r>
    <m/>
    <x v="1"/>
    <m/>
    <x v="9"/>
    <n v="300"/>
    <n v="0.55000000000000004"/>
    <n v="165"/>
  </r>
  <r>
    <m/>
    <x v="1"/>
    <m/>
    <x v="10"/>
    <n v="5000"/>
    <n v="1.2"/>
    <n v="6000"/>
  </r>
  <r>
    <m/>
    <x v="1"/>
    <m/>
    <x v="4"/>
    <n v="1400"/>
    <n v="0.8"/>
    <n v="1120"/>
  </r>
  <r>
    <m/>
    <x v="1"/>
    <m/>
    <x v="11"/>
    <n v="200"/>
    <n v="0.25"/>
    <n v="50"/>
  </r>
  <r>
    <m/>
    <x v="1"/>
    <m/>
    <x v="12"/>
    <n v="300"/>
    <n v="0.2"/>
    <n v="60"/>
  </r>
  <r>
    <m/>
    <x v="1"/>
    <m/>
    <x v="13"/>
    <n v="2500"/>
    <n v="0.1"/>
    <n v="250"/>
  </r>
  <r>
    <n v="3"/>
    <x v="2"/>
    <n v="4"/>
    <x v="14"/>
    <n v="1000"/>
    <n v="2.0499999999999998"/>
    <n v="2050"/>
  </r>
  <r>
    <m/>
    <x v="2"/>
    <m/>
    <x v="8"/>
    <n v="3500"/>
    <n v="0.5"/>
    <n v="1750"/>
  </r>
  <r>
    <m/>
    <x v="2"/>
    <m/>
    <x v="6"/>
    <n v="2800"/>
    <n v="0.15"/>
    <n v="420"/>
  </r>
  <r>
    <m/>
    <x v="2"/>
    <m/>
    <x v="7"/>
    <n v="1400"/>
    <n v="0.75"/>
    <n v="1050"/>
  </r>
  <r>
    <m/>
    <x v="2"/>
    <m/>
    <x v="15"/>
    <n v="600"/>
    <n v="0.15"/>
    <n v="90"/>
  </r>
  <r>
    <n v="4"/>
    <x v="3"/>
    <n v="3"/>
    <x v="16"/>
    <n v="1000"/>
    <n v="2.7"/>
    <n v="2700"/>
  </r>
  <r>
    <m/>
    <x v="3"/>
    <m/>
    <x v="11"/>
    <n v="200"/>
    <n v="0.85"/>
    <n v="170"/>
  </r>
  <r>
    <m/>
    <x v="3"/>
    <m/>
    <x v="9"/>
    <n v="300"/>
    <n v="0.9"/>
    <n v="270"/>
  </r>
  <r>
    <m/>
    <x v="3"/>
    <m/>
    <x v="14"/>
    <n v="1000"/>
    <n v="5.35"/>
    <n v="5350"/>
  </r>
  <r>
    <n v="5"/>
    <x v="4"/>
    <n v="4"/>
    <x v="14"/>
    <n v="1000"/>
    <n v="2.35"/>
    <n v="2350"/>
  </r>
  <r>
    <m/>
    <x v="4"/>
    <m/>
    <x v="1"/>
    <n v="1500"/>
    <n v="0.15"/>
    <n v="225"/>
  </r>
  <r>
    <m/>
    <x v="4"/>
    <m/>
    <x v="9"/>
    <n v="300"/>
    <n v="0.1"/>
    <n v="30"/>
  </r>
  <r>
    <m/>
    <x v="4"/>
    <m/>
    <x v="11"/>
    <n v="200"/>
    <n v="0.4"/>
    <n v="80"/>
  </r>
  <r>
    <m/>
    <x v="4"/>
    <m/>
    <x v="6"/>
    <n v="2800"/>
    <n v="0.4"/>
    <n v="1120"/>
  </r>
  <r>
    <m/>
    <x v="4"/>
    <m/>
    <x v="13"/>
    <n v="2500"/>
    <n v="0.1"/>
    <n v="250"/>
  </r>
  <r>
    <m/>
    <x v="4"/>
    <m/>
    <x v="7"/>
    <n v="1400"/>
    <n v="1.05"/>
    <n v="1470"/>
  </r>
  <r>
    <m/>
    <x v="4"/>
    <m/>
    <x v="8"/>
    <n v="3500"/>
    <n v="0.15"/>
    <n v="525"/>
  </r>
  <r>
    <m/>
    <x v="4"/>
    <m/>
    <x v="12"/>
    <n v="300"/>
    <n v="0.1"/>
    <n v="30"/>
  </r>
  <r>
    <m/>
    <x v="4"/>
    <m/>
    <x v="17"/>
    <n v="400"/>
    <n v="0.45"/>
    <n v="180"/>
  </r>
  <r>
    <m/>
    <x v="4"/>
    <m/>
    <x v="18"/>
    <n v="4000"/>
    <n v="0.5"/>
    <n v="2000"/>
  </r>
  <r>
    <m/>
    <x v="4"/>
    <m/>
    <x v="1"/>
    <n v="1500"/>
    <n v="0.15"/>
    <n v="225"/>
  </r>
  <r>
    <n v="6"/>
    <x v="5"/>
    <n v="2"/>
    <x v="6"/>
    <n v="2800"/>
    <n v="0.85000000000000009"/>
    <n v="2380.0000000000005"/>
  </r>
  <r>
    <m/>
    <x v="5"/>
    <m/>
    <x v="19"/>
    <n v="150"/>
    <n v="1.2"/>
    <n v="180"/>
  </r>
  <r>
    <m/>
    <x v="5"/>
    <m/>
    <x v="12"/>
    <n v="300"/>
    <n v="0.1"/>
    <n v="30"/>
  </r>
  <r>
    <m/>
    <x v="5"/>
    <m/>
    <x v="11"/>
    <n v="200"/>
    <n v="0.4"/>
    <n v="80"/>
  </r>
  <r>
    <m/>
    <x v="5"/>
    <m/>
    <x v="9"/>
    <n v="300"/>
    <n v="0.15"/>
    <n v="45"/>
  </r>
  <r>
    <m/>
    <x v="5"/>
    <m/>
    <x v="7"/>
    <n v="1400"/>
    <n v="0.30000000000000004"/>
    <n v="420.00000000000006"/>
  </r>
  <r>
    <m/>
    <x v="5"/>
    <m/>
    <x v="20"/>
    <n v="1800"/>
    <n v="1"/>
    <n v="1800"/>
  </r>
  <r>
    <m/>
    <x v="5"/>
    <m/>
    <x v="3"/>
    <n v="1800"/>
    <n v="10.3"/>
    <n v="18540"/>
  </r>
  <r>
    <n v="7"/>
    <x v="6"/>
    <n v="5"/>
    <x v="14"/>
    <n v="1000"/>
    <n v="4.6500000000000004"/>
    <n v="4650"/>
  </r>
  <r>
    <m/>
    <x v="6"/>
    <m/>
    <x v="8"/>
    <n v="3500"/>
    <n v="2.2999999999999998"/>
    <n v="8049.9999999999991"/>
  </r>
  <r>
    <m/>
    <x v="6"/>
    <m/>
    <x v="11"/>
    <n v="200"/>
    <n v="1.2"/>
    <n v="240"/>
  </r>
  <r>
    <m/>
    <x v="6"/>
    <m/>
    <x v="6"/>
    <n v="2800"/>
    <n v="0.55000000000000004"/>
    <n v="1540.0000000000002"/>
  </r>
  <r>
    <m/>
    <x v="6"/>
    <m/>
    <x v="9"/>
    <n v="300"/>
    <n v="0.7"/>
    <n v="210"/>
  </r>
  <r>
    <n v="8"/>
    <x v="7"/>
    <n v="4"/>
    <x v="3"/>
    <n v="1800"/>
    <n v="1.3"/>
    <n v="2340"/>
  </r>
  <r>
    <m/>
    <x v="7"/>
    <m/>
    <x v="11"/>
    <n v="200"/>
    <n v="1.3"/>
    <n v="260"/>
  </r>
  <r>
    <m/>
    <x v="7"/>
    <m/>
    <x v="12"/>
    <n v="300"/>
    <n v="0.95"/>
    <n v="285"/>
  </r>
  <r>
    <m/>
    <x v="7"/>
    <m/>
    <x v="15"/>
    <n v="600"/>
    <n v="4.75"/>
    <n v="2850"/>
  </r>
  <r>
    <m/>
    <x v="7"/>
    <m/>
    <x v="7"/>
    <n v="1400"/>
    <n v="3.5"/>
    <n v="4900"/>
  </r>
  <r>
    <m/>
    <x v="7"/>
    <m/>
    <x v="16"/>
    <n v="1000"/>
    <n v="2.5499999999999998"/>
    <n v="2550"/>
  </r>
  <r>
    <m/>
    <x v="7"/>
    <m/>
    <x v="14"/>
    <n v="1000"/>
    <n v="0.15"/>
    <n v="150"/>
  </r>
  <r>
    <m/>
    <x v="7"/>
    <m/>
    <x v="0"/>
    <n v="2500"/>
    <n v="0.95"/>
    <n v="2375"/>
  </r>
  <r>
    <m/>
    <x v="7"/>
    <m/>
    <x v="4"/>
    <n v="1400"/>
    <n v="0.1"/>
    <n v="140"/>
  </r>
  <r>
    <m/>
    <x v="7"/>
    <m/>
    <x v="21"/>
    <n v="1200"/>
    <n v="4"/>
    <n v="4800"/>
  </r>
  <r>
    <n v="9"/>
    <x v="8"/>
    <n v="4"/>
    <x v="6"/>
    <n v="2800"/>
    <n v="1.05"/>
    <n v="2940"/>
  </r>
  <r>
    <m/>
    <x v="8"/>
    <m/>
    <x v="7"/>
    <n v="1400"/>
    <n v="0.6"/>
    <n v="840"/>
  </r>
  <r>
    <m/>
    <x v="8"/>
    <m/>
    <x v="22"/>
    <n v="150"/>
    <n v="0.75"/>
    <n v="112.5"/>
  </r>
  <r>
    <m/>
    <x v="8"/>
    <m/>
    <x v="14"/>
    <n v="1000"/>
    <n v="3.85"/>
    <n v="3850"/>
  </r>
  <r>
    <m/>
    <x v="8"/>
    <m/>
    <x v="1"/>
    <n v="1500"/>
    <n v="0.15"/>
    <n v="225"/>
  </r>
  <r>
    <m/>
    <x v="8"/>
    <m/>
    <x v="16"/>
    <n v="1000"/>
    <n v="0.65"/>
    <n v="650"/>
  </r>
  <r>
    <m/>
    <x v="8"/>
    <m/>
    <x v="9"/>
    <n v="300"/>
    <n v="1.6"/>
    <n v="480"/>
  </r>
  <r>
    <m/>
    <x v="8"/>
    <m/>
    <x v="11"/>
    <n v="200"/>
    <n v="0.95"/>
    <n v="190"/>
  </r>
  <r>
    <n v="10"/>
    <x v="9"/>
    <n v="7"/>
    <x v="6"/>
    <n v="2800"/>
    <n v="1.75"/>
    <n v="4900"/>
  </r>
  <r>
    <m/>
    <x v="9"/>
    <m/>
    <x v="13"/>
    <n v="2500"/>
    <n v="0.1"/>
    <n v="250"/>
  </r>
  <r>
    <n v="11"/>
    <x v="10"/>
    <n v="2"/>
    <x v="6"/>
    <n v="2800"/>
    <n v="0.7"/>
    <n v="1959.9999999999998"/>
  </r>
  <r>
    <m/>
    <x v="10"/>
    <m/>
    <x v="7"/>
    <n v="1400"/>
    <n v="0.5"/>
    <n v="700"/>
  </r>
  <r>
    <m/>
    <x v="10"/>
    <m/>
    <x v="1"/>
    <n v="1500"/>
    <n v="0.25"/>
    <n v="375"/>
  </r>
  <r>
    <m/>
    <x v="10"/>
    <m/>
    <x v="19"/>
    <n v="150"/>
    <n v="2.5"/>
    <n v="375"/>
  </r>
  <r>
    <m/>
    <x v="10"/>
    <m/>
    <x v="11"/>
    <n v="200"/>
    <n v="0.2"/>
    <n v="40"/>
  </r>
  <r>
    <m/>
    <x v="10"/>
    <m/>
    <x v="14"/>
    <n v="1000"/>
    <n v="0.4"/>
    <n v="400"/>
  </r>
  <r>
    <m/>
    <x v="10"/>
    <m/>
    <x v="9"/>
    <n v="300"/>
    <n v="0.1"/>
    <n v="30"/>
  </r>
  <r>
    <m/>
    <x v="10"/>
    <m/>
    <x v="13"/>
    <n v="2500"/>
    <n v="0.15"/>
    <n v="375"/>
  </r>
  <r>
    <n v="12"/>
    <x v="11"/>
    <n v="4"/>
    <x v="12"/>
    <n v="300"/>
    <n v="0.3"/>
    <n v="90"/>
  </r>
  <r>
    <m/>
    <x v="11"/>
    <m/>
    <x v="6"/>
    <n v="2800"/>
    <n v="0.35"/>
    <n v="979.99999999999989"/>
  </r>
  <r>
    <m/>
    <x v="11"/>
    <m/>
    <x v="11"/>
    <n v="200"/>
    <n v="1.3"/>
    <n v="260"/>
  </r>
  <r>
    <m/>
    <x v="11"/>
    <m/>
    <x v="4"/>
    <n v="1400"/>
    <n v="3.4"/>
    <n v="4760"/>
  </r>
  <r>
    <m/>
    <x v="11"/>
    <m/>
    <x v="7"/>
    <n v="1400"/>
    <n v="4.45"/>
    <n v="6230"/>
  </r>
  <r>
    <m/>
    <x v="11"/>
    <m/>
    <x v="3"/>
    <n v="1800"/>
    <n v="2.5499999999999998"/>
    <n v="4590"/>
  </r>
  <r>
    <n v="13"/>
    <x v="12"/>
    <n v="7"/>
    <x v="14"/>
    <n v="1000"/>
    <n v="3.6"/>
    <n v="3600"/>
  </r>
  <r>
    <m/>
    <x v="12"/>
    <m/>
    <x v="2"/>
    <n v="1600"/>
    <n v="0.55000000000000004"/>
    <n v="880.00000000000011"/>
  </r>
  <r>
    <m/>
    <x v="12"/>
    <m/>
    <x v="7"/>
    <n v="1400"/>
    <n v="0.25"/>
    <n v="350"/>
  </r>
  <r>
    <m/>
    <x v="12"/>
    <m/>
    <x v="23"/>
    <n v="10000"/>
    <n v="1"/>
    <n v="10000"/>
  </r>
  <r>
    <n v="14"/>
    <x v="13"/>
    <n v="4"/>
    <x v="14"/>
    <n v="1000"/>
    <n v="0.65"/>
    <n v="650"/>
  </r>
  <r>
    <m/>
    <x v="13"/>
    <m/>
    <x v="6"/>
    <n v="2800"/>
    <n v="0.15"/>
    <n v="420"/>
  </r>
  <r>
    <m/>
    <x v="13"/>
    <m/>
    <x v="7"/>
    <n v="1400"/>
    <n v="1.9"/>
    <n v="2660"/>
  </r>
  <r>
    <m/>
    <x v="13"/>
    <m/>
    <x v="15"/>
    <n v="600"/>
    <n v="0.2"/>
    <n v="120"/>
  </r>
  <r>
    <m/>
    <x v="13"/>
    <m/>
    <x v="5"/>
    <n v="2000"/>
    <n v="0.2"/>
    <n v="400"/>
  </r>
  <r>
    <m/>
    <x v="13"/>
    <m/>
    <x v="11"/>
    <n v="200"/>
    <n v="0.4"/>
    <n v="80"/>
  </r>
  <r>
    <m/>
    <x v="13"/>
    <m/>
    <x v="9"/>
    <n v="300"/>
    <n v="0.35"/>
    <n v="105"/>
  </r>
  <r>
    <m/>
    <x v="13"/>
    <m/>
    <x v="19"/>
    <n v="150"/>
    <n v="3.7"/>
    <n v="555"/>
  </r>
  <r>
    <n v="15"/>
    <x v="14"/>
    <n v="4"/>
    <x v="3"/>
    <n v="1800"/>
    <n v="0.1"/>
    <n v="180"/>
  </r>
  <r>
    <m/>
    <x v="14"/>
    <m/>
    <x v="16"/>
    <n v="1000"/>
    <n v="1.1499999999999999"/>
    <n v="1150"/>
  </r>
  <r>
    <n v="16"/>
    <x v="15"/>
    <n v="2"/>
    <x v="1"/>
    <n v="1500"/>
    <n v="2"/>
    <n v="3000"/>
  </r>
  <r>
    <m/>
    <x v="15"/>
    <m/>
    <x v="14"/>
    <n v="1000"/>
    <n v="0.8"/>
    <n v="800"/>
  </r>
  <r>
    <m/>
    <x v="15"/>
    <m/>
    <x v="9"/>
    <n v="300"/>
    <n v="0.1"/>
    <n v="30"/>
  </r>
  <r>
    <m/>
    <x v="15"/>
    <m/>
    <x v="2"/>
    <n v="1600"/>
    <n v="0.8"/>
    <n v="1280"/>
  </r>
  <r>
    <n v="17"/>
    <x v="16"/>
    <n v="4"/>
    <x v="19"/>
    <n v="150"/>
    <n v="6.95"/>
    <n v="1042.5"/>
  </r>
  <r>
    <m/>
    <x v="16"/>
    <m/>
    <x v="24"/>
    <n v="6000"/>
    <n v="3"/>
    <n v="18000"/>
  </r>
  <r>
    <m/>
    <x v="16"/>
    <m/>
    <x v="0"/>
    <n v="2500"/>
    <n v="1.1000000000000001"/>
    <n v="2750"/>
  </r>
  <r>
    <m/>
    <x v="16"/>
    <m/>
    <x v="3"/>
    <n v="1800"/>
    <n v="1.1000000000000001"/>
    <n v="1980.0000000000002"/>
  </r>
  <r>
    <m/>
    <x v="16"/>
    <m/>
    <x v="5"/>
    <n v="2000"/>
    <n v="0.7"/>
    <n v="1400"/>
  </r>
  <r>
    <m/>
    <x v="16"/>
    <m/>
    <x v="6"/>
    <n v="2800"/>
    <n v="0.45"/>
    <n v="1260"/>
  </r>
  <r>
    <m/>
    <x v="16"/>
    <m/>
    <x v="1"/>
    <n v="1500"/>
    <n v="0.15"/>
    <n v="225"/>
  </r>
  <r>
    <m/>
    <x v="16"/>
    <m/>
    <x v="13"/>
    <n v="2500"/>
    <n v="0.1"/>
    <n v="250"/>
  </r>
  <r>
    <m/>
    <x v="16"/>
    <m/>
    <x v="12"/>
    <n v="300"/>
    <n v="0.2"/>
    <n v="60"/>
  </r>
  <r>
    <m/>
    <x v="16"/>
    <m/>
    <x v="17"/>
    <n v="400"/>
    <n v="0.2"/>
    <n v="80"/>
  </r>
  <r>
    <m/>
    <x v="16"/>
    <m/>
    <x v="25"/>
    <n v="800"/>
    <n v="0.15"/>
    <n v="120"/>
  </r>
  <r>
    <m/>
    <x v="16"/>
    <m/>
    <x v="7"/>
    <n v="1400"/>
    <n v="0.95000000000000007"/>
    <n v="1330"/>
  </r>
  <r>
    <m/>
    <x v="16"/>
    <m/>
    <x v="4"/>
    <n v="1400"/>
    <n v="0.3"/>
    <n v="420"/>
  </r>
  <r>
    <m/>
    <x v="16"/>
    <m/>
    <x v="19"/>
    <n v="150"/>
    <n v="0.4"/>
    <n v="60"/>
  </r>
  <r>
    <m/>
    <x v="16"/>
    <m/>
    <x v="26"/>
    <n v="150"/>
    <n v="0.35"/>
    <n v="52.5"/>
  </r>
  <r>
    <m/>
    <x v="16"/>
    <m/>
    <x v="14"/>
    <n v="1000"/>
    <n v="0.3"/>
    <n v="300"/>
  </r>
  <r>
    <m/>
    <x v="16"/>
    <m/>
    <x v="11"/>
    <n v="200"/>
    <n v="0.8"/>
    <n v="160"/>
  </r>
  <r>
    <n v="18"/>
    <x v="17"/>
    <n v="4"/>
    <x v="11"/>
    <n v="200"/>
    <n v="0.55000000000000004"/>
    <n v="110.00000000000001"/>
  </r>
  <r>
    <m/>
    <x v="17"/>
    <m/>
    <x v="12"/>
    <n v="300"/>
    <n v="0.6"/>
    <n v="180"/>
  </r>
  <r>
    <m/>
    <x v="17"/>
    <m/>
    <x v="1"/>
    <n v="1500"/>
    <n v="0.45"/>
    <n v="675"/>
  </r>
  <r>
    <m/>
    <x v="17"/>
    <m/>
    <x v="27"/>
    <n v="1200"/>
    <n v="1.1499999999999999"/>
    <n v="1380"/>
  </r>
  <r>
    <m/>
    <x v="17"/>
    <m/>
    <x v="4"/>
    <n v="1400"/>
    <n v="0.1"/>
    <n v="140"/>
  </r>
  <r>
    <m/>
    <x v="17"/>
    <m/>
    <x v="3"/>
    <n v="1800"/>
    <n v="1.2"/>
    <n v="2160"/>
  </r>
  <r>
    <m/>
    <x v="17"/>
    <m/>
    <x v="0"/>
    <n v="2500"/>
    <n v="0.75"/>
    <n v="1875"/>
  </r>
  <r>
    <m/>
    <x v="17"/>
    <m/>
    <x v="14"/>
    <n v="1000"/>
    <n v="1.35"/>
    <n v="1350"/>
  </r>
  <r>
    <m/>
    <x v="17"/>
    <m/>
    <x v="13"/>
    <n v="2500"/>
    <n v="0.35"/>
    <n v="875"/>
  </r>
  <r>
    <m/>
    <x v="17"/>
    <m/>
    <x v="16"/>
    <n v="1000"/>
    <n v="1.7"/>
    <n v="1700"/>
  </r>
  <r>
    <n v="19"/>
    <x v="18"/>
    <n v="2"/>
    <x v="12"/>
    <n v="300"/>
    <n v="0.65"/>
    <n v="195"/>
  </r>
  <r>
    <m/>
    <x v="18"/>
    <m/>
    <x v="1"/>
    <n v="1500"/>
    <n v="0.5"/>
    <n v="750"/>
  </r>
  <r>
    <m/>
    <x v="18"/>
    <m/>
    <x v="19"/>
    <n v="150"/>
    <n v="1.65"/>
    <n v="247.5"/>
  </r>
  <r>
    <m/>
    <x v="18"/>
    <m/>
    <x v="7"/>
    <n v="1400"/>
    <n v="0.8"/>
    <n v="1120"/>
  </r>
  <r>
    <m/>
    <x v="18"/>
    <m/>
    <x v="0"/>
    <n v="2500"/>
    <n v="1.2"/>
    <n v="3000"/>
  </r>
  <r>
    <m/>
    <x v="18"/>
    <m/>
    <x v="4"/>
    <n v="1400"/>
    <n v="0.2"/>
    <n v="280"/>
  </r>
  <r>
    <m/>
    <x v="18"/>
    <m/>
    <x v="16"/>
    <n v="1000"/>
    <n v="3.2"/>
    <n v="3200"/>
  </r>
  <r>
    <n v="20"/>
    <x v="19"/>
    <n v="2"/>
    <x v="2"/>
    <n v="1600"/>
    <n v="1.2999999999999998"/>
    <n v="2079.9999999999995"/>
  </r>
  <r>
    <m/>
    <x v="19"/>
    <m/>
    <x v="13"/>
    <n v="2500"/>
    <n v="0.15"/>
    <n v="375"/>
  </r>
  <r>
    <m/>
    <x v="19"/>
    <m/>
    <x v="19"/>
    <n v="150"/>
    <n v="0.3"/>
    <n v="45"/>
  </r>
  <r>
    <m/>
    <x v="19"/>
    <m/>
    <x v="7"/>
    <n v="1400"/>
    <n v="0.35"/>
    <n v="489.99999999999994"/>
  </r>
  <r>
    <m/>
    <x v="19"/>
    <m/>
    <x v="1"/>
    <n v="1500"/>
    <n v="0.2"/>
    <n v="300"/>
  </r>
  <r>
    <n v="21"/>
    <x v="20"/>
    <n v="4"/>
    <x v="17"/>
    <n v="400"/>
    <n v="1"/>
    <n v="400"/>
  </r>
  <r>
    <m/>
    <x v="20"/>
    <m/>
    <x v="14"/>
    <n v="1000"/>
    <n v="2.7"/>
    <n v="2700"/>
  </r>
  <r>
    <m/>
    <x v="20"/>
    <m/>
    <x v="9"/>
    <n v="300"/>
    <n v="1"/>
    <n v="300"/>
  </r>
  <r>
    <m/>
    <x v="20"/>
    <m/>
    <x v="26"/>
    <n v="150"/>
    <n v="0.1"/>
    <n v="15"/>
  </r>
  <r>
    <m/>
    <x v="20"/>
    <m/>
    <x v="28"/>
    <n v="2700"/>
    <n v="0.15"/>
    <n v="405"/>
  </r>
  <r>
    <m/>
    <x v="20"/>
    <m/>
    <x v="25"/>
    <n v="800"/>
    <n v="0.55000000000000004"/>
    <n v="440.00000000000006"/>
  </r>
  <r>
    <m/>
    <x v="20"/>
    <m/>
    <x v="8"/>
    <n v="3500"/>
    <n v="0.15"/>
    <n v="525"/>
  </r>
  <r>
    <m/>
    <x v="20"/>
    <m/>
    <x v="15"/>
    <n v="600"/>
    <n v="0.15"/>
    <n v="90"/>
  </r>
  <r>
    <m/>
    <x v="20"/>
    <m/>
    <x v="7"/>
    <n v="1400"/>
    <n v="0.45"/>
    <n v="630"/>
  </r>
  <r>
    <m/>
    <x v="20"/>
    <m/>
    <x v="1"/>
    <n v="1500"/>
    <n v="0.1"/>
    <n v="150"/>
  </r>
  <r>
    <m/>
    <x v="20"/>
    <m/>
    <x v="19"/>
    <n v="150"/>
    <n v="0.3"/>
    <n v="45"/>
  </r>
  <r>
    <n v="22"/>
    <x v="21"/>
    <n v="4"/>
    <x v="14"/>
    <n v="1000"/>
    <n v="0.75"/>
    <n v="750"/>
  </r>
  <r>
    <m/>
    <x v="21"/>
    <m/>
    <x v="9"/>
    <n v="300"/>
    <n v="0.5"/>
    <n v="150"/>
  </r>
  <r>
    <m/>
    <x v="21"/>
    <m/>
    <x v="29"/>
    <n v="1400"/>
    <n v="4.75"/>
    <n v="6650"/>
  </r>
  <r>
    <m/>
    <x v="21"/>
    <m/>
    <x v="6"/>
    <n v="2800"/>
    <n v="0.2"/>
    <n v="560"/>
  </r>
  <r>
    <m/>
    <x v="21"/>
    <m/>
    <x v="8"/>
    <n v="3500"/>
    <n v="0.15"/>
    <n v="525"/>
  </r>
  <r>
    <m/>
    <x v="21"/>
    <m/>
    <x v="12"/>
    <n v="300"/>
    <n v="0.1"/>
    <n v="30"/>
  </r>
  <r>
    <m/>
    <x v="21"/>
    <m/>
    <x v="7"/>
    <n v="1400"/>
    <n v="0.65"/>
    <n v="910"/>
  </r>
  <r>
    <n v="23"/>
    <x v="22"/>
    <n v="4"/>
    <x v="14"/>
    <n v="1000"/>
    <n v="7.95"/>
    <n v="7950"/>
  </r>
  <r>
    <m/>
    <x v="22"/>
    <m/>
    <x v="26"/>
    <n v="150"/>
    <n v="0.35"/>
    <n v="52.5"/>
  </r>
  <r>
    <m/>
    <x v="22"/>
    <m/>
    <x v="2"/>
    <n v="1600"/>
    <n v="0.35"/>
    <n v="560"/>
  </r>
  <r>
    <m/>
    <x v="22"/>
    <m/>
    <x v="1"/>
    <n v="1500"/>
    <n v="0.35"/>
    <n v="525"/>
  </r>
  <r>
    <m/>
    <x v="22"/>
    <m/>
    <x v="16"/>
    <n v="1000"/>
    <n v="0.35"/>
    <n v="350"/>
  </r>
  <r>
    <n v="24"/>
    <x v="23"/>
    <n v="1"/>
    <x v="7"/>
    <n v="1400"/>
    <n v="4.6500000000000004"/>
    <n v="6510.0000000000009"/>
  </r>
  <r>
    <m/>
    <x v="23"/>
    <m/>
    <x v="6"/>
    <n v="2800"/>
    <n v="0.45"/>
    <n v="1260"/>
  </r>
  <r>
    <m/>
    <x v="23"/>
    <m/>
    <x v="19"/>
    <n v="150"/>
    <n v="1.1000000000000001"/>
    <n v="165"/>
  </r>
  <r>
    <m/>
    <x v="23"/>
    <m/>
    <x v="12"/>
    <n v="300"/>
    <n v="0.15"/>
    <n v="45"/>
  </r>
  <r>
    <m/>
    <x v="23"/>
    <m/>
    <x v="11"/>
    <n v="200"/>
    <n v="0.35"/>
    <n v="70"/>
  </r>
  <r>
    <m/>
    <x v="23"/>
    <m/>
    <x v="8"/>
    <n v="3500"/>
    <n v="0.3"/>
    <n v="1050"/>
  </r>
  <r>
    <m/>
    <x v="23"/>
    <m/>
    <x v="26"/>
    <n v="150"/>
    <n v="0.45"/>
    <n v="67.5"/>
  </r>
  <r>
    <n v="25"/>
    <x v="24"/>
    <n v="1"/>
    <x v="2"/>
    <n v="1600"/>
    <n v="0.75"/>
    <n v="1200"/>
  </r>
  <r>
    <m/>
    <x v="24"/>
    <m/>
    <x v="1"/>
    <n v="1500"/>
    <n v="0.1"/>
    <n v="150"/>
  </r>
  <r>
    <m/>
    <x v="24"/>
    <m/>
    <x v="5"/>
    <n v="2000"/>
    <n v="0.35"/>
    <n v="700"/>
  </r>
  <r>
    <m/>
    <x v="24"/>
    <m/>
    <x v="16"/>
    <n v="1000"/>
    <n v="1.95"/>
    <n v="1950"/>
  </r>
  <r>
    <m/>
    <x v="24"/>
    <m/>
    <x v="12"/>
    <n v="300"/>
    <n v="0.25"/>
    <n v="75"/>
  </r>
  <r>
    <m/>
    <x v="24"/>
    <m/>
    <x v="11"/>
    <n v="200"/>
    <n v="0.1"/>
    <n v="20"/>
  </r>
  <r>
    <m/>
    <x v="24"/>
    <m/>
    <x v="14"/>
    <n v="1000"/>
    <n v="13.4"/>
    <n v="13400"/>
  </r>
  <r>
    <n v="26"/>
    <x v="25"/>
    <n v="1"/>
    <x v="11"/>
    <n v="200"/>
    <n v="0.9"/>
    <n v="180"/>
  </r>
  <r>
    <m/>
    <x v="25"/>
    <m/>
    <x v="16"/>
    <n v="1000"/>
    <n v="2"/>
    <n v="2000"/>
  </r>
  <r>
    <m/>
    <x v="25"/>
    <m/>
    <x v="12"/>
    <n v="300"/>
    <n v="0.85"/>
    <n v="255"/>
  </r>
  <r>
    <m/>
    <x v="25"/>
    <m/>
    <x v="19"/>
    <n v="150"/>
    <n v="4.3"/>
    <n v="645"/>
  </r>
  <r>
    <m/>
    <x v="25"/>
    <m/>
    <x v="1"/>
    <n v="1500"/>
    <n v="0.2"/>
    <n v="300"/>
  </r>
  <r>
    <m/>
    <x v="25"/>
    <m/>
    <x v="30"/>
    <n v="8000"/>
    <n v="0.25"/>
    <n v="2000"/>
  </r>
  <r>
    <n v="27"/>
    <x v="26"/>
    <n v="3"/>
    <x v="14"/>
    <n v="1000"/>
    <n v="1.4"/>
    <n v="1400"/>
  </r>
  <r>
    <m/>
    <x v="26"/>
    <m/>
    <x v="7"/>
    <n v="1400"/>
    <n v="0.8"/>
    <n v="1120"/>
  </r>
  <r>
    <n v="28"/>
    <x v="27"/>
    <n v="1"/>
    <x v="11"/>
    <n v="200"/>
    <n v="1.6"/>
    <n v="320"/>
  </r>
  <r>
    <m/>
    <x v="27"/>
    <m/>
    <x v="12"/>
    <n v="300"/>
    <n v="0.35"/>
    <n v="105"/>
  </r>
  <r>
    <m/>
    <x v="27"/>
    <m/>
    <x v="16"/>
    <n v="1000"/>
    <n v="1.4"/>
    <n v="1400"/>
  </r>
  <r>
    <m/>
    <x v="27"/>
    <m/>
    <x v="9"/>
    <n v="300"/>
    <n v="0.6"/>
    <n v="180"/>
  </r>
  <r>
    <m/>
    <x v="27"/>
    <m/>
    <x v="14"/>
    <n v="1000"/>
    <n v="0.35"/>
    <n v="350"/>
  </r>
  <r>
    <n v="29"/>
    <x v="28"/>
    <n v="1"/>
    <x v="11"/>
    <n v="200"/>
    <n v="2.3000000000000003"/>
    <n v="460.00000000000006"/>
  </r>
  <r>
    <m/>
    <x v="28"/>
    <m/>
    <x v="9"/>
    <n v="300"/>
    <n v="0.4"/>
    <n v="120"/>
  </r>
  <r>
    <n v="30"/>
    <x v="29"/>
    <n v="3"/>
    <x v="6"/>
    <n v="2800"/>
    <n v="1"/>
    <n v="2800"/>
  </r>
  <r>
    <m/>
    <x v="29"/>
    <m/>
    <x v="19"/>
    <m/>
    <n v="1.75"/>
    <m/>
  </r>
  <r>
    <m/>
    <x v="29"/>
    <m/>
    <x v="13"/>
    <n v="2500"/>
    <n v="0.1"/>
    <n v="250"/>
  </r>
  <r>
    <m/>
    <x v="29"/>
    <m/>
    <x v="1"/>
    <n v="1500"/>
    <n v="0.25"/>
    <n v="375"/>
  </r>
  <r>
    <m/>
    <x v="29"/>
    <m/>
    <x v="11"/>
    <n v="200"/>
    <n v="0.9"/>
    <n v="180"/>
  </r>
  <r>
    <m/>
    <x v="29"/>
    <m/>
    <x v="9"/>
    <n v="300"/>
    <n v="1.1000000000000001"/>
    <n v="330"/>
  </r>
  <r>
    <m/>
    <x v="29"/>
    <m/>
    <x v="25"/>
    <n v="800"/>
    <n v="0.35"/>
    <n v="280"/>
  </r>
  <r>
    <m/>
    <x v="29"/>
    <m/>
    <x v="26"/>
    <n v="150"/>
    <n v="0.3"/>
    <n v="45"/>
  </r>
  <r>
    <m/>
    <x v="29"/>
    <m/>
    <x v="24"/>
    <n v="6000"/>
    <n v="1"/>
    <n v="6000"/>
  </r>
  <r>
    <m/>
    <x v="29"/>
    <m/>
    <x v="12"/>
    <n v="300"/>
    <n v="0.35"/>
    <n v="105"/>
  </r>
  <r>
    <m/>
    <x v="29"/>
    <m/>
    <x v="7"/>
    <n v="1400"/>
    <n v="0.6"/>
    <n v="840"/>
  </r>
  <r>
    <m/>
    <x v="29"/>
    <m/>
    <x v="5"/>
    <n v="2000"/>
    <n v="0.4"/>
    <n v="800"/>
  </r>
  <r>
    <m/>
    <x v="29"/>
    <m/>
    <x v="14"/>
    <n v="1000"/>
    <n v="0.9"/>
    <n v="900"/>
  </r>
  <r>
    <n v="31"/>
    <x v="30"/>
    <n v="4"/>
    <x v="8"/>
    <n v="3500"/>
    <n v="0.25"/>
    <n v="875"/>
  </r>
  <r>
    <m/>
    <x v="30"/>
    <m/>
    <x v="19"/>
    <n v="150"/>
    <n v="1.1000000000000001"/>
    <n v="165"/>
  </r>
  <r>
    <m/>
    <x v="30"/>
    <m/>
    <x v="9"/>
    <n v="300"/>
    <n v="0.75"/>
    <n v="225"/>
  </r>
  <r>
    <m/>
    <x v="30"/>
    <m/>
    <x v="6"/>
    <n v="2800"/>
    <n v="0.4"/>
    <n v="1120"/>
  </r>
  <r>
    <m/>
    <x v="30"/>
    <m/>
    <x v="7"/>
    <n v="1400"/>
    <n v="0.1"/>
    <n v="140"/>
  </r>
  <r>
    <n v="32"/>
    <x v="31"/>
    <n v="5"/>
    <x v="16"/>
    <n v="1000"/>
    <n v="5.05"/>
    <n v="5050"/>
  </r>
  <r>
    <n v="33"/>
    <x v="32"/>
    <n v="4"/>
    <x v="7"/>
    <n v="1400"/>
    <n v="1.3"/>
    <n v="1820"/>
  </r>
  <r>
    <m/>
    <x v="32"/>
    <m/>
    <x v="31"/>
    <n v="1600"/>
    <n v="0.7"/>
    <n v="1120"/>
  </r>
  <r>
    <m/>
    <x v="32"/>
    <m/>
    <x v="9"/>
    <n v="300"/>
    <n v="0.4"/>
    <n v="120"/>
  </r>
  <r>
    <m/>
    <x v="32"/>
    <m/>
    <x v="21"/>
    <n v="1200"/>
    <n v="3.6"/>
    <n v="4320"/>
  </r>
  <r>
    <n v="34"/>
    <x v="33"/>
    <n v="3"/>
    <x v="7"/>
    <n v="1400"/>
    <n v="3.2"/>
    <n v="4480"/>
  </r>
  <r>
    <m/>
    <x v="33"/>
    <m/>
    <x v="14"/>
    <n v="1000"/>
    <n v="0.85"/>
    <n v="850"/>
  </r>
  <r>
    <m/>
    <x v="33"/>
    <m/>
    <x v="2"/>
    <n v="1600"/>
    <n v="0.35"/>
    <n v="560"/>
  </r>
  <r>
    <m/>
    <x v="33"/>
    <m/>
    <x v="16"/>
    <n v="1000"/>
    <n v="0.5"/>
    <n v="500"/>
  </r>
  <r>
    <m/>
    <x v="33"/>
    <m/>
    <x v="11"/>
    <n v="200"/>
    <n v="0.25"/>
    <n v="50"/>
  </r>
  <r>
    <n v="35"/>
    <x v="34"/>
    <n v="5"/>
    <x v="6"/>
    <n v="2800"/>
    <n v="1.55"/>
    <n v="4340"/>
  </r>
  <r>
    <m/>
    <x v="34"/>
    <m/>
    <x v="13"/>
    <n v="2500"/>
    <n v="0.3"/>
    <n v="750"/>
  </r>
  <r>
    <m/>
    <x v="34"/>
    <m/>
    <x v="7"/>
    <n v="1400"/>
    <n v="3.05"/>
    <n v="4270"/>
  </r>
  <r>
    <m/>
    <x v="34"/>
    <m/>
    <x v="32"/>
    <n v="400"/>
    <n v="0.5"/>
    <n v="200"/>
  </r>
  <r>
    <m/>
    <x v="34"/>
    <m/>
    <x v="15"/>
    <n v="600"/>
    <n v="0.4"/>
    <n v="240"/>
  </r>
  <r>
    <m/>
    <x v="34"/>
    <m/>
    <x v="11"/>
    <n v="200"/>
    <n v="0.2"/>
    <n v="40"/>
  </r>
  <r>
    <m/>
    <x v="34"/>
    <m/>
    <x v="0"/>
    <n v="2500"/>
    <n v="3.3"/>
    <n v="8250"/>
  </r>
  <r>
    <m/>
    <x v="34"/>
    <m/>
    <x v="33"/>
    <n v="700"/>
    <n v="0.25"/>
    <n v="175"/>
  </r>
  <r>
    <m/>
    <x v="34"/>
    <m/>
    <x v="3"/>
    <n v="1800"/>
    <n v="0.85"/>
    <n v="1530"/>
  </r>
  <r>
    <m/>
    <x v="34"/>
    <m/>
    <x v="9"/>
    <n v="300"/>
    <n v="0.5"/>
    <n v="150"/>
  </r>
  <r>
    <m/>
    <x v="34"/>
    <m/>
    <x v="14"/>
    <n v="1000"/>
    <n v="2.95"/>
    <n v="2950"/>
  </r>
  <r>
    <m/>
    <x v="34"/>
    <m/>
    <x v="18"/>
    <n v="4000"/>
    <n v="3.45"/>
    <n v="13800"/>
  </r>
  <r>
    <n v="36"/>
    <x v="35"/>
    <n v="4"/>
    <x v="14"/>
    <n v="1000"/>
    <n v="3.5"/>
    <n v="3500"/>
  </r>
  <r>
    <m/>
    <x v="35"/>
    <m/>
    <x v="25"/>
    <n v="800"/>
    <n v="0.15"/>
    <n v="120"/>
  </r>
  <r>
    <m/>
    <x v="35"/>
    <m/>
    <x v="7"/>
    <n v="1400"/>
    <n v="5.1499999999999995"/>
    <n v="7209.9999999999991"/>
  </r>
  <r>
    <m/>
    <x v="35"/>
    <m/>
    <x v="10"/>
    <n v="5000"/>
    <n v="1.1499999999999999"/>
    <n v="5750"/>
  </r>
  <r>
    <m/>
    <x v="35"/>
    <m/>
    <x v="0"/>
    <n v="2500"/>
    <n v="0.75"/>
    <n v="1875"/>
  </r>
  <r>
    <m/>
    <x v="35"/>
    <m/>
    <x v="8"/>
    <n v="3500"/>
    <n v="0.25"/>
    <n v="875"/>
  </r>
  <r>
    <m/>
    <x v="35"/>
    <m/>
    <x v="3"/>
    <n v="1800"/>
    <n v="0.3"/>
    <n v="540"/>
  </r>
  <r>
    <m/>
    <x v="35"/>
    <m/>
    <x v="6"/>
    <n v="2800"/>
    <n v="0.4"/>
    <n v="1120"/>
  </r>
  <r>
    <m/>
    <x v="35"/>
    <m/>
    <x v="12"/>
    <n v="300"/>
    <n v="0.2"/>
    <n v="60"/>
  </r>
  <r>
    <n v="37"/>
    <x v="36"/>
    <n v="4"/>
    <x v="11"/>
    <n v="200"/>
    <n v="5.65"/>
    <n v="1130"/>
  </r>
  <r>
    <m/>
    <x v="36"/>
    <m/>
    <x v="16"/>
    <n v="1000"/>
    <n v="0.65"/>
    <n v="650"/>
  </r>
  <r>
    <m/>
    <x v="36"/>
    <m/>
    <x v="2"/>
    <n v="1600"/>
    <n v="1.35"/>
    <n v="2160"/>
  </r>
  <r>
    <m/>
    <x v="36"/>
    <m/>
    <x v="21"/>
    <n v="1200"/>
    <n v="42.6"/>
    <n v="51120"/>
  </r>
  <r>
    <m/>
    <x v="36"/>
    <m/>
    <x v="14"/>
    <n v="1000"/>
    <n v="10.950000000000001"/>
    <n v="10950.000000000002"/>
  </r>
  <r>
    <m/>
    <x v="36"/>
    <m/>
    <x v="9"/>
    <n v="300"/>
    <n v="1.35"/>
    <n v="405"/>
  </r>
  <r>
    <m/>
    <x v="36"/>
    <m/>
    <x v="22"/>
    <n v="150"/>
    <n v="1.95"/>
    <n v="292.5"/>
  </r>
  <r>
    <m/>
    <x v="36"/>
    <m/>
    <x v="7"/>
    <n v="1400"/>
    <n v="4.5"/>
    <n v="6300"/>
  </r>
  <r>
    <m/>
    <x v="36"/>
    <m/>
    <x v="34"/>
    <n v="800"/>
    <n v="2.5"/>
    <n v="2000"/>
  </r>
  <r>
    <m/>
    <x v="36"/>
    <m/>
    <x v="0"/>
    <n v="2500"/>
    <n v="6.45"/>
    <n v="16125"/>
  </r>
  <r>
    <n v="38"/>
    <x v="37"/>
    <n v="2"/>
    <x v="5"/>
    <n v="2000"/>
    <n v="0.1"/>
    <n v="200"/>
  </r>
  <r>
    <m/>
    <x v="37"/>
    <m/>
    <x v="6"/>
    <n v="2800"/>
    <n v="0.8"/>
    <n v="2240"/>
  </r>
  <r>
    <m/>
    <x v="37"/>
    <m/>
    <x v="28"/>
    <n v="2700"/>
    <n v="0.2"/>
    <n v="540"/>
  </r>
  <r>
    <m/>
    <x v="37"/>
    <m/>
    <x v="7"/>
    <n v="1400"/>
    <n v="0.85"/>
    <n v="1190"/>
  </r>
  <r>
    <m/>
    <x v="37"/>
    <m/>
    <x v="13"/>
    <n v="2500"/>
    <n v="0.15"/>
    <n v="375"/>
  </r>
  <r>
    <m/>
    <x v="37"/>
    <m/>
    <x v="1"/>
    <n v="1500"/>
    <n v="0.45000000000000007"/>
    <n v="675.00000000000011"/>
  </r>
  <r>
    <m/>
    <x v="37"/>
    <m/>
    <x v="19"/>
    <n v="150"/>
    <n v="3.15"/>
    <n v="472.5"/>
  </r>
  <r>
    <m/>
    <x v="37"/>
    <m/>
    <x v="11"/>
    <n v="200"/>
    <n v="0.15"/>
    <n v="30"/>
  </r>
  <r>
    <m/>
    <x v="37"/>
    <m/>
    <x v="9"/>
    <n v="300"/>
    <n v="0.55000000000000004"/>
    <n v="165"/>
  </r>
  <r>
    <m/>
    <x v="37"/>
    <m/>
    <x v="35"/>
    <n v="13000"/>
    <n v="1"/>
    <n v="13000"/>
  </r>
  <r>
    <m/>
    <x v="37"/>
    <m/>
    <x v="20"/>
    <n v="1800"/>
    <n v="1"/>
    <n v="1800"/>
  </r>
  <r>
    <m/>
    <x v="37"/>
    <m/>
    <x v="14"/>
    <n v="1000"/>
    <n v="3.1"/>
    <n v="3100"/>
  </r>
  <r>
    <n v="39"/>
    <x v="38"/>
    <n v="2"/>
    <x v="5"/>
    <n v="2000"/>
    <n v="0.4"/>
    <n v="800"/>
  </r>
  <r>
    <m/>
    <x v="38"/>
    <m/>
    <x v="7"/>
    <n v="1400"/>
    <n v="1.8499999999999999"/>
    <n v="2590"/>
  </r>
  <r>
    <m/>
    <x v="38"/>
    <m/>
    <x v="31"/>
    <n v="1600"/>
    <n v="0.35"/>
    <n v="560"/>
  </r>
  <r>
    <m/>
    <x v="38"/>
    <m/>
    <x v="6"/>
    <n v="2800"/>
    <n v="0.8"/>
    <n v="2240"/>
  </r>
  <r>
    <m/>
    <x v="38"/>
    <m/>
    <x v="13"/>
    <n v="2500"/>
    <n v="0.3"/>
    <n v="750"/>
  </r>
  <r>
    <m/>
    <x v="38"/>
    <m/>
    <x v="1"/>
    <n v="1500"/>
    <n v="0.9"/>
    <n v="1350"/>
  </r>
  <r>
    <m/>
    <x v="38"/>
    <m/>
    <x v="30"/>
    <n v="8000"/>
    <n v="0.1"/>
    <n v="800"/>
  </r>
  <r>
    <m/>
    <x v="38"/>
    <m/>
    <x v="3"/>
    <n v="1800"/>
    <n v="0.79999999999999993"/>
    <n v="1439.9999999999998"/>
  </r>
  <r>
    <m/>
    <x v="38"/>
    <m/>
    <x v="2"/>
    <n v="1600"/>
    <n v="0.1"/>
    <n v="160"/>
  </r>
  <r>
    <m/>
    <x v="38"/>
    <m/>
    <x v="15"/>
    <n v="600"/>
    <n v="0.95"/>
    <n v="570"/>
  </r>
  <r>
    <m/>
    <x v="38"/>
    <m/>
    <x v="11"/>
    <n v="200"/>
    <n v="1.1000000000000001"/>
    <n v="220.00000000000003"/>
  </r>
  <r>
    <m/>
    <x v="38"/>
    <m/>
    <x v="19"/>
    <n v="150"/>
    <n v="2.2999999999999998"/>
    <n v="345"/>
  </r>
  <r>
    <m/>
    <x v="38"/>
    <m/>
    <x v="34"/>
    <n v="800"/>
    <n v="7.9"/>
    <n v="6320"/>
  </r>
  <r>
    <m/>
    <x v="38"/>
    <m/>
    <x v="21"/>
    <n v="1200"/>
    <n v="8.85"/>
    <n v="10620"/>
  </r>
  <r>
    <m/>
    <x v="38"/>
    <m/>
    <x v="14"/>
    <n v="1000"/>
    <n v="2.9"/>
    <n v="2900"/>
  </r>
  <r>
    <m/>
    <x v="38"/>
    <m/>
    <x v="9"/>
    <n v="300"/>
    <n v="2"/>
    <n v="600"/>
  </r>
  <r>
    <n v="40"/>
    <x v="39"/>
    <n v="3"/>
    <x v="8"/>
    <n v="3500"/>
    <n v="1.45"/>
    <n v="5075"/>
  </r>
  <r>
    <m/>
    <x v="39"/>
    <m/>
    <x v="6"/>
    <n v="2800"/>
    <n v="0.2"/>
    <n v="560"/>
  </r>
  <r>
    <m/>
    <x v="39"/>
    <m/>
    <x v="12"/>
    <n v="300"/>
    <n v="0.2"/>
    <n v="60"/>
  </r>
  <r>
    <m/>
    <x v="39"/>
    <m/>
    <x v="11"/>
    <n v="200"/>
    <n v="0.15"/>
    <n v="30"/>
  </r>
  <r>
    <n v="41"/>
    <x v="40"/>
    <n v="5"/>
    <x v="1"/>
    <n v="1500"/>
    <n v="0.4"/>
    <n v="600"/>
  </r>
  <r>
    <m/>
    <x v="40"/>
    <m/>
    <x v="9"/>
    <n v="300"/>
    <n v="0.95"/>
    <n v="285"/>
  </r>
  <r>
    <m/>
    <x v="40"/>
    <m/>
    <x v="12"/>
    <n v="300"/>
    <n v="0.3"/>
    <n v="90"/>
  </r>
  <r>
    <m/>
    <x v="40"/>
    <m/>
    <x v="11"/>
    <n v="200"/>
    <n v="1"/>
    <n v="200"/>
  </r>
  <r>
    <m/>
    <x v="40"/>
    <m/>
    <x v="6"/>
    <n v="2800"/>
    <n v="1.1499999999999999"/>
    <n v="3219.9999999999995"/>
  </r>
  <r>
    <m/>
    <x v="40"/>
    <m/>
    <x v="16"/>
    <n v="1000"/>
    <n v="0.2"/>
    <n v="200"/>
  </r>
  <r>
    <m/>
    <x v="40"/>
    <m/>
    <x v="19"/>
    <n v="150"/>
    <n v="0.5"/>
    <n v="75"/>
  </r>
  <r>
    <n v="42"/>
    <x v="41"/>
    <n v="1"/>
    <x v="7"/>
    <n v="1400"/>
    <n v="0.2"/>
    <n v="280"/>
  </r>
  <r>
    <m/>
    <x v="41"/>
    <m/>
    <x v="12"/>
    <n v="300"/>
    <n v="0.25"/>
    <n v="75"/>
  </r>
  <r>
    <m/>
    <x v="41"/>
    <m/>
    <x v="2"/>
    <n v="1600"/>
    <n v="0.3"/>
    <n v="480"/>
  </r>
  <r>
    <m/>
    <x v="41"/>
    <m/>
    <x v="14"/>
    <n v="1000"/>
    <n v="2.2000000000000002"/>
    <n v="2200"/>
  </r>
  <r>
    <m/>
    <x v="41"/>
    <m/>
    <x v="9"/>
    <n v="300"/>
    <n v="0.1"/>
    <n v="30"/>
  </r>
  <r>
    <n v="43"/>
    <x v="42"/>
    <n v="4"/>
    <x v="22"/>
    <n v="150"/>
    <n v="16.2"/>
    <n v="2430"/>
  </r>
  <r>
    <n v="44"/>
    <x v="43"/>
    <n v="1"/>
    <x v="14"/>
    <n v="1000"/>
    <n v="7.65"/>
    <n v="7650"/>
  </r>
  <r>
    <m/>
    <x v="43"/>
    <m/>
    <x v="2"/>
    <n v="1600"/>
    <n v="2.7"/>
    <n v="4320"/>
  </r>
  <r>
    <n v="45"/>
    <x v="44"/>
    <n v="3"/>
    <x v="14"/>
    <n v="1000"/>
    <n v="0.95"/>
    <n v="950"/>
  </r>
  <r>
    <m/>
    <x v="44"/>
    <m/>
    <x v="16"/>
    <n v="1000"/>
    <n v="1.05"/>
    <n v="1050"/>
  </r>
  <r>
    <n v="46"/>
    <x v="45"/>
    <s v="Pos"/>
    <x v="8"/>
    <n v="3500"/>
    <n v="0.65"/>
    <n v="2275"/>
  </r>
  <r>
    <m/>
    <x v="45"/>
    <m/>
    <x v="6"/>
    <n v="2800"/>
    <n v="1.1000000000000001"/>
    <n v="3080.0000000000005"/>
  </r>
  <r>
    <m/>
    <x v="45"/>
    <m/>
    <x v="14"/>
    <n v="1000"/>
    <n v="3.5500000000000003"/>
    <n v="3550.0000000000005"/>
  </r>
  <r>
    <m/>
    <x v="45"/>
    <m/>
    <x v="7"/>
    <n v="1400"/>
    <n v="0.45"/>
    <n v="630"/>
  </r>
  <r>
    <m/>
    <x v="45"/>
    <m/>
    <x v="9"/>
    <n v="300"/>
    <n v="1.2"/>
    <n v="360"/>
  </r>
  <r>
    <m/>
    <x v="45"/>
    <m/>
    <x v="2"/>
    <n v="1600"/>
    <n v="0.75"/>
    <n v="1200"/>
  </r>
  <r>
    <n v="47"/>
    <x v="46"/>
    <n v="2"/>
    <x v="9"/>
    <n v="300"/>
    <n v="0.65"/>
    <n v="195"/>
  </r>
  <r>
    <m/>
    <x v="46"/>
    <m/>
    <x v="11"/>
    <n v="200"/>
    <n v="0.7"/>
    <n v="140"/>
  </r>
  <r>
    <m/>
    <x v="46"/>
    <m/>
    <x v="7"/>
    <n v="1400"/>
    <n v="0.35"/>
    <n v="489.99999999999994"/>
  </r>
  <r>
    <m/>
    <x v="46"/>
    <m/>
    <x v="6"/>
    <n v="2800"/>
    <n v="0.3"/>
    <n v="840"/>
  </r>
  <r>
    <m/>
    <x v="46"/>
    <m/>
    <x v="12"/>
    <n v="300"/>
    <n v="0.7"/>
    <n v="210"/>
  </r>
  <r>
    <n v="48"/>
    <x v="47"/>
    <n v="4"/>
    <x v="7"/>
    <n v="1400"/>
    <n v="3.3"/>
    <n v="4620"/>
  </r>
  <r>
    <m/>
    <x v="47"/>
    <m/>
    <x v="9"/>
    <n v="300"/>
    <n v="1.85"/>
    <n v="555"/>
  </r>
  <r>
    <m/>
    <x v="47"/>
    <m/>
    <x v="14"/>
    <n v="1000"/>
    <n v="0.55000000000000004"/>
    <n v="550"/>
  </r>
  <r>
    <m/>
    <x v="47"/>
    <m/>
    <x v="6"/>
    <n v="2800"/>
    <n v="0.7"/>
    <n v="1959.9999999999998"/>
  </r>
  <r>
    <m/>
    <x v="47"/>
    <m/>
    <x v="11"/>
    <n v="200"/>
    <n v="0.6"/>
    <n v="120"/>
  </r>
  <r>
    <n v="49"/>
    <x v="48"/>
    <n v="4"/>
    <x v="14"/>
    <n v="1000"/>
    <n v="1.1000000000000001"/>
    <n v="1100"/>
  </r>
  <r>
    <m/>
    <x v="48"/>
    <m/>
    <x v="26"/>
    <n v="150"/>
    <n v="0.55000000000000004"/>
    <n v="82.5"/>
  </r>
  <r>
    <m/>
    <x v="48"/>
    <m/>
    <x v="25"/>
    <n v="800"/>
    <n v="0.1"/>
    <n v="80"/>
  </r>
  <r>
    <m/>
    <x v="48"/>
    <m/>
    <x v="2"/>
    <n v="1600"/>
    <n v="0.15"/>
    <n v="240"/>
  </r>
  <r>
    <n v="50"/>
    <x v="49"/>
    <n v="4"/>
    <x v="35"/>
    <n v="13000"/>
    <n v="1"/>
    <n v="13000"/>
  </r>
  <r>
    <m/>
    <x v="49"/>
    <m/>
    <x v="7"/>
    <n v="1400"/>
    <n v="0.25"/>
    <n v="350"/>
  </r>
  <r>
    <m/>
    <x v="49"/>
    <m/>
    <x v="16"/>
    <n v="1000"/>
    <n v="1.35"/>
    <n v="1350"/>
  </r>
  <r>
    <n v="51"/>
    <x v="50"/>
    <s v="Pos"/>
    <x v="36"/>
    <n v="13000"/>
    <n v="1"/>
    <n v="13000"/>
  </r>
  <r>
    <n v="52"/>
    <x v="51"/>
    <n v="4"/>
    <x v="12"/>
    <n v="300"/>
    <n v="0.5"/>
    <n v="150"/>
  </r>
  <r>
    <m/>
    <x v="51"/>
    <m/>
    <x v="7"/>
    <n v="1400"/>
    <n v="0.55000000000000004"/>
    <n v="770.00000000000011"/>
  </r>
  <r>
    <m/>
    <x v="51"/>
    <m/>
    <x v="8"/>
    <n v="3500"/>
    <n v="0.2"/>
    <n v="700"/>
  </r>
  <r>
    <m/>
    <x v="51"/>
    <m/>
    <x v="11"/>
    <n v="200"/>
    <n v="0.55000000000000004"/>
    <n v="110.00000000000001"/>
  </r>
  <r>
    <m/>
    <x v="51"/>
    <m/>
    <x v="16"/>
    <n v="1000"/>
    <n v="0.3"/>
    <n v="3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3">
  <r>
    <n v="1"/>
    <x v="0"/>
    <n v="4"/>
    <x v="0"/>
    <n v="2800"/>
    <n v="1.35"/>
    <n v="3780.0000000000005"/>
  </r>
  <r>
    <m/>
    <x v="0"/>
    <m/>
    <x v="1"/>
    <n v="1000"/>
    <n v="0.2"/>
    <n v="200"/>
  </r>
  <r>
    <m/>
    <x v="0"/>
    <m/>
    <x v="2"/>
    <n v="300"/>
    <n v="0.25"/>
    <n v="75"/>
  </r>
  <r>
    <m/>
    <x v="0"/>
    <m/>
    <x v="3"/>
    <n v="200"/>
    <n v="0.15"/>
    <n v="30"/>
  </r>
  <r>
    <n v="2"/>
    <x v="1"/>
    <n v="4"/>
    <x v="4"/>
    <n v="1000"/>
    <n v="1.95"/>
    <n v="1950"/>
  </r>
  <r>
    <m/>
    <x v="1"/>
    <m/>
    <x v="0"/>
    <n v="2800"/>
    <n v="0.35"/>
    <n v="979.99999999999989"/>
  </r>
  <r>
    <m/>
    <x v="1"/>
    <m/>
    <x v="5"/>
    <n v="3500"/>
    <n v="0.05"/>
    <n v="175"/>
  </r>
  <r>
    <m/>
    <x v="1"/>
    <m/>
    <x v="6"/>
    <n v="1400"/>
    <n v="0.35"/>
    <n v="489.99999999999994"/>
  </r>
  <r>
    <m/>
    <x v="1"/>
    <m/>
    <x v="1"/>
    <n v="1000"/>
    <n v="0.2"/>
    <n v="200"/>
  </r>
  <r>
    <m/>
    <x v="1"/>
    <m/>
    <x v="7"/>
    <n v="1600"/>
    <n v="0.2"/>
    <n v="320"/>
  </r>
  <r>
    <m/>
    <x v="1"/>
    <m/>
    <x v="8"/>
    <n v="2000"/>
    <n v="1.1000000000000001"/>
    <n v="2200"/>
  </r>
  <r>
    <m/>
    <x v="1"/>
    <m/>
    <x v="3"/>
    <n v="200"/>
    <n v="0.4"/>
    <n v="80"/>
  </r>
  <r>
    <n v="3"/>
    <x v="2"/>
    <n v="4"/>
    <x v="1"/>
    <n v="1000"/>
    <n v="1.8"/>
    <n v="1800"/>
  </r>
  <r>
    <m/>
    <x v="2"/>
    <m/>
    <x v="9"/>
    <n v="1800"/>
    <n v="0.7"/>
    <n v="1260"/>
  </r>
  <r>
    <m/>
    <x v="2"/>
    <m/>
    <x v="6"/>
    <n v="1400"/>
    <n v="0.75"/>
    <n v="1050"/>
  </r>
  <r>
    <m/>
    <x v="2"/>
    <m/>
    <x v="10"/>
    <n v="150"/>
    <n v="0.2"/>
    <n v="30"/>
  </r>
  <r>
    <m/>
    <x v="2"/>
    <m/>
    <x v="11"/>
    <n v="300"/>
    <n v="0.2"/>
    <n v="60"/>
  </r>
  <r>
    <m/>
    <x v="2"/>
    <m/>
    <x v="3"/>
    <n v="200"/>
    <n v="0.85"/>
    <n v="170"/>
  </r>
  <r>
    <n v="4"/>
    <x v="3"/>
    <n v="4"/>
    <x v="2"/>
    <n v="300"/>
    <n v="0.1"/>
    <n v="30"/>
  </r>
  <r>
    <m/>
    <x v="3"/>
    <m/>
    <x v="11"/>
    <n v="300"/>
    <n v="0.15"/>
    <n v="45"/>
  </r>
  <r>
    <m/>
    <x v="3"/>
    <m/>
    <x v="3"/>
    <n v="200"/>
    <n v="0.4"/>
    <n v="80"/>
  </r>
  <r>
    <m/>
    <x v="3"/>
    <m/>
    <x v="12"/>
    <n v="1500"/>
    <n v="0.2"/>
    <n v="300"/>
  </r>
  <r>
    <m/>
    <x v="3"/>
    <m/>
    <x v="10"/>
    <n v="150"/>
    <n v="0.1"/>
    <n v="15"/>
  </r>
  <r>
    <m/>
    <x v="3"/>
    <m/>
    <x v="1"/>
    <n v="1000"/>
    <n v="0.75"/>
    <n v="750"/>
  </r>
  <r>
    <n v="5"/>
    <x v="4"/>
    <n v="3"/>
    <x v="7"/>
    <n v="1600"/>
    <n v="1.35"/>
    <n v="2160"/>
  </r>
  <r>
    <m/>
    <x v="4"/>
    <m/>
    <x v="1"/>
    <n v="1000"/>
    <n v="1.5"/>
    <n v="1500"/>
  </r>
  <r>
    <n v="6"/>
    <x v="5"/>
    <n v="3"/>
    <x v="2"/>
    <n v="300"/>
    <n v="0.75"/>
    <n v="225"/>
  </r>
  <r>
    <m/>
    <x v="5"/>
    <m/>
    <x v="3"/>
    <n v="200"/>
    <n v="3.0999999999999996"/>
    <n v="619.99999999999989"/>
  </r>
  <r>
    <m/>
    <x v="5"/>
    <m/>
    <x v="4"/>
    <n v="1000"/>
    <n v="5.7999999999999989"/>
    <n v="5799.9999999999991"/>
  </r>
  <r>
    <m/>
    <x v="5"/>
    <m/>
    <x v="11"/>
    <n v="300"/>
    <n v="3.8"/>
    <n v="1140"/>
  </r>
  <r>
    <m/>
    <x v="5"/>
    <m/>
    <x v="1"/>
    <n v="1000"/>
    <n v="0.55000000000000004"/>
    <n v="550"/>
  </r>
  <r>
    <m/>
    <x v="5"/>
    <m/>
    <x v="6"/>
    <n v="1400"/>
    <n v="1.6500000000000001"/>
    <n v="2310"/>
  </r>
  <r>
    <m/>
    <x v="5"/>
    <m/>
    <x v="13"/>
    <n v="2500"/>
    <n v="0.4"/>
    <n v="1000"/>
  </r>
  <r>
    <n v="7"/>
    <x v="6"/>
    <n v="4"/>
    <x v="13"/>
    <n v="2500"/>
    <n v="7.8"/>
    <n v="19500"/>
  </r>
  <r>
    <m/>
    <x v="6"/>
    <m/>
    <x v="6"/>
    <n v="1400"/>
    <n v="1.3"/>
    <n v="1820"/>
  </r>
  <r>
    <m/>
    <x v="6"/>
    <m/>
    <x v="14"/>
    <n v="150"/>
    <n v="1.3"/>
    <n v="195"/>
  </r>
  <r>
    <m/>
    <x v="6"/>
    <m/>
    <x v="15"/>
    <n v="5000"/>
    <n v="0.6"/>
    <n v="3000"/>
  </r>
  <r>
    <m/>
    <x v="6"/>
    <m/>
    <x v="16"/>
    <n v="1200"/>
    <n v="2.0499999999999998"/>
    <n v="2460"/>
  </r>
  <r>
    <m/>
    <x v="6"/>
    <m/>
    <x v="12"/>
    <n v="1500"/>
    <n v="3.15"/>
    <n v="4725"/>
  </r>
  <r>
    <m/>
    <x v="6"/>
    <m/>
    <x v="10"/>
    <n v="150"/>
    <n v="0.25"/>
    <n v="37.5"/>
  </r>
  <r>
    <m/>
    <x v="6"/>
    <m/>
    <x v="17"/>
    <n v="400"/>
    <n v="0.3"/>
    <n v="120"/>
  </r>
  <r>
    <m/>
    <x v="6"/>
    <m/>
    <x v="1"/>
    <n v="1000"/>
    <n v="2.95"/>
    <n v="2950"/>
  </r>
  <r>
    <m/>
    <x v="6"/>
    <m/>
    <x v="8"/>
    <n v="2000"/>
    <n v="0.9"/>
    <n v="1800"/>
  </r>
  <r>
    <m/>
    <x v="6"/>
    <m/>
    <x v="2"/>
    <n v="300"/>
    <n v="0.65"/>
    <n v="195"/>
  </r>
  <r>
    <m/>
    <x v="6"/>
    <m/>
    <x v="3"/>
    <n v="200"/>
    <n v="0.25"/>
    <n v="50"/>
  </r>
  <r>
    <n v="8"/>
    <x v="7"/>
    <n v="4"/>
    <x v="1"/>
    <n v="1000"/>
    <n v="2.4"/>
    <n v="2400"/>
  </r>
  <r>
    <m/>
    <x v="7"/>
    <m/>
    <x v="8"/>
    <n v="2000"/>
    <n v="0.25"/>
    <n v="500"/>
  </r>
  <r>
    <m/>
    <x v="7"/>
    <m/>
    <x v="7"/>
    <n v="1600"/>
    <n v="0.7"/>
    <n v="1120"/>
  </r>
  <r>
    <m/>
    <x v="7"/>
    <m/>
    <x v="3"/>
    <n v="200"/>
    <n v="1"/>
    <n v="200"/>
  </r>
  <r>
    <m/>
    <x v="7"/>
    <m/>
    <x v="4"/>
    <n v="1000"/>
    <n v="4.5999999999999996"/>
    <n v="4600"/>
  </r>
  <r>
    <m/>
    <x v="7"/>
    <m/>
    <x v="11"/>
    <n v="300"/>
    <n v="0.85"/>
    <n v="255"/>
  </r>
  <r>
    <m/>
    <x v="7"/>
    <m/>
    <x v="6"/>
    <n v="1400"/>
    <n v="0.5"/>
    <n v="700"/>
  </r>
  <r>
    <m/>
    <x v="7"/>
    <m/>
    <x v="18"/>
    <n v="150"/>
    <n v="0.15"/>
    <n v="22.5"/>
  </r>
  <r>
    <n v="9"/>
    <x v="8"/>
    <n v="4"/>
    <x v="13"/>
    <n v="2500"/>
    <n v="1.95"/>
    <n v="4875"/>
  </r>
  <r>
    <m/>
    <x v="8"/>
    <m/>
    <x v="7"/>
    <n v="1600"/>
    <n v="0.9"/>
    <n v="1440"/>
  </r>
  <r>
    <m/>
    <x v="8"/>
    <m/>
    <x v="4"/>
    <n v="1000"/>
    <n v="4"/>
    <n v="4000"/>
  </r>
  <r>
    <m/>
    <x v="8"/>
    <m/>
    <x v="11"/>
    <n v="300"/>
    <n v="1.5"/>
    <n v="450"/>
  </r>
  <r>
    <n v="10"/>
    <x v="9"/>
    <n v="4"/>
    <x v="3"/>
    <n v="200"/>
    <n v="0.55000000000000004"/>
    <n v="110.00000000000001"/>
  </r>
  <r>
    <m/>
    <x v="9"/>
    <m/>
    <x v="2"/>
    <n v="300"/>
    <n v="0.25"/>
    <n v="75"/>
  </r>
  <r>
    <m/>
    <x v="9"/>
    <m/>
    <x v="7"/>
    <n v="1600"/>
    <n v="0.2"/>
    <n v="320"/>
  </r>
  <r>
    <m/>
    <x v="9"/>
    <m/>
    <x v="4"/>
    <n v="1000"/>
    <n v="2.5"/>
    <n v="2500"/>
  </r>
  <r>
    <m/>
    <x v="9"/>
    <m/>
    <x v="19"/>
    <n v="800"/>
    <n v="0.3"/>
    <n v="240"/>
  </r>
  <r>
    <m/>
    <x v="9"/>
    <m/>
    <x v="12"/>
    <n v="1500"/>
    <n v="0.65"/>
    <n v="975"/>
  </r>
  <r>
    <m/>
    <x v="9"/>
    <m/>
    <x v="0"/>
    <n v="2800"/>
    <n v="0.85"/>
    <n v="2380"/>
  </r>
  <r>
    <m/>
    <x v="9"/>
    <m/>
    <x v="1"/>
    <n v="1000"/>
    <n v="1.25"/>
    <n v="1250"/>
  </r>
  <r>
    <m/>
    <x v="9"/>
    <m/>
    <x v="20"/>
    <n v="4000"/>
    <n v="1.25"/>
    <n v="5000"/>
  </r>
  <r>
    <m/>
    <x v="9"/>
    <m/>
    <x v="11"/>
    <n v="300"/>
    <n v="0.45"/>
    <n v="135"/>
  </r>
  <r>
    <m/>
    <x v="9"/>
    <m/>
    <x v="6"/>
    <n v="1400"/>
    <n v="0.35"/>
    <n v="489.99999999999994"/>
  </r>
  <r>
    <n v="11"/>
    <x v="10"/>
    <n v="1"/>
    <x v="3"/>
    <n v="200"/>
    <n v="4.5"/>
    <n v="900"/>
  </r>
  <r>
    <m/>
    <x v="10"/>
    <m/>
    <x v="1"/>
    <n v="1000"/>
    <n v="5.4499999999999993"/>
    <n v="5449.9999999999991"/>
  </r>
  <r>
    <m/>
    <x v="10"/>
    <m/>
    <x v="11"/>
    <n v="300"/>
    <n v="13.25"/>
    <n v="3975"/>
  </r>
  <r>
    <m/>
    <x v="10"/>
    <m/>
    <x v="21"/>
    <n v="1200"/>
    <n v="66.05"/>
    <n v="79260"/>
  </r>
  <r>
    <m/>
    <x v="10"/>
    <m/>
    <x v="12"/>
    <n v="1500"/>
    <n v="1.7"/>
    <n v="2550"/>
  </r>
  <r>
    <m/>
    <x v="10"/>
    <m/>
    <x v="2"/>
    <n v="300"/>
    <n v="2.5499999999999998"/>
    <n v="765"/>
  </r>
  <r>
    <n v="12"/>
    <x v="11"/>
    <n v="1"/>
    <x v="11"/>
    <n v="300"/>
    <n v="1.65"/>
    <n v="495"/>
  </r>
  <r>
    <m/>
    <x v="11"/>
    <m/>
    <x v="0"/>
    <n v="2800"/>
    <n v="1.8"/>
    <n v="5040"/>
  </r>
  <r>
    <m/>
    <x v="11"/>
    <m/>
    <x v="2"/>
    <n v="300"/>
    <n v="1.25"/>
    <n v="375"/>
  </r>
  <r>
    <m/>
    <x v="11"/>
    <m/>
    <x v="6"/>
    <n v="1400"/>
    <n v="1.2"/>
    <n v="1680"/>
  </r>
  <r>
    <m/>
    <x v="11"/>
    <m/>
    <x v="5"/>
    <n v="3500"/>
    <n v="1.4"/>
    <n v="4900"/>
  </r>
  <r>
    <m/>
    <x v="11"/>
    <m/>
    <x v="3"/>
    <n v="200"/>
    <n v="2.25"/>
    <n v="450"/>
  </r>
  <r>
    <n v="13"/>
    <x v="12"/>
    <n v="4"/>
    <x v="7"/>
    <n v="1600"/>
    <n v="1.9500000000000002"/>
    <n v="3120.0000000000005"/>
  </r>
  <r>
    <m/>
    <x v="12"/>
    <m/>
    <x v="1"/>
    <n v="1000"/>
    <n v="1.6"/>
    <n v="1600"/>
  </r>
  <r>
    <m/>
    <x v="12"/>
    <m/>
    <x v="4"/>
    <n v="1000"/>
    <n v="6.1"/>
    <n v="6100"/>
  </r>
  <r>
    <m/>
    <x v="12"/>
    <m/>
    <x v="22"/>
    <n v="1600"/>
    <n v="0.65"/>
    <n v="1040"/>
  </r>
  <r>
    <m/>
    <x v="12"/>
    <m/>
    <x v="11"/>
    <n v="300"/>
    <n v="0.4"/>
    <n v="120"/>
  </r>
  <r>
    <m/>
    <x v="12"/>
    <m/>
    <x v="3"/>
    <n v="200"/>
    <n v="0.4"/>
    <n v="80"/>
  </r>
  <r>
    <m/>
    <x v="12"/>
    <m/>
    <x v="18"/>
    <n v="150"/>
    <n v="0.15"/>
    <n v="22.5"/>
  </r>
  <r>
    <m/>
    <x v="12"/>
    <m/>
    <x v="2"/>
    <n v="300"/>
    <n v="0.35"/>
    <n v="105"/>
  </r>
  <r>
    <m/>
    <x v="12"/>
    <m/>
    <x v="23"/>
    <n v="8000"/>
    <n v="0.1"/>
    <n v="800"/>
  </r>
  <r>
    <m/>
    <x v="12"/>
    <m/>
    <x v="24"/>
    <n v="2500"/>
    <n v="0.8"/>
    <n v="2000"/>
  </r>
  <r>
    <m/>
    <x v="12"/>
    <m/>
    <x v="6"/>
    <n v="1400"/>
    <n v="0.15"/>
    <n v="210"/>
  </r>
  <r>
    <m/>
    <x v="12"/>
    <m/>
    <x v="12"/>
    <n v="1500"/>
    <n v="0.1"/>
    <n v="150"/>
  </r>
  <r>
    <n v="14"/>
    <x v="13"/>
    <n v="3"/>
    <x v="4"/>
    <n v="1000"/>
    <n v="0.8"/>
    <n v="800"/>
  </r>
  <r>
    <m/>
    <x v="13"/>
    <m/>
    <x v="11"/>
    <n v="300"/>
    <n v="0.6"/>
    <n v="180"/>
  </r>
  <r>
    <m/>
    <x v="13"/>
    <m/>
    <x v="3"/>
    <n v="200"/>
    <n v="0.70000000000000007"/>
    <n v="140"/>
  </r>
  <r>
    <m/>
    <x v="13"/>
    <m/>
    <x v="2"/>
    <n v="300"/>
    <n v="1"/>
    <n v="300"/>
  </r>
  <r>
    <m/>
    <x v="13"/>
    <m/>
    <x v="25"/>
    <n v="400"/>
    <n v="0.45"/>
    <n v="180"/>
  </r>
  <r>
    <m/>
    <x v="13"/>
    <m/>
    <x v="1"/>
    <n v="1000"/>
    <n v="0.2"/>
    <n v="200"/>
  </r>
  <r>
    <m/>
    <x v="13"/>
    <m/>
    <x v="8"/>
    <n v="2000"/>
    <n v="0.2"/>
    <n v="400"/>
  </r>
  <r>
    <m/>
    <x v="13"/>
    <m/>
    <x v="0"/>
    <n v="2800"/>
    <n v="0.5"/>
    <n v="1400"/>
  </r>
  <r>
    <m/>
    <x v="13"/>
    <m/>
    <x v="5"/>
    <n v="3500"/>
    <n v="1.9"/>
    <n v="6650"/>
  </r>
  <r>
    <n v="15"/>
    <x v="14"/>
    <n v="2"/>
    <x v="0"/>
    <n v="2800"/>
    <n v="1.1499999999999999"/>
    <n v="3219.9999999999995"/>
  </r>
  <r>
    <m/>
    <x v="14"/>
    <m/>
    <x v="3"/>
    <n v="200"/>
    <n v="0.35"/>
    <n v="70"/>
  </r>
  <r>
    <m/>
    <x v="14"/>
    <m/>
    <x v="11"/>
    <n v="300"/>
    <n v="0.8"/>
    <n v="240"/>
  </r>
  <r>
    <m/>
    <x v="14"/>
    <m/>
    <x v="4"/>
    <n v="1000"/>
    <n v="0.15"/>
    <n v="150"/>
  </r>
  <r>
    <m/>
    <x v="14"/>
    <m/>
    <x v="1"/>
    <n v="1000"/>
    <n v="0.85"/>
    <n v="850"/>
  </r>
  <r>
    <m/>
    <x v="14"/>
    <m/>
    <x v="24"/>
    <n v="2500"/>
    <n v="0.25"/>
    <n v="625"/>
  </r>
  <r>
    <n v="16"/>
    <x v="15"/>
    <n v="1"/>
    <x v="0"/>
    <n v="2800"/>
    <n v="1"/>
    <n v="2800"/>
  </r>
  <r>
    <m/>
    <x v="15"/>
    <m/>
    <x v="5"/>
    <n v="3500"/>
    <n v="0.2"/>
    <n v="700"/>
  </r>
  <r>
    <m/>
    <x v="15"/>
    <m/>
    <x v="4"/>
    <n v="1000"/>
    <n v="4"/>
    <n v="4000"/>
  </r>
  <r>
    <m/>
    <x v="15"/>
    <m/>
    <x v="2"/>
    <n v="300"/>
    <n v="0.35"/>
    <n v="105"/>
  </r>
  <r>
    <m/>
    <x v="15"/>
    <m/>
    <x v="3"/>
    <n v="200"/>
    <n v="1.1000000000000001"/>
    <n v="220.00000000000003"/>
  </r>
  <r>
    <m/>
    <x v="15"/>
    <m/>
    <x v="11"/>
    <n v="300"/>
    <n v="1.2"/>
    <n v="360"/>
  </r>
  <r>
    <m/>
    <x v="15"/>
    <m/>
    <x v="1"/>
    <n v="1000"/>
    <n v="1.6"/>
    <n v="1600"/>
  </r>
  <r>
    <m/>
    <x v="15"/>
    <m/>
    <x v="19"/>
    <n v="800"/>
    <n v="0.15"/>
    <n v="120"/>
  </r>
  <r>
    <m/>
    <x v="15"/>
    <m/>
    <x v="25"/>
    <n v="400"/>
    <n v="0.15"/>
    <n v="60"/>
  </r>
  <r>
    <n v="17"/>
    <x v="16"/>
    <n v="2"/>
    <x v="0"/>
    <n v="2800"/>
    <n v="0.8"/>
    <n v="2240"/>
  </r>
  <r>
    <m/>
    <x v="16"/>
    <m/>
    <x v="24"/>
    <n v="2500"/>
    <n v="0.35"/>
    <n v="875"/>
  </r>
  <r>
    <m/>
    <x v="16"/>
    <m/>
    <x v="23"/>
    <n v="8000"/>
    <n v="0.05"/>
    <n v="400"/>
  </r>
  <r>
    <m/>
    <x v="16"/>
    <m/>
    <x v="2"/>
    <n v="300"/>
    <n v="0.15"/>
    <n v="45"/>
  </r>
  <r>
    <m/>
    <x v="16"/>
    <m/>
    <x v="3"/>
    <n v="200"/>
    <n v="0.13"/>
    <n v="26"/>
  </r>
  <r>
    <m/>
    <x v="16"/>
    <m/>
    <x v="11"/>
    <n v="300"/>
    <n v="0.65"/>
    <n v="195"/>
  </r>
  <r>
    <m/>
    <x v="16"/>
    <m/>
    <x v="4"/>
    <n v="1000"/>
    <n v="0.6"/>
    <n v="600"/>
  </r>
  <r>
    <m/>
    <x v="16"/>
    <m/>
    <x v="18"/>
    <n v="150"/>
    <n v="0.05"/>
    <n v="7.5"/>
  </r>
  <r>
    <m/>
    <x v="16"/>
    <m/>
    <x v="20"/>
    <n v="4000"/>
    <n v="0.25"/>
    <n v="1000"/>
  </r>
  <r>
    <n v="18"/>
    <x v="17"/>
    <n v="3"/>
    <x v="20"/>
    <n v="4000"/>
    <n v="0.9"/>
    <n v="3600"/>
  </r>
  <r>
    <m/>
    <x v="17"/>
    <m/>
    <x v="10"/>
    <n v="150"/>
    <n v="1.2"/>
    <n v="180"/>
  </r>
  <r>
    <m/>
    <x v="17"/>
    <m/>
    <x v="4"/>
    <n v="1000"/>
    <n v="2.2999999999999998"/>
    <n v="2300"/>
  </r>
  <r>
    <m/>
    <x v="17"/>
    <m/>
    <x v="6"/>
    <n v="1400"/>
    <n v="0.2"/>
    <n v="280"/>
  </r>
  <r>
    <n v="19"/>
    <x v="18"/>
    <n v="2"/>
    <x v="0"/>
    <n v="2800"/>
    <n v="1.95"/>
    <n v="5460"/>
  </r>
  <r>
    <n v="20"/>
    <x v="19"/>
    <n v="5"/>
    <x v="4"/>
    <n v="1000"/>
    <n v="8.4"/>
    <n v="8400"/>
  </r>
  <r>
    <m/>
    <x v="19"/>
    <m/>
    <x v="5"/>
    <n v="3500"/>
    <n v="6.1000000000000005"/>
    <n v="21350.000000000004"/>
  </r>
  <r>
    <m/>
    <x v="19"/>
    <m/>
    <x v="0"/>
    <n v="2800"/>
    <n v="2.1"/>
    <n v="5880"/>
  </r>
  <r>
    <m/>
    <x v="19"/>
    <m/>
    <x v="1"/>
    <n v="1000"/>
    <n v="0.35"/>
    <n v="350"/>
  </r>
  <r>
    <m/>
    <x v="19"/>
    <m/>
    <x v="24"/>
    <n v="2500"/>
    <n v="0.7"/>
    <n v="1750"/>
  </r>
  <r>
    <m/>
    <x v="19"/>
    <m/>
    <x v="3"/>
    <n v="200"/>
    <n v="1.6"/>
    <n v="320"/>
  </r>
  <r>
    <m/>
    <x v="19"/>
    <m/>
    <x v="2"/>
    <n v="300"/>
    <n v="0.15"/>
    <n v="45"/>
  </r>
  <r>
    <m/>
    <x v="19"/>
    <m/>
    <x v="6"/>
    <n v="1400"/>
    <n v="2"/>
    <n v="2800"/>
  </r>
  <r>
    <n v="21"/>
    <x v="20"/>
    <n v="5"/>
    <x v="0"/>
    <n v="2800"/>
    <n v="2.5"/>
    <n v="7000"/>
  </r>
  <r>
    <m/>
    <x v="20"/>
    <m/>
    <x v="4"/>
    <n v="1000"/>
    <n v="4.5"/>
    <n v="4500"/>
  </r>
  <r>
    <m/>
    <x v="20"/>
    <m/>
    <x v="11"/>
    <n v="300"/>
    <n v="1.8"/>
    <n v="540"/>
  </r>
  <r>
    <m/>
    <x v="20"/>
    <m/>
    <x v="1"/>
    <n v="1000"/>
    <n v="1.05"/>
    <n v="1050"/>
  </r>
  <r>
    <m/>
    <x v="20"/>
    <m/>
    <x v="10"/>
    <n v="150"/>
    <n v="1.65"/>
    <n v="247.5"/>
  </r>
  <r>
    <m/>
    <x v="20"/>
    <m/>
    <x v="3"/>
    <n v="200"/>
    <n v="1.9"/>
    <n v="380"/>
  </r>
  <r>
    <m/>
    <x v="20"/>
    <m/>
    <x v="23"/>
    <n v="8000"/>
    <n v="0.1"/>
    <n v="800"/>
  </r>
  <r>
    <n v="22"/>
    <x v="21"/>
    <n v="4"/>
    <x v="3"/>
    <n v="200"/>
    <n v="2.9"/>
    <n v="580"/>
  </r>
  <r>
    <m/>
    <x v="21"/>
    <m/>
    <x v="10"/>
    <n v="150"/>
    <n v="1.95"/>
    <n v="292.5"/>
  </r>
  <r>
    <m/>
    <x v="21"/>
    <m/>
    <x v="26"/>
    <n v="150"/>
    <n v="2.1"/>
    <n v="315"/>
  </r>
  <r>
    <n v="23"/>
    <x v="22"/>
    <n v="1"/>
    <x v="4"/>
    <n v="1000"/>
    <n v="2.5499999999999998"/>
    <n v="2550"/>
  </r>
  <r>
    <m/>
    <x v="22"/>
    <m/>
    <x v="7"/>
    <n v="1600"/>
    <n v="1.9"/>
    <n v="3040"/>
  </r>
  <r>
    <m/>
    <x v="22"/>
    <m/>
    <x v="6"/>
    <n v="1400"/>
    <n v="2.2000000000000002"/>
    <n v="3080.0000000000005"/>
  </r>
  <r>
    <n v="24"/>
    <x v="23"/>
    <n v="2"/>
    <x v="19"/>
    <n v="800"/>
    <n v="3.65"/>
    <n v="2920"/>
  </r>
  <r>
    <m/>
    <x v="23"/>
    <m/>
    <x v="1"/>
    <n v="1000"/>
    <n v="4.25"/>
    <n v="4250"/>
  </r>
  <r>
    <m/>
    <x v="23"/>
    <m/>
    <x v="3"/>
    <n v="200"/>
    <n v="2.4500000000000002"/>
    <n v="490.00000000000006"/>
  </r>
  <r>
    <m/>
    <x v="23"/>
    <m/>
    <x v="2"/>
    <n v="300"/>
    <n v="0.7"/>
    <n v="210"/>
  </r>
  <r>
    <m/>
    <x v="23"/>
    <m/>
    <x v="6"/>
    <n v="1400"/>
    <n v="0.89999999999999991"/>
    <n v="1259.9999999999998"/>
  </r>
  <r>
    <m/>
    <x v="23"/>
    <m/>
    <x v="7"/>
    <n v="1600"/>
    <n v="1.75"/>
    <n v="2800"/>
  </r>
  <r>
    <m/>
    <x v="23"/>
    <m/>
    <x v="4"/>
    <n v="800"/>
    <n v="1.75"/>
    <n v="1400"/>
  </r>
  <r>
    <m/>
    <x v="23"/>
    <m/>
    <x v="27"/>
    <n v="150"/>
    <n v="1.05"/>
    <n v="157.5"/>
  </r>
  <r>
    <m/>
    <x v="23"/>
    <m/>
    <x v="26"/>
    <n v="150"/>
    <n v="0.45"/>
    <n v="67.5"/>
  </r>
  <r>
    <n v="25"/>
    <x v="24"/>
    <n v="3"/>
    <x v="1"/>
    <n v="1000"/>
    <n v="6.15"/>
    <n v="6150"/>
  </r>
  <r>
    <m/>
    <x v="24"/>
    <m/>
    <x v="4"/>
    <n v="1000"/>
    <n v="4.3499999999999996"/>
    <n v="4350"/>
  </r>
  <r>
    <n v="26"/>
    <x v="25"/>
    <n v="3"/>
    <x v="7"/>
    <n v="1600"/>
    <n v="0.9"/>
    <n v="1440"/>
  </r>
  <r>
    <m/>
    <x v="25"/>
    <m/>
    <x v="2"/>
    <n v="300"/>
    <n v="0.25"/>
    <n v="75"/>
  </r>
  <r>
    <m/>
    <x v="25"/>
    <m/>
    <x v="12"/>
    <n v="1500"/>
    <n v="0.75"/>
    <n v="1125"/>
  </r>
  <r>
    <m/>
    <x v="25"/>
    <m/>
    <x v="3"/>
    <n v="200"/>
    <n v="2.0499999999999998"/>
    <n v="409.99999999999994"/>
  </r>
  <r>
    <m/>
    <x v="25"/>
    <m/>
    <x v="4"/>
    <n v="1000"/>
    <n v="2.85"/>
    <n v="2850"/>
  </r>
  <r>
    <n v="27"/>
    <x v="26"/>
    <n v="2"/>
    <x v="1"/>
    <n v="1000"/>
    <n v="2.2999999999999998"/>
    <n v="2300"/>
  </r>
  <r>
    <m/>
    <x v="26"/>
    <m/>
    <x v="7"/>
    <n v="1600"/>
    <n v="0.8"/>
    <n v="1280"/>
  </r>
  <r>
    <m/>
    <x v="26"/>
    <m/>
    <x v="13"/>
    <n v="2500"/>
    <n v="4.55"/>
    <n v="11375"/>
  </r>
  <r>
    <m/>
    <x v="26"/>
    <m/>
    <x v="19"/>
    <n v="800"/>
    <n v="0.2"/>
    <n v="160"/>
  </r>
  <r>
    <n v="28"/>
    <x v="27"/>
    <n v="2"/>
    <x v="2"/>
    <n v="300"/>
    <n v="0.45"/>
    <n v="135"/>
  </r>
  <r>
    <m/>
    <x v="27"/>
    <m/>
    <x v="8"/>
    <n v="2000"/>
    <n v="0.3"/>
    <n v="600"/>
  </r>
  <r>
    <m/>
    <x v="27"/>
    <m/>
    <x v="7"/>
    <n v="1600"/>
    <n v="0.4"/>
    <n v="640"/>
  </r>
  <r>
    <m/>
    <x v="27"/>
    <m/>
    <x v="6"/>
    <n v="1400"/>
    <n v="1"/>
    <n v="1400"/>
  </r>
  <r>
    <m/>
    <x v="27"/>
    <m/>
    <x v="11"/>
    <n v="300"/>
    <n v="0.3"/>
    <n v="90"/>
  </r>
  <r>
    <m/>
    <x v="27"/>
    <m/>
    <x v="0"/>
    <n v="2800"/>
    <n v="0.85"/>
    <n v="2380"/>
  </r>
  <r>
    <m/>
    <x v="27"/>
    <m/>
    <x v="12"/>
    <n v="1500"/>
    <n v="0.5"/>
    <n v="750"/>
  </r>
  <r>
    <m/>
    <x v="27"/>
    <m/>
    <x v="28"/>
    <n v="3500"/>
    <n v="0.15"/>
    <n v="525"/>
  </r>
  <r>
    <m/>
    <x v="27"/>
    <m/>
    <x v="24"/>
    <n v="2500"/>
    <n v="0.1"/>
    <n v="250"/>
  </r>
  <r>
    <m/>
    <x v="27"/>
    <m/>
    <x v="3"/>
    <n v="200"/>
    <n v="0.25"/>
    <n v="50"/>
  </r>
  <r>
    <m/>
    <x v="27"/>
    <m/>
    <x v="4"/>
    <n v="1000"/>
    <n v="1.1499999999999999"/>
    <n v="1150"/>
  </r>
  <r>
    <n v="29"/>
    <x v="28"/>
    <n v="5"/>
    <x v="3"/>
    <n v="200"/>
    <n v="4.95"/>
    <n v="990"/>
  </r>
  <r>
    <m/>
    <x v="28"/>
    <m/>
    <x v="6"/>
    <n v="1400"/>
    <n v="5.15"/>
    <n v="7210.0000000000009"/>
  </r>
  <r>
    <m/>
    <x v="28"/>
    <m/>
    <x v="10"/>
    <n v="150"/>
    <n v="0.45"/>
    <n v="67.5"/>
  </r>
  <r>
    <m/>
    <x v="28"/>
    <m/>
    <x v="24"/>
    <n v="2500"/>
    <n v="0.1"/>
    <n v="250"/>
  </r>
  <r>
    <m/>
    <x v="28"/>
    <m/>
    <x v="4"/>
    <n v="1000"/>
    <n v="1.3"/>
    <n v="1300"/>
  </r>
  <r>
    <m/>
    <x v="28"/>
    <m/>
    <x v="0"/>
    <n v="2800"/>
    <n v="0.8"/>
    <n v="2240"/>
  </r>
  <r>
    <n v="30"/>
    <x v="29"/>
    <n v="3"/>
    <x v="19"/>
    <n v="800"/>
    <n v="0.55000000000000004"/>
    <n v="440.00000000000006"/>
  </r>
  <r>
    <m/>
    <x v="29"/>
    <m/>
    <x v="4"/>
    <n v="1000"/>
    <n v="1.35"/>
    <n v="1350"/>
  </r>
  <r>
    <m/>
    <x v="29"/>
    <m/>
    <x v="18"/>
    <n v="150"/>
    <n v="0.35"/>
    <n v="52.5"/>
  </r>
  <r>
    <m/>
    <x v="29"/>
    <m/>
    <x v="0"/>
    <n v="2800"/>
    <n v="1.25"/>
    <n v="3500"/>
  </r>
  <r>
    <m/>
    <x v="29"/>
    <m/>
    <x v="10"/>
    <n v="150"/>
    <n v="1.65"/>
    <n v="247.5"/>
  </r>
  <r>
    <m/>
    <x v="29"/>
    <m/>
    <x v="5"/>
    <n v="3500"/>
    <n v="0.65"/>
    <n v="2275"/>
  </r>
  <r>
    <m/>
    <x v="29"/>
    <m/>
    <x v="24"/>
    <n v="2500"/>
    <n v="0.15"/>
    <n v="375"/>
  </r>
  <r>
    <m/>
    <x v="29"/>
    <m/>
    <x v="6"/>
    <n v="1400"/>
    <n v="4.05"/>
    <n v="5670"/>
  </r>
  <r>
    <m/>
    <x v="29"/>
    <m/>
    <x v="3"/>
    <n v="200"/>
    <n v="1.5"/>
    <n v="300"/>
  </r>
  <r>
    <m/>
    <x v="29"/>
    <m/>
    <x v="11"/>
    <n v="300"/>
    <n v="1.25"/>
    <n v="375"/>
  </r>
  <r>
    <m/>
    <x v="29"/>
    <m/>
    <x v="2"/>
    <n v="300"/>
    <n v="0.35"/>
    <n v="105"/>
  </r>
  <r>
    <n v="31"/>
    <x v="30"/>
    <n v="4"/>
    <x v="0"/>
    <n v="2800"/>
    <n v="2.5499999999999998"/>
    <n v="7139.9999999999991"/>
  </r>
  <r>
    <m/>
    <x v="30"/>
    <m/>
    <x v="5"/>
    <n v="3500"/>
    <n v="0.55000000000000004"/>
    <n v="1925.0000000000002"/>
  </r>
  <r>
    <m/>
    <x v="30"/>
    <m/>
    <x v="6"/>
    <n v="1400"/>
    <n v="2.3499999999999996"/>
    <n v="3289.9999999999995"/>
  </r>
  <r>
    <m/>
    <x v="30"/>
    <m/>
    <x v="3"/>
    <n v="200"/>
    <n v="0.65"/>
    <n v="130"/>
  </r>
  <r>
    <m/>
    <x v="30"/>
    <m/>
    <x v="2"/>
    <n v="300"/>
    <n v="0.8"/>
    <n v="240"/>
  </r>
  <r>
    <m/>
    <x v="30"/>
    <m/>
    <x v="12"/>
    <n v="1500"/>
    <n v="0.15"/>
    <n v="225"/>
  </r>
  <r>
    <m/>
    <x v="30"/>
    <m/>
    <x v="11"/>
    <n v="300"/>
    <n v="1.35"/>
    <n v="405"/>
  </r>
  <r>
    <m/>
    <x v="30"/>
    <m/>
    <x v="19"/>
    <n v="800"/>
    <n v="0.15"/>
    <n v="120"/>
  </r>
  <r>
    <m/>
    <x v="30"/>
    <m/>
    <x v="28"/>
    <n v="3500"/>
    <n v="0.2"/>
    <n v="700"/>
  </r>
  <r>
    <m/>
    <x v="30"/>
    <m/>
    <x v="24"/>
    <n v="2500"/>
    <n v="0.1"/>
    <n v="250"/>
  </r>
  <r>
    <n v="32"/>
    <x v="31"/>
    <n v="2"/>
    <x v="25"/>
    <n v="400"/>
    <n v="0.35"/>
    <n v="140"/>
  </r>
  <r>
    <m/>
    <x v="31"/>
    <m/>
    <x v="2"/>
    <n v="300"/>
    <n v="0.5"/>
    <n v="150"/>
  </r>
  <r>
    <m/>
    <x v="31"/>
    <m/>
    <x v="22"/>
    <n v="1600"/>
    <n v="0.3"/>
    <n v="480"/>
  </r>
  <r>
    <m/>
    <x v="31"/>
    <m/>
    <x v="24"/>
    <n v="2500"/>
    <n v="0.3"/>
    <n v="750"/>
  </r>
  <r>
    <m/>
    <x v="31"/>
    <m/>
    <x v="11"/>
    <n v="300"/>
    <n v="0.75"/>
    <n v="225"/>
  </r>
  <r>
    <m/>
    <x v="31"/>
    <m/>
    <x v="12"/>
    <n v="1500"/>
    <n v="0.3"/>
    <n v="450"/>
  </r>
  <r>
    <m/>
    <x v="31"/>
    <m/>
    <x v="5"/>
    <n v="3500"/>
    <n v="0.35"/>
    <n v="1225"/>
  </r>
  <r>
    <m/>
    <x v="31"/>
    <m/>
    <x v="6"/>
    <n v="1400"/>
    <n v="2.9000000000000004"/>
    <n v="4060.0000000000005"/>
  </r>
  <r>
    <m/>
    <x v="31"/>
    <m/>
    <x v="10"/>
    <n v="150"/>
    <n v="1.1499999999999999"/>
    <n v="172.5"/>
  </r>
  <r>
    <m/>
    <x v="31"/>
    <m/>
    <x v="3"/>
    <n v="200"/>
    <n v="1.25"/>
    <n v="250"/>
  </r>
  <r>
    <m/>
    <x v="31"/>
    <m/>
    <x v="0"/>
    <n v="2800"/>
    <n v="0.85"/>
    <n v="2380"/>
  </r>
  <r>
    <m/>
    <x v="31"/>
    <m/>
    <x v="4"/>
    <n v="1000"/>
    <n v="0.3"/>
    <n v="300"/>
  </r>
  <r>
    <n v="33"/>
    <x v="32"/>
    <n v="4"/>
    <x v="7"/>
    <n v="1600"/>
    <n v="0.45"/>
    <n v="720"/>
  </r>
  <r>
    <m/>
    <x v="32"/>
    <m/>
    <x v="6"/>
    <n v="1400"/>
    <n v="1.8"/>
    <n v="2520"/>
  </r>
  <r>
    <m/>
    <x v="32"/>
    <m/>
    <x v="4"/>
    <n v="1000"/>
    <n v="1"/>
    <n v="1000"/>
  </r>
  <r>
    <m/>
    <x v="32"/>
    <m/>
    <x v="19"/>
    <n v="800"/>
    <n v="0.4"/>
    <n v="320"/>
  </r>
  <r>
    <m/>
    <x v="32"/>
    <m/>
    <x v="2"/>
    <n v="300"/>
    <n v="0.85"/>
    <n v="255"/>
  </r>
  <r>
    <m/>
    <x v="32"/>
    <m/>
    <x v="3"/>
    <n v="200"/>
    <n v="0.55000000000000004"/>
    <n v="110.00000000000001"/>
  </r>
  <r>
    <n v="34"/>
    <x v="33"/>
    <n v="2"/>
    <x v="7"/>
    <n v="1600"/>
    <n v="1.95"/>
    <n v="3120"/>
  </r>
  <r>
    <m/>
    <x v="33"/>
    <m/>
    <x v="4"/>
    <n v="1000"/>
    <n v="8.5500000000000007"/>
    <n v="8550"/>
  </r>
  <r>
    <m/>
    <x v="33"/>
    <m/>
    <x v="18"/>
    <n v="150"/>
    <n v="0.85"/>
    <n v="127.5"/>
  </r>
  <r>
    <n v="35"/>
    <x v="34"/>
    <n v="5"/>
    <x v="11"/>
    <n v="300"/>
    <n v="1.9"/>
    <n v="570"/>
  </r>
  <r>
    <m/>
    <x v="34"/>
    <m/>
    <x v="4"/>
    <n v="1000"/>
    <n v="0.25"/>
    <n v="250"/>
  </r>
  <r>
    <m/>
    <x v="34"/>
    <m/>
    <x v="10"/>
    <n v="150"/>
    <n v="1.1499999999999999"/>
    <n v="172.5"/>
  </r>
  <r>
    <m/>
    <x v="34"/>
    <m/>
    <x v="3"/>
    <n v="200"/>
    <n v="3.0500000000000003"/>
    <n v="610"/>
  </r>
  <r>
    <m/>
    <x v="34"/>
    <m/>
    <x v="2"/>
    <n v="300"/>
    <n v="0.85"/>
    <n v="255"/>
  </r>
  <r>
    <m/>
    <x v="34"/>
    <m/>
    <x v="1"/>
    <n v="1000"/>
    <n v="0.65"/>
    <n v="650"/>
  </r>
  <r>
    <m/>
    <x v="34"/>
    <m/>
    <x v="18"/>
    <n v="150"/>
    <n v="0.15"/>
    <n v="22.5"/>
  </r>
  <r>
    <m/>
    <x v="34"/>
    <m/>
    <x v="0"/>
    <n v="2800"/>
    <n v="1.6"/>
    <n v="4480"/>
  </r>
  <r>
    <n v="36"/>
    <x v="35"/>
    <n v="2"/>
    <x v="1"/>
    <n v="1000"/>
    <n v="0.85000000000000009"/>
    <n v="850.00000000000011"/>
  </r>
  <r>
    <m/>
    <x v="35"/>
    <m/>
    <x v="28"/>
    <n v="3500"/>
    <n v="0.15"/>
    <n v="525"/>
  </r>
  <r>
    <m/>
    <x v="35"/>
    <m/>
    <x v="8"/>
    <n v="2000"/>
    <n v="0.1"/>
    <n v="200"/>
  </r>
  <r>
    <n v="37"/>
    <x v="36"/>
    <n v="4"/>
    <x v="2"/>
    <n v="300"/>
    <n v="0.75"/>
    <n v="225"/>
  </r>
  <r>
    <m/>
    <x v="36"/>
    <m/>
    <x v="0"/>
    <n v="2800"/>
    <n v="0.8"/>
    <n v="2240"/>
  </r>
  <r>
    <m/>
    <x v="36"/>
    <m/>
    <x v="10"/>
    <n v="150"/>
    <n v="1.1000000000000001"/>
    <n v="165"/>
  </r>
  <r>
    <m/>
    <x v="36"/>
    <m/>
    <x v="24"/>
    <n v="2500"/>
    <n v="0.4"/>
    <n v="1000"/>
  </r>
  <r>
    <m/>
    <x v="36"/>
    <m/>
    <x v="6"/>
    <n v="1400"/>
    <n v="0.4"/>
    <n v="560"/>
  </r>
  <r>
    <m/>
    <x v="36"/>
    <m/>
    <x v="12"/>
    <n v="1500"/>
    <n v="1.4"/>
    <n v="2100"/>
  </r>
  <r>
    <m/>
    <x v="36"/>
    <m/>
    <x v="3"/>
    <n v="200"/>
    <n v="3.2"/>
    <n v="640"/>
  </r>
  <r>
    <m/>
    <x v="36"/>
    <m/>
    <x v="19"/>
    <n v="800"/>
    <n v="0.4"/>
    <n v="320"/>
  </r>
  <r>
    <n v="38"/>
    <x v="37"/>
    <n v="1"/>
    <x v="11"/>
    <n v="300"/>
    <n v="0.6"/>
    <n v="180"/>
  </r>
  <r>
    <m/>
    <x v="37"/>
    <m/>
    <x v="7"/>
    <n v="1600"/>
    <n v="0.4"/>
    <n v="640"/>
  </r>
  <r>
    <m/>
    <x v="37"/>
    <m/>
    <x v="3"/>
    <n v="200"/>
    <n v="5.6"/>
    <n v="1120"/>
  </r>
  <r>
    <m/>
    <x v="37"/>
    <m/>
    <x v="12"/>
    <n v="1500"/>
    <n v="0.2"/>
    <n v="300"/>
  </r>
  <r>
    <m/>
    <x v="37"/>
    <m/>
    <x v="23"/>
    <n v="8000"/>
    <n v="0.15"/>
    <n v="1200"/>
  </r>
  <r>
    <m/>
    <x v="37"/>
    <m/>
    <x v="1"/>
    <n v="1000"/>
    <n v="0.25"/>
    <n v="250"/>
  </r>
  <r>
    <m/>
    <x v="37"/>
    <m/>
    <x v="2"/>
    <n v="300"/>
    <n v="0.3"/>
    <n v="90"/>
  </r>
  <r>
    <m/>
    <x v="37"/>
    <m/>
    <x v="6"/>
    <n v="1400"/>
    <n v="0.8"/>
    <n v="1120"/>
  </r>
  <r>
    <n v="39"/>
    <x v="38"/>
    <n v="2"/>
    <x v="24"/>
    <n v="2500"/>
    <n v="0.2"/>
    <n v="500"/>
  </r>
  <r>
    <m/>
    <x v="38"/>
    <m/>
    <x v="12"/>
    <n v="1500"/>
    <n v="0.15"/>
    <n v="225"/>
  </r>
  <r>
    <m/>
    <x v="38"/>
    <m/>
    <x v="11"/>
    <n v="300"/>
    <n v="1.05"/>
    <n v="315"/>
  </r>
  <r>
    <m/>
    <x v="38"/>
    <m/>
    <x v="0"/>
    <n v="2800"/>
    <n v="0.4"/>
    <n v="1120"/>
  </r>
  <r>
    <m/>
    <x v="38"/>
    <m/>
    <x v="6"/>
    <n v="1400"/>
    <n v="0.3"/>
    <n v="420"/>
  </r>
  <r>
    <m/>
    <x v="38"/>
    <m/>
    <x v="5"/>
    <n v="3500"/>
    <n v="0.2"/>
    <n v="700"/>
  </r>
  <r>
    <m/>
    <x v="38"/>
    <m/>
    <x v="23"/>
    <n v="8000"/>
    <n v="0.4"/>
    <n v="3200"/>
  </r>
  <r>
    <n v="40"/>
    <x v="39"/>
    <n v="4"/>
    <x v="1"/>
    <n v="1000"/>
    <n v="2.85"/>
    <n v="2850"/>
  </r>
  <r>
    <m/>
    <x v="39"/>
    <m/>
    <x v="4"/>
    <n v="1000"/>
    <n v="1.2"/>
    <n v="1200"/>
  </r>
  <r>
    <n v="41"/>
    <x v="40"/>
    <n v="5"/>
    <x v="19"/>
    <n v="800"/>
    <n v="0.9"/>
    <n v="720"/>
  </r>
  <r>
    <m/>
    <x v="40"/>
    <m/>
    <x v="11"/>
    <n v="300"/>
    <n v="1.9"/>
    <n v="570"/>
  </r>
  <r>
    <m/>
    <x v="40"/>
    <m/>
    <x v="12"/>
    <n v="1500"/>
    <n v="2"/>
    <n v="3000"/>
  </r>
  <r>
    <m/>
    <x v="40"/>
    <m/>
    <x v="20"/>
    <n v="4000"/>
    <n v="1.75"/>
    <n v="7000"/>
  </r>
  <r>
    <m/>
    <x v="40"/>
    <m/>
    <x v="10"/>
    <n v="150"/>
    <n v="0.95"/>
    <n v="142.5"/>
  </r>
  <r>
    <m/>
    <x v="40"/>
    <m/>
    <x v="2"/>
    <n v="300"/>
    <n v="0.2"/>
    <n v="60"/>
  </r>
  <r>
    <m/>
    <x v="40"/>
    <m/>
    <x v="3"/>
    <n v="200"/>
    <n v="0.30000000000000004"/>
    <n v="60.000000000000007"/>
  </r>
  <r>
    <m/>
    <x v="40"/>
    <m/>
    <x v="1"/>
    <n v="1000"/>
    <n v="1.85"/>
    <n v="1850"/>
  </r>
  <r>
    <m/>
    <x v="40"/>
    <m/>
    <x v="7"/>
    <n v="1600"/>
    <n v="0.05"/>
    <n v="80"/>
  </r>
  <r>
    <n v="42"/>
    <x v="41"/>
    <n v="4"/>
    <x v="0"/>
    <n v="2800"/>
    <n v="0.9"/>
    <n v="2520"/>
  </r>
  <r>
    <m/>
    <x v="41"/>
    <m/>
    <x v="13"/>
    <n v="2500"/>
    <n v="1.25"/>
    <n v="3125"/>
  </r>
  <r>
    <m/>
    <x v="41"/>
    <m/>
    <x v="3"/>
    <n v="200"/>
    <n v="0.4"/>
    <n v="80"/>
  </r>
  <r>
    <m/>
    <x v="41"/>
    <m/>
    <x v="19"/>
    <n v="800"/>
    <n v="0.25"/>
    <n v="200"/>
  </r>
  <r>
    <m/>
    <x v="41"/>
    <m/>
    <x v="10"/>
    <n v="150"/>
    <n v="1.85"/>
    <n v="277.5"/>
  </r>
  <r>
    <m/>
    <x v="41"/>
    <m/>
    <x v="1"/>
    <n v="1000"/>
    <n v="0.3"/>
    <n v="300"/>
  </r>
  <r>
    <n v="43"/>
    <x v="42"/>
    <n v="4"/>
    <x v="19"/>
    <n v="800"/>
    <n v="0.3"/>
    <n v="240"/>
  </r>
  <r>
    <m/>
    <x v="42"/>
    <m/>
    <x v="3"/>
    <n v="200"/>
    <n v="0.45"/>
    <n v="90"/>
  </r>
  <r>
    <m/>
    <x v="42"/>
    <m/>
    <x v="2"/>
    <n v="300"/>
    <n v="0.2"/>
    <n v="60"/>
  </r>
  <r>
    <m/>
    <x v="42"/>
    <m/>
    <x v="24"/>
    <n v="2500"/>
    <n v="0.2"/>
    <n v="500"/>
  </r>
  <r>
    <m/>
    <x v="42"/>
    <m/>
    <x v="5"/>
    <n v="3500"/>
    <n v="0.15"/>
    <n v="525"/>
  </r>
  <r>
    <m/>
    <x v="42"/>
    <m/>
    <x v="0"/>
    <n v="2800"/>
    <n v="0.15"/>
    <n v="420"/>
  </r>
  <r>
    <m/>
    <x v="42"/>
    <m/>
    <x v="12"/>
    <n v="1500"/>
    <n v="0.7"/>
    <n v="1050"/>
  </r>
  <r>
    <n v="44"/>
    <x v="43"/>
    <n v="2"/>
    <x v="9"/>
    <n v="1800"/>
    <n v="1.55"/>
    <n v="2790"/>
  </r>
  <r>
    <m/>
    <x v="43"/>
    <m/>
    <x v="24"/>
    <n v="2500"/>
    <n v="0.1"/>
    <n v="250"/>
  </r>
  <r>
    <m/>
    <x v="43"/>
    <m/>
    <x v="6"/>
    <n v="1400"/>
    <n v="0.25"/>
    <n v="350"/>
  </r>
  <r>
    <m/>
    <x v="43"/>
    <m/>
    <x v="3"/>
    <n v="200"/>
    <n v="0.2"/>
    <n v="40"/>
  </r>
  <r>
    <m/>
    <x v="43"/>
    <m/>
    <x v="0"/>
    <n v="2800"/>
    <n v="0.2"/>
    <n v="560"/>
  </r>
  <r>
    <m/>
    <x v="43"/>
    <m/>
    <x v="12"/>
    <n v="1500"/>
    <n v="0.1"/>
    <n v="150"/>
  </r>
  <r>
    <m/>
    <x v="43"/>
    <m/>
    <x v="11"/>
    <n v="300"/>
    <n v="0.25"/>
    <n v="75"/>
  </r>
  <r>
    <m/>
    <x v="43"/>
    <m/>
    <x v="13"/>
    <n v="2500"/>
    <n v="0.1"/>
    <n v="250"/>
  </r>
  <r>
    <n v="45"/>
    <x v="44"/>
    <n v="4"/>
    <x v="4"/>
    <n v="1000"/>
    <n v="2.2999999999999998"/>
    <n v="2300"/>
  </r>
  <r>
    <m/>
    <x v="44"/>
    <m/>
    <x v="19"/>
    <n v="800"/>
    <n v="0.25"/>
    <n v="200"/>
  </r>
  <r>
    <m/>
    <x v="44"/>
    <m/>
    <x v="6"/>
    <n v="1400"/>
    <n v="3.7"/>
    <n v="5180"/>
  </r>
  <r>
    <m/>
    <x v="44"/>
    <m/>
    <x v="10"/>
    <n v="150"/>
    <n v="3.3"/>
    <n v="495"/>
  </r>
  <r>
    <m/>
    <x v="44"/>
    <m/>
    <x v="13"/>
    <n v="2500"/>
    <n v="2.15"/>
    <n v="5375"/>
  </r>
  <r>
    <m/>
    <x v="44"/>
    <m/>
    <x v="9"/>
    <n v="1800"/>
    <n v="0.45"/>
    <n v="810"/>
  </r>
  <r>
    <m/>
    <x v="44"/>
    <m/>
    <x v="1"/>
    <n v="1000"/>
    <n v="0.35"/>
    <n v="350"/>
  </r>
  <r>
    <n v="46"/>
    <x v="45"/>
    <n v="4"/>
    <x v="3"/>
    <n v="200"/>
    <n v="1.5"/>
    <n v="300"/>
  </r>
  <r>
    <m/>
    <x v="45"/>
    <m/>
    <x v="2"/>
    <n v="300"/>
    <n v="0.95"/>
    <n v="285"/>
  </r>
  <r>
    <m/>
    <x v="45"/>
    <m/>
    <x v="5"/>
    <n v="3500"/>
    <n v="0.25"/>
    <n v="875"/>
  </r>
  <r>
    <m/>
    <x v="45"/>
    <m/>
    <x v="0"/>
    <n v="2800"/>
    <n v="0.95"/>
    <n v="2660"/>
  </r>
  <r>
    <m/>
    <x v="45"/>
    <m/>
    <x v="11"/>
    <n v="300"/>
    <n v="1.5"/>
    <n v="450"/>
  </r>
  <r>
    <m/>
    <x v="45"/>
    <m/>
    <x v="19"/>
    <n v="800"/>
    <n v="0.15"/>
    <n v="120"/>
  </r>
  <r>
    <m/>
    <x v="45"/>
    <m/>
    <x v="12"/>
    <n v="1500"/>
    <n v="0.25"/>
    <n v="375"/>
  </r>
  <r>
    <m/>
    <x v="45"/>
    <m/>
    <x v="6"/>
    <n v="1400"/>
    <n v="1.7"/>
    <n v="2380"/>
  </r>
  <r>
    <m/>
    <x v="45"/>
    <m/>
    <x v="22"/>
    <n v="1600"/>
    <n v="0.1"/>
    <n v="160"/>
  </r>
  <r>
    <m/>
    <x v="45"/>
    <m/>
    <x v="4"/>
    <n v="1000"/>
    <n v="4.55"/>
    <n v="4550"/>
  </r>
  <r>
    <n v="47"/>
    <x v="46"/>
    <n v="4"/>
    <x v="4"/>
    <n v="1000"/>
    <n v="1.2"/>
    <n v="1200"/>
  </r>
  <r>
    <m/>
    <x v="46"/>
    <m/>
    <x v="3"/>
    <n v="200"/>
    <n v="1.3"/>
    <n v="260"/>
  </r>
  <r>
    <m/>
    <x v="46"/>
    <m/>
    <x v="2"/>
    <n v="300"/>
    <n v="0.45"/>
    <n v="135"/>
  </r>
  <r>
    <n v="48"/>
    <x v="47"/>
    <n v="4"/>
    <x v="6"/>
    <n v="1400"/>
    <n v="1.55"/>
    <n v="2170"/>
  </r>
  <r>
    <m/>
    <x v="47"/>
    <m/>
    <x v="0"/>
    <n v="2800"/>
    <n v="0.35"/>
    <n v="979.99999999999989"/>
  </r>
  <r>
    <m/>
    <x v="47"/>
    <m/>
    <x v="1"/>
    <n v="1000"/>
    <n v="0.3"/>
    <n v="300"/>
  </r>
  <r>
    <m/>
    <x v="47"/>
    <m/>
    <x v="4"/>
    <n v="1000"/>
    <n v="3"/>
    <n v="3000"/>
  </r>
  <r>
    <n v="49"/>
    <x v="48"/>
    <n v="5"/>
    <x v="11"/>
    <n v="300"/>
    <n v="3.3"/>
    <n v="990"/>
  </r>
  <r>
    <m/>
    <x v="48"/>
    <m/>
    <x v="0"/>
    <n v="2800"/>
    <n v="4.45"/>
    <n v="12460"/>
  </r>
  <r>
    <m/>
    <x v="48"/>
    <m/>
    <x v="3"/>
    <n v="200"/>
    <n v="2.2999999999999998"/>
    <n v="459.99999999999994"/>
  </r>
  <r>
    <m/>
    <x v="48"/>
    <m/>
    <x v="24"/>
    <n v="2500"/>
    <n v="0.7"/>
    <n v="1750"/>
  </r>
  <r>
    <m/>
    <x v="48"/>
    <m/>
    <x v="7"/>
    <n v="1600"/>
    <n v="1.75"/>
    <n v="2800"/>
  </r>
  <r>
    <m/>
    <x v="48"/>
    <m/>
    <x v="12"/>
    <n v="1500"/>
    <n v="0.4"/>
    <n v="600"/>
  </r>
  <r>
    <m/>
    <x v="48"/>
    <m/>
    <x v="9"/>
    <n v="1800"/>
    <n v="0.2"/>
    <n v="360"/>
  </r>
  <r>
    <m/>
    <x v="48"/>
    <m/>
    <x v="6"/>
    <n v="1400"/>
    <n v="2.35"/>
    <n v="3290"/>
  </r>
  <r>
    <m/>
    <x v="48"/>
    <m/>
    <x v="23"/>
    <n v="8000"/>
    <n v="0.25"/>
    <n v="2000"/>
  </r>
  <r>
    <m/>
    <x v="48"/>
    <m/>
    <x v="13"/>
    <n v="2500"/>
    <n v="0.25"/>
    <n v="625"/>
  </r>
  <r>
    <m/>
    <x v="48"/>
    <m/>
    <x v="1"/>
    <n v="1000"/>
    <n v="0.1"/>
    <n v="100"/>
  </r>
  <r>
    <m/>
    <x v="48"/>
    <m/>
    <x v="4"/>
    <n v="1000"/>
    <n v="23"/>
    <n v="23000"/>
  </r>
  <r>
    <n v="50"/>
    <x v="49"/>
    <n v="2"/>
    <x v="1"/>
    <n v="1000"/>
    <n v="2.6"/>
    <n v="2600"/>
  </r>
  <r>
    <n v="51"/>
    <x v="50"/>
    <n v="4"/>
    <x v="1"/>
    <n v="1000"/>
    <n v="0.35"/>
    <n v="350"/>
  </r>
  <r>
    <m/>
    <x v="50"/>
    <m/>
    <x v="2"/>
    <n v="300"/>
    <n v="0.3"/>
    <n v="90"/>
  </r>
  <r>
    <m/>
    <x v="50"/>
    <m/>
    <x v="3"/>
    <n v="200"/>
    <n v="0.15"/>
    <n v="30"/>
  </r>
  <r>
    <n v="52"/>
    <x v="51"/>
    <n v="4"/>
    <x v="0"/>
    <n v="2800"/>
    <n v="0.7"/>
    <n v="1959.9999999999998"/>
  </r>
  <r>
    <m/>
    <x v="51"/>
    <m/>
    <x v="7"/>
    <n v="1600"/>
    <n v="0.25"/>
    <n v="400"/>
  </r>
  <r>
    <m/>
    <x v="51"/>
    <m/>
    <x v="28"/>
    <n v="3500"/>
    <n v="0.1"/>
    <n v="350"/>
  </r>
  <r>
    <m/>
    <x v="51"/>
    <m/>
    <x v="11"/>
    <n v="300"/>
    <n v="0.55000000000000004"/>
    <n v="165"/>
  </r>
  <r>
    <m/>
    <x v="51"/>
    <m/>
    <x v="4"/>
    <n v="1000"/>
    <n v="1.2"/>
    <n v="1200"/>
  </r>
  <r>
    <m/>
    <x v="51"/>
    <m/>
    <x v="3"/>
    <n v="200"/>
    <n v="0.95000000000000007"/>
    <n v="190"/>
  </r>
  <r>
    <m/>
    <x v="51"/>
    <m/>
    <x v="2"/>
    <n v="300"/>
    <n v="0.1"/>
    <n v="30"/>
  </r>
  <r>
    <m/>
    <x v="51"/>
    <m/>
    <x v="10"/>
    <n v="150"/>
    <n v="0.85"/>
    <n v="127.5"/>
  </r>
  <r>
    <m/>
    <x v="51"/>
    <m/>
    <x v="12"/>
    <n v="1500"/>
    <n v="0.45"/>
    <n v="675"/>
  </r>
  <r>
    <m/>
    <x v="51"/>
    <m/>
    <x v="8"/>
    <n v="2000"/>
    <n v="0.15"/>
    <n v="300"/>
  </r>
  <r>
    <m/>
    <x v="51"/>
    <m/>
    <x v="6"/>
    <n v="1400"/>
    <n v="0.45"/>
    <n v="630"/>
  </r>
  <r>
    <n v="53"/>
    <x v="52"/>
    <n v="1"/>
    <x v="3"/>
    <n v="200"/>
    <n v="0.65"/>
    <n v="130"/>
  </r>
  <r>
    <m/>
    <x v="52"/>
    <m/>
    <x v="11"/>
    <n v="300"/>
    <n v="0.4"/>
    <n v="120"/>
  </r>
  <r>
    <m/>
    <x v="52"/>
    <m/>
    <x v="6"/>
    <n v="1400"/>
    <n v="0.25"/>
    <n v="350"/>
  </r>
  <r>
    <n v="54"/>
    <x v="53"/>
    <n v="5"/>
    <x v="7"/>
    <n v="1600"/>
    <n v="2.2000000000000002"/>
    <n v="3520.0000000000005"/>
  </r>
  <r>
    <m/>
    <x v="53"/>
    <m/>
    <x v="4"/>
    <n v="1000"/>
    <n v="2.6"/>
    <n v="2600"/>
  </r>
  <r>
    <m/>
    <x v="53"/>
    <m/>
    <x v="11"/>
    <n v="300"/>
    <n v="1.1000000000000001"/>
    <n v="330"/>
  </r>
  <r>
    <m/>
    <x v="53"/>
    <m/>
    <x v="6"/>
    <n v="1400"/>
    <n v="1.2000000000000002"/>
    <n v="1680.0000000000002"/>
  </r>
  <r>
    <m/>
    <x v="53"/>
    <m/>
    <x v="12"/>
    <n v="1500"/>
    <n v="0.25"/>
    <n v="375"/>
  </r>
  <r>
    <m/>
    <x v="53"/>
    <m/>
    <x v="1"/>
    <n v="1000"/>
    <n v="0.2"/>
    <n v="200"/>
  </r>
  <r>
    <m/>
    <x v="53"/>
    <m/>
    <x v="9"/>
    <n v="1800"/>
    <n v="0.45"/>
    <n v="810"/>
  </r>
  <r>
    <m/>
    <x v="53"/>
    <m/>
    <x v="10"/>
    <n v="150"/>
    <n v="1.95"/>
    <n v="292.5"/>
  </r>
  <r>
    <m/>
    <x v="53"/>
    <m/>
    <x v="24"/>
    <n v="2500"/>
    <n v="0.25"/>
    <n v="625"/>
  </r>
  <r>
    <m/>
    <x v="53"/>
    <m/>
    <x v="3"/>
    <n v="200"/>
    <n v="0.3"/>
    <n v="60"/>
  </r>
  <r>
    <m/>
    <x v="53"/>
    <m/>
    <x v="2"/>
    <n v="300"/>
    <n v="0.3"/>
    <n v="90"/>
  </r>
  <r>
    <n v="55"/>
    <x v="54"/>
    <n v="4"/>
    <x v="7"/>
    <n v="1600"/>
    <n v="0.45"/>
    <n v="720"/>
  </r>
  <r>
    <m/>
    <x v="54"/>
    <m/>
    <x v="6"/>
    <n v="1400"/>
    <n v="6.15"/>
    <n v="8610"/>
  </r>
  <r>
    <m/>
    <x v="54"/>
    <m/>
    <x v="3"/>
    <n v="200"/>
    <n v="0.25"/>
    <n v="50"/>
  </r>
  <r>
    <m/>
    <x v="54"/>
    <m/>
    <x v="2"/>
    <n v="300"/>
    <n v="0.2"/>
    <n v="60"/>
  </r>
  <r>
    <m/>
    <x v="54"/>
    <m/>
    <x v="1"/>
    <n v="1000"/>
    <n v="0.2"/>
    <n v="200"/>
  </r>
  <r>
    <m/>
    <x v="54"/>
    <m/>
    <x v="27"/>
    <n v="800"/>
    <n v="1.4"/>
    <n v="1120"/>
  </r>
  <r>
    <m/>
    <x v="54"/>
    <m/>
    <x v="11"/>
    <n v="300"/>
    <n v="1.1499999999999999"/>
    <n v="345"/>
  </r>
  <r>
    <m/>
    <x v="54"/>
    <m/>
    <x v="24"/>
    <n v="2500"/>
    <n v="0.1"/>
    <n v="250"/>
  </r>
  <r>
    <n v="56"/>
    <x v="55"/>
    <n v="6"/>
    <x v="21"/>
    <n v="1200"/>
    <n v="5.8"/>
    <n v="6960"/>
  </r>
  <r>
    <m/>
    <x v="55"/>
    <m/>
    <x v="27"/>
    <n v="800"/>
    <n v="1.45"/>
    <n v="1160"/>
  </r>
  <r>
    <m/>
    <x v="55"/>
    <m/>
    <x v="4"/>
    <n v="1000"/>
    <n v="1.1000000000000001"/>
    <n v="1100"/>
  </r>
  <r>
    <n v="57"/>
    <x v="56"/>
    <n v="4"/>
    <x v="4"/>
    <n v="1000"/>
    <n v="2.8"/>
    <n v="2800"/>
  </r>
  <r>
    <m/>
    <x v="56"/>
    <m/>
    <x v="11"/>
    <n v="300"/>
    <n v="0.85"/>
    <n v="255"/>
  </r>
  <r>
    <m/>
    <x v="56"/>
    <m/>
    <x v="0"/>
    <n v="2800"/>
    <n v="1.7"/>
    <n v="4760"/>
  </r>
  <r>
    <m/>
    <x v="56"/>
    <m/>
    <x v="6"/>
    <n v="1400"/>
    <n v="2.2000000000000002"/>
    <n v="3080.0000000000005"/>
  </r>
  <r>
    <m/>
    <x v="56"/>
    <m/>
    <x v="23"/>
    <n v="8000"/>
    <n v="0.5"/>
    <n v="4000"/>
  </r>
  <r>
    <m/>
    <x v="56"/>
    <m/>
    <x v="16"/>
    <n v="1200"/>
    <n v="0.65"/>
    <n v="780"/>
  </r>
  <r>
    <m/>
    <x v="56"/>
    <m/>
    <x v="24"/>
    <n v="2500"/>
    <n v="0.3"/>
    <n v="750"/>
  </r>
  <r>
    <m/>
    <x v="56"/>
    <m/>
    <x v="2"/>
    <n v="300"/>
    <n v="0.45"/>
    <n v="135"/>
  </r>
  <r>
    <m/>
    <x v="56"/>
    <m/>
    <x v="3"/>
    <n v="200"/>
    <n v="1.2"/>
    <n v="240"/>
  </r>
  <r>
    <m/>
    <x v="56"/>
    <m/>
    <x v="13"/>
    <n v="2500"/>
    <n v="10.050000000000001"/>
    <n v="25125"/>
  </r>
  <r>
    <n v="58"/>
    <x v="57"/>
    <n v="5"/>
    <x v="3"/>
    <n v="200"/>
    <n v="0.15"/>
    <n v="30"/>
  </r>
  <r>
    <m/>
    <x v="57"/>
    <m/>
    <x v="2"/>
    <n v="300"/>
    <n v="0.15"/>
    <n v="45"/>
  </r>
  <r>
    <m/>
    <x v="57"/>
    <m/>
    <x v="11"/>
    <n v="300"/>
    <n v="0.7"/>
    <n v="210"/>
  </r>
  <r>
    <m/>
    <x v="57"/>
    <m/>
    <x v="1"/>
    <n v="1000"/>
    <n v="0.60000000000000009"/>
    <n v="600.00000000000011"/>
  </r>
  <r>
    <m/>
    <x v="57"/>
    <m/>
    <x v="24"/>
    <n v="2500"/>
    <n v="0.15"/>
    <n v="375"/>
  </r>
  <r>
    <m/>
    <x v="57"/>
    <m/>
    <x v="14"/>
    <n v="150"/>
    <n v="0.95"/>
    <n v="142.5"/>
  </r>
  <r>
    <n v="59"/>
    <x v="58"/>
    <n v="4"/>
    <x v="11"/>
    <n v="300"/>
    <n v="0.8"/>
    <n v="240"/>
  </r>
  <r>
    <m/>
    <x v="58"/>
    <m/>
    <x v="2"/>
    <n v="300"/>
    <n v="0.35"/>
    <n v="105"/>
  </r>
  <r>
    <m/>
    <x v="58"/>
    <m/>
    <x v="5"/>
    <n v="3500"/>
    <n v="0.35"/>
    <n v="1225"/>
  </r>
  <r>
    <m/>
    <x v="58"/>
    <m/>
    <x v="0"/>
    <n v="2800"/>
    <n v="0.95"/>
    <n v="2660"/>
  </r>
  <r>
    <m/>
    <x v="58"/>
    <m/>
    <x v="3"/>
    <n v="200"/>
    <n v="1"/>
    <n v="200"/>
  </r>
  <r>
    <m/>
    <x v="58"/>
    <m/>
    <x v="6"/>
    <n v="1400"/>
    <n v="1"/>
    <n v="1400"/>
  </r>
  <r>
    <m/>
    <x v="58"/>
    <m/>
    <x v="4"/>
    <n v="1000"/>
    <n v="0.45"/>
    <n v="450"/>
  </r>
  <r>
    <n v="60"/>
    <x v="59"/>
    <n v="2"/>
    <x v="1"/>
    <n v="1000"/>
    <n v="1.1000000000000001"/>
    <n v="1100"/>
  </r>
  <r>
    <m/>
    <x v="59"/>
    <m/>
    <x v="4"/>
    <n v="1000"/>
    <n v="0.1"/>
    <n v="100"/>
  </r>
  <r>
    <m/>
    <x v="59"/>
    <m/>
    <x v="6"/>
    <n v="1400"/>
    <n v="0.44999999999999996"/>
    <n v="629.99999999999989"/>
  </r>
  <r>
    <m/>
    <x v="59"/>
    <m/>
    <x v="12"/>
    <n v="1500"/>
    <n v="0.85"/>
    <n v="1275"/>
  </r>
  <r>
    <m/>
    <x v="59"/>
    <m/>
    <x v="10"/>
    <n v="150"/>
    <n v="0.15"/>
    <n v="22.5"/>
  </r>
  <r>
    <m/>
    <x v="59"/>
    <m/>
    <x v="7"/>
    <n v="1600"/>
    <n v="1"/>
    <n v="1600"/>
  </r>
  <r>
    <n v="61"/>
    <x v="60"/>
    <n v="7"/>
    <x v="4"/>
    <n v="1000"/>
    <n v="9.75"/>
    <n v="9750"/>
  </r>
  <r>
    <m/>
    <x v="60"/>
    <m/>
    <x v="3"/>
    <n v="200"/>
    <n v="1.3"/>
    <n v="260"/>
  </r>
  <r>
    <m/>
    <x v="60"/>
    <m/>
    <x v="24"/>
    <n v="2500"/>
    <n v="0.2"/>
    <n v="500"/>
  </r>
  <r>
    <m/>
    <x v="60"/>
    <m/>
    <x v="0"/>
    <n v="2800"/>
    <n v="1.1499999999999999"/>
    <n v="3219.9999999999995"/>
  </r>
  <r>
    <m/>
    <x v="60"/>
    <m/>
    <x v="5"/>
    <n v="3500"/>
    <n v="0.5"/>
    <n v="1750"/>
  </r>
  <r>
    <m/>
    <x v="60"/>
    <m/>
    <x v="6"/>
    <n v="1400"/>
    <n v="1.95"/>
    <n v="2730"/>
  </r>
  <r>
    <m/>
    <x v="60"/>
    <m/>
    <x v="10"/>
    <n v="150"/>
    <n v="0.35"/>
    <n v="52.5"/>
  </r>
  <r>
    <m/>
    <x v="60"/>
    <m/>
    <x v="2"/>
    <n v="300"/>
    <n v="1.2"/>
    <n v="360"/>
  </r>
  <r>
    <m/>
    <x v="60"/>
    <m/>
    <x v="8"/>
    <n v="2000"/>
    <n v="0.6"/>
    <n v="1200"/>
  </r>
  <r>
    <m/>
    <x v="60"/>
    <m/>
    <x v="9"/>
    <n v="1800"/>
    <n v="0.8"/>
    <n v="1440"/>
  </r>
  <r>
    <n v="62"/>
    <x v="61"/>
    <n v="7"/>
    <x v="11"/>
    <n v="300"/>
    <n v="2"/>
    <n v="600"/>
  </r>
  <r>
    <m/>
    <x v="61"/>
    <m/>
    <x v="6"/>
    <n v="1400"/>
    <n v="0.1"/>
    <n v="140"/>
  </r>
  <r>
    <m/>
    <x v="61"/>
    <m/>
    <x v="23"/>
    <n v="8000"/>
    <n v="0.2"/>
    <n v="1600"/>
  </r>
  <r>
    <m/>
    <x v="61"/>
    <m/>
    <x v="3"/>
    <n v="200"/>
    <n v="1.05"/>
    <n v="210"/>
  </r>
  <r>
    <n v="63"/>
    <x v="62"/>
    <n v="4"/>
    <x v="7"/>
    <n v="1600"/>
    <n v="2.2999999999999998"/>
    <n v="3679.9999999999995"/>
  </r>
  <r>
    <m/>
    <x v="62"/>
    <m/>
    <x v="12"/>
    <n v="1500"/>
    <n v="0.2"/>
    <n v="300"/>
  </r>
  <r>
    <m/>
    <x v="62"/>
    <m/>
    <x v="4"/>
    <n v="1000"/>
    <n v="2.4"/>
    <n v="2400"/>
  </r>
  <r>
    <m/>
    <x v="62"/>
    <m/>
    <x v="11"/>
    <n v="300"/>
    <n v="0.8"/>
    <n v="240"/>
  </r>
  <r>
    <m/>
    <x v="62"/>
    <m/>
    <x v="22"/>
    <n v="1600"/>
    <n v="0.65"/>
    <n v="1040"/>
  </r>
  <r>
    <m/>
    <x v="62"/>
    <m/>
    <x v="3"/>
    <n v="200"/>
    <n v="8.7999999999999989"/>
    <n v="1759.9999999999998"/>
  </r>
  <r>
    <m/>
    <x v="62"/>
    <m/>
    <x v="10"/>
    <n v="150"/>
    <n v="0.7"/>
    <n v="105"/>
  </r>
  <r>
    <m/>
    <x v="62"/>
    <m/>
    <x v="26"/>
    <n v="150"/>
    <n v="0.95"/>
    <n v="142.5"/>
  </r>
  <r>
    <n v="64"/>
    <x v="63"/>
    <n v="4"/>
    <x v="4"/>
    <n v="1000"/>
    <n v="3.65"/>
    <n v="3650"/>
  </r>
  <r>
    <m/>
    <x v="63"/>
    <m/>
    <x v="3"/>
    <n v="200"/>
    <n v="2.5"/>
    <n v="500"/>
  </r>
  <r>
    <m/>
    <x v="63"/>
    <m/>
    <x v="19"/>
    <n v="800"/>
    <n v="0.65"/>
    <n v="520"/>
  </r>
  <r>
    <m/>
    <x v="63"/>
    <m/>
    <x v="2"/>
    <n v="300"/>
    <n v="1.9"/>
    <n v="570"/>
  </r>
  <r>
    <m/>
    <x v="63"/>
    <m/>
    <x v="11"/>
    <n v="300"/>
    <n v="2.35"/>
    <n v="705"/>
  </r>
  <r>
    <m/>
    <x v="63"/>
    <m/>
    <x v="6"/>
    <n v="1400"/>
    <n v="1.65"/>
    <n v="2310"/>
  </r>
  <r>
    <n v="65"/>
    <x v="64"/>
    <s v="Pos"/>
    <x v="29"/>
    <n v="150"/>
    <n v="2.2000000000000002"/>
    <n v="330"/>
  </r>
  <r>
    <m/>
    <x v="64"/>
    <m/>
    <x v="18"/>
    <n v="150"/>
    <n v="0.65"/>
    <n v="97.5"/>
  </r>
  <r>
    <m/>
    <x v="64"/>
    <m/>
    <x v="4"/>
    <n v="1000"/>
    <n v="0.75"/>
    <n v="750"/>
  </r>
  <r>
    <n v="66"/>
    <x v="65"/>
    <s v="Pos"/>
    <x v="4"/>
    <n v="1000"/>
    <n v="2.8499999999999996"/>
    <n v="2849.9999999999995"/>
  </r>
  <r>
    <m/>
    <x v="65"/>
    <m/>
    <x v="11"/>
    <n v="300"/>
    <n v="0.25"/>
    <n v="75"/>
  </r>
  <r>
    <m/>
    <x v="65"/>
    <m/>
    <x v="1"/>
    <n v="1000"/>
    <n v="8.4"/>
    <n v="8400"/>
  </r>
  <r>
    <m/>
    <x v="65"/>
    <m/>
    <x v="5"/>
    <n v="3500"/>
    <n v="2"/>
    <n v="7000"/>
  </r>
  <r>
    <m/>
    <x v="65"/>
    <m/>
    <x v="23"/>
    <n v="8000"/>
    <n v="0.25"/>
    <n v="2000"/>
  </r>
  <r>
    <m/>
    <x v="65"/>
    <m/>
    <x v="12"/>
    <n v="1500"/>
    <n v="0.15"/>
    <n v="225"/>
  </r>
  <r>
    <m/>
    <x v="65"/>
    <m/>
    <x v="6"/>
    <n v="1400"/>
    <n v="0.3"/>
    <n v="420"/>
  </r>
  <r>
    <m/>
    <x v="65"/>
    <m/>
    <x v="22"/>
    <n v="1600"/>
    <n v="0.95"/>
    <n v="1520"/>
  </r>
  <r>
    <m/>
    <x v="65"/>
    <m/>
    <x v="0"/>
    <n v="2800"/>
    <n v="3.4"/>
    <n v="9520"/>
  </r>
  <r>
    <m/>
    <x v="65"/>
    <m/>
    <x v="3"/>
    <n v="200"/>
    <n v="0.6"/>
    <n v="120"/>
  </r>
  <r>
    <m/>
    <x v="65"/>
    <m/>
    <x v="24"/>
    <n v="2500"/>
    <n v="0.4"/>
    <n v="1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1"/>
    <x v="0"/>
    <n v="2"/>
    <s v="Kardus Baik/Kering"/>
    <n v="1000"/>
    <n v="2.4"/>
    <n v="2400"/>
  </r>
  <r>
    <m/>
    <x v="0"/>
    <m/>
    <s v="Naso"/>
    <n v="2000"/>
    <n v="0.25"/>
    <n v="500"/>
  </r>
  <r>
    <m/>
    <x v="0"/>
    <m/>
    <s v="Emberan"/>
    <n v="1400"/>
    <n v="0.15"/>
    <n v="210"/>
  </r>
  <r>
    <m/>
    <x v="0"/>
    <m/>
    <s v="Gabrukan"/>
    <n v="1000"/>
    <n v="0.65"/>
    <n v="650"/>
  </r>
  <r>
    <m/>
    <x v="0"/>
    <m/>
    <s v="Botol Putih Bersih"/>
    <n v="2800"/>
    <n v="0.3"/>
    <n v="840"/>
  </r>
  <r>
    <n v="2"/>
    <x v="1"/>
    <n v="3"/>
    <s v="Sterofoam"/>
    <n v="150"/>
    <n v="0.35"/>
    <n v="52.5"/>
  </r>
  <r>
    <m/>
    <x v="1"/>
    <m/>
    <s v="Gelas Putih Bersih"/>
    <n v="3500"/>
    <n v="0.55000000000000004"/>
    <n v="1925.0000000000002"/>
  </r>
  <r>
    <m/>
    <x v="1"/>
    <m/>
    <s v="Botol Putih Bersih"/>
    <n v="2800"/>
    <n v="0.5"/>
    <n v="1400"/>
  </r>
  <r>
    <m/>
    <x v="1"/>
    <m/>
    <s v="Boncos"/>
    <n v="300"/>
    <n v="1.8"/>
    <n v="540"/>
  </r>
  <r>
    <m/>
    <x v="1"/>
    <m/>
    <s v="Asoy"/>
    <n v="200"/>
    <n v="0.85000000000000009"/>
    <n v="170.00000000000003"/>
  </r>
  <r>
    <m/>
    <x v="1"/>
    <m/>
    <s v="Gabrukan"/>
    <n v="1000"/>
    <n v="1.7999999999999998"/>
    <n v="1799.9999999999998"/>
  </r>
  <r>
    <m/>
    <x v="1"/>
    <m/>
    <s v="Botol &amp; Kaca Beling"/>
    <n v="150"/>
    <n v="5.8"/>
    <n v="870"/>
  </r>
  <r>
    <m/>
    <x v="1"/>
    <m/>
    <s v="Toples Kue Kristal"/>
    <n v="2700"/>
    <n v="0.2"/>
    <n v="540"/>
  </r>
  <r>
    <m/>
    <x v="1"/>
    <m/>
    <s v="Multilayer"/>
    <n v="300"/>
    <n v="0.4"/>
    <n v="120"/>
  </r>
  <r>
    <m/>
    <x v="1"/>
    <m/>
    <s v="Asoy"/>
    <n v="200"/>
    <n v="0.4"/>
    <n v="80"/>
  </r>
  <r>
    <m/>
    <x v="1"/>
    <m/>
    <s v="Alumunium"/>
    <n v="8000"/>
    <n v="0.2"/>
    <n v="1600"/>
  </r>
  <r>
    <m/>
    <x v="1"/>
    <m/>
    <s v="Seng"/>
    <n v="800"/>
    <n v="0.05"/>
    <n v="40"/>
  </r>
  <r>
    <m/>
    <x v="1"/>
    <m/>
    <s v="Boncos"/>
    <n v="300"/>
    <n v="2.95"/>
    <n v="885"/>
  </r>
  <r>
    <m/>
    <x v="1"/>
    <m/>
    <s v="Kardus Baik/Kering"/>
    <n v="1000"/>
    <n v="4.45"/>
    <n v="4450"/>
  </r>
  <r>
    <n v="3"/>
    <x v="2"/>
    <n v="2"/>
    <s v="Botol &amp; Gelas Putih (Kotor)"/>
    <n v="1600"/>
    <n v="0.25"/>
    <n v="400"/>
  </r>
  <r>
    <n v="4"/>
    <x v="3"/>
    <n v="2"/>
    <s v="Emberan"/>
    <n v="1400"/>
    <n v="1"/>
    <n v="1400"/>
  </r>
  <r>
    <m/>
    <x v="3"/>
    <m/>
    <s v="Gabrukan"/>
    <n v="1000"/>
    <n v="0.7"/>
    <n v="700"/>
  </r>
  <r>
    <n v="5"/>
    <x v="4"/>
    <n v="2"/>
    <s v="Botol &amp; Kaca Beling"/>
    <n v="150"/>
    <n v="2.0499999999999998"/>
    <n v="307.5"/>
  </r>
  <r>
    <m/>
    <x v="4"/>
    <m/>
    <s v="Gabrukan"/>
    <n v="1000"/>
    <n v="1.85"/>
    <n v="1850"/>
  </r>
  <r>
    <n v="6"/>
    <x v="5"/>
    <n v="4"/>
    <s v="Emberan"/>
    <n v="1400"/>
    <n v="0.85"/>
    <n v="1190"/>
  </r>
  <r>
    <m/>
    <x v="5"/>
    <m/>
    <s v="Botol &amp; Gelas Putih (Kotor)"/>
    <n v="1600"/>
    <n v="0.05"/>
    <n v="80"/>
  </r>
  <r>
    <n v="7"/>
    <x v="6"/>
    <n v="1"/>
    <s v="Kardus Baik/Kering"/>
    <n v="1000"/>
    <n v="7.55"/>
    <n v="7550"/>
  </r>
  <r>
    <m/>
    <x v="6"/>
    <m/>
    <s v="Botol Putih Bersih"/>
    <n v="2800"/>
    <n v="1.6"/>
    <n v="4480"/>
  </r>
  <r>
    <m/>
    <x v="6"/>
    <m/>
    <s v="Alumunium"/>
    <n v="8000"/>
    <n v="0.25"/>
    <n v="2000"/>
  </r>
  <r>
    <m/>
    <x v="6"/>
    <m/>
    <s v="Gabrukan"/>
    <n v="1000"/>
    <n v="2.4"/>
    <n v="2400"/>
  </r>
  <r>
    <n v="8"/>
    <x v="7"/>
    <n v="4"/>
    <s v="Impact"/>
    <n v="600"/>
    <n v="2.35"/>
    <n v="1410"/>
  </r>
  <r>
    <m/>
    <x v="7"/>
    <m/>
    <s v="Gabrukan"/>
    <n v="1000"/>
    <n v="0.85"/>
    <n v="850"/>
  </r>
  <r>
    <m/>
    <x v="7"/>
    <m/>
    <s v="Buku Tulis &amp; Pelajaran"/>
    <n v="1200"/>
    <n v="2.1"/>
    <n v="2520"/>
  </r>
  <r>
    <m/>
    <x v="7"/>
    <m/>
    <s v="Kertas HVS Putih"/>
    <n v="1400"/>
    <n v="1.8"/>
    <n v="2520"/>
  </r>
  <r>
    <m/>
    <x v="7"/>
    <m/>
    <s v="Kardus Baik/Kering"/>
    <n v="1000"/>
    <n v="0.4"/>
    <n v="400"/>
  </r>
  <r>
    <n v="9"/>
    <x v="8"/>
    <n v="4"/>
    <s v="Kardus Baik/Kering"/>
    <n v="1000"/>
    <n v="1"/>
    <n v="1000"/>
  </r>
  <r>
    <m/>
    <x v="8"/>
    <m/>
    <s v="Gabrukan"/>
    <n v="1000"/>
    <n v="0.55000000000000004"/>
    <n v="550"/>
  </r>
  <r>
    <n v="10"/>
    <x v="9"/>
    <n v="4"/>
    <s v="Gabrukan"/>
    <n v="1000"/>
    <n v="1.05"/>
    <n v="1050"/>
  </r>
  <r>
    <n v="11"/>
    <x v="10"/>
    <n v="3"/>
    <s v="Botol &amp; Gelas Putih (Kotor)"/>
    <n v="1600"/>
    <n v="0.2"/>
    <n v="320"/>
  </r>
  <r>
    <m/>
    <x v="10"/>
    <m/>
    <s v="Gabrukan"/>
    <n v="1000"/>
    <n v="0.2"/>
    <n v="200"/>
  </r>
  <r>
    <m/>
    <x v="10"/>
    <m/>
    <s v="Emberan"/>
    <n v="1400"/>
    <n v="1"/>
    <n v="1400"/>
  </r>
  <r>
    <n v="12"/>
    <x v="11"/>
    <n v="4"/>
    <s v="Botol &amp; Gelas Putih (Kotor)"/>
    <n v="1600"/>
    <n v="0.7"/>
    <n v="1120"/>
  </r>
  <r>
    <m/>
    <x v="11"/>
    <m/>
    <s v="Kardus Baik/Kering"/>
    <n v="1000"/>
    <n v="2.5"/>
    <n v="2500"/>
  </r>
  <r>
    <m/>
    <x v="11"/>
    <m/>
    <s v="Asoy"/>
    <n v="200"/>
    <n v="0.6"/>
    <n v="120"/>
  </r>
  <r>
    <m/>
    <x v="11"/>
    <m/>
    <s v="Kabin"/>
    <n v="1800"/>
    <n v="3.25"/>
    <n v="5850"/>
  </r>
  <r>
    <m/>
    <x v="11"/>
    <m/>
    <s v="Besi"/>
    <n v="2500"/>
    <n v="3.25"/>
    <n v="8125"/>
  </r>
  <r>
    <m/>
    <x v="11"/>
    <m/>
    <s v="Seng"/>
    <n v="800"/>
    <n v="0.4"/>
    <n v="320"/>
  </r>
  <r>
    <m/>
    <x v="11"/>
    <m/>
    <s v="Selang Air"/>
    <n v="400"/>
    <n v="1.5"/>
    <n v="600"/>
  </r>
  <r>
    <m/>
    <x v="11"/>
    <m/>
    <s v="Emberan"/>
    <n v="1400"/>
    <n v="3.6500000000000004"/>
    <n v="5110.0000000000009"/>
  </r>
  <r>
    <n v="13"/>
    <x v="12"/>
    <n v="4"/>
    <s v="Kardus Baik/Kering"/>
    <n v="1000"/>
    <n v="0.7"/>
    <n v="700"/>
  </r>
  <r>
    <m/>
    <x v="12"/>
    <m/>
    <s v="Botol &amp; Gelas Putih (Kotor)"/>
    <n v="1600"/>
    <n v="0.8"/>
    <n v="1280"/>
  </r>
  <r>
    <n v="15"/>
    <x v="13"/>
    <n v="4"/>
    <s v="Botol &amp; Gelas Putih (Kotor)"/>
    <n v="1600"/>
    <n v="0.55000000000000004"/>
    <n v="880.00000000000011"/>
  </r>
  <r>
    <m/>
    <x v="13"/>
    <m/>
    <s v="Asoy"/>
    <n v="200"/>
    <n v="0.15"/>
    <n v="30"/>
  </r>
  <r>
    <n v="16"/>
    <x v="14"/>
    <n v="3"/>
    <s v="Injek"/>
    <n v="1600"/>
    <n v="0.9"/>
    <n v="1440"/>
  </r>
  <r>
    <m/>
    <x v="14"/>
    <m/>
    <s v="Emberan"/>
    <n v="1400"/>
    <n v="1.0999999999999999"/>
    <n v="1539.9999999999998"/>
  </r>
  <r>
    <m/>
    <x v="14"/>
    <m/>
    <s v="Toples Kue Kristal"/>
    <n v="2700"/>
    <n v="0.2"/>
    <n v="540"/>
  </r>
  <r>
    <m/>
    <x v="14"/>
    <m/>
    <s v="Tutup Botol"/>
    <n v="2500"/>
    <n v="0.25"/>
    <n v="625"/>
  </r>
  <r>
    <m/>
    <x v="14"/>
    <m/>
    <s v="Botol Putih Bersih"/>
    <n v="2800"/>
    <n v="0.85"/>
    <n v="2380"/>
  </r>
  <r>
    <m/>
    <x v="14"/>
    <m/>
    <s v="Kardus Baik/Kering"/>
    <n v="1000"/>
    <n v="1.1499999999999999"/>
    <n v="1150"/>
  </r>
  <r>
    <m/>
    <x v="14"/>
    <m/>
    <s v="Asoy"/>
    <n v="200"/>
    <n v="0.35"/>
    <n v="70"/>
  </r>
  <r>
    <m/>
    <x v="14"/>
    <m/>
    <s v="Kaleng"/>
    <n v="1500"/>
    <n v="0.15"/>
    <n v="225"/>
  </r>
  <r>
    <n v="17"/>
    <x v="15"/>
    <s v="Kambam"/>
    <s v="Minyak Jelantah"/>
    <n v="4000"/>
    <n v="18.25"/>
    <n v="73000"/>
  </r>
  <r>
    <m/>
    <x v="15"/>
    <m/>
    <s v="Kardus Baik/Kering"/>
    <n v="1000"/>
    <n v="0.35"/>
    <n v="350"/>
  </r>
  <r>
    <n v="18"/>
    <x v="16"/>
    <n v="2"/>
    <s v="Naso"/>
    <n v="2000"/>
    <n v="1.75"/>
    <n v="3500"/>
  </r>
  <r>
    <m/>
    <x v="16"/>
    <m/>
    <s v="Emberan"/>
    <n v="1400"/>
    <n v="3.25"/>
    <n v="4550"/>
  </r>
  <r>
    <m/>
    <x v="16"/>
    <m/>
    <s v="Kaleng"/>
    <n v="1500"/>
    <n v="0.4"/>
    <n v="600"/>
  </r>
  <r>
    <m/>
    <x v="16"/>
    <m/>
    <s v="Botol &amp; Gelas Putih (Kotor)"/>
    <n v="1600"/>
    <n v="0.35"/>
    <n v="560"/>
  </r>
  <r>
    <m/>
    <x v="16"/>
    <m/>
    <s v="Impact"/>
    <n v="600"/>
    <n v="0.6"/>
    <n v="360"/>
  </r>
  <r>
    <m/>
    <x v="16"/>
    <m/>
    <s v="Toples Kue Kristal"/>
    <n v="2700"/>
    <n v="0.05"/>
    <n v="135"/>
  </r>
  <r>
    <m/>
    <x v="16"/>
    <m/>
    <s v="Buku Tulis &amp; Pelajaran"/>
    <n v="1200"/>
    <n v="6.6"/>
    <n v="7920"/>
  </r>
  <r>
    <m/>
    <x v="16"/>
    <m/>
    <s v="Boncos"/>
    <n v="300"/>
    <n v="0.45"/>
    <n v="135"/>
  </r>
  <r>
    <m/>
    <x v="16"/>
    <m/>
    <s v="Kardus Baik/Kering"/>
    <n v="1000"/>
    <n v="0.95"/>
    <n v="950"/>
  </r>
  <r>
    <m/>
    <x v="16"/>
    <m/>
    <s v="Tutup Botol"/>
    <n v="2500"/>
    <n v="0.15"/>
    <n v="375"/>
  </r>
  <r>
    <m/>
    <x v="16"/>
    <m/>
    <s v="Botol &amp; Kaca Beling"/>
    <n v="150"/>
    <n v="3.35"/>
    <n v="502.5"/>
  </r>
  <r>
    <n v="19"/>
    <x v="17"/>
    <n v="4"/>
    <s v="Toples Kue Kristal"/>
    <n v="2700"/>
    <n v="0.55000000000000004"/>
    <n v="1485.0000000000002"/>
  </r>
  <r>
    <m/>
    <x v="17"/>
    <m/>
    <s v="Emberan"/>
    <n v="1400"/>
    <n v="0.5"/>
    <n v="700"/>
  </r>
  <r>
    <m/>
    <x v="17"/>
    <m/>
    <s v="Kabin"/>
    <n v="1800"/>
    <n v="0.45"/>
    <n v="810"/>
  </r>
  <r>
    <m/>
    <x v="17"/>
    <m/>
    <s v="Botol &amp; Kaca Beling"/>
    <n v="150"/>
    <n v="0.25"/>
    <n v="37.5"/>
  </r>
  <r>
    <m/>
    <x v="17"/>
    <m/>
    <s v="Kaleng"/>
    <n v="1500"/>
    <n v="0.05"/>
    <n v="75"/>
  </r>
  <r>
    <m/>
    <x v="17"/>
    <m/>
    <s v="Kardus Baik/Kering"/>
    <n v="1000"/>
    <n v="0.3"/>
    <n v="300"/>
  </r>
  <r>
    <m/>
    <x v="17"/>
    <m/>
    <s v="Botol &amp; Gelas Putih (Kotor)"/>
    <n v="1600"/>
    <n v="0.35"/>
    <n v="560"/>
  </r>
  <r>
    <n v="20"/>
    <x v="18"/>
    <n v="5"/>
    <s v="Minyak Jelantah"/>
    <n v="4000"/>
    <n v="6.4"/>
    <n v="25600"/>
  </r>
  <r>
    <n v="21"/>
    <x v="19"/>
    <n v="2"/>
    <s v="Buku Tulis &amp; Pelajaran"/>
    <n v="1200"/>
    <n v="14.4"/>
    <n v="17280"/>
  </r>
  <r>
    <m/>
    <x v="19"/>
    <m/>
    <s v="Boncos"/>
    <n v="300"/>
    <n v="0.5"/>
    <n v="150"/>
  </r>
  <r>
    <m/>
    <x v="19"/>
    <m/>
    <s v="Kardus Baik/Kering"/>
    <n v="1000"/>
    <n v="0.1"/>
    <n v="100"/>
  </r>
  <r>
    <m/>
    <x v="19"/>
    <m/>
    <s v="Asoy"/>
    <n v="200"/>
    <n v="0.15"/>
    <n v="30"/>
  </r>
  <r>
    <n v="22"/>
    <x v="20"/>
    <n v="4"/>
    <s v="Asoy"/>
    <n v="200"/>
    <n v="1.7"/>
    <n v="340"/>
  </r>
  <r>
    <m/>
    <x v="20"/>
    <m/>
    <s v="Boncos"/>
    <n v="300"/>
    <n v="2.5499999999999998"/>
    <n v="765"/>
  </r>
  <r>
    <m/>
    <x v="20"/>
    <m/>
    <s v="Emberan"/>
    <n v="1400"/>
    <n v="0.7"/>
    <n v="979.99999999999989"/>
  </r>
  <r>
    <n v="23"/>
    <x v="21"/>
    <n v="2"/>
    <s v="Botol &amp; Gelas Putih (Kotor)"/>
    <n v="1600"/>
    <n v="1"/>
    <n v="1600"/>
  </r>
  <r>
    <n v="24"/>
    <x v="22"/>
    <n v="2"/>
    <s v="Asoy"/>
    <n v="200"/>
    <n v="3.35"/>
    <n v="670"/>
  </r>
  <r>
    <m/>
    <x v="22"/>
    <m/>
    <s v="Tutup Botol"/>
    <n v="2500"/>
    <n v="0.1"/>
    <n v="250"/>
  </r>
  <r>
    <m/>
    <x v="22"/>
    <m/>
    <s v="Multilayer"/>
    <n v="300"/>
    <n v="0.2"/>
    <n v="60"/>
  </r>
  <r>
    <m/>
    <x v="22"/>
    <m/>
    <s v="Botol &amp; Gelas Putih (Kotor)"/>
    <n v="1600"/>
    <n v="0.55000000000000004"/>
    <n v="880.00000000000011"/>
  </r>
  <r>
    <m/>
    <x v="22"/>
    <m/>
    <s v="Boncos"/>
    <n v="300"/>
    <n v="2.65"/>
    <n v="795"/>
  </r>
  <r>
    <m/>
    <x v="22"/>
    <m/>
    <s v="Emberan"/>
    <n v="1400"/>
    <n v="0.2"/>
    <n v="280"/>
  </r>
  <r>
    <m/>
    <x v="22"/>
    <m/>
    <s v="Kardus Baik/Kering"/>
    <n v="1000"/>
    <n v="0.3"/>
    <n v="300"/>
  </r>
  <r>
    <n v="25"/>
    <x v="23"/>
    <n v="4"/>
    <s v="Kardus Baik/Kering"/>
    <n v="1000"/>
    <n v="12.35"/>
    <n v="12350"/>
  </r>
  <r>
    <m/>
    <x v="23"/>
    <m/>
    <s v="Boncos"/>
    <n v="300"/>
    <n v="0.1"/>
    <n v="30"/>
  </r>
  <r>
    <m/>
    <x v="23"/>
    <m/>
    <s v="Kabin"/>
    <n v="1800"/>
    <n v="1.1499999999999999"/>
    <n v="2070"/>
  </r>
  <r>
    <m/>
    <x v="23"/>
    <m/>
    <s v="Alumunium"/>
    <n v="8000"/>
    <n v="0.65"/>
    <n v="5200"/>
  </r>
  <r>
    <m/>
    <x v="23"/>
    <m/>
    <s v="Emberan"/>
    <n v="1400"/>
    <n v="3.75"/>
    <n v="5250"/>
  </r>
  <r>
    <n v="26"/>
    <x v="24"/>
    <n v="1"/>
    <s v="Minyak Jelantah"/>
    <n v="4000"/>
    <n v="5.55"/>
    <n v="22200"/>
  </r>
  <r>
    <m/>
    <x v="24"/>
    <m/>
    <s v="Emberan"/>
    <n v="1400"/>
    <n v="3.7"/>
    <n v="5180"/>
  </r>
  <r>
    <m/>
    <x v="24"/>
    <m/>
    <s v="Kardus Baik/Kering"/>
    <n v="1000"/>
    <n v="0.65"/>
    <n v="650"/>
  </r>
  <r>
    <m/>
    <x v="24"/>
    <m/>
    <s v="Botol &amp; Kaca Beling"/>
    <n v="150"/>
    <n v="1.75"/>
    <n v="262.5"/>
  </r>
  <r>
    <n v="27"/>
    <x v="25"/>
    <n v="4"/>
    <s v="Kaleng"/>
    <n v="1500"/>
    <n v="0.4"/>
    <n v="600"/>
  </r>
  <r>
    <m/>
    <x v="25"/>
    <m/>
    <s v="Alumunium"/>
    <n v="8000"/>
    <n v="0.1"/>
    <n v="800"/>
  </r>
  <r>
    <m/>
    <x v="25"/>
    <m/>
    <s v="Kabin"/>
    <n v="1800"/>
    <n v="0.1"/>
    <n v="180"/>
  </r>
  <r>
    <m/>
    <x v="25"/>
    <m/>
    <s v="Botol &amp; Kaca Beling"/>
    <n v="150"/>
    <n v="1.9"/>
    <n v="285"/>
  </r>
  <r>
    <m/>
    <x v="25"/>
    <m/>
    <s v="Emberan"/>
    <n v="1400"/>
    <n v="2.1"/>
    <n v="2940"/>
  </r>
  <r>
    <m/>
    <x v="25"/>
    <m/>
    <s v="Naso"/>
    <n v="2000"/>
    <n v="0.45"/>
    <n v="900"/>
  </r>
  <r>
    <m/>
    <x v="25"/>
    <m/>
    <s v="Botol &amp; Gelas Putih (Kotor)"/>
    <n v="1600"/>
    <n v="0.45"/>
    <n v="720"/>
  </r>
  <r>
    <n v="28"/>
    <x v="26"/>
    <n v="1"/>
    <s v="Kaleng"/>
    <n v="1500"/>
    <n v="0.3"/>
    <n v="450"/>
  </r>
  <r>
    <m/>
    <x v="26"/>
    <m/>
    <s v="Emberan"/>
    <n v="1400"/>
    <n v="0.4"/>
    <n v="560"/>
  </r>
  <r>
    <n v="29"/>
    <x v="27"/>
    <s v="Kambam"/>
    <s v="Impact"/>
    <n v="600"/>
    <n v="1.35"/>
    <n v="810"/>
  </r>
  <r>
    <m/>
    <x v="27"/>
    <m/>
    <s v="Botol &amp; Kaca Beling"/>
    <n v="150"/>
    <n v="0.85"/>
    <n v="127.5"/>
  </r>
  <r>
    <n v="30"/>
    <x v="28"/>
    <n v="4"/>
    <s v="Emberan"/>
    <n v="1400"/>
    <n v="0.4"/>
    <n v="560"/>
  </r>
  <r>
    <m/>
    <x v="28"/>
    <m/>
    <s v="Botol Putih Bersih"/>
    <n v="2800"/>
    <n v="0.65"/>
    <n v="1820"/>
  </r>
  <r>
    <m/>
    <x v="28"/>
    <m/>
    <s v="Kardus Baik/Kering"/>
    <n v="1000"/>
    <n v="0.9"/>
    <n v="900"/>
  </r>
  <r>
    <m/>
    <x v="28"/>
    <m/>
    <s v="Boncos"/>
    <n v="300"/>
    <n v="1.65"/>
    <n v="495"/>
  </r>
  <r>
    <m/>
    <x v="28"/>
    <m/>
    <s v="Asoy"/>
    <n v="200"/>
    <n v="0.45"/>
    <n v="90"/>
  </r>
  <r>
    <n v="31"/>
    <x v="29"/>
    <n v="4"/>
    <s v="Galon Aqua"/>
    <n v="4000"/>
    <n v="1"/>
    <n v="4000"/>
  </r>
  <r>
    <m/>
    <x v="29"/>
    <m/>
    <s v="Kardus Baik/Kering"/>
    <n v="1000"/>
    <n v="2.5499999999999998"/>
    <n v="2550"/>
  </r>
  <r>
    <m/>
    <x v="29"/>
    <m/>
    <s v="Boncos"/>
    <n v="300"/>
    <n v="0.45"/>
    <n v="135"/>
  </r>
  <r>
    <m/>
    <x v="29"/>
    <m/>
    <s v="Botol &amp; Kaca Beling"/>
    <n v="150"/>
    <n v="0.95"/>
    <n v="142.5"/>
  </r>
  <r>
    <m/>
    <x v="29"/>
    <m/>
    <s v="Gabrukan"/>
    <n v="1000"/>
    <n v="1"/>
    <n v="1000"/>
  </r>
  <r>
    <m/>
    <x v="29"/>
    <m/>
    <s v="Asoy"/>
    <n v="200"/>
    <n v="0.1"/>
    <n v="20"/>
  </r>
  <r>
    <n v="32"/>
    <x v="30"/>
    <n v="5"/>
    <s v="Kardus Baik/Kering"/>
    <n v="1000"/>
    <n v="3.65"/>
    <n v="3650"/>
  </r>
  <r>
    <m/>
    <x v="30"/>
    <m/>
    <s v="Botol &amp; Gelas Putih (Kotor)"/>
    <n v="1600"/>
    <n v="1.3"/>
    <n v="2080"/>
  </r>
  <r>
    <n v="33"/>
    <x v="31"/>
    <n v="2"/>
    <s v="Botol &amp; Gelas Putih (Kotor)"/>
    <n v="1600"/>
    <n v="1.2"/>
    <n v="1920"/>
  </r>
  <r>
    <m/>
    <x v="31"/>
    <m/>
    <s v="Asoy"/>
    <n v="200"/>
    <n v="0.3"/>
    <n v="60"/>
  </r>
  <r>
    <m/>
    <x v="31"/>
    <m/>
    <s v="Boncos"/>
    <n v="300"/>
    <n v="0.55000000000000004"/>
    <n v="165"/>
  </r>
  <r>
    <m/>
    <x v="31"/>
    <m/>
    <s v="Kaleng"/>
    <n v="1500"/>
    <n v="0.95"/>
    <n v="1425"/>
  </r>
  <r>
    <m/>
    <x v="31"/>
    <m/>
    <s v="Emberan"/>
    <n v="1400"/>
    <n v="2.65"/>
    <n v="3710"/>
  </r>
  <r>
    <m/>
    <x v="31"/>
    <m/>
    <s v="CD Kristal"/>
    <n v="5000"/>
    <n v="0.45"/>
    <n v="2250"/>
  </r>
  <r>
    <m/>
    <x v="31"/>
    <m/>
    <s v="Tutup Botol"/>
    <n v="2500"/>
    <n v="0.15"/>
    <n v="375"/>
  </r>
  <r>
    <m/>
    <x v="31"/>
    <m/>
    <s v="Kardus Baik/Kering"/>
    <n v="1000"/>
    <n v="5.6"/>
    <n v="5600"/>
  </r>
  <r>
    <m/>
    <x v="31"/>
    <m/>
    <s v="Buku Tulis &amp; Pelajaran"/>
    <n v="1200"/>
    <n v="25.1"/>
    <n v="30120"/>
  </r>
  <r>
    <m/>
    <x v="31"/>
    <m/>
    <s v="Kabin"/>
    <n v="1800"/>
    <n v="1.4"/>
    <n v="2520"/>
  </r>
  <r>
    <m/>
    <x v="31"/>
    <m/>
    <s v="Alumunium"/>
    <n v="8000"/>
    <n v="1.95"/>
    <n v="15600"/>
  </r>
  <r>
    <n v="34"/>
    <x v="32"/>
    <n v="4"/>
    <s v="Botol Putih Bersih"/>
    <n v="2800"/>
    <n v="0.7"/>
    <n v="1959.9999999999998"/>
  </r>
  <r>
    <m/>
    <x v="32"/>
    <m/>
    <s v="Tutup Botol"/>
    <n v="2500"/>
    <n v="0.15"/>
    <n v="375"/>
  </r>
  <r>
    <m/>
    <x v="32"/>
    <m/>
    <s v="Emberan"/>
    <n v="1400"/>
    <n v="1.65"/>
    <n v="2310"/>
  </r>
  <r>
    <m/>
    <x v="32"/>
    <m/>
    <s v="Botol &amp; Kaca Beling"/>
    <n v="150"/>
    <n v="1.45"/>
    <n v="217.5"/>
  </r>
  <r>
    <m/>
    <x v="32"/>
    <m/>
    <s v="Buku Tulis &amp; Pelajaran"/>
    <n v="1200"/>
    <n v="29.5"/>
    <n v="35400"/>
  </r>
  <r>
    <m/>
    <x v="32"/>
    <m/>
    <s v="Kardus Baik/Kering"/>
    <n v="1000"/>
    <n v="1.65"/>
    <n v="1650"/>
  </r>
  <r>
    <m/>
    <x v="32"/>
    <m/>
    <s v="Besi"/>
    <n v="2500"/>
    <n v="1.2"/>
    <n v="3000"/>
  </r>
  <r>
    <m/>
    <x v="32"/>
    <m/>
    <s v="Boncos"/>
    <n v="300"/>
    <n v="0.65"/>
    <n v="195"/>
  </r>
  <r>
    <m/>
    <x v="32"/>
    <m/>
    <s v="Injek"/>
    <n v="1600"/>
    <n v="0.3"/>
    <n v="480"/>
  </r>
  <r>
    <m/>
    <x v="32"/>
    <m/>
    <s v="Asoy"/>
    <n v="200"/>
    <n v="0.25"/>
    <n v="50"/>
  </r>
  <r>
    <m/>
    <x v="32"/>
    <m/>
    <s v="CD Kristal"/>
    <n v="5000"/>
    <n v="0.3"/>
    <n v="1500"/>
  </r>
  <r>
    <n v="35"/>
    <x v="33"/>
    <n v="5"/>
    <s v="Botol Putih Bersih"/>
    <n v="2800"/>
    <n v="1"/>
    <n v="2800"/>
  </r>
  <r>
    <m/>
    <x v="33"/>
    <m/>
    <s v="Asoy"/>
    <n v="200"/>
    <n v="1.3"/>
    <n v="260"/>
  </r>
  <r>
    <m/>
    <x v="33"/>
    <m/>
    <s v="Emberan"/>
    <n v="1400"/>
    <n v="1.45"/>
    <n v="2030"/>
  </r>
  <r>
    <m/>
    <x v="33"/>
    <m/>
    <s v="Boncos"/>
    <n v="300"/>
    <n v="2.1"/>
    <n v="630"/>
  </r>
  <r>
    <m/>
    <x v="33"/>
    <m/>
    <s v="Kardus Baik/Kering"/>
    <n v="1000"/>
    <n v="1"/>
    <n v="1000"/>
  </r>
  <r>
    <n v="36"/>
    <x v="34"/>
    <n v="5"/>
    <s v="Buku Tulis &amp; Pelajaran"/>
    <n v="1200"/>
    <n v="15.45"/>
    <n v="18540"/>
  </r>
  <r>
    <m/>
    <x v="34"/>
    <m/>
    <s v="Boncos"/>
    <n v="300"/>
    <n v="1.7"/>
    <n v="510"/>
  </r>
  <r>
    <m/>
    <x v="34"/>
    <m/>
    <s v="Asoy"/>
    <n v="200"/>
    <n v="1.25"/>
    <n v="250"/>
  </r>
  <r>
    <m/>
    <x v="34"/>
    <m/>
    <s v="Kaleng"/>
    <n v="1500"/>
    <n v="0.35"/>
    <n v="525"/>
  </r>
  <r>
    <m/>
    <x v="34"/>
    <m/>
    <s v="Botol &amp; Kaca Beling"/>
    <n v="150"/>
    <n v="0.2"/>
    <n v="30"/>
  </r>
  <r>
    <m/>
    <x v="34"/>
    <m/>
    <s v="Kardus Baik/Kering"/>
    <n v="1000"/>
    <n v="9.75"/>
    <n v="9750"/>
  </r>
  <r>
    <m/>
    <x v="34"/>
    <m/>
    <s v="TV Tabung"/>
    <n v="13000"/>
    <n v="1"/>
    <n v="13000"/>
  </r>
  <r>
    <m/>
    <x v="34"/>
    <m/>
    <s v="Botol Putih Bersih"/>
    <n v="2800"/>
    <n v="1.1000000000000001"/>
    <n v="3080.0000000000005"/>
  </r>
  <r>
    <n v="37"/>
    <x v="35"/>
    <n v="5"/>
    <s v="Botol Putih Bersih"/>
    <n v="2800"/>
    <n v="0.15"/>
    <n v="420"/>
  </r>
  <r>
    <m/>
    <x v="35"/>
    <m/>
    <s v="Naso"/>
    <n v="2000"/>
    <n v="0.2"/>
    <n v="400"/>
  </r>
  <r>
    <m/>
    <x v="35"/>
    <m/>
    <s v="Boncos"/>
    <n v="300"/>
    <n v="1.25"/>
    <n v="375"/>
  </r>
  <r>
    <n v="38"/>
    <x v="36"/>
    <n v="4"/>
    <s v="Kardus Baik/Kering"/>
    <n v="1000"/>
    <n v="2"/>
    <n v="2000"/>
  </r>
  <r>
    <m/>
    <x v="36"/>
    <m/>
    <s v="Boncos"/>
    <n v="300"/>
    <n v="1.3"/>
    <n v="390"/>
  </r>
  <r>
    <m/>
    <x v="36"/>
    <m/>
    <s v="Emberan"/>
    <n v="1400"/>
    <n v="0.4"/>
    <n v="560"/>
  </r>
  <r>
    <m/>
    <x v="36"/>
    <m/>
    <s v="Kaleng"/>
    <n v="1500"/>
    <n v="0.15"/>
    <n v="225"/>
  </r>
  <r>
    <m/>
    <x v="36"/>
    <m/>
    <s v="Kabin"/>
    <n v="1800"/>
    <n v="0.65"/>
    <n v="1170"/>
  </r>
  <r>
    <n v="39"/>
    <x v="37"/>
    <n v="4"/>
    <s v="Botol &amp; Gelas Putih (Kotor)"/>
    <n v="1600"/>
    <n v="0.6"/>
    <n v="960"/>
  </r>
  <r>
    <m/>
    <x v="37"/>
    <m/>
    <s v="Kardus Baik/Kering"/>
    <n v="1000"/>
    <n v="0.3"/>
    <n v="300"/>
  </r>
  <r>
    <m/>
    <x v="37"/>
    <m/>
    <s v="Kertas HVS Putih"/>
    <n v="1400"/>
    <n v="0.55000000000000004"/>
    <n v="770.00000000000011"/>
  </r>
  <r>
    <m/>
    <x v="37"/>
    <m/>
    <s v="Emberan"/>
    <n v="1400"/>
    <n v="0.2"/>
    <n v="280"/>
  </r>
  <r>
    <m/>
    <x v="37"/>
    <m/>
    <s v="Boncos"/>
    <n v="300"/>
    <n v="0.35"/>
    <n v="105"/>
  </r>
  <r>
    <m/>
    <x v="37"/>
    <m/>
    <s v="Botol &amp; Kaca Beling"/>
    <n v="150"/>
    <n v="0.35"/>
    <n v="52.5"/>
  </r>
  <r>
    <m/>
    <x v="37"/>
    <m/>
    <s v="Impact"/>
    <n v="600"/>
    <n v="1.85"/>
    <n v="1110"/>
  </r>
  <r>
    <n v="40"/>
    <x v="38"/>
    <n v="5"/>
    <s v="Botol &amp; Kaca Beling"/>
    <n v="150"/>
    <n v="1.4"/>
    <n v="210"/>
  </r>
  <r>
    <m/>
    <x v="38"/>
    <m/>
    <s v="Botol Putih Bersih"/>
    <n v="2800"/>
    <n v="0.4"/>
    <n v="1120"/>
  </r>
  <r>
    <m/>
    <x v="38"/>
    <m/>
    <s v="Emberan"/>
    <n v="1400"/>
    <n v="0.4"/>
    <n v="560"/>
  </r>
  <r>
    <m/>
    <x v="38"/>
    <m/>
    <s v="Tutup Botol"/>
    <n v="2500"/>
    <n v="0.1"/>
    <n v="250"/>
  </r>
  <r>
    <m/>
    <x v="38"/>
    <m/>
    <s v="Asoy"/>
    <n v="200"/>
    <n v="0.85"/>
    <n v="170"/>
  </r>
  <r>
    <m/>
    <x v="38"/>
    <m/>
    <s v="Boncos"/>
    <n v="300"/>
    <n v="1.35"/>
    <n v="405"/>
  </r>
  <r>
    <m/>
    <x v="38"/>
    <m/>
    <s v="Kardus Baik/Kering"/>
    <n v="1000"/>
    <n v="3.8"/>
    <n v="3800"/>
  </r>
  <r>
    <n v="41"/>
    <x v="39"/>
    <n v="4"/>
    <s v="Asoy"/>
    <n v="200"/>
    <n v="5.75"/>
    <n v="1150"/>
  </r>
  <r>
    <m/>
    <x v="39"/>
    <m/>
    <s v="Botol &amp; Kaca Beling"/>
    <n v="150"/>
    <n v="1"/>
    <n v="150"/>
  </r>
  <r>
    <m/>
    <x v="39"/>
    <m/>
    <s v="Botol &amp; Gelas Putih (Kotor)"/>
    <n v="1600"/>
    <n v="0.8"/>
    <n v="1280"/>
  </r>
  <r>
    <n v="42"/>
    <x v="40"/>
    <n v="2"/>
    <s v="Emberan"/>
    <n v="1400"/>
    <n v="0.35"/>
    <n v="489.99999999999994"/>
  </r>
  <r>
    <m/>
    <x v="40"/>
    <m/>
    <s v="Kardus Baik/Kering"/>
    <n v="1000"/>
    <n v="1.55"/>
    <n v="1550"/>
  </r>
  <r>
    <n v="43"/>
    <x v="41"/>
    <n v="2"/>
    <s v="Injek"/>
    <n v="1600"/>
    <n v="0.3"/>
    <n v="480"/>
  </r>
  <r>
    <m/>
    <x v="41"/>
    <m/>
    <s v="Emberan"/>
    <n v="1400"/>
    <n v="0.25"/>
    <n v="350"/>
  </r>
  <r>
    <m/>
    <x v="41"/>
    <m/>
    <s v="Toples Kue Kristal"/>
    <n v="2700"/>
    <n v="0.15"/>
    <n v="405"/>
  </r>
  <r>
    <m/>
    <x v="41"/>
    <m/>
    <s v="Buku Tulis &amp; Pelajaran"/>
    <n v="1200"/>
    <n v="32.950000000000003"/>
    <n v="39540"/>
  </r>
  <r>
    <m/>
    <x v="41"/>
    <m/>
    <s v="Kardus Baik/Kering"/>
    <n v="1000"/>
    <n v="0.15"/>
    <n v="150"/>
  </r>
  <r>
    <m/>
    <x v="41"/>
    <m/>
    <s v="Boncos"/>
    <n v="300"/>
    <n v="0.1"/>
    <n v="30"/>
  </r>
  <r>
    <n v="44"/>
    <x v="42"/>
    <n v="2"/>
    <s v="Kardus Baik/Kering"/>
    <n v="1000"/>
    <n v="0.8"/>
    <n v="800"/>
  </r>
  <r>
    <m/>
    <x v="42"/>
    <m/>
    <s v="Kaleng"/>
    <n v="1500"/>
    <n v="0.75"/>
    <n v="1125"/>
  </r>
  <r>
    <m/>
    <x v="42"/>
    <m/>
    <s v="Botol &amp; Kaca Beling"/>
    <n v="150"/>
    <n v="0.75"/>
    <n v="112.5"/>
  </r>
  <r>
    <m/>
    <x v="42"/>
    <m/>
    <s v="Kabin"/>
    <n v="1800"/>
    <n v="1.9"/>
    <n v="3420"/>
  </r>
  <r>
    <m/>
    <x v="42"/>
    <m/>
    <s v="Emberan"/>
    <n v="1400"/>
    <n v="0.8"/>
    <n v="1120"/>
  </r>
  <r>
    <n v="45"/>
    <x v="43"/>
    <n v="4"/>
    <s v="Emberan"/>
    <n v="1400"/>
    <n v="1.5"/>
    <n v="2100"/>
  </r>
  <r>
    <m/>
    <x v="43"/>
    <m/>
    <s v="Asoy"/>
    <n v="200"/>
    <n v="0.6"/>
    <n v="120"/>
  </r>
  <r>
    <m/>
    <x v="43"/>
    <m/>
    <s v="Botol &amp; Gelas Putih (Kotor)"/>
    <n v="1600"/>
    <n v="0.3"/>
    <n v="480"/>
  </r>
  <r>
    <n v="46"/>
    <x v="44"/>
    <n v="4"/>
    <s v="Emberan"/>
    <n v="1400"/>
    <n v="4.0999999999999996"/>
    <n v="5739.9999999999991"/>
  </r>
  <r>
    <m/>
    <x v="44"/>
    <m/>
    <s v="Buku Tulis &amp; Pelajaran"/>
    <n v="1200"/>
    <n v="11.15"/>
    <n v="13380"/>
  </r>
  <r>
    <m/>
    <x v="44"/>
    <m/>
    <s v="Kabel"/>
    <n v="1400"/>
    <n v="1.05"/>
    <n v="1470"/>
  </r>
  <r>
    <m/>
    <x v="44"/>
    <m/>
    <s v="Kertas HVS Putih"/>
    <n v="1400"/>
    <n v="8.8000000000000007"/>
    <n v="12320.000000000002"/>
  </r>
  <r>
    <m/>
    <x v="44"/>
    <m/>
    <s v="Boncos"/>
    <n v="300"/>
    <n v="11.45"/>
    <n v="3435"/>
  </r>
  <r>
    <m/>
    <x v="44"/>
    <m/>
    <s v="Gabrukan"/>
    <n v="1000"/>
    <n v="4.4000000000000004"/>
    <n v="4400"/>
  </r>
  <r>
    <m/>
    <x v="44"/>
    <m/>
    <s v="Kabel"/>
    <n v="1400"/>
    <n v="1.75"/>
    <n v="2450"/>
  </r>
  <r>
    <n v="47"/>
    <x v="45"/>
    <n v="4"/>
    <s v="Gabrukan"/>
    <n v="1000"/>
    <n v="2.1"/>
    <n v="2100"/>
  </r>
  <r>
    <m/>
    <x v="45"/>
    <m/>
    <s v="Kaleng"/>
    <n v="1500"/>
    <n v="1.65"/>
    <n v="2475"/>
  </r>
  <r>
    <n v="48"/>
    <x v="46"/>
    <n v="4"/>
    <s v="Emberan"/>
    <n v="1400"/>
    <n v="2.9000000000000004"/>
    <n v="4060.0000000000005"/>
  </r>
  <r>
    <m/>
    <x v="46"/>
    <m/>
    <s v="Magic Com Lengkap"/>
    <n v="10000"/>
    <n v="1"/>
    <n v="10000"/>
  </r>
  <r>
    <m/>
    <x v="46"/>
    <m/>
    <s v="Kardus Baik/Kering"/>
    <n v="1000"/>
    <n v="1.8"/>
    <n v="1800"/>
  </r>
  <r>
    <m/>
    <x v="46"/>
    <m/>
    <s v="Boncos"/>
    <n v="300"/>
    <n v="3.75"/>
    <n v="1125"/>
  </r>
  <r>
    <n v="49"/>
    <x v="30"/>
    <n v="5"/>
    <s v="Besi"/>
    <n v="2500"/>
    <n v="2.2200000000000002"/>
    <n v="5550.0000000000009"/>
  </r>
  <r>
    <m/>
    <x v="30"/>
    <m/>
    <s v="Kabin"/>
    <n v="1800"/>
    <n v="2.37"/>
    <n v="4266"/>
  </r>
  <r>
    <n v="50"/>
    <x v="47"/>
    <n v="4"/>
    <s v="Botol &amp; Gelas Putih (Kotor)"/>
    <n v="1600"/>
    <n v="0.65"/>
    <n v="1040"/>
  </r>
  <r>
    <m/>
    <x v="47"/>
    <m/>
    <s v="Kardus Baik/Kering"/>
    <n v="1000"/>
    <n v="5.55"/>
    <n v="5550"/>
  </r>
  <r>
    <n v="51"/>
    <x v="48"/>
    <n v="5"/>
    <s v="Kaleng"/>
    <n v="1500"/>
    <n v="0.6"/>
    <n v="900"/>
  </r>
  <r>
    <m/>
    <x v="48"/>
    <m/>
    <s v="Naso"/>
    <n v="2000"/>
    <n v="0.2"/>
    <n v="400"/>
  </r>
  <r>
    <m/>
    <x v="48"/>
    <m/>
    <s v="Asoy"/>
    <n v="200"/>
    <n v="0.15"/>
    <n v="30"/>
  </r>
  <r>
    <m/>
    <x v="48"/>
    <m/>
    <s v="Gabrukan"/>
    <n v="1000"/>
    <n v="3.2"/>
    <n v="32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1"/>
    <x v="0"/>
    <n v="4"/>
    <s v="Buku Tulis &amp; Pelajaran"/>
    <n v="1200"/>
    <n v="42.6"/>
    <n v="51120"/>
  </r>
  <r>
    <m/>
    <x v="0"/>
    <m/>
    <s v="Kardus Baik/Kering"/>
    <n v="1000"/>
    <n v="5.7"/>
    <n v="5700"/>
  </r>
  <r>
    <m/>
    <x v="0"/>
    <m/>
    <s v="Kertas HVS Putih"/>
    <n v="1400"/>
    <n v="9.15"/>
    <n v="12810"/>
  </r>
  <r>
    <m/>
    <x v="0"/>
    <m/>
    <s v="Emberan"/>
    <n v="1400"/>
    <n v="4.8500000000000005"/>
    <n v="6790.0000000000009"/>
  </r>
  <r>
    <m/>
    <x v="0"/>
    <m/>
    <s v="Besi"/>
    <n v="2500"/>
    <n v="2.4500000000000002"/>
    <n v="6125"/>
  </r>
  <r>
    <m/>
    <x v="0"/>
    <m/>
    <s v="Asoy"/>
    <n v="200"/>
    <n v="0.65"/>
    <n v="130"/>
  </r>
  <r>
    <m/>
    <x v="0"/>
    <m/>
    <s v="Gabrukan"/>
    <n v="1000"/>
    <n v="13.299999999999999"/>
    <n v="13299.999999999998"/>
  </r>
  <r>
    <m/>
    <x v="0"/>
    <m/>
    <s v="Sterofoam"/>
    <n v="150"/>
    <n v="0.1"/>
    <n v="15"/>
  </r>
  <r>
    <m/>
    <x v="0"/>
    <m/>
    <s v="Boncos"/>
    <n v="300"/>
    <n v="1.95"/>
    <n v="585"/>
  </r>
  <r>
    <m/>
    <x v="0"/>
    <m/>
    <s v="Koran/LKS"/>
    <n v="800"/>
    <n v="2.2999999999999998"/>
    <n v="1839.9999999999998"/>
  </r>
  <r>
    <m/>
    <x v="0"/>
    <m/>
    <s v="Kabin"/>
    <n v="1800"/>
    <n v="4.0999999999999996"/>
    <n v="7379.9999999999991"/>
  </r>
  <r>
    <n v="2"/>
    <x v="1"/>
    <n v="1"/>
    <s v="Kardus Baik/Kering"/>
    <n v="1000"/>
    <n v="1"/>
    <n v="1000"/>
  </r>
  <r>
    <m/>
    <x v="1"/>
    <m/>
    <s v="Botol Putih Bersih"/>
    <n v="2800"/>
    <n v="0.35"/>
    <n v="979.99999999999989"/>
  </r>
  <r>
    <m/>
    <x v="1"/>
    <m/>
    <s v="Boncos"/>
    <n v="300"/>
    <n v="2.4"/>
    <n v="720"/>
  </r>
  <r>
    <m/>
    <x v="1"/>
    <m/>
    <s v="Multilayer"/>
    <n v="300"/>
    <n v="0.15"/>
    <n v="45"/>
  </r>
  <r>
    <m/>
    <x v="1"/>
    <m/>
    <s v="Asoy"/>
    <n v="200"/>
    <n v="0.1"/>
    <n v="20"/>
  </r>
  <r>
    <m/>
    <x v="1"/>
    <m/>
    <s v="Plastik (PE)"/>
    <n v="800"/>
    <n v="0.1"/>
    <n v="80"/>
  </r>
  <r>
    <m/>
    <x v="1"/>
    <m/>
    <s v="Botol &amp; Kaca Beling"/>
    <n v="150"/>
    <n v="1.4"/>
    <n v="210"/>
  </r>
  <r>
    <m/>
    <x v="1"/>
    <m/>
    <s v="Kaleng"/>
    <n v="1500"/>
    <n v="0.15"/>
    <n v="225"/>
  </r>
  <r>
    <m/>
    <x v="1"/>
    <m/>
    <s v="Gabrukan"/>
    <n v="1000"/>
    <n v="0.4"/>
    <n v="400"/>
  </r>
  <r>
    <n v="3"/>
    <x v="2"/>
    <n v="7"/>
    <s v="Multilayer"/>
    <n v="300"/>
    <n v="0.1"/>
    <n v="30"/>
  </r>
  <r>
    <m/>
    <x v="2"/>
    <m/>
    <s v="Asoy"/>
    <n v="200"/>
    <n v="0.6"/>
    <n v="120"/>
  </r>
  <r>
    <m/>
    <x v="2"/>
    <m/>
    <s v="Botol &amp; Gelas Putih (Kotor)"/>
    <n v="1600"/>
    <n v="0.60000000000000009"/>
    <n v="960.00000000000011"/>
  </r>
  <r>
    <m/>
    <x v="2"/>
    <m/>
    <s v="Kertas HVS Putih"/>
    <n v="1400"/>
    <n v="1.65"/>
    <n v="2310"/>
  </r>
  <r>
    <m/>
    <x v="2"/>
    <m/>
    <s v="Boncos"/>
    <n v="300"/>
    <n v="1.1000000000000001"/>
    <n v="330"/>
  </r>
  <r>
    <m/>
    <x v="2"/>
    <m/>
    <s v="Injek"/>
    <n v="1600"/>
    <n v="0.25"/>
    <n v="400"/>
  </r>
  <r>
    <n v="4"/>
    <x v="3"/>
    <n v="5"/>
    <s v="Multilayer"/>
    <n v="300"/>
    <n v="0.55000000000000004"/>
    <n v="165"/>
  </r>
  <r>
    <m/>
    <x v="3"/>
    <m/>
    <s v="Asoy"/>
    <n v="200"/>
    <n v="1.1000000000000001"/>
    <n v="220.00000000000003"/>
  </r>
  <r>
    <m/>
    <x v="3"/>
    <m/>
    <s v="Botol Putih Bersih"/>
    <n v="2800"/>
    <n v="1.05"/>
    <n v="2940"/>
  </r>
  <r>
    <m/>
    <x v="3"/>
    <m/>
    <s v="Boncos"/>
    <n v="300"/>
    <n v="1.6"/>
    <n v="480"/>
  </r>
  <r>
    <m/>
    <x v="3"/>
    <m/>
    <s v="Emberan"/>
    <n v="1400"/>
    <n v="0.6"/>
    <n v="840"/>
  </r>
  <r>
    <n v="5"/>
    <x v="4"/>
    <n v="2"/>
    <s v="Boncos"/>
    <n v="300"/>
    <n v="1.3"/>
    <n v="390"/>
  </r>
  <r>
    <m/>
    <x v="4"/>
    <m/>
    <s v="Asoy"/>
    <n v="200"/>
    <n v="0.75"/>
    <n v="150"/>
  </r>
  <r>
    <m/>
    <x v="4"/>
    <m/>
    <s v="Botol &amp; Gelas Putih (Kotor)"/>
    <n v="1600"/>
    <n v="0.3"/>
    <n v="480"/>
  </r>
  <r>
    <m/>
    <x v="4"/>
    <m/>
    <s v="Tutup Botol"/>
    <n v="2500"/>
    <n v="0.1"/>
    <n v="250"/>
  </r>
  <r>
    <m/>
    <x v="4"/>
    <m/>
    <s v="Multilayer"/>
    <n v="300"/>
    <n v="0.25"/>
    <n v="75"/>
  </r>
  <r>
    <m/>
    <x v="4"/>
    <m/>
    <s v="Emberan"/>
    <n v="1400"/>
    <n v="0.6"/>
    <n v="840"/>
  </r>
  <r>
    <m/>
    <x v="4"/>
    <m/>
    <s v="Kardus Baik/Kering"/>
    <n v="1000"/>
    <n v="0.55000000000000004"/>
    <n v="550"/>
  </r>
  <r>
    <m/>
    <x v="4"/>
    <m/>
    <s v="Gabrukan"/>
    <n v="1000"/>
    <n v="16.100000000000001"/>
    <n v="16100.000000000002"/>
  </r>
  <r>
    <n v="6"/>
    <x v="5"/>
    <n v="4"/>
    <s v="Botol Putih Bersih"/>
    <n v="2800"/>
    <n v="0.25"/>
    <n v="700"/>
  </r>
  <r>
    <m/>
    <x v="5"/>
    <m/>
    <s v="Botol &amp; Gelas Putih (Kotor)"/>
    <n v="1600"/>
    <n v="0.35"/>
    <n v="560"/>
  </r>
  <r>
    <m/>
    <x v="5"/>
    <m/>
    <s v="Kardus Baik/Kering"/>
    <n v="1000"/>
    <n v="0.15"/>
    <n v="150"/>
  </r>
  <r>
    <m/>
    <x v="5"/>
    <m/>
    <s v="Tutup Botol"/>
    <n v="2500"/>
    <n v="0.5"/>
    <n v="1250"/>
  </r>
  <r>
    <m/>
    <x v="5"/>
    <m/>
    <s v="Asoy"/>
    <n v="200"/>
    <n v="0.35"/>
    <n v="70"/>
  </r>
  <r>
    <m/>
    <x v="5"/>
    <m/>
    <s v="Gabrukan"/>
    <n v="1000"/>
    <n v="0.7"/>
    <n v="700"/>
  </r>
  <r>
    <m/>
    <x v="5"/>
    <m/>
    <s v="Botol &amp; Kaca Beling"/>
    <n v="150"/>
    <n v="0.1"/>
    <n v="15"/>
  </r>
  <r>
    <m/>
    <x v="5"/>
    <m/>
    <s v="Emberan"/>
    <n v="1400"/>
    <n v="3.7"/>
    <n v="5180"/>
  </r>
  <r>
    <n v="7"/>
    <x v="6"/>
    <n v="6"/>
    <s v="Kardus Baik/Kering"/>
    <n v="1000"/>
    <n v="0.35"/>
    <n v="350"/>
  </r>
  <r>
    <m/>
    <x v="6"/>
    <m/>
    <s v="Gabrukan"/>
    <n v="1000"/>
    <n v="3.15"/>
    <n v="3150"/>
  </r>
  <r>
    <m/>
    <x v="6"/>
    <m/>
    <s v="Buku Tulis &amp; Pelajaran"/>
    <n v="1200"/>
    <n v="13.15"/>
    <n v="15780"/>
  </r>
  <r>
    <n v="8"/>
    <x v="7"/>
    <n v="5"/>
    <s v="Botol Putih Bersih"/>
    <n v="2800"/>
    <n v="2.7"/>
    <n v="7560.0000000000009"/>
  </r>
  <r>
    <m/>
    <x v="7"/>
    <m/>
    <s v="CD Kristal"/>
    <n v="5000"/>
    <n v="1.55"/>
    <n v="7750"/>
  </r>
  <r>
    <m/>
    <x v="7"/>
    <m/>
    <s v="Kardus Baik/Kering"/>
    <n v="1000"/>
    <n v="4.5"/>
    <n v="4500"/>
  </r>
  <r>
    <m/>
    <x v="7"/>
    <m/>
    <s v="Kaleng"/>
    <n v="1500"/>
    <n v="0.15"/>
    <n v="225"/>
  </r>
  <r>
    <m/>
    <x v="7"/>
    <m/>
    <s v="Tutup Botol"/>
    <n v="2500"/>
    <n v="0.2"/>
    <n v="500"/>
  </r>
  <r>
    <m/>
    <x v="7"/>
    <m/>
    <s v="Gabrukan"/>
    <n v="1000"/>
    <n v="1.55"/>
    <n v="1550"/>
  </r>
  <r>
    <n v="9"/>
    <x v="8"/>
    <n v="1"/>
    <s v="Sterofoam"/>
    <n v="150"/>
    <n v="0.6"/>
    <n v="90"/>
  </r>
  <r>
    <m/>
    <x v="8"/>
    <m/>
    <s v="Asoy"/>
    <n v="200"/>
    <n v="0.9"/>
    <n v="180"/>
  </r>
  <r>
    <m/>
    <x v="8"/>
    <m/>
    <s v="Emberan"/>
    <n v="1400"/>
    <n v="1.25"/>
    <n v="1750"/>
  </r>
  <r>
    <m/>
    <x v="8"/>
    <m/>
    <s v="Boncos"/>
    <n v="300"/>
    <n v="0.5"/>
    <n v="150"/>
  </r>
  <r>
    <m/>
    <x v="8"/>
    <m/>
    <s v="Naso"/>
    <n v="2000"/>
    <n v="0.45"/>
    <n v="900"/>
  </r>
  <r>
    <m/>
    <x v="8"/>
    <m/>
    <s v="Gabrukan"/>
    <n v="1000"/>
    <n v="0.7"/>
    <n v="700"/>
  </r>
  <r>
    <m/>
    <x v="8"/>
    <m/>
    <s v="Botol &amp; Gelas Putih (Kotor)"/>
    <n v="1600"/>
    <n v="1.65"/>
    <n v="2640"/>
  </r>
  <r>
    <m/>
    <x v="8"/>
    <m/>
    <s v="Multilayer"/>
    <n v="300"/>
    <n v="0.4"/>
    <n v="120"/>
  </r>
  <r>
    <m/>
    <x v="8"/>
    <m/>
    <s v="Plastik (PE)"/>
    <n v="800"/>
    <n v="0.15"/>
    <n v="120"/>
  </r>
  <r>
    <m/>
    <x v="8"/>
    <m/>
    <s v="Botol &amp; Kaca Beling"/>
    <n v="150"/>
    <n v="0.65"/>
    <n v="97.5"/>
  </r>
  <r>
    <m/>
    <x v="8"/>
    <m/>
    <s v="Kaleng"/>
    <n v="1500"/>
    <n v="0.65"/>
    <n v="975"/>
  </r>
  <r>
    <m/>
    <x v="8"/>
    <m/>
    <s v="CD Kristal"/>
    <n v="5000"/>
    <n v="1.55"/>
    <n v="7750"/>
  </r>
  <r>
    <m/>
    <x v="8"/>
    <m/>
    <s v="Besi"/>
    <n v="2500"/>
    <n v="4.45"/>
    <n v="11125"/>
  </r>
  <r>
    <m/>
    <x v="8"/>
    <m/>
    <s v="Alumunium"/>
    <n v="8000"/>
    <n v="0.49"/>
    <n v="3920"/>
  </r>
  <r>
    <n v="10"/>
    <x v="9"/>
    <n v="4"/>
    <s v="Emberan"/>
    <n v="1400"/>
    <n v="2.6"/>
    <n v="3640"/>
  </r>
  <r>
    <m/>
    <x v="9"/>
    <m/>
    <s v="Botol &amp; Kaca Beling"/>
    <n v="150"/>
    <n v="2.0499999999999998"/>
    <n v="307.5"/>
  </r>
  <r>
    <m/>
    <x v="9"/>
    <m/>
    <s v="Plastik (PE)"/>
    <n v="800"/>
    <n v="0.45"/>
    <n v="360"/>
  </r>
  <r>
    <m/>
    <x v="9"/>
    <m/>
    <s v="Gabrukan"/>
    <n v="1000"/>
    <n v="1"/>
    <n v="1000"/>
  </r>
  <r>
    <m/>
    <x v="9"/>
    <m/>
    <s v="Botol &amp; Gelas Putih (Kotor)"/>
    <n v="1600"/>
    <n v="0.6"/>
    <n v="960"/>
  </r>
  <r>
    <n v="11"/>
    <x v="10"/>
    <n v="3"/>
    <s v="Tutup Botol"/>
    <n v="2500"/>
    <n v="0.3"/>
    <n v="750"/>
  </r>
  <r>
    <m/>
    <x v="10"/>
    <m/>
    <s v="Emberan"/>
    <n v="1400"/>
    <n v="0.25"/>
    <n v="350"/>
  </r>
  <r>
    <m/>
    <x v="10"/>
    <m/>
    <s v="Sterofoam"/>
    <n v="150"/>
    <n v="0.16"/>
    <n v="24"/>
  </r>
  <r>
    <m/>
    <x v="10"/>
    <m/>
    <s v="Besi"/>
    <n v="2500"/>
    <n v="0.8"/>
    <n v="2000"/>
  </r>
  <r>
    <m/>
    <x v="10"/>
    <m/>
    <s v="Botol Putih Bersih"/>
    <n v="2800"/>
    <n v="0.8"/>
    <n v="2240"/>
  </r>
  <r>
    <m/>
    <x v="10"/>
    <m/>
    <s v="Plastik (PE)"/>
    <n v="800"/>
    <n v="1.1000000000000001"/>
    <n v="880.00000000000011"/>
  </r>
  <r>
    <m/>
    <x v="10"/>
    <m/>
    <s v="Asoy"/>
    <n v="200"/>
    <n v="0.8"/>
    <n v="160"/>
  </r>
  <r>
    <m/>
    <x v="10"/>
    <m/>
    <s v="Multilayer"/>
    <n v="300"/>
    <n v="0.35"/>
    <n v="105"/>
  </r>
  <r>
    <m/>
    <x v="10"/>
    <m/>
    <s v="Botol &amp; Kaca Beling"/>
    <n v="150"/>
    <n v="1"/>
    <n v="150"/>
  </r>
  <r>
    <m/>
    <x v="10"/>
    <m/>
    <s v="Boncos"/>
    <n v="300"/>
    <n v="0.95"/>
    <n v="285"/>
  </r>
  <r>
    <m/>
    <x v="10"/>
    <m/>
    <s v="Kardus Baik/Kering"/>
    <n v="1000"/>
    <n v="6.55"/>
    <n v="6550"/>
  </r>
  <r>
    <n v="12"/>
    <x v="11"/>
    <n v="7"/>
    <s v="Botol Putih Bersih"/>
    <n v="2800"/>
    <n v="0.55000000000000004"/>
    <n v="1540.0000000000002"/>
  </r>
  <r>
    <m/>
    <x v="11"/>
    <m/>
    <s v="Asoy"/>
    <n v="200"/>
    <n v="0.35"/>
    <n v="70"/>
  </r>
  <r>
    <m/>
    <x v="11"/>
    <m/>
    <s v="Multilayer"/>
    <n v="300"/>
    <n v="0.1"/>
    <n v="30"/>
  </r>
  <r>
    <m/>
    <x v="11"/>
    <m/>
    <s v="Emberan"/>
    <n v="1400"/>
    <n v="0.95"/>
    <n v="1330"/>
  </r>
  <r>
    <m/>
    <x v="11"/>
    <m/>
    <s v="Plastik (PE)"/>
    <n v="800"/>
    <n v="0.25"/>
    <n v="200"/>
  </r>
  <r>
    <m/>
    <x v="11"/>
    <m/>
    <s v="Boncos"/>
    <n v="300"/>
    <n v="0.4"/>
    <n v="120"/>
  </r>
  <r>
    <m/>
    <x v="11"/>
    <m/>
    <s v="Kaleng"/>
    <n v="1500"/>
    <n v="0.3"/>
    <n v="450"/>
  </r>
  <r>
    <m/>
    <x v="11"/>
    <m/>
    <s v="Toples Kue Kristal"/>
    <n v="2700"/>
    <n v="0.1"/>
    <n v="270"/>
  </r>
  <r>
    <m/>
    <x v="11"/>
    <m/>
    <s v="Botol &amp; Kaca Beling"/>
    <n v="150"/>
    <n v="0.35"/>
    <n v="52.5"/>
  </r>
  <r>
    <m/>
    <x v="11"/>
    <m/>
    <s v="Kardus Baik/Kering"/>
    <n v="1000"/>
    <n v="0.65"/>
    <n v="650"/>
  </r>
  <r>
    <m/>
    <x v="11"/>
    <m/>
    <s v="Kabin"/>
    <n v="1800"/>
    <n v="0.45"/>
    <n v="810"/>
  </r>
  <r>
    <n v="13"/>
    <x v="12"/>
    <n v="2"/>
    <s v="Botol &amp; Gelas Putih (Kotor)"/>
    <n v="1600"/>
    <n v="0.79999999999999993"/>
    <n v="1280"/>
  </r>
  <r>
    <m/>
    <x v="12"/>
    <m/>
    <s v="Emberan"/>
    <n v="1400"/>
    <n v="0.8"/>
    <n v="1120"/>
  </r>
  <r>
    <m/>
    <x v="12"/>
    <m/>
    <s v="Kaleng"/>
    <n v="1500"/>
    <n v="0.65"/>
    <n v="975"/>
  </r>
  <r>
    <m/>
    <x v="12"/>
    <m/>
    <s v="Botol Putih Bersih"/>
    <n v="2800"/>
    <n v="2.0499999999999998"/>
    <n v="5739.9999999999991"/>
  </r>
  <r>
    <m/>
    <x v="12"/>
    <m/>
    <s v="Kardus Baik/Kering"/>
    <n v="1000"/>
    <n v="0.2"/>
    <n v="200"/>
  </r>
  <r>
    <m/>
    <x v="12"/>
    <m/>
    <s v="Botol &amp; Kaca Beling"/>
    <n v="150"/>
    <n v="0.55000000000000004"/>
    <n v="82.5"/>
  </r>
  <r>
    <m/>
    <x v="12"/>
    <m/>
    <s v="Gabrukan"/>
    <n v="1000"/>
    <n v="0.5"/>
    <n v="500"/>
  </r>
  <r>
    <m/>
    <x v="12"/>
    <m/>
    <s v="Boncos"/>
    <n v="300"/>
    <n v="0.55000000000000004"/>
    <n v="165"/>
  </r>
  <r>
    <m/>
    <x v="12"/>
    <m/>
    <s v="Multilayer"/>
    <n v="300"/>
    <n v="0.4"/>
    <n v="120"/>
  </r>
  <r>
    <m/>
    <x v="12"/>
    <m/>
    <s v="Kardus Baik/Kering"/>
    <n v="1000"/>
    <n v="6.55"/>
    <n v="6550"/>
  </r>
  <r>
    <m/>
    <x v="12"/>
    <m/>
    <s v="Sterofoam"/>
    <n v="150"/>
    <n v="0.2"/>
    <n v="30"/>
  </r>
  <r>
    <n v="14"/>
    <x v="13"/>
    <n v="3"/>
    <s v="Asoy"/>
    <n v="200"/>
    <n v="2"/>
    <n v="400"/>
  </r>
  <r>
    <m/>
    <x v="13"/>
    <m/>
    <s v="Multilayer"/>
    <n v="300"/>
    <n v="0.65"/>
    <n v="195"/>
  </r>
  <r>
    <m/>
    <x v="13"/>
    <m/>
    <s v="Emberan"/>
    <n v="1400"/>
    <n v="1"/>
    <n v="1400"/>
  </r>
  <r>
    <m/>
    <x v="13"/>
    <m/>
    <s v="Boncos"/>
    <n v="300"/>
    <n v="1.1499999999999999"/>
    <n v="345"/>
  </r>
  <r>
    <m/>
    <x v="13"/>
    <m/>
    <s v="Kaleng"/>
    <n v="1500"/>
    <n v="0.15"/>
    <n v="225"/>
  </r>
  <r>
    <m/>
    <x v="13"/>
    <m/>
    <s v="Selang Air"/>
    <n v="400"/>
    <n v="0.15"/>
    <n v="60"/>
  </r>
  <r>
    <m/>
    <x v="13"/>
    <m/>
    <s v="Sterofoam"/>
    <n v="150"/>
    <n v="0.15"/>
    <n v="22.5"/>
  </r>
  <r>
    <m/>
    <x v="13"/>
    <m/>
    <s v="Kardus Baik/Kering"/>
    <n v="1000"/>
    <n v="0.1"/>
    <n v="100"/>
  </r>
  <r>
    <m/>
    <x v="13"/>
    <m/>
    <s v="Gabrukan"/>
    <n v="1000"/>
    <n v="1.45"/>
    <n v="1450"/>
  </r>
  <r>
    <n v="15"/>
    <x v="14"/>
    <n v="4"/>
    <s v="Botol Putih Bersih"/>
    <n v="2800"/>
    <n v="1.7"/>
    <n v="4760"/>
  </r>
  <r>
    <m/>
    <x v="14"/>
    <m/>
    <s v="Tutup Botol"/>
    <n v="2500"/>
    <n v="0.2"/>
    <n v="500"/>
  </r>
  <r>
    <m/>
    <x v="14"/>
    <m/>
    <s v="Emberan"/>
    <n v="1400"/>
    <n v="1.05"/>
    <n v="1470"/>
  </r>
  <r>
    <m/>
    <x v="14"/>
    <m/>
    <s v="Asoy"/>
    <n v="200"/>
    <n v="0.9"/>
    <n v="180"/>
  </r>
  <r>
    <m/>
    <x v="14"/>
    <m/>
    <s v="Kardus Baik/Kering"/>
    <n v="1000"/>
    <n v="0.75"/>
    <n v="750"/>
  </r>
  <r>
    <m/>
    <x v="14"/>
    <m/>
    <s v="Boncos"/>
    <n v="300"/>
    <n v="1.05"/>
    <n v="315"/>
  </r>
  <r>
    <m/>
    <x v="14"/>
    <m/>
    <s v="Multilayer"/>
    <n v="300"/>
    <n v="0.15"/>
    <n v="45"/>
  </r>
  <r>
    <n v="16"/>
    <x v="15"/>
    <n v="1"/>
    <s v="Kardus Baik/Kering"/>
    <n v="1000"/>
    <n v="8.3000000000000007"/>
    <n v="8300"/>
  </r>
  <r>
    <m/>
    <x v="15"/>
    <m/>
    <s v="Buku Tulis &amp; Pelajaran"/>
    <n v="1200"/>
    <n v="8.9"/>
    <n v="10680"/>
  </r>
  <r>
    <m/>
    <x v="15"/>
    <m/>
    <s v="Boncos"/>
    <n v="300"/>
    <n v="2.0499999999999998"/>
    <n v="615"/>
  </r>
  <r>
    <m/>
    <x v="15"/>
    <m/>
    <s v="Multilayer"/>
    <n v="300"/>
    <n v="0.95"/>
    <n v="285"/>
  </r>
  <r>
    <m/>
    <x v="15"/>
    <m/>
    <s v="Asoy"/>
    <n v="200"/>
    <n v="4.3499999999999996"/>
    <n v="869.99999999999989"/>
  </r>
  <r>
    <m/>
    <x v="15"/>
    <m/>
    <s v="Kaleng"/>
    <n v="1500"/>
    <n v="2.75"/>
    <n v="4125"/>
  </r>
  <r>
    <n v="17"/>
    <x v="16"/>
    <n v="1"/>
    <s v="Botol &amp; Kaca Beling"/>
    <n v="150"/>
    <n v="5.8"/>
    <n v="870"/>
  </r>
  <r>
    <m/>
    <x v="16"/>
    <m/>
    <s v="Minyak Jelantah"/>
    <n v="4000"/>
    <n v="3.75"/>
    <n v="15000"/>
  </r>
  <r>
    <n v="18"/>
    <x v="17"/>
    <n v="4"/>
    <s v="Emberan"/>
    <n v="1400"/>
    <n v="4.3999999999999995"/>
    <n v="6159.9999999999991"/>
  </r>
  <r>
    <m/>
    <x v="17"/>
    <m/>
    <s v="Botol Putih Bersih"/>
    <n v="2800"/>
    <n v="1.1499999999999999"/>
    <n v="3219.9999999999995"/>
  </r>
  <r>
    <m/>
    <x v="17"/>
    <m/>
    <s v="Besi"/>
    <n v="2500"/>
    <n v="0.55000000000000004"/>
    <n v="1375"/>
  </r>
  <r>
    <m/>
    <x v="17"/>
    <m/>
    <s v="Tutup Botol"/>
    <n v="2500"/>
    <n v="0.2"/>
    <n v="500"/>
  </r>
  <r>
    <m/>
    <x v="17"/>
    <m/>
    <s v="Asoy"/>
    <n v="200"/>
    <n v="0.7"/>
    <n v="140"/>
  </r>
  <r>
    <m/>
    <x v="17"/>
    <m/>
    <s v="Multilayer"/>
    <n v="300"/>
    <n v="0.3"/>
    <n v="90"/>
  </r>
  <r>
    <m/>
    <x v="17"/>
    <m/>
    <s v="Botol &amp; Kaca Beling"/>
    <n v="150"/>
    <n v="0.7"/>
    <n v="105"/>
  </r>
  <r>
    <m/>
    <x v="17"/>
    <m/>
    <s v="Kabin"/>
    <n v="1800"/>
    <n v="0.25"/>
    <n v="450"/>
  </r>
  <r>
    <m/>
    <x v="17"/>
    <m/>
    <s v="Kardus Baik/Kering"/>
    <n v="1000"/>
    <n v="4.9000000000000004"/>
    <n v="4900"/>
  </r>
  <r>
    <n v="19"/>
    <x v="18"/>
    <n v="3"/>
    <s v="Asoy"/>
    <n v="200"/>
    <n v="1.1499999999999999"/>
    <n v="229.99999999999997"/>
  </r>
  <r>
    <m/>
    <x v="18"/>
    <m/>
    <s v="Naso"/>
    <n v="2000"/>
    <n v="0.9"/>
    <n v="1800"/>
  </r>
  <r>
    <m/>
    <x v="18"/>
    <m/>
    <s v="Gabrukan"/>
    <n v="1000"/>
    <n v="0.5"/>
    <n v="500"/>
  </r>
  <r>
    <m/>
    <x v="18"/>
    <m/>
    <s v="Multilayer"/>
    <n v="300"/>
    <n v="0.5"/>
    <n v="150"/>
  </r>
  <r>
    <n v="20"/>
    <x v="19"/>
    <n v="5"/>
    <s v="Botol Putih Bersih"/>
    <n v="2800"/>
    <n v="2.1"/>
    <n v="5880"/>
  </r>
  <r>
    <m/>
    <x v="19"/>
    <m/>
    <s v="Emberan"/>
    <n v="1400"/>
    <n v="0.9"/>
    <n v="1260"/>
  </r>
  <r>
    <m/>
    <x v="19"/>
    <m/>
    <s v="Kaleng"/>
    <n v="1500"/>
    <n v="0.1"/>
    <n v="150"/>
  </r>
  <r>
    <m/>
    <x v="19"/>
    <m/>
    <s v="Tutup Botol"/>
    <n v="2500"/>
    <n v="0.3"/>
    <n v="750"/>
  </r>
  <r>
    <m/>
    <x v="19"/>
    <m/>
    <s v="Minyak Jelantah"/>
    <n v="4000"/>
    <n v="1.7"/>
    <n v="6800"/>
  </r>
  <r>
    <m/>
    <x v="19"/>
    <m/>
    <s v="Kertas HVS Putih"/>
    <n v="1400"/>
    <n v="4.4000000000000004"/>
    <n v="6160.0000000000009"/>
  </r>
  <r>
    <m/>
    <x v="19"/>
    <m/>
    <s v="Kardus Baik/Kering"/>
    <n v="1000"/>
    <n v="2"/>
    <n v="2000"/>
  </r>
  <r>
    <m/>
    <x v="19"/>
    <m/>
    <s v="Boncos"/>
    <n v="300"/>
    <n v="0.14000000000000001"/>
    <n v="42.000000000000007"/>
  </r>
  <r>
    <m/>
    <x v="19"/>
    <m/>
    <s v="Asoy"/>
    <n v="200"/>
    <n v="0.4"/>
    <n v="80"/>
  </r>
  <r>
    <n v="21"/>
    <x v="20"/>
    <n v="1"/>
    <s v="Gabrukan"/>
    <n v="1000"/>
    <n v="4.8499999999999996"/>
    <n v="4850"/>
  </r>
  <r>
    <m/>
    <x v="20"/>
    <m/>
    <s v="Boncos"/>
    <n v="300"/>
    <n v="0.75"/>
    <n v="225"/>
  </r>
  <r>
    <m/>
    <x v="20"/>
    <m/>
    <s v="Kardus Baik/Kering"/>
    <n v="1000"/>
    <n v="5"/>
    <n v="5000"/>
  </r>
  <r>
    <n v="22"/>
    <x v="21"/>
    <n v="1"/>
    <s v="Kardus Baik/Kering"/>
    <n v="1000"/>
    <n v="13.95"/>
    <n v="13950"/>
  </r>
  <r>
    <m/>
    <x v="21"/>
    <m/>
    <s v="Multilayer"/>
    <n v="300"/>
    <n v="1.65"/>
    <n v="495"/>
  </r>
  <r>
    <m/>
    <x v="21"/>
    <m/>
    <s v="Asoy"/>
    <n v="200"/>
    <n v="3.5"/>
    <n v="700"/>
  </r>
  <r>
    <m/>
    <x v="21"/>
    <m/>
    <s v="Boncos"/>
    <n v="300"/>
    <n v="6.85"/>
    <n v="2055"/>
  </r>
  <r>
    <m/>
    <x v="21"/>
    <m/>
    <s v="Kaleng"/>
    <n v="1500"/>
    <n v="0.8"/>
    <n v="1200"/>
  </r>
  <r>
    <m/>
    <x v="21"/>
    <m/>
    <s v="Gabrukan"/>
    <n v="1000"/>
    <n v="1.1499999999999999"/>
    <n v="1150"/>
  </r>
  <r>
    <n v="23"/>
    <x v="22"/>
    <n v="2"/>
    <s v="Buku Tulis &amp; Pelajaran"/>
    <n v="1200"/>
    <n v="14.85"/>
    <n v="17820"/>
  </r>
  <r>
    <m/>
    <x v="22"/>
    <m/>
    <s v="Kaleng"/>
    <n v="1500"/>
    <n v="0.8"/>
    <n v="1200"/>
  </r>
  <r>
    <m/>
    <x v="22"/>
    <m/>
    <s v="Tutup Botol"/>
    <n v="2500"/>
    <n v="0.25"/>
    <n v="625"/>
  </r>
  <r>
    <m/>
    <x v="22"/>
    <m/>
    <s v="Emberan"/>
    <n v="1400"/>
    <n v="0.1"/>
    <n v="140"/>
  </r>
  <r>
    <m/>
    <x v="22"/>
    <m/>
    <s v="Botol Putih Bersih"/>
    <n v="2800"/>
    <n v="0.6"/>
    <n v="1680"/>
  </r>
  <r>
    <n v="24"/>
    <x v="23"/>
    <n v="5"/>
    <s v="Botol Putih Bersih"/>
    <n v="2800"/>
    <n v="1.5"/>
    <n v="4200"/>
  </r>
  <r>
    <m/>
    <x v="23"/>
    <m/>
    <s v="Kaleng"/>
    <n v="1500"/>
    <n v="0.4"/>
    <n v="600"/>
  </r>
  <r>
    <n v="25"/>
    <x v="24"/>
    <n v="4"/>
    <s v="Kertas HVS Putih"/>
    <n v="1400"/>
    <n v="7.45"/>
    <n v="10430"/>
  </r>
  <r>
    <m/>
    <x v="24"/>
    <m/>
    <s v="Buku Tulis &amp; Pelajaran"/>
    <n v="1200"/>
    <n v="2.75"/>
    <n v="3300"/>
  </r>
  <r>
    <m/>
    <x v="24"/>
    <m/>
    <s v="Emberan"/>
    <n v="1400"/>
    <n v="2.2000000000000002"/>
    <n v="3080.0000000000005"/>
  </r>
  <r>
    <m/>
    <x v="24"/>
    <m/>
    <s v="Kaleng"/>
    <n v="1500"/>
    <n v="0.5"/>
    <n v="750"/>
  </r>
  <r>
    <m/>
    <x v="24"/>
    <m/>
    <s v="Botol &amp; Kaca Beling"/>
    <n v="150"/>
    <n v="0.45"/>
    <n v="67.5"/>
  </r>
  <r>
    <m/>
    <x v="24"/>
    <m/>
    <s v="Tutup Botol"/>
    <n v="2500"/>
    <n v="0.35"/>
    <n v="875"/>
  </r>
  <r>
    <m/>
    <x v="24"/>
    <m/>
    <s v="Botol Putih Bersih"/>
    <n v="2800"/>
    <n v="0.3"/>
    <n v="840"/>
  </r>
  <r>
    <m/>
    <x v="24"/>
    <m/>
    <s v="Boncos"/>
    <n v="300"/>
    <n v="0.5"/>
    <n v="150"/>
  </r>
  <r>
    <m/>
    <x v="24"/>
    <m/>
    <s v="Asoy"/>
    <n v="200"/>
    <n v="0.3"/>
    <n v="60"/>
  </r>
  <r>
    <m/>
    <x v="24"/>
    <m/>
    <s v="Alumunium"/>
    <n v="8000"/>
    <n v="0.1"/>
    <n v="800"/>
  </r>
  <r>
    <m/>
    <x v="24"/>
    <m/>
    <s v="Kabin"/>
    <n v="1800"/>
    <n v="0.25"/>
    <n v="450"/>
  </r>
  <r>
    <m/>
    <x v="24"/>
    <m/>
    <s v="Kabel"/>
    <n v="1400"/>
    <n v="0.45"/>
    <n v="630"/>
  </r>
  <r>
    <m/>
    <x v="24"/>
    <m/>
    <s v="Selang Air"/>
    <n v="400"/>
    <n v="0.5"/>
    <n v="200"/>
  </r>
  <r>
    <m/>
    <x v="24"/>
    <m/>
    <s v="Kawat"/>
    <n v="700"/>
    <n v="0.8"/>
    <n v="560"/>
  </r>
  <r>
    <n v="26"/>
    <x v="25"/>
    <n v="2"/>
    <s v="Ban Bekas"/>
    <n v="150"/>
    <n v="35.549999999999997"/>
    <n v="5332.5"/>
  </r>
  <r>
    <n v="27"/>
    <x v="26"/>
    <n v="3"/>
    <s v="Gelas Putih Bersih"/>
    <n v="3500"/>
    <n v="0.9"/>
    <n v="3150"/>
  </r>
  <r>
    <m/>
    <x v="26"/>
    <m/>
    <s v="Asoy"/>
    <n v="200"/>
    <n v="0.1"/>
    <n v="20"/>
  </r>
  <r>
    <m/>
    <x v="26"/>
    <m/>
    <s v="Multilayer"/>
    <n v="300"/>
    <n v="0.3"/>
    <n v="90"/>
  </r>
  <r>
    <m/>
    <x v="26"/>
    <m/>
    <s v="Emberan"/>
    <n v="1400"/>
    <n v="0.45"/>
    <n v="630"/>
  </r>
  <r>
    <m/>
    <x v="26"/>
    <m/>
    <s v="Botol &amp; Kaca Beling"/>
    <n v="150"/>
    <n v="0.2"/>
    <n v="30"/>
  </r>
  <r>
    <m/>
    <x v="26"/>
    <m/>
    <s v="Kaleng"/>
    <n v="1500"/>
    <n v="0.1"/>
    <n v="150"/>
  </r>
  <r>
    <m/>
    <x v="26"/>
    <m/>
    <s v="Kardus Baik/Kering"/>
    <n v="1000"/>
    <n v="0.7"/>
    <n v="700"/>
  </r>
  <r>
    <n v="28"/>
    <x v="27"/>
    <n v="3"/>
    <s v="Emberan"/>
    <n v="1400"/>
    <n v="0.3"/>
    <n v="420"/>
  </r>
  <r>
    <m/>
    <x v="27"/>
    <m/>
    <s v="Kaleng"/>
    <n v="1500"/>
    <n v="0.4"/>
    <n v="600"/>
  </r>
  <r>
    <m/>
    <x v="27"/>
    <m/>
    <s v="Kardus Baik/Kering"/>
    <n v="1000"/>
    <n v="0.4"/>
    <n v="400"/>
  </r>
  <r>
    <m/>
    <x v="27"/>
    <m/>
    <s v="Gabrukan"/>
    <n v="1000"/>
    <n v="0.6"/>
    <n v="600"/>
  </r>
  <r>
    <n v="29"/>
    <x v="28"/>
    <n v="4"/>
    <s v="Botol Putih Bersih"/>
    <n v="2800"/>
    <n v="0.7"/>
    <n v="1959.9999999999998"/>
  </r>
  <r>
    <m/>
    <x v="28"/>
    <m/>
    <s v="Kardus Baik/Kering"/>
    <n v="1000"/>
    <n v="1.1499999999999999"/>
    <n v="1150"/>
  </r>
  <r>
    <m/>
    <x v="28"/>
    <m/>
    <s v="Boncos"/>
    <n v="300"/>
    <n v="0.6"/>
    <n v="180"/>
  </r>
  <r>
    <m/>
    <x v="28"/>
    <m/>
    <s v="Impact"/>
    <n v="600"/>
    <n v="0.15"/>
    <n v="90"/>
  </r>
  <r>
    <m/>
    <x v="28"/>
    <m/>
    <s v="Emberan"/>
    <n v="1400"/>
    <n v="0.25"/>
    <n v="350"/>
  </r>
  <r>
    <m/>
    <x v="28"/>
    <m/>
    <s v="Gelas Putih Bersih"/>
    <n v="3500"/>
    <n v="0.7"/>
    <n v="2450"/>
  </r>
  <r>
    <m/>
    <x v="28"/>
    <m/>
    <s v="Asoy"/>
    <n v="200"/>
    <n v="0.35"/>
    <n v="70"/>
  </r>
  <r>
    <m/>
    <x v="28"/>
    <m/>
    <s v="Multilayer"/>
    <n v="300"/>
    <n v="0.35"/>
    <n v="105"/>
  </r>
  <r>
    <m/>
    <x v="28"/>
    <m/>
    <s v="Botol &amp; Kaca Beling"/>
    <n v="150"/>
    <n v="1.2"/>
    <n v="180"/>
  </r>
  <r>
    <n v="30"/>
    <x v="29"/>
    <n v="6"/>
    <s v="Kardus Baik/Kering"/>
    <n v="1000"/>
    <n v="5.0999999999999996"/>
    <n v="5100"/>
  </r>
  <r>
    <m/>
    <x v="29"/>
    <m/>
    <s v="Botol &amp; Gelas Putih (Kotor)"/>
    <n v="1600"/>
    <n v="2.8500000000000005"/>
    <n v="4560.0000000000009"/>
  </r>
  <r>
    <m/>
    <x v="29"/>
    <m/>
    <s v="Emberan"/>
    <n v="1400"/>
    <n v="1.05"/>
    <n v="1470"/>
  </r>
  <r>
    <m/>
    <x v="29"/>
    <m/>
    <s v="Naso"/>
    <n v="2000"/>
    <n v="0.15"/>
    <n v="300"/>
  </r>
  <r>
    <m/>
    <x v="29"/>
    <m/>
    <s v="Gabrukan"/>
    <n v="1000"/>
    <n v="1.75"/>
    <n v="1750"/>
  </r>
  <r>
    <n v="31"/>
    <x v="30"/>
    <n v="3"/>
    <s v="Kardus Baik/Kering"/>
    <n v="1000"/>
    <n v="1.45"/>
    <n v="1450"/>
  </r>
  <r>
    <m/>
    <x v="30"/>
    <m/>
    <s v="Asoy"/>
    <n v="200"/>
    <n v="0.8"/>
    <n v="160"/>
  </r>
  <r>
    <m/>
    <x v="30"/>
    <m/>
    <s v="Multilayer"/>
    <n v="300"/>
    <n v="0.15"/>
    <n v="45"/>
  </r>
  <r>
    <m/>
    <x v="30"/>
    <m/>
    <s v="Tutup Botol"/>
    <n v="2500"/>
    <n v="0.1"/>
    <n v="250"/>
  </r>
  <r>
    <m/>
    <x v="30"/>
    <m/>
    <s v="Kaleng"/>
    <n v="1500"/>
    <n v="1.1000000000000001"/>
    <n v="1650.0000000000002"/>
  </r>
  <r>
    <m/>
    <x v="30"/>
    <m/>
    <s v="Botol Putih Bersih"/>
    <n v="2800"/>
    <n v="0.8"/>
    <n v="2240"/>
  </r>
  <r>
    <m/>
    <x v="30"/>
    <m/>
    <s v="Emberan"/>
    <n v="1400"/>
    <n v="0.75"/>
    <n v="1050"/>
  </r>
  <r>
    <n v="32"/>
    <x v="31"/>
    <n v="4"/>
    <s v="Multilayer"/>
    <n v="300"/>
    <n v="1.25"/>
    <n v="375"/>
  </r>
  <r>
    <m/>
    <x v="31"/>
    <m/>
    <s v="Botol &amp; Kaca Beling"/>
    <n v="150"/>
    <n v="1.75"/>
    <n v="262.5"/>
  </r>
  <r>
    <m/>
    <x v="31"/>
    <m/>
    <s v="Kabin"/>
    <n v="1800"/>
    <n v="0.3"/>
    <n v="540"/>
  </r>
  <r>
    <m/>
    <x v="31"/>
    <m/>
    <s v="Kaleng"/>
    <n v="1500"/>
    <n v="0.25"/>
    <n v="375"/>
  </r>
  <r>
    <n v="33"/>
    <x v="32"/>
    <n v="4"/>
    <s v="Asoy"/>
    <n v="200"/>
    <n v="0.7"/>
    <n v="140"/>
  </r>
  <r>
    <m/>
    <x v="32"/>
    <m/>
    <s v="Botol Putih Bersih"/>
    <n v="2800"/>
    <n v="0.6"/>
    <n v="1680"/>
  </r>
  <r>
    <m/>
    <x v="32"/>
    <m/>
    <s v="Injek"/>
    <n v="1600"/>
    <n v="0.15"/>
    <n v="240"/>
  </r>
  <r>
    <m/>
    <x v="32"/>
    <m/>
    <s v="Sterofoam"/>
    <n v="150"/>
    <n v="0.15"/>
    <n v="22.5"/>
  </r>
  <r>
    <m/>
    <x v="32"/>
    <m/>
    <s v="Botol &amp; Kaca Beling"/>
    <n v="150"/>
    <n v="1.4"/>
    <n v="210"/>
  </r>
  <r>
    <n v="34"/>
    <x v="33"/>
    <n v="4"/>
    <s v="Asoy"/>
    <n v="200"/>
    <n v="2.25"/>
    <n v="450"/>
  </r>
  <r>
    <m/>
    <x v="33"/>
    <m/>
    <s v="Multilayer"/>
    <n v="300"/>
    <n v="0.35"/>
    <n v="105"/>
  </r>
  <r>
    <m/>
    <x v="33"/>
    <m/>
    <s v="Emberan"/>
    <n v="1400"/>
    <n v="0.75"/>
    <n v="1050"/>
  </r>
  <r>
    <m/>
    <x v="33"/>
    <m/>
    <s v="Botol Putih Bersih"/>
    <n v="2800"/>
    <n v="0.8"/>
    <n v="2240"/>
  </r>
  <r>
    <m/>
    <x v="33"/>
    <m/>
    <s v="Kabin"/>
    <n v="1800"/>
    <n v="0.45"/>
    <n v="810"/>
  </r>
  <r>
    <m/>
    <x v="33"/>
    <m/>
    <s v="Boncos"/>
    <n v="300"/>
    <n v="0.5"/>
    <n v="150"/>
  </r>
  <r>
    <m/>
    <x v="33"/>
    <m/>
    <s v="Kaleng"/>
    <n v="1500"/>
    <n v="0.25"/>
    <n v="375"/>
  </r>
  <r>
    <m/>
    <x v="33"/>
    <m/>
    <s v="Botol &amp; Kaca Beling"/>
    <n v="150"/>
    <n v="0.35"/>
    <n v="52.5"/>
  </r>
  <r>
    <m/>
    <x v="33"/>
    <m/>
    <s v="Gelas Putih Bersih"/>
    <n v="3500"/>
    <n v="0.4"/>
    <n v="1400"/>
  </r>
  <r>
    <n v="35"/>
    <x v="34"/>
    <n v="4"/>
    <s v="Kardus Baik/Kering"/>
    <n v="1000"/>
    <n v="3.3"/>
    <n v="3300"/>
  </r>
  <r>
    <m/>
    <x v="34"/>
    <m/>
    <s v="Gabrukan"/>
    <n v="1000"/>
    <n v="0.6"/>
    <n v="600"/>
  </r>
  <r>
    <m/>
    <x v="34"/>
    <m/>
    <s v="Botol &amp; Gelas Putih (Kotor)"/>
    <n v="1600"/>
    <n v="0.6"/>
    <n v="960"/>
  </r>
  <r>
    <n v="36"/>
    <x v="35"/>
    <n v="4"/>
    <s v="Botol &amp; Gelas Putih (Kotor)"/>
    <n v="1600"/>
    <n v="0.55000000000000004"/>
    <n v="880.00000000000011"/>
  </r>
  <r>
    <m/>
    <x v="35"/>
    <m/>
    <s v="Botol &amp; Kaca Beling"/>
    <n v="150"/>
    <n v="0.1"/>
    <n v="15"/>
  </r>
  <r>
    <m/>
    <x v="35"/>
    <m/>
    <s v="Plastik (PE)"/>
    <n v="800"/>
    <n v="0.25"/>
    <n v="200"/>
  </r>
  <r>
    <m/>
    <x v="35"/>
    <m/>
    <s v="Besi"/>
    <n v="2500"/>
    <n v="0.75"/>
    <n v="1875"/>
  </r>
  <r>
    <m/>
    <x v="35"/>
    <m/>
    <s v="Emberan"/>
    <n v="1400"/>
    <n v="0.9"/>
    <n v="1260"/>
  </r>
  <r>
    <n v="37"/>
    <x v="36"/>
    <s v="TD"/>
    <s v="Emberan"/>
    <n v="1400"/>
    <n v="0.7"/>
    <n v="979.99999999999989"/>
  </r>
  <r>
    <m/>
    <x v="36"/>
    <m/>
    <s v="Boncos"/>
    <n v="300"/>
    <n v="0.25"/>
    <n v="75"/>
  </r>
  <r>
    <m/>
    <x v="36"/>
    <m/>
    <s v="Kaleng"/>
    <n v="1500"/>
    <n v="0.1"/>
    <n v="150"/>
  </r>
  <r>
    <m/>
    <x v="36"/>
    <m/>
    <s v="Gabrukan"/>
    <n v="1000"/>
    <n v="0.6"/>
    <n v="600"/>
  </r>
  <r>
    <n v="38"/>
    <x v="37"/>
    <n v="4"/>
    <s v="Emberan"/>
    <n v="1400"/>
    <n v="0.05"/>
    <n v="70"/>
  </r>
  <r>
    <m/>
    <x v="37"/>
    <m/>
    <s v="Kardus Baik/Kering"/>
    <n v="1000"/>
    <n v="1.1499999999999999"/>
    <n v="1150"/>
  </r>
  <r>
    <m/>
    <x v="37"/>
    <m/>
    <s v="Boncos"/>
    <n v="300"/>
    <n v="0.25"/>
    <n v="75"/>
  </r>
  <r>
    <m/>
    <x v="37"/>
    <m/>
    <s v="Toples Kue Kristal"/>
    <n v="2700"/>
    <n v="3.15"/>
    <n v="8505"/>
  </r>
  <r>
    <m/>
    <x v="37"/>
    <m/>
    <s v="Botol Putih Bersih"/>
    <n v="2800"/>
    <n v="0.35"/>
    <n v="979.99999999999989"/>
  </r>
  <r>
    <m/>
    <x v="37"/>
    <m/>
    <s v="Asoy"/>
    <n v="200"/>
    <n v="0.3"/>
    <n v="60"/>
  </r>
  <r>
    <m/>
    <x v="37"/>
    <m/>
    <s v="Multilayer"/>
    <n v="300"/>
    <n v="0.25"/>
    <n v="75"/>
  </r>
  <r>
    <m/>
    <x v="37"/>
    <m/>
    <s v="Tutup Botol"/>
    <n v="2500"/>
    <n v="0.25"/>
    <n v="625"/>
  </r>
  <r>
    <m/>
    <x v="37"/>
    <m/>
    <s v="Plastik (PE)"/>
    <n v="800"/>
    <n v="0.15"/>
    <n v="120"/>
  </r>
  <r>
    <n v="39"/>
    <x v="38"/>
    <n v="4"/>
    <s v="Kardus Baik/Kering"/>
    <n v="1000"/>
    <n v="3.05"/>
    <n v="3050"/>
  </r>
  <r>
    <m/>
    <x v="38"/>
    <m/>
    <s v="Boncos"/>
    <n v="300"/>
    <n v="0.3"/>
    <n v="90"/>
  </r>
  <r>
    <m/>
    <x v="38"/>
    <m/>
    <s v="Multilayer"/>
    <n v="300"/>
    <n v="1.55"/>
    <n v="465"/>
  </r>
  <r>
    <m/>
    <x v="38"/>
    <m/>
    <s v="Asoy"/>
    <n v="200"/>
    <n v="0.5"/>
    <n v="100"/>
  </r>
  <r>
    <m/>
    <x v="38"/>
    <m/>
    <s v="Naso"/>
    <n v="2000"/>
    <n v="0.25"/>
    <n v="500"/>
  </r>
  <r>
    <m/>
    <x v="38"/>
    <m/>
    <s v="Emberan"/>
    <n v="1400"/>
    <n v="0.15"/>
    <n v="210"/>
  </r>
  <r>
    <m/>
    <x v="38"/>
    <m/>
    <s v="Botol &amp; Gelas Putih (Kotor)"/>
    <n v="1600"/>
    <n v="0.75"/>
    <n v="1200"/>
  </r>
  <r>
    <m/>
    <x v="38"/>
    <m/>
    <s v="Kabin"/>
    <n v="1800"/>
    <n v="0.45"/>
    <n v="810"/>
  </r>
  <r>
    <n v="40"/>
    <x v="39"/>
    <n v="4"/>
    <s v="Kardus Baik/Kering"/>
    <n v="1000"/>
    <n v="3.75"/>
    <n v="3750"/>
  </r>
  <r>
    <m/>
    <x v="39"/>
    <m/>
    <s v="Boncos"/>
    <n v="300"/>
    <n v="2.9"/>
    <n v="870"/>
  </r>
  <r>
    <m/>
    <x v="39"/>
    <m/>
    <s v="Buku Tulis &amp; Pelajaran"/>
    <n v="1200"/>
    <n v="0.55000000000000004"/>
    <n v="660"/>
  </r>
  <r>
    <n v="41"/>
    <x v="40"/>
    <n v="4"/>
    <s v="Kardus Baik/Kering"/>
    <n v="1000"/>
    <n v="0.85"/>
    <n v="850"/>
  </r>
  <r>
    <m/>
    <x v="40"/>
    <m/>
    <s v="Plastik (PE)"/>
    <n v="800"/>
    <n v="0.15"/>
    <n v="120"/>
  </r>
  <r>
    <n v="42"/>
    <x v="41"/>
    <n v="7"/>
    <s v="Kardus Baik/Kering"/>
    <n v="1000"/>
    <n v="4.8"/>
    <n v="4800"/>
  </r>
  <r>
    <m/>
    <x v="41"/>
    <m/>
    <s v="Naso"/>
    <n v="2000"/>
    <n v="0.45"/>
    <n v="900"/>
  </r>
  <r>
    <m/>
    <x v="41"/>
    <m/>
    <s v="Botol &amp; Gelas Putih (Kotor)"/>
    <n v="1600"/>
    <n v="0.4"/>
    <n v="640"/>
  </r>
  <r>
    <m/>
    <x v="41"/>
    <m/>
    <s v="Asoy"/>
    <n v="200"/>
    <n v="0.5"/>
    <n v="100"/>
  </r>
  <r>
    <m/>
    <x v="41"/>
    <m/>
    <s v="Kaleng"/>
    <n v="1500"/>
    <n v="0.05"/>
    <n v="75"/>
  </r>
  <r>
    <n v="43"/>
    <x v="42"/>
    <n v="2"/>
    <s v="Kardus Baik/Kering"/>
    <n v="1000"/>
    <n v="1.85"/>
    <n v="1850"/>
  </r>
  <r>
    <m/>
    <x v="42"/>
    <m/>
    <s v="Botol Putih Bersih"/>
    <n v="2800"/>
    <n v="5"/>
    <n v="14000"/>
  </r>
  <r>
    <m/>
    <x v="42"/>
    <m/>
    <s v="Minyak Jelantah"/>
    <n v="4000"/>
    <n v="1.1000000000000001"/>
    <n v="4400"/>
  </r>
  <r>
    <n v="44"/>
    <x v="43"/>
    <n v="3"/>
    <s v="Kaleng"/>
    <n v="1500"/>
    <n v="0.35"/>
    <n v="525"/>
  </r>
  <r>
    <m/>
    <x v="43"/>
    <m/>
    <s v="Gabrukan"/>
    <n v="1000"/>
    <n v="0.35"/>
    <n v="350"/>
  </r>
  <r>
    <m/>
    <x v="43"/>
    <m/>
    <s v="Try Telur"/>
    <n v="150"/>
    <n v="1.1499999999999999"/>
    <n v="172.5"/>
  </r>
  <r>
    <m/>
    <x v="43"/>
    <m/>
    <s v="Kardus Baik/Kering"/>
    <n v="1000"/>
    <n v="3.9000000000000004"/>
    <n v="3900.0000000000005"/>
  </r>
  <r>
    <m/>
    <x v="43"/>
    <m/>
    <s v="Emberan"/>
    <n v="1400"/>
    <n v="1.1499999999999999"/>
    <n v="1609.9999999999998"/>
  </r>
  <r>
    <m/>
    <x v="43"/>
    <m/>
    <s v="Impact"/>
    <n v="600"/>
    <n v="0.1"/>
    <n v="60"/>
  </r>
  <r>
    <m/>
    <x v="43"/>
    <m/>
    <s v="Plastik (PE)"/>
    <n v="800"/>
    <n v="0.1"/>
    <n v="80"/>
  </r>
  <r>
    <m/>
    <x v="43"/>
    <m/>
    <s v="Kertas HVS Putih"/>
    <n v="1400"/>
    <n v="0.15"/>
    <n v="210"/>
  </r>
  <r>
    <m/>
    <x v="43"/>
    <m/>
    <s v="Kawat"/>
    <n v="700"/>
    <n v="0.15"/>
    <n v="105"/>
  </r>
  <r>
    <n v="45"/>
    <x v="44"/>
    <n v="5"/>
    <s v="Asoy"/>
    <n v="200"/>
    <n v="0.55000000000000004"/>
    <n v="110.00000000000001"/>
  </r>
  <r>
    <m/>
    <x v="44"/>
    <m/>
    <s v="Botol &amp; Gelas Putih (Kotor)"/>
    <n v="1600"/>
    <n v="0.55000000000000004"/>
    <n v="880.00000000000011"/>
  </r>
  <r>
    <m/>
    <x v="44"/>
    <m/>
    <s v="Try Telur"/>
    <n v="150"/>
    <n v="0.5"/>
    <n v="75"/>
  </r>
  <r>
    <m/>
    <x v="44"/>
    <m/>
    <s v="Gabrukan"/>
    <n v="1000"/>
    <n v="0.95"/>
    <n v="950"/>
  </r>
  <r>
    <m/>
    <x v="44"/>
    <m/>
    <s v="Kardus Baik/Kering"/>
    <n v="1000"/>
    <n v="3.85"/>
    <n v="3850"/>
  </r>
  <r>
    <m/>
    <x v="44"/>
    <m/>
    <s v="Injek"/>
    <n v="1600"/>
    <n v="0.95"/>
    <n v="1520"/>
  </r>
  <r>
    <m/>
    <x v="44"/>
    <m/>
    <s v="Botol Putih Bersih"/>
    <n v="2800"/>
    <n v="0.2"/>
    <n v="560"/>
  </r>
  <r>
    <m/>
    <x v="44"/>
    <m/>
    <s v="Emberan"/>
    <n v="1400"/>
    <n v="0.95"/>
    <n v="133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">
  <r>
    <n v="1"/>
    <x v="0"/>
    <n v="4"/>
    <x v="0"/>
    <n v="1800"/>
    <n v="3.45"/>
    <n v="6210"/>
  </r>
  <r>
    <m/>
    <x v="0"/>
    <m/>
    <x v="1"/>
    <n v="1500"/>
    <n v="0.15"/>
    <n v="225"/>
  </r>
  <r>
    <m/>
    <x v="0"/>
    <m/>
    <x v="2"/>
    <n v="150"/>
    <n v="0.6"/>
    <n v="90"/>
  </r>
  <r>
    <m/>
    <x v="0"/>
    <m/>
    <x v="3"/>
    <n v="1000"/>
    <n v="0.25"/>
    <n v="250"/>
  </r>
  <r>
    <m/>
    <x v="0"/>
    <m/>
    <x v="4"/>
    <n v="200"/>
    <n v="1.6"/>
    <n v="320"/>
  </r>
  <r>
    <m/>
    <x v="0"/>
    <m/>
    <x v="5"/>
    <n v="1400"/>
    <n v="0.7"/>
    <n v="979.99999999999989"/>
  </r>
  <r>
    <m/>
    <x v="0"/>
    <m/>
    <x v="6"/>
    <n v="1000"/>
    <n v="3.4"/>
    <n v="3400"/>
  </r>
  <r>
    <n v="2"/>
    <x v="1"/>
    <n v="4"/>
    <x v="4"/>
    <n v="200"/>
    <n v="0.3"/>
    <n v="60"/>
  </r>
  <r>
    <m/>
    <x v="1"/>
    <m/>
    <x v="7"/>
    <n v="300"/>
    <n v="0.1"/>
    <n v="30"/>
  </r>
  <r>
    <m/>
    <x v="1"/>
    <m/>
    <x v="8"/>
    <n v="2800"/>
    <n v="0.35"/>
    <n v="979.99999999999989"/>
  </r>
  <r>
    <m/>
    <x v="1"/>
    <m/>
    <x v="1"/>
    <n v="1500"/>
    <n v="0.25"/>
    <n v="375"/>
  </r>
  <r>
    <m/>
    <x v="1"/>
    <m/>
    <x v="2"/>
    <n v="150"/>
    <n v="0.7"/>
    <n v="105"/>
  </r>
  <r>
    <m/>
    <x v="1"/>
    <m/>
    <x v="9"/>
    <n v="300"/>
    <n v="0.7"/>
    <n v="210"/>
  </r>
  <r>
    <m/>
    <x v="1"/>
    <m/>
    <x v="5"/>
    <n v="1400"/>
    <n v="1.75"/>
    <n v="2450"/>
  </r>
  <r>
    <m/>
    <x v="1"/>
    <m/>
    <x v="10"/>
    <n v="600"/>
    <n v="3.0500000000000003"/>
    <n v="1830.0000000000002"/>
  </r>
  <r>
    <n v="3"/>
    <x v="2"/>
    <n v="4"/>
    <x v="3"/>
    <n v="1000"/>
    <n v="4.8"/>
    <n v="4800"/>
  </r>
  <r>
    <m/>
    <x v="2"/>
    <m/>
    <x v="11"/>
    <n v="800"/>
    <n v="1.05"/>
    <n v="840"/>
  </r>
  <r>
    <m/>
    <x v="2"/>
    <m/>
    <x v="12"/>
    <n v="150"/>
    <n v="0.3"/>
    <n v="45"/>
  </r>
  <r>
    <m/>
    <x v="2"/>
    <m/>
    <x v="6"/>
    <n v="1000"/>
    <n v="0.65"/>
    <n v="650"/>
  </r>
  <r>
    <n v="4"/>
    <x v="3"/>
    <n v="4"/>
    <x v="7"/>
    <n v="300"/>
    <n v="0.55000000000000004"/>
    <n v="165"/>
  </r>
  <r>
    <m/>
    <x v="3"/>
    <m/>
    <x v="4"/>
    <n v="200"/>
    <n v="2"/>
    <n v="400"/>
  </r>
  <r>
    <m/>
    <x v="3"/>
    <m/>
    <x v="13"/>
    <n v="800"/>
    <n v="0.35"/>
    <n v="280"/>
  </r>
  <r>
    <m/>
    <x v="3"/>
    <m/>
    <x v="8"/>
    <n v="2800"/>
    <n v="0.5"/>
    <n v="1400"/>
  </r>
  <r>
    <m/>
    <x v="3"/>
    <m/>
    <x v="14"/>
    <n v="3500"/>
    <n v="0.2"/>
    <n v="700"/>
  </r>
  <r>
    <m/>
    <x v="3"/>
    <m/>
    <x v="6"/>
    <n v="1000"/>
    <n v="3.0999999999999996"/>
    <n v="3099.9999999999995"/>
  </r>
  <r>
    <m/>
    <x v="3"/>
    <m/>
    <x v="3"/>
    <n v="1000"/>
    <n v="2.1"/>
    <n v="2100"/>
  </r>
  <r>
    <n v="5"/>
    <x v="4"/>
    <n v="4"/>
    <x v="6"/>
    <n v="1000"/>
    <n v="4.0999999999999996"/>
    <n v="4100"/>
  </r>
  <r>
    <m/>
    <x v="4"/>
    <m/>
    <x v="0"/>
    <n v="1800"/>
    <n v="1.1000000000000001"/>
    <n v="1980.0000000000002"/>
  </r>
  <r>
    <m/>
    <x v="4"/>
    <m/>
    <x v="15"/>
    <n v="8000"/>
    <n v="0.4"/>
    <n v="3200"/>
  </r>
  <r>
    <n v="6"/>
    <x v="5"/>
    <n v="4"/>
    <x v="2"/>
    <n v="150"/>
    <n v="3"/>
    <n v="450"/>
  </r>
  <r>
    <m/>
    <x v="5"/>
    <m/>
    <x v="5"/>
    <n v="1400"/>
    <n v="2"/>
    <n v="2800"/>
  </r>
  <r>
    <m/>
    <x v="5"/>
    <m/>
    <x v="1"/>
    <n v="1500"/>
    <n v="0.2"/>
    <n v="300"/>
  </r>
  <r>
    <m/>
    <x v="5"/>
    <m/>
    <x v="6"/>
    <n v="1000"/>
    <n v="1.05"/>
    <n v="1050"/>
  </r>
  <r>
    <m/>
    <x v="5"/>
    <m/>
    <x v="9"/>
    <n v="300"/>
    <n v="0.1"/>
    <n v="30"/>
  </r>
  <r>
    <m/>
    <x v="5"/>
    <m/>
    <x v="4"/>
    <n v="200"/>
    <n v="0.55000000000000004"/>
    <n v="110.00000000000001"/>
  </r>
  <r>
    <m/>
    <x v="5"/>
    <m/>
    <x v="16"/>
    <n v="1200"/>
    <n v="0.7"/>
    <n v="840"/>
  </r>
  <r>
    <n v="7"/>
    <x v="6"/>
    <n v="4"/>
    <x v="3"/>
    <n v="1000"/>
    <n v="0.85"/>
    <n v="850"/>
  </r>
  <r>
    <m/>
    <x v="6"/>
    <m/>
    <x v="4"/>
    <n v="200"/>
    <n v="0.3"/>
    <n v="60"/>
  </r>
  <r>
    <m/>
    <x v="6"/>
    <m/>
    <x v="13"/>
    <n v="800"/>
    <n v="0.15"/>
    <n v="120"/>
  </r>
  <r>
    <m/>
    <x v="6"/>
    <m/>
    <x v="1"/>
    <n v="1500"/>
    <n v="0.65"/>
    <n v="975"/>
  </r>
  <r>
    <m/>
    <x v="6"/>
    <m/>
    <x v="17"/>
    <n v="2500"/>
    <n v="0.2"/>
    <n v="500"/>
  </r>
  <r>
    <m/>
    <x v="6"/>
    <m/>
    <x v="18"/>
    <n v="1600"/>
    <n v="0.75"/>
    <n v="1200"/>
  </r>
  <r>
    <m/>
    <x v="6"/>
    <m/>
    <x v="8"/>
    <n v="2800"/>
    <n v="1"/>
    <n v="2800"/>
  </r>
  <r>
    <m/>
    <x v="6"/>
    <m/>
    <x v="2"/>
    <n v="150"/>
    <n v="1.3"/>
    <n v="195"/>
  </r>
  <r>
    <m/>
    <x v="6"/>
    <m/>
    <x v="5"/>
    <n v="1400"/>
    <n v="1.7"/>
    <n v="2380"/>
  </r>
  <r>
    <m/>
    <x v="6"/>
    <m/>
    <x v="9"/>
    <n v="300"/>
    <n v="1.1499999999999999"/>
    <n v="345"/>
  </r>
  <r>
    <m/>
    <x v="6"/>
    <m/>
    <x v="19"/>
    <n v="2500"/>
    <n v="0.25"/>
    <n v="625"/>
  </r>
  <r>
    <m/>
    <x v="6"/>
    <m/>
    <x v="0"/>
    <n v="1800"/>
    <n v="0.8"/>
    <n v="1440"/>
  </r>
  <r>
    <n v="8"/>
    <x v="7"/>
    <n v="4"/>
    <x v="3"/>
    <n v="1000"/>
    <n v="1.1000000000000001"/>
    <n v="1100"/>
  </r>
  <r>
    <m/>
    <x v="7"/>
    <m/>
    <x v="9"/>
    <n v="300"/>
    <n v="0.7"/>
    <n v="210"/>
  </r>
  <r>
    <m/>
    <x v="7"/>
    <m/>
    <x v="4"/>
    <n v="200"/>
    <n v="0.9"/>
    <n v="180"/>
  </r>
  <r>
    <m/>
    <x v="7"/>
    <m/>
    <x v="7"/>
    <n v="300"/>
    <n v="0.35"/>
    <n v="105"/>
  </r>
  <r>
    <m/>
    <x v="7"/>
    <m/>
    <x v="18"/>
    <n v="1600"/>
    <n v="0.85"/>
    <n v="1360"/>
  </r>
  <r>
    <m/>
    <x v="7"/>
    <m/>
    <x v="11"/>
    <n v="800"/>
    <n v="0.4"/>
    <n v="320"/>
  </r>
  <r>
    <m/>
    <x v="7"/>
    <m/>
    <x v="2"/>
    <n v="150"/>
    <n v="0.6"/>
    <n v="90"/>
  </r>
  <r>
    <m/>
    <x v="7"/>
    <m/>
    <x v="12"/>
    <n v="150"/>
    <n v="0.15"/>
    <n v="22.5"/>
  </r>
  <r>
    <m/>
    <x v="7"/>
    <m/>
    <x v="20"/>
    <n v="1600"/>
    <n v="0.2"/>
    <n v="320"/>
  </r>
  <r>
    <m/>
    <x v="7"/>
    <m/>
    <x v="5"/>
    <n v="1400"/>
    <n v="0.25"/>
    <n v="350"/>
  </r>
  <r>
    <m/>
    <x v="7"/>
    <m/>
    <x v="1"/>
    <n v="1500"/>
    <n v="0.4"/>
    <n v="600"/>
  </r>
  <r>
    <n v="9"/>
    <x v="8"/>
    <n v="4"/>
    <x v="6"/>
    <n v="1000"/>
    <n v="6.65"/>
    <n v="6650"/>
  </r>
  <r>
    <m/>
    <x v="8"/>
    <m/>
    <x v="5"/>
    <n v="1400"/>
    <n v="0.6"/>
    <n v="840"/>
  </r>
  <r>
    <m/>
    <x v="8"/>
    <m/>
    <x v="4"/>
    <n v="200"/>
    <n v="0.1"/>
    <n v="20"/>
  </r>
  <r>
    <m/>
    <x v="8"/>
    <m/>
    <x v="7"/>
    <n v="300"/>
    <n v="0.6"/>
    <n v="180"/>
  </r>
  <r>
    <n v="10"/>
    <x v="9"/>
    <n v="4"/>
    <x v="5"/>
    <n v="1400"/>
    <n v="0.45"/>
    <n v="630"/>
  </r>
  <r>
    <m/>
    <x v="9"/>
    <m/>
    <x v="4"/>
    <n v="200"/>
    <n v="0.15"/>
    <n v="30"/>
  </r>
  <r>
    <m/>
    <x v="9"/>
    <m/>
    <x v="7"/>
    <n v="300"/>
    <n v="0.15"/>
    <n v="45"/>
  </r>
  <r>
    <m/>
    <x v="9"/>
    <m/>
    <x v="3"/>
    <n v="1000"/>
    <n v="0.7"/>
    <n v="700"/>
  </r>
  <r>
    <m/>
    <x v="9"/>
    <m/>
    <x v="9"/>
    <n v="300"/>
    <n v="1.25"/>
    <n v="375"/>
  </r>
  <r>
    <m/>
    <x v="9"/>
    <m/>
    <x v="2"/>
    <n v="150"/>
    <n v="3.6"/>
    <n v="540"/>
  </r>
  <r>
    <m/>
    <x v="9"/>
    <m/>
    <x v="6"/>
    <n v="1000"/>
    <n v="1.6"/>
    <n v="1600"/>
  </r>
  <r>
    <n v="11"/>
    <x v="10"/>
    <n v="4"/>
    <x v="13"/>
    <n v="800"/>
    <n v="0.5"/>
    <n v="400"/>
  </r>
  <r>
    <m/>
    <x v="10"/>
    <m/>
    <x v="4"/>
    <n v="200"/>
    <n v="0.55000000000000004"/>
    <n v="110.00000000000001"/>
  </r>
  <r>
    <m/>
    <x v="10"/>
    <m/>
    <x v="7"/>
    <n v="300"/>
    <n v="0.3"/>
    <n v="90"/>
  </r>
  <r>
    <m/>
    <x v="10"/>
    <m/>
    <x v="12"/>
    <n v="150"/>
    <n v="0.1"/>
    <n v="15"/>
  </r>
  <r>
    <m/>
    <x v="10"/>
    <m/>
    <x v="5"/>
    <n v="1400"/>
    <n v="0.4"/>
    <n v="560"/>
  </r>
  <r>
    <m/>
    <x v="10"/>
    <m/>
    <x v="2"/>
    <n v="150"/>
    <n v="0.4"/>
    <n v="60"/>
  </r>
  <r>
    <m/>
    <x v="10"/>
    <m/>
    <x v="1"/>
    <n v="1500"/>
    <n v="0.15"/>
    <n v="225"/>
  </r>
  <r>
    <m/>
    <x v="10"/>
    <m/>
    <x v="21"/>
    <n v="2000"/>
    <n v="0.1"/>
    <n v="200"/>
  </r>
  <r>
    <m/>
    <x v="10"/>
    <m/>
    <x v="14"/>
    <n v="3500"/>
    <n v="0.1"/>
    <n v="350"/>
  </r>
  <r>
    <m/>
    <x v="10"/>
    <m/>
    <x v="8"/>
    <n v="2800"/>
    <n v="0.7"/>
    <n v="1959.9999999999998"/>
  </r>
  <r>
    <m/>
    <x v="10"/>
    <m/>
    <x v="17"/>
    <n v="2500"/>
    <n v="0.2"/>
    <n v="500"/>
  </r>
  <r>
    <m/>
    <x v="10"/>
    <m/>
    <x v="22"/>
    <n v="3500"/>
    <n v="0.25"/>
    <n v="875"/>
  </r>
  <r>
    <m/>
    <x v="10"/>
    <m/>
    <x v="9"/>
    <n v="300"/>
    <n v="1.4"/>
    <n v="420"/>
  </r>
  <r>
    <m/>
    <x v="10"/>
    <m/>
    <x v="3"/>
    <n v="1000"/>
    <n v="2.2999999999999998"/>
    <n v="2300"/>
  </r>
  <r>
    <n v="12"/>
    <x v="11"/>
    <n v="3"/>
    <x v="14"/>
    <n v="3500"/>
    <n v="1.05"/>
    <n v="3675"/>
  </r>
  <r>
    <m/>
    <x v="11"/>
    <m/>
    <x v="18"/>
    <n v="1600"/>
    <n v="0.7"/>
    <n v="1120"/>
  </r>
  <r>
    <m/>
    <x v="11"/>
    <m/>
    <x v="5"/>
    <n v="1400"/>
    <n v="0.1"/>
    <n v="140"/>
  </r>
  <r>
    <m/>
    <x v="11"/>
    <m/>
    <x v="4"/>
    <n v="200"/>
    <n v="0.15"/>
    <n v="30"/>
  </r>
  <r>
    <m/>
    <x v="11"/>
    <m/>
    <x v="7"/>
    <n v="300"/>
    <n v="0.4"/>
    <n v="120"/>
  </r>
  <r>
    <n v="13"/>
    <x v="12"/>
    <n v="2"/>
    <x v="7"/>
    <n v="300"/>
    <n v="2.4500000000000002"/>
    <n v="735"/>
  </r>
  <r>
    <m/>
    <x v="12"/>
    <m/>
    <x v="4"/>
    <n v="200"/>
    <n v="0.5"/>
    <n v="100"/>
  </r>
  <r>
    <m/>
    <x v="12"/>
    <m/>
    <x v="13"/>
    <n v="800"/>
    <n v="0.1"/>
    <n v="80"/>
  </r>
  <r>
    <m/>
    <x v="12"/>
    <m/>
    <x v="6"/>
    <n v="1000"/>
    <n v="2.2000000000000002"/>
    <n v="2200"/>
  </r>
  <r>
    <m/>
    <x v="12"/>
    <m/>
    <x v="5"/>
    <n v="1400"/>
    <n v="0.35"/>
    <n v="489.99999999999994"/>
  </r>
  <r>
    <m/>
    <x v="12"/>
    <m/>
    <x v="18"/>
    <n v="1600"/>
    <n v="0.35"/>
    <n v="560"/>
  </r>
  <r>
    <m/>
    <x v="12"/>
    <m/>
    <x v="9"/>
    <n v="300"/>
    <n v="0.25"/>
    <n v="75"/>
  </r>
  <r>
    <m/>
    <x v="12"/>
    <m/>
    <x v="3"/>
    <n v="1000"/>
    <n v="0.8"/>
    <n v="800"/>
  </r>
  <r>
    <n v="14"/>
    <x v="13"/>
    <n v="3"/>
    <x v="3"/>
    <n v="1000"/>
    <n v="12.4"/>
    <n v="12400"/>
  </r>
  <r>
    <m/>
    <x v="13"/>
    <m/>
    <x v="9"/>
    <n v="300"/>
    <n v="2.1"/>
    <n v="630"/>
  </r>
  <r>
    <m/>
    <x v="13"/>
    <m/>
    <x v="4"/>
    <n v="200"/>
    <n v="1.9"/>
    <n v="380"/>
  </r>
  <r>
    <m/>
    <x v="13"/>
    <m/>
    <x v="7"/>
    <n v="300"/>
    <n v="0.35"/>
    <n v="105"/>
  </r>
  <r>
    <m/>
    <x v="13"/>
    <m/>
    <x v="18"/>
    <n v="1600"/>
    <n v="0.5"/>
    <n v="800"/>
  </r>
  <r>
    <m/>
    <x v="13"/>
    <m/>
    <x v="12"/>
    <n v="150"/>
    <n v="0.1"/>
    <n v="15"/>
  </r>
  <r>
    <m/>
    <x v="13"/>
    <m/>
    <x v="6"/>
    <n v="1000"/>
    <n v="1.2"/>
    <n v="1200"/>
  </r>
  <r>
    <n v="15"/>
    <x v="14"/>
    <n v="7"/>
    <x v="0"/>
    <n v="1800"/>
    <n v="0.7"/>
    <n v="1260"/>
  </r>
  <r>
    <m/>
    <x v="14"/>
    <m/>
    <x v="5"/>
    <n v="1400"/>
    <n v="1.1000000000000001"/>
    <n v="1540.0000000000002"/>
  </r>
  <r>
    <m/>
    <x v="14"/>
    <m/>
    <x v="8"/>
    <n v="2800"/>
    <n v="0.3"/>
    <n v="840"/>
  </r>
  <r>
    <m/>
    <x v="14"/>
    <m/>
    <x v="1"/>
    <n v="1500"/>
    <n v="0.25"/>
    <n v="375"/>
  </r>
  <r>
    <m/>
    <x v="14"/>
    <m/>
    <x v="2"/>
    <n v="150"/>
    <n v="1.65"/>
    <n v="247.5"/>
  </r>
  <r>
    <m/>
    <x v="14"/>
    <m/>
    <x v="21"/>
    <n v="2000"/>
    <n v="0.3"/>
    <n v="600"/>
  </r>
  <r>
    <n v="16"/>
    <x v="15"/>
    <n v="2"/>
    <x v="2"/>
    <n v="150"/>
    <n v="1.75"/>
    <n v="262.5"/>
  </r>
  <r>
    <m/>
    <x v="15"/>
    <m/>
    <x v="8"/>
    <n v="2800"/>
    <n v="0.35"/>
    <n v="979.99999999999989"/>
  </r>
  <r>
    <m/>
    <x v="15"/>
    <m/>
    <x v="5"/>
    <n v="1400"/>
    <n v="0.25"/>
    <n v="350"/>
  </r>
  <r>
    <m/>
    <x v="15"/>
    <m/>
    <x v="9"/>
    <n v="300"/>
    <n v="0.7"/>
    <n v="210"/>
  </r>
  <r>
    <m/>
    <x v="15"/>
    <m/>
    <x v="18"/>
    <n v="1600"/>
    <n v="0.5"/>
    <n v="800"/>
  </r>
  <r>
    <n v="17"/>
    <x v="16"/>
    <n v="3"/>
    <x v="23"/>
    <n v="400"/>
    <n v="1.1499999999999999"/>
    <n v="459.99999999999994"/>
  </r>
  <r>
    <m/>
    <x v="16"/>
    <m/>
    <x v="8"/>
    <n v="2800"/>
    <n v="0.55000000000000004"/>
    <n v="1540.0000000000002"/>
  </r>
  <r>
    <m/>
    <x v="16"/>
    <m/>
    <x v="4"/>
    <n v="200"/>
    <n v="0.15"/>
    <n v="30"/>
  </r>
  <r>
    <m/>
    <x v="16"/>
    <m/>
    <x v="5"/>
    <n v="1400"/>
    <n v="1.1499999999999999"/>
    <n v="1609.9999999999998"/>
  </r>
  <r>
    <m/>
    <x v="16"/>
    <m/>
    <x v="17"/>
    <n v="2500"/>
    <n v="0.15"/>
    <n v="375"/>
  </r>
  <r>
    <m/>
    <x v="16"/>
    <m/>
    <x v="22"/>
    <n v="3500"/>
    <n v="0.15"/>
    <n v="525"/>
  </r>
  <r>
    <n v="18"/>
    <x v="17"/>
    <n v="4"/>
    <x v="3"/>
    <n v="1000"/>
    <n v="5.2"/>
    <n v="5200"/>
  </r>
  <r>
    <m/>
    <x v="17"/>
    <m/>
    <x v="8"/>
    <n v="2800"/>
    <n v="0.25"/>
    <n v="700"/>
  </r>
  <r>
    <m/>
    <x v="17"/>
    <m/>
    <x v="16"/>
    <n v="1200"/>
    <n v="0.4"/>
    <n v="480"/>
  </r>
  <r>
    <m/>
    <x v="17"/>
    <m/>
    <x v="17"/>
    <n v="2500"/>
    <n v="0.15"/>
    <n v="375"/>
  </r>
  <r>
    <m/>
    <x v="17"/>
    <m/>
    <x v="5"/>
    <n v="1400"/>
    <n v="0.85000000000000009"/>
    <n v="1190.0000000000002"/>
  </r>
  <r>
    <m/>
    <x v="17"/>
    <m/>
    <x v="21"/>
    <n v="2000"/>
    <n v="0.35"/>
    <n v="700"/>
  </r>
  <r>
    <m/>
    <x v="17"/>
    <m/>
    <x v="1"/>
    <n v="1500"/>
    <n v="0.15"/>
    <n v="225"/>
  </r>
  <r>
    <m/>
    <x v="17"/>
    <m/>
    <x v="12"/>
    <n v="150"/>
    <n v="0.15"/>
    <n v="22.5"/>
  </r>
  <r>
    <m/>
    <x v="17"/>
    <m/>
    <x v="13"/>
    <n v="800"/>
    <n v="0.1"/>
    <n v="80"/>
  </r>
  <r>
    <m/>
    <x v="17"/>
    <m/>
    <x v="4"/>
    <n v="200"/>
    <n v="0.7"/>
    <n v="140"/>
  </r>
  <r>
    <m/>
    <x v="17"/>
    <m/>
    <x v="7"/>
    <n v="300"/>
    <n v="0.1"/>
    <n v="30"/>
  </r>
  <r>
    <n v="19"/>
    <x v="18"/>
    <n v="4"/>
    <x v="8"/>
    <n v="2800"/>
    <n v="0.8"/>
    <n v="2240"/>
  </r>
  <r>
    <m/>
    <x v="18"/>
    <m/>
    <x v="14"/>
    <n v="3500"/>
    <n v="0.45"/>
    <n v="1575"/>
  </r>
  <r>
    <m/>
    <x v="18"/>
    <m/>
    <x v="5"/>
    <n v="1400"/>
    <n v="5.3"/>
    <n v="7420"/>
  </r>
  <r>
    <m/>
    <x v="18"/>
    <m/>
    <x v="9"/>
    <n v="300"/>
    <n v="0.85"/>
    <n v="255"/>
  </r>
  <r>
    <m/>
    <x v="18"/>
    <m/>
    <x v="7"/>
    <n v="300"/>
    <n v="0.3"/>
    <n v="90"/>
  </r>
  <r>
    <m/>
    <x v="18"/>
    <m/>
    <x v="24"/>
    <n v="1200"/>
    <n v="0.1"/>
    <n v="120"/>
  </r>
  <r>
    <n v="20"/>
    <x v="19"/>
    <n v="5"/>
    <x v="3"/>
    <n v="1000"/>
    <n v="5.65"/>
    <n v="5650"/>
  </r>
  <r>
    <m/>
    <x v="19"/>
    <m/>
    <x v="8"/>
    <n v="2800"/>
    <n v="1.1499999999999999"/>
    <n v="3219.9999999999995"/>
  </r>
  <r>
    <m/>
    <x v="19"/>
    <m/>
    <x v="14"/>
    <n v="3500"/>
    <n v="2.6"/>
    <n v="9100"/>
  </r>
  <r>
    <m/>
    <x v="19"/>
    <m/>
    <x v="17"/>
    <n v="2500"/>
    <n v="0.2"/>
    <n v="500"/>
  </r>
  <r>
    <m/>
    <x v="19"/>
    <m/>
    <x v="4"/>
    <n v="200"/>
    <n v="0.7"/>
    <n v="140"/>
  </r>
  <r>
    <m/>
    <x v="19"/>
    <m/>
    <x v="13"/>
    <n v="800"/>
    <n v="0.15"/>
    <n v="120"/>
  </r>
  <r>
    <m/>
    <x v="19"/>
    <m/>
    <x v="5"/>
    <n v="1400"/>
    <n v="1.65"/>
    <n v="2310"/>
  </r>
  <r>
    <m/>
    <x v="19"/>
    <m/>
    <x v="0"/>
    <n v="1800"/>
    <n v="0.75"/>
    <n v="1350"/>
  </r>
  <r>
    <m/>
    <x v="19"/>
    <m/>
    <x v="19"/>
    <n v="2500"/>
    <n v="3.05"/>
    <n v="7625"/>
  </r>
  <r>
    <n v="21"/>
    <x v="20"/>
    <n v="3"/>
    <x v="8"/>
    <n v="2800"/>
    <n v="0.8"/>
    <n v="2240"/>
  </r>
  <r>
    <m/>
    <x v="20"/>
    <m/>
    <x v="13"/>
    <n v="800"/>
    <n v="0.35"/>
    <n v="280"/>
  </r>
  <r>
    <m/>
    <x v="20"/>
    <m/>
    <x v="7"/>
    <n v="300"/>
    <n v="0.3"/>
    <n v="90"/>
  </r>
  <r>
    <m/>
    <x v="20"/>
    <m/>
    <x v="20"/>
    <n v="1600"/>
    <n v="0.25"/>
    <n v="400"/>
  </r>
  <r>
    <m/>
    <x v="20"/>
    <m/>
    <x v="3"/>
    <n v="1000"/>
    <n v="3.55"/>
    <n v="3550"/>
  </r>
  <r>
    <m/>
    <x v="20"/>
    <m/>
    <x v="5"/>
    <n v="1400"/>
    <n v="0.79999999999999993"/>
    <n v="1120"/>
  </r>
  <r>
    <m/>
    <x v="20"/>
    <m/>
    <x v="14"/>
    <n v="3500"/>
    <n v="0.25"/>
    <n v="875"/>
  </r>
  <r>
    <m/>
    <x v="20"/>
    <m/>
    <x v="9"/>
    <n v="300"/>
    <n v="1"/>
    <n v="300"/>
  </r>
  <r>
    <m/>
    <x v="20"/>
    <m/>
    <x v="4"/>
    <n v="200"/>
    <n v="2.15"/>
    <n v="430"/>
  </r>
  <r>
    <m/>
    <x v="20"/>
    <m/>
    <x v="12"/>
    <n v="150"/>
    <n v="0.2"/>
    <n v="30"/>
  </r>
  <r>
    <m/>
    <x v="20"/>
    <m/>
    <x v="1"/>
    <n v="1500"/>
    <n v="0.15"/>
    <n v="225"/>
  </r>
  <r>
    <m/>
    <x v="20"/>
    <m/>
    <x v="15"/>
    <n v="8000"/>
    <n v="0.1"/>
    <n v="800"/>
  </r>
  <r>
    <m/>
    <x v="20"/>
    <m/>
    <x v="2"/>
    <n v="150"/>
    <n v="1.6"/>
    <n v="240"/>
  </r>
  <r>
    <m/>
    <x v="20"/>
    <m/>
    <x v="25"/>
    <n v="1400"/>
    <n v="0.35"/>
    <n v="489.99999999999994"/>
  </r>
  <r>
    <n v="22"/>
    <x v="21"/>
    <n v="4"/>
    <x v="16"/>
    <n v="1200"/>
    <n v="10.55"/>
    <n v="12660"/>
  </r>
  <r>
    <m/>
    <x v="21"/>
    <m/>
    <x v="13"/>
    <n v="800"/>
    <n v="0.1"/>
    <n v="80"/>
  </r>
  <r>
    <m/>
    <x v="21"/>
    <m/>
    <x v="18"/>
    <n v="1600"/>
    <n v="0.1"/>
    <n v="160"/>
  </r>
  <r>
    <m/>
    <x v="21"/>
    <m/>
    <x v="5"/>
    <n v="1400"/>
    <n v="0.1"/>
    <n v="140"/>
  </r>
  <r>
    <m/>
    <x v="21"/>
    <m/>
    <x v="3"/>
    <n v="1000"/>
    <n v="0.5"/>
    <n v="500"/>
  </r>
  <r>
    <n v="23"/>
    <x v="22"/>
    <n v="3"/>
    <x v="1"/>
    <n v="1500"/>
    <n v="1"/>
    <n v="1500"/>
  </r>
  <r>
    <m/>
    <x v="22"/>
    <m/>
    <x v="18"/>
    <n v="1600"/>
    <n v="0.55000000000000004"/>
    <n v="880.00000000000011"/>
  </r>
  <r>
    <n v="24"/>
    <x v="23"/>
    <n v="4"/>
    <x v="7"/>
    <n v="300"/>
    <n v="0.3"/>
    <n v="90"/>
  </r>
  <r>
    <m/>
    <x v="23"/>
    <m/>
    <x v="17"/>
    <n v="2500"/>
    <n v="0.1"/>
    <n v="250"/>
  </r>
  <r>
    <m/>
    <x v="23"/>
    <m/>
    <x v="1"/>
    <n v="1500"/>
    <n v="0.55000000000000004"/>
    <n v="825.00000000000011"/>
  </r>
  <r>
    <m/>
    <x v="23"/>
    <m/>
    <x v="18"/>
    <n v="1600"/>
    <n v="0.2"/>
    <n v="320"/>
  </r>
  <r>
    <m/>
    <x v="23"/>
    <m/>
    <x v="5"/>
    <n v="1400"/>
    <n v="0.2"/>
    <n v="280"/>
  </r>
  <r>
    <m/>
    <x v="23"/>
    <m/>
    <x v="4"/>
    <n v="200"/>
    <n v="0.2"/>
    <n v="40"/>
  </r>
  <r>
    <m/>
    <x v="23"/>
    <m/>
    <x v="12"/>
    <n v="150"/>
    <n v="0.15"/>
    <n v="22.5"/>
  </r>
  <r>
    <m/>
    <x v="23"/>
    <m/>
    <x v="3"/>
    <n v="1000"/>
    <n v="0.95"/>
    <n v="950"/>
  </r>
  <r>
    <m/>
    <x v="23"/>
    <m/>
    <x v="9"/>
    <n v="300"/>
    <n v="0.35"/>
    <n v="105"/>
  </r>
  <r>
    <n v="25"/>
    <x v="24"/>
    <n v="4"/>
    <x v="4"/>
    <n v="200"/>
    <n v="0.95"/>
    <n v="190"/>
  </r>
  <r>
    <m/>
    <x v="24"/>
    <m/>
    <x v="8"/>
    <n v="2800"/>
    <n v="0.75"/>
    <n v="2100"/>
  </r>
  <r>
    <m/>
    <x v="24"/>
    <m/>
    <x v="7"/>
    <n v="300"/>
    <n v="0.35"/>
    <n v="105"/>
  </r>
  <r>
    <m/>
    <x v="24"/>
    <m/>
    <x v="9"/>
    <n v="300"/>
    <n v="0.8"/>
    <n v="240"/>
  </r>
  <r>
    <m/>
    <x v="24"/>
    <m/>
    <x v="18"/>
    <n v="1600"/>
    <n v="0.15"/>
    <n v="240"/>
  </r>
  <r>
    <m/>
    <x v="24"/>
    <m/>
    <x v="5"/>
    <n v="1400"/>
    <n v="3"/>
    <n v="4200"/>
  </r>
  <r>
    <m/>
    <x v="24"/>
    <m/>
    <x v="17"/>
    <n v="2500"/>
    <n v="0.25"/>
    <n v="625"/>
  </r>
  <r>
    <m/>
    <x v="24"/>
    <m/>
    <x v="22"/>
    <n v="3500"/>
    <n v="0.25"/>
    <n v="875"/>
  </r>
  <r>
    <n v="26"/>
    <x v="25"/>
    <n v="2"/>
    <x v="19"/>
    <n v="2500"/>
    <n v="0.2"/>
    <n v="500"/>
  </r>
  <r>
    <m/>
    <x v="25"/>
    <m/>
    <x v="6"/>
    <n v="1000"/>
    <n v="2.4"/>
    <n v="2400"/>
  </r>
  <r>
    <n v="27"/>
    <x v="26"/>
    <n v="1"/>
    <x v="4"/>
    <n v="200"/>
    <n v="1.35"/>
    <n v="270"/>
  </r>
  <r>
    <m/>
    <x v="26"/>
    <m/>
    <x v="1"/>
    <n v="1500"/>
    <n v="0.35"/>
    <n v="525"/>
  </r>
  <r>
    <m/>
    <x v="26"/>
    <m/>
    <x v="6"/>
    <n v="1000"/>
    <n v="0.7"/>
    <n v="700"/>
  </r>
  <r>
    <m/>
    <x v="26"/>
    <m/>
    <x v="9"/>
    <n v="300"/>
    <n v="5.4"/>
    <n v="1620"/>
  </r>
  <r>
    <m/>
    <x v="26"/>
    <m/>
    <x v="7"/>
    <n v="300"/>
    <n v="0.65"/>
    <n v="195"/>
  </r>
  <r>
    <m/>
    <x v="26"/>
    <m/>
    <x v="5"/>
    <n v="1400"/>
    <n v="0.35"/>
    <n v="489.99999999999994"/>
  </r>
  <r>
    <n v="28"/>
    <x v="27"/>
    <n v="4"/>
    <x v="26"/>
    <n v="4000"/>
    <n v="4.25"/>
    <n v="17000"/>
  </r>
  <r>
    <m/>
    <x v="27"/>
    <m/>
    <x v="11"/>
    <n v="800"/>
    <n v="8.8000000000000007"/>
    <n v="7040.0000000000009"/>
  </r>
  <r>
    <m/>
    <x v="27"/>
    <m/>
    <x v="27"/>
    <n v="1400"/>
    <n v="0.85"/>
    <n v="1190"/>
  </r>
  <r>
    <m/>
    <x v="27"/>
    <m/>
    <x v="6"/>
    <n v="1000"/>
    <n v="0.3"/>
    <n v="300"/>
  </r>
  <r>
    <m/>
    <x v="27"/>
    <m/>
    <x v="28"/>
    <n v="400"/>
    <n v="3.8"/>
    <n v="1520"/>
  </r>
  <r>
    <n v="29"/>
    <x v="28"/>
    <n v="1"/>
    <x v="6"/>
    <n v="1000"/>
    <n v="0.45"/>
    <n v="450"/>
  </r>
  <r>
    <m/>
    <x v="28"/>
    <m/>
    <x v="2"/>
    <n v="150"/>
    <n v="0.2"/>
    <n v="30"/>
  </r>
  <r>
    <m/>
    <x v="28"/>
    <m/>
    <x v="9"/>
    <n v="300"/>
    <n v="0.2"/>
    <n v="60"/>
  </r>
  <r>
    <m/>
    <x v="28"/>
    <m/>
    <x v="4"/>
    <n v="200"/>
    <n v="0.35"/>
    <n v="70"/>
  </r>
  <r>
    <m/>
    <x v="28"/>
    <m/>
    <x v="3"/>
    <n v="1000"/>
    <n v="1.25"/>
    <n v="1250"/>
  </r>
  <r>
    <n v="30"/>
    <x v="29"/>
    <n v="2"/>
    <x v="8"/>
    <n v="2800"/>
    <n v="0.7"/>
    <n v="1959.9999999999998"/>
  </r>
  <r>
    <m/>
    <x v="29"/>
    <m/>
    <x v="3"/>
    <n v="1000"/>
    <n v="1.25"/>
    <n v="1250"/>
  </r>
  <r>
    <m/>
    <x v="29"/>
    <m/>
    <x v="26"/>
    <n v="4000"/>
    <n v="2.2000000000000002"/>
    <n v="8800"/>
  </r>
  <r>
    <n v="31"/>
    <x v="30"/>
    <n v="2"/>
    <x v="8"/>
    <n v="2800"/>
    <n v="1.45"/>
    <n v="4060"/>
  </r>
  <r>
    <m/>
    <x v="30"/>
    <m/>
    <x v="6"/>
    <n v="1000"/>
    <n v="1.3"/>
    <n v="1300"/>
  </r>
  <r>
    <m/>
    <x v="30"/>
    <m/>
    <x v="5"/>
    <n v="1400"/>
    <n v="1.8"/>
    <n v="2520"/>
  </r>
  <r>
    <m/>
    <x v="30"/>
    <m/>
    <x v="20"/>
    <n v="1600"/>
    <n v="0.15"/>
    <n v="240"/>
  </r>
  <r>
    <m/>
    <x v="30"/>
    <m/>
    <x v="0"/>
    <n v="1800"/>
    <n v="0.9"/>
    <n v="1620"/>
  </r>
  <r>
    <m/>
    <x v="30"/>
    <m/>
    <x v="3"/>
    <n v="1000"/>
    <n v="3.25"/>
    <n v="3250"/>
  </r>
  <r>
    <m/>
    <x v="30"/>
    <m/>
    <x v="4"/>
    <n v="200"/>
    <n v="1.25"/>
    <n v="250"/>
  </r>
  <r>
    <m/>
    <x v="30"/>
    <m/>
    <x v="22"/>
    <n v="3500"/>
    <n v="0.3"/>
    <n v="1050"/>
  </r>
  <r>
    <m/>
    <x v="30"/>
    <m/>
    <x v="7"/>
    <n v="300"/>
    <n v="0.25"/>
    <n v="75"/>
  </r>
  <r>
    <m/>
    <x v="30"/>
    <m/>
    <x v="1"/>
    <n v="1500"/>
    <n v="0.35"/>
    <n v="525"/>
  </r>
  <r>
    <m/>
    <x v="30"/>
    <m/>
    <x v="9"/>
    <n v="300"/>
    <n v="2.5500000000000003"/>
    <n v="765.00000000000011"/>
  </r>
  <r>
    <n v="32"/>
    <x v="31"/>
    <n v="2"/>
    <x v="1"/>
    <n v="1500"/>
    <n v="0.7"/>
    <n v="1050"/>
  </r>
  <r>
    <m/>
    <x v="31"/>
    <m/>
    <x v="2"/>
    <n v="150"/>
    <n v="4.05"/>
    <n v="607.5"/>
  </r>
  <r>
    <m/>
    <x v="31"/>
    <m/>
    <x v="6"/>
    <n v="1000"/>
    <n v="1.1499999999999999"/>
    <n v="1150"/>
  </r>
  <r>
    <m/>
    <x v="31"/>
    <m/>
    <x v="18"/>
    <n v="1600"/>
    <n v="0.3"/>
    <n v="480"/>
  </r>
  <r>
    <m/>
    <x v="31"/>
    <m/>
    <x v="22"/>
    <n v="3500"/>
    <n v="0.1"/>
    <n v="350"/>
  </r>
  <r>
    <n v="33"/>
    <x v="32"/>
    <n v="1"/>
    <x v="6"/>
    <n v="1000"/>
    <n v="2.2999999999999998"/>
    <n v="2300"/>
  </r>
  <r>
    <m/>
    <x v="32"/>
    <m/>
    <x v="7"/>
    <n v="300"/>
    <n v="1.1499999999999999"/>
    <n v="345"/>
  </r>
  <r>
    <m/>
    <x v="32"/>
    <m/>
    <x v="3"/>
    <n v="1000"/>
    <n v="2.7"/>
    <n v="2700"/>
  </r>
  <r>
    <m/>
    <x v="32"/>
    <m/>
    <x v="0"/>
    <n v="1800"/>
    <n v="2.4"/>
    <n v="4320"/>
  </r>
  <r>
    <n v="34"/>
    <x v="33"/>
    <n v="4"/>
    <x v="4"/>
    <n v="200"/>
    <n v="0.30000000000000004"/>
    <n v="60.000000000000007"/>
  </r>
  <r>
    <m/>
    <x v="33"/>
    <m/>
    <x v="7"/>
    <n v="300"/>
    <n v="0.3"/>
    <n v="90"/>
  </r>
  <r>
    <m/>
    <x v="33"/>
    <m/>
    <x v="9"/>
    <n v="300"/>
    <n v="0.1"/>
    <n v="30"/>
  </r>
  <r>
    <m/>
    <x v="33"/>
    <m/>
    <x v="3"/>
    <n v="1000"/>
    <n v="0.4"/>
    <n v="400"/>
  </r>
  <r>
    <m/>
    <x v="33"/>
    <m/>
    <x v="6"/>
    <n v="1000"/>
    <n v="0.25"/>
    <n v="250"/>
  </r>
  <r>
    <m/>
    <x v="33"/>
    <m/>
    <x v="2"/>
    <n v="150"/>
    <n v="0.2"/>
    <n v="30"/>
  </r>
  <r>
    <m/>
    <x v="33"/>
    <m/>
    <x v="1"/>
    <n v="1500"/>
    <n v="0.1"/>
    <n v="150"/>
  </r>
  <r>
    <n v="35"/>
    <x v="34"/>
    <n v="2"/>
    <x v="5"/>
    <n v="1400"/>
    <n v="0.35"/>
    <n v="489.99999999999994"/>
  </r>
  <r>
    <m/>
    <x v="34"/>
    <m/>
    <x v="18"/>
    <n v="1600"/>
    <n v="0.85"/>
    <n v="1360"/>
  </r>
  <r>
    <m/>
    <x v="34"/>
    <m/>
    <x v="3"/>
    <n v="1000"/>
    <n v="0.45"/>
    <n v="450"/>
  </r>
  <r>
    <n v="36"/>
    <x v="35"/>
    <n v="7"/>
    <x v="18"/>
    <n v="1600"/>
    <n v="1.9"/>
    <n v="3040"/>
  </r>
  <r>
    <m/>
    <x v="35"/>
    <m/>
    <x v="19"/>
    <n v="2500"/>
    <n v="18.95"/>
    <n v="47375"/>
  </r>
  <r>
    <m/>
    <x v="35"/>
    <m/>
    <x v="0"/>
    <n v="1800"/>
    <n v="3.94"/>
    <n v="7092"/>
  </r>
  <r>
    <m/>
    <x v="35"/>
    <m/>
    <x v="29"/>
    <n v="13000"/>
    <n v="1"/>
    <n v="13000"/>
  </r>
  <r>
    <m/>
    <x v="35"/>
    <m/>
    <x v="5"/>
    <n v="1400"/>
    <n v="0.45"/>
    <n v="630"/>
  </r>
  <r>
    <n v="37"/>
    <x v="36"/>
    <n v="4"/>
    <x v="4"/>
    <n v="200"/>
    <n v="0.5"/>
    <n v="100"/>
  </r>
  <r>
    <m/>
    <x v="36"/>
    <m/>
    <x v="5"/>
    <n v="1400"/>
    <n v="0.65"/>
    <n v="910"/>
  </r>
  <r>
    <m/>
    <x v="36"/>
    <m/>
    <x v="8"/>
    <n v="2800"/>
    <n v="0.65"/>
    <n v="1820"/>
  </r>
  <r>
    <n v="38"/>
    <x v="37"/>
    <n v="2"/>
    <x v="3"/>
    <n v="1000"/>
    <n v="1.4"/>
    <n v="1400"/>
  </r>
  <r>
    <m/>
    <x v="37"/>
    <m/>
    <x v="6"/>
    <n v="1000"/>
    <n v="0.6"/>
    <n v="600"/>
  </r>
  <r>
    <m/>
    <x v="37"/>
    <m/>
    <x v="5"/>
    <n v="1400"/>
    <n v="0.2"/>
    <n v="280"/>
  </r>
  <r>
    <m/>
    <x v="37"/>
    <m/>
    <x v="4"/>
    <n v="200"/>
    <n v="0.6"/>
    <n v="120"/>
  </r>
  <r>
    <m/>
    <x v="37"/>
    <m/>
    <x v="2"/>
    <n v="150"/>
    <n v="6.6"/>
    <n v="990"/>
  </r>
  <r>
    <n v="39"/>
    <x v="38"/>
    <n v="2"/>
    <x v="9"/>
    <n v="300"/>
    <n v="0.15"/>
    <n v="45"/>
  </r>
  <r>
    <m/>
    <x v="38"/>
    <m/>
    <x v="16"/>
    <n v="1200"/>
    <n v="14.65"/>
    <n v="17580"/>
  </r>
  <r>
    <m/>
    <x v="38"/>
    <m/>
    <x v="2"/>
    <n v="150"/>
    <n v="0.15"/>
    <n v="22.5"/>
  </r>
  <r>
    <m/>
    <x v="38"/>
    <m/>
    <x v="19"/>
    <n v="2500"/>
    <n v="0.35"/>
    <n v="875"/>
  </r>
  <r>
    <n v="40"/>
    <x v="39"/>
    <n v="7"/>
    <x v="3"/>
    <n v="1000"/>
    <n v="0.45"/>
    <n v="450"/>
  </r>
  <r>
    <m/>
    <x v="39"/>
    <m/>
    <x v="9"/>
    <n v="300"/>
    <n v="3.15"/>
    <n v="945"/>
  </r>
  <r>
    <m/>
    <x v="39"/>
    <m/>
    <x v="27"/>
    <n v="1400"/>
    <n v="1.4"/>
    <n v="1959.9999999999998"/>
  </r>
  <r>
    <m/>
    <x v="39"/>
    <m/>
    <x v="5"/>
    <n v="1400"/>
    <n v="0.5"/>
    <n v="700"/>
  </r>
  <r>
    <m/>
    <x v="39"/>
    <m/>
    <x v="19"/>
    <n v="2500"/>
    <n v="0.15"/>
    <n v="375"/>
  </r>
  <r>
    <m/>
    <x v="39"/>
    <m/>
    <x v="18"/>
    <n v="1600"/>
    <n v="0.2"/>
    <n v="320"/>
  </r>
  <r>
    <m/>
    <x v="39"/>
    <m/>
    <x v="4"/>
    <n v="200"/>
    <n v="0.95"/>
    <n v="190"/>
  </r>
  <r>
    <n v="41"/>
    <x v="40"/>
    <n v="4"/>
    <x v="2"/>
    <n v="150"/>
    <n v="5.25"/>
    <n v="787.5"/>
  </r>
  <r>
    <m/>
    <x v="40"/>
    <m/>
    <x v="8"/>
    <n v="2800"/>
    <n v="0.35"/>
    <n v="979.99999999999989"/>
  </r>
  <r>
    <m/>
    <x v="40"/>
    <m/>
    <x v="18"/>
    <n v="1600"/>
    <n v="0.4"/>
    <n v="640"/>
  </r>
  <r>
    <m/>
    <x v="40"/>
    <m/>
    <x v="3"/>
    <n v="1000"/>
    <n v="0.9"/>
    <n v="900"/>
  </r>
  <r>
    <m/>
    <x v="40"/>
    <m/>
    <x v="9"/>
    <n v="300"/>
    <n v="0.90000000000000013"/>
    <n v="270.00000000000006"/>
  </r>
  <r>
    <m/>
    <x v="40"/>
    <m/>
    <x v="1"/>
    <n v="1500"/>
    <n v="0.6"/>
    <n v="900"/>
  </r>
  <r>
    <m/>
    <x v="40"/>
    <m/>
    <x v="21"/>
    <n v="2000"/>
    <n v="0.7"/>
    <n v="1400"/>
  </r>
  <r>
    <m/>
    <x v="40"/>
    <m/>
    <x v="22"/>
    <n v="3500"/>
    <n v="0.4"/>
    <n v="1400"/>
  </r>
  <r>
    <m/>
    <x v="40"/>
    <m/>
    <x v="5"/>
    <n v="1400"/>
    <n v="1.05"/>
    <n v="1470"/>
  </r>
  <r>
    <m/>
    <x v="40"/>
    <m/>
    <x v="7"/>
    <n v="300"/>
    <n v="1.4"/>
    <n v="420"/>
  </r>
  <r>
    <n v="42"/>
    <x v="41"/>
    <n v="4"/>
    <x v="3"/>
    <n v="1000"/>
    <n v="1"/>
    <n v="1000"/>
  </r>
  <r>
    <m/>
    <x v="41"/>
    <m/>
    <x v="11"/>
    <n v="800"/>
    <n v="0.5"/>
    <n v="400"/>
  </r>
  <r>
    <m/>
    <x v="41"/>
    <m/>
    <x v="4"/>
    <n v="200"/>
    <n v="0.3"/>
    <n v="60"/>
  </r>
  <r>
    <m/>
    <x v="41"/>
    <m/>
    <x v="6"/>
    <n v="1000"/>
    <n v="0.15"/>
    <n v="150"/>
  </r>
  <r>
    <n v="43"/>
    <x v="42"/>
    <n v="4"/>
    <x v="3"/>
    <n v="1000"/>
    <n v="1.5"/>
    <n v="1500"/>
  </r>
  <r>
    <m/>
    <x v="42"/>
    <m/>
    <x v="2"/>
    <n v="150"/>
    <n v="0.7"/>
    <n v="105"/>
  </r>
  <r>
    <m/>
    <x v="42"/>
    <m/>
    <x v="18"/>
    <n v="1600"/>
    <n v="1.3499999999999999"/>
    <n v="2160"/>
  </r>
  <r>
    <m/>
    <x v="42"/>
    <m/>
    <x v="5"/>
    <n v="1400"/>
    <n v="4.95"/>
    <n v="6930"/>
  </r>
  <r>
    <m/>
    <x v="42"/>
    <m/>
    <x v="9"/>
    <n v="300"/>
    <n v="0.9"/>
    <n v="270"/>
  </r>
  <r>
    <m/>
    <x v="42"/>
    <m/>
    <x v="10"/>
    <n v="600"/>
    <n v="3.75"/>
    <n v="2250"/>
  </r>
  <r>
    <m/>
    <x v="42"/>
    <m/>
    <x v="19"/>
    <n v="2500"/>
    <n v="0.15"/>
    <n v="375"/>
  </r>
  <r>
    <m/>
    <x v="42"/>
    <m/>
    <x v="30"/>
    <n v="800"/>
    <n v="0.15"/>
    <n v="120"/>
  </r>
  <r>
    <m/>
    <x v="42"/>
    <m/>
    <x v="21"/>
    <n v="2000"/>
    <n v="0.35"/>
    <n v="700"/>
  </r>
  <r>
    <n v="44"/>
    <x v="43"/>
    <n v="1"/>
    <x v="6"/>
    <n v="1000"/>
    <n v="1.3"/>
    <n v="1300"/>
  </r>
  <r>
    <m/>
    <x v="43"/>
    <m/>
    <x v="4"/>
    <n v="200"/>
    <n v="0.55000000000000004"/>
    <n v="110.00000000000001"/>
  </r>
  <r>
    <m/>
    <x v="43"/>
    <m/>
    <x v="9"/>
    <n v="300"/>
    <n v="0.85"/>
    <n v="255"/>
  </r>
  <r>
    <m/>
    <x v="43"/>
    <m/>
    <x v="0"/>
    <n v="1800"/>
    <n v="0.25"/>
    <n v="450"/>
  </r>
  <r>
    <n v="45"/>
    <x v="44"/>
    <n v="5"/>
    <x v="7"/>
    <n v="300"/>
    <n v="0.2"/>
    <n v="60"/>
  </r>
  <r>
    <m/>
    <x v="44"/>
    <m/>
    <x v="4"/>
    <n v="200"/>
    <n v="0.9"/>
    <n v="180"/>
  </r>
  <r>
    <m/>
    <x v="44"/>
    <m/>
    <x v="6"/>
    <n v="1000"/>
    <n v="7.3"/>
    <n v="7300"/>
  </r>
  <r>
    <m/>
    <x v="44"/>
    <m/>
    <x v="8"/>
    <n v="2800"/>
    <n v="0.45"/>
    <n v="1260"/>
  </r>
  <r>
    <m/>
    <x v="44"/>
    <m/>
    <x v="31"/>
    <n v="5000"/>
    <n v="0.1"/>
    <n v="500"/>
  </r>
  <r>
    <m/>
    <x v="44"/>
    <m/>
    <x v="3"/>
    <n v="1000"/>
    <n v="1.85"/>
    <n v="1850"/>
  </r>
  <r>
    <m/>
    <x v="44"/>
    <m/>
    <x v="9"/>
    <n v="300"/>
    <n v="1.6"/>
    <n v="480"/>
  </r>
  <r>
    <n v="46"/>
    <x v="45"/>
    <n v="2"/>
    <x v="32"/>
    <n v="50000"/>
    <n v="1"/>
    <n v="50000"/>
  </r>
  <r>
    <m/>
    <x v="45"/>
    <m/>
    <x v="29"/>
    <n v="13000"/>
    <n v="1"/>
    <n v="13000"/>
  </r>
  <r>
    <n v="47"/>
    <x v="46"/>
    <n v="4"/>
    <x v="16"/>
    <n v="1200"/>
    <n v="10.25"/>
    <n v="12300"/>
  </r>
  <r>
    <m/>
    <x v="46"/>
    <m/>
    <x v="3"/>
    <n v="1000"/>
    <n v="1.05"/>
    <n v="1050"/>
  </r>
  <r>
    <m/>
    <x v="46"/>
    <m/>
    <x v="4"/>
    <n v="200"/>
    <n v="0.35"/>
    <n v="70"/>
  </r>
  <r>
    <m/>
    <x v="46"/>
    <m/>
    <x v="9"/>
    <n v="300"/>
    <n v="0.15"/>
    <n v="45"/>
  </r>
  <r>
    <m/>
    <x v="46"/>
    <m/>
    <x v="5"/>
    <n v="1400"/>
    <n v="1.35"/>
    <n v="1890.0000000000002"/>
  </r>
  <r>
    <m/>
    <x v="46"/>
    <m/>
    <x v="2"/>
    <n v="150"/>
    <n v="0.35"/>
    <n v="52.5"/>
  </r>
  <r>
    <m/>
    <x v="46"/>
    <m/>
    <x v="1"/>
    <n v="1500"/>
    <n v="0.3"/>
    <n v="450"/>
  </r>
  <r>
    <n v="48"/>
    <x v="47"/>
    <n v="4"/>
    <x v="6"/>
    <n v="1000"/>
    <n v="0.5"/>
    <n v="500"/>
  </r>
  <r>
    <m/>
    <x v="47"/>
    <m/>
    <x v="24"/>
    <n v="1200"/>
    <n v="0.3"/>
    <n v="360"/>
  </r>
  <r>
    <m/>
    <x v="47"/>
    <m/>
    <x v="5"/>
    <n v="1400"/>
    <n v="0.55000000000000004"/>
    <n v="770.00000000000011"/>
  </r>
  <r>
    <m/>
    <x v="47"/>
    <m/>
    <x v="0"/>
    <n v="1800"/>
    <n v="0.25"/>
    <n v="450"/>
  </r>
  <r>
    <m/>
    <x v="47"/>
    <m/>
    <x v="19"/>
    <n v="2500"/>
    <n v="0.5"/>
    <n v="1250"/>
  </r>
  <r>
    <m/>
    <x v="47"/>
    <m/>
    <x v="2"/>
    <n v="150"/>
    <n v="0.15"/>
    <n v="22.5"/>
  </r>
  <r>
    <m/>
    <x v="47"/>
    <m/>
    <x v="18"/>
    <n v="1600"/>
    <n v="0.3"/>
    <n v="480"/>
  </r>
  <r>
    <n v="49"/>
    <x v="48"/>
    <n v="4"/>
    <x v="6"/>
    <n v="1000"/>
    <n v="0.85"/>
    <n v="850"/>
  </r>
  <r>
    <m/>
    <x v="48"/>
    <m/>
    <x v="3"/>
    <n v="1000"/>
    <n v="0.45"/>
    <n v="450"/>
  </r>
  <r>
    <m/>
    <x v="48"/>
    <m/>
    <x v="9"/>
    <n v="300"/>
    <n v="0.55000000000000004"/>
    <n v="165"/>
  </r>
  <r>
    <m/>
    <x v="48"/>
    <m/>
    <x v="4"/>
    <n v="200"/>
    <n v="0.15"/>
    <n v="30"/>
  </r>
  <r>
    <m/>
    <x v="48"/>
    <m/>
    <x v="26"/>
    <n v="4000"/>
    <n v="1.55"/>
    <n v="6200"/>
  </r>
  <r>
    <n v="50"/>
    <x v="49"/>
    <n v="4"/>
    <x v="33"/>
    <n v="4000"/>
    <n v="1"/>
    <n v="4000"/>
  </r>
  <r>
    <m/>
    <x v="49"/>
    <m/>
    <x v="6"/>
    <n v="1000"/>
    <n v="1.1000000000000001"/>
    <n v="1100"/>
  </r>
  <r>
    <n v="51"/>
    <x v="50"/>
    <n v="6"/>
    <x v="16"/>
    <n v="1200"/>
    <n v="19.8"/>
    <n v="23760"/>
  </r>
  <r>
    <m/>
    <x v="50"/>
    <m/>
    <x v="6"/>
    <n v="1000"/>
    <n v="20"/>
    <n v="20000"/>
  </r>
  <r>
    <m/>
    <x v="50"/>
    <m/>
    <x v="34"/>
    <n v="8000"/>
    <n v="1"/>
    <n v="8000"/>
  </r>
  <r>
    <m/>
    <x v="50"/>
    <m/>
    <x v="29"/>
    <n v="13000"/>
    <n v="1"/>
    <n v="13000"/>
  </r>
  <r>
    <n v="52"/>
    <x v="51"/>
    <n v="7"/>
    <x v="3"/>
    <n v="1000"/>
    <n v="3.45"/>
    <n v="3450"/>
  </r>
  <r>
    <m/>
    <x v="51"/>
    <m/>
    <x v="6"/>
    <n v="1000"/>
    <n v="1.1499999999999999"/>
    <n v="1150"/>
  </r>
  <r>
    <m/>
    <x v="51"/>
    <m/>
    <x v="4"/>
    <n v="200"/>
    <n v="1.1000000000000001"/>
    <n v="220.00000000000003"/>
  </r>
  <r>
    <n v="53"/>
    <x v="52"/>
    <s v="Pos"/>
    <x v="12"/>
    <n v="150"/>
    <n v="0.15"/>
    <n v="22.5"/>
  </r>
  <r>
    <m/>
    <x v="52"/>
    <m/>
    <x v="19"/>
    <n v="2500"/>
    <n v="5"/>
    <n v="12500"/>
  </r>
  <r>
    <m/>
    <x v="52"/>
    <m/>
    <x v="3"/>
    <n v="1000"/>
    <n v="3.5"/>
    <n v="3500"/>
  </r>
  <r>
    <m/>
    <x v="52"/>
    <m/>
    <x v="5"/>
    <n v="1400"/>
    <n v="2.85"/>
    <n v="3990"/>
  </r>
  <r>
    <m/>
    <x v="52"/>
    <m/>
    <x v="2"/>
    <n v="150"/>
    <n v="170.60000000000002"/>
    <n v="25590.00000000000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1"/>
    <x v="0"/>
    <n v="2"/>
    <s v="Buku Tulis &amp; Pelajaran"/>
    <n v="1200"/>
    <n v="27"/>
    <n v="32400"/>
  </r>
  <r>
    <m/>
    <x v="0"/>
    <m/>
    <s v="Kertas HVS Putih"/>
    <n v="1400"/>
    <n v="21.200000000000003"/>
    <n v="29680.000000000004"/>
  </r>
  <r>
    <m/>
    <x v="0"/>
    <m/>
    <s v="Boncos"/>
    <n v="300"/>
    <n v="0.55000000000000004"/>
    <n v="165"/>
  </r>
  <r>
    <m/>
    <x v="0"/>
    <m/>
    <s v="Majalah"/>
    <n v="600"/>
    <n v="2.8"/>
    <n v="1680"/>
  </r>
  <r>
    <m/>
    <x v="0"/>
    <m/>
    <s v="Botol Putih Bersih"/>
    <n v="2800"/>
    <n v="0.35"/>
    <n v="979.99999999999989"/>
  </r>
  <r>
    <m/>
    <x v="0"/>
    <m/>
    <s v="Asoy"/>
    <n v="200"/>
    <n v="0.25"/>
    <n v="50"/>
  </r>
  <r>
    <m/>
    <x v="0"/>
    <m/>
    <s v="Kardus Baik/Kering"/>
    <n v="1000"/>
    <n v="5.85"/>
    <n v="5850"/>
  </r>
  <r>
    <n v="2"/>
    <x v="1"/>
    <n v="4"/>
    <s v="Botol &amp; Gelas Putih (Kotor)"/>
    <n v="1600"/>
    <n v="2.5999999999999996"/>
    <n v="4159.9999999999991"/>
  </r>
  <r>
    <m/>
    <x v="1"/>
    <m/>
    <s v="Asoy"/>
    <n v="200"/>
    <n v="0.5"/>
    <n v="100"/>
  </r>
  <r>
    <m/>
    <x v="1"/>
    <m/>
    <s v="Kardus Baik/Kering"/>
    <n v="1000"/>
    <n v="2.65"/>
    <n v="2650"/>
  </r>
  <r>
    <m/>
    <x v="1"/>
    <m/>
    <s v="Gabrukan"/>
    <n v="1000"/>
    <n v="4.3000000000000007"/>
    <n v="4300.0000000000009"/>
  </r>
  <r>
    <m/>
    <x v="1"/>
    <m/>
    <s v="Emberan"/>
    <n v="1400"/>
    <n v="0.75"/>
    <n v="1050"/>
  </r>
  <r>
    <m/>
    <x v="1"/>
    <m/>
    <s v="Aki"/>
    <n v="6000"/>
    <n v="1.3"/>
    <n v="7800"/>
  </r>
  <r>
    <m/>
    <x v="1"/>
    <m/>
    <s v="Besi"/>
    <n v="2500"/>
    <n v="1.35"/>
    <n v="3375"/>
  </r>
  <r>
    <n v="3"/>
    <x v="2"/>
    <n v="4"/>
    <s v="Boncos"/>
    <n v="300"/>
    <n v="0.45"/>
    <n v="135"/>
  </r>
  <r>
    <m/>
    <x v="2"/>
    <m/>
    <s v="Kardus Baik/Kering"/>
    <n v="1000"/>
    <n v="3"/>
    <n v="3000"/>
  </r>
  <r>
    <m/>
    <x v="2"/>
    <m/>
    <s v="Besi"/>
    <n v="2500"/>
    <n v="0.55000000000000004"/>
    <n v="1375"/>
  </r>
  <r>
    <m/>
    <x v="2"/>
    <m/>
    <s v="Botol &amp; Gelas Putih (Kotor)"/>
    <n v="1600"/>
    <n v="1"/>
    <n v="1600"/>
  </r>
  <r>
    <m/>
    <x v="2"/>
    <m/>
    <s v="Emberan"/>
    <n v="1400"/>
    <n v="1.65"/>
    <n v="2310"/>
  </r>
  <r>
    <m/>
    <x v="2"/>
    <m/>
    <s v="Impact"/>
    <n v="600"/>
    <n v="3.45"/>
    <n v="2070"/>
  </r>
  <r>
    <n v="4"/>
    <x v="3"/>
    <n v="5"/>
    <s v="Emberan"/>
    <n v="1400"/>
    <n v="2.8"/>
    <n v="3919.9999999999995"/>
  </r>
  <r>
    <m/>
    <x v="3"/>
    <m/>
    <s v="Kardus Baik/Kering"/>
    <n v="1000"/>
    <n v="9.6"/>
    <n v="9600"/>
  </r>
  <r>
    <m/>
    <x v="3"/>
    <m/>
    <s v="Botol Putih Bersih"/>
    <n v="2800"/>
    <n v="0.55000000000000004"/>
    <n v="1540.0000000000002"/>
  </r>
  <r>
    <m/>
    <x v="3"/>
    <m/>
    <s v="Tutup Botol"/>
    <n v="2500"/>
    <n v="0.55000000000000004"/>
    <n v="1375"/>
  </r>
  <r>
    <m/>
    <x v="3"/>
    <m/>
    <s v="Gelas Putih Bersih"/>
    <n v="3500"/>
    <n v="1.1000000000000001"/>
    <n v="3850.0000000000005"/>
  </r>
  <r>
    <m/>
    <x v="3"/>
    <m/>
    <s v="Asoy"/>
    <n v="200"/>
    <n v="1.9"/>
    <n v="380"/>
  </r>
  <r>
    <m/>
    <x v="3"/>
    <m/>
    <s v="Boncos"/>
    <n v="300"/>
    <n v="6.25"/>
    <n v="1875"/>
  </r>
  <r>
    <m/>
    <x v="3"/>
    <m/>
    <s v="Botol &amp; Gelas Putih (Kotor)"/>
    <n v="1600"/>
    <n v="0.55000000000000004"/>
    <n v="880.00000000000011"/>
  </r>
  <r>
    <n v="5"/>
    <x v="4"/>
    <n v="7"/>
    <s v="Kardus Baik/Kering"/>
    <n v="1000"/>
    <n v="0.45"/>
    <n v="450"/>
  </r>
  <r>
    <m/>
    <x v="4"/>
    <m/>
    <s v="Botol &amp; Gelas Putih (Kotor)"/>
    <n v="1600"/>
    <n v="0.45"/>
    <n v="720"/>
  </r>
  <r>
    <n v="6"/>
    <x v="5"/>
    <n v="3"/>
    <s v="Kardus Baik/Kering"/>
    <n v="1000"/>
    <n v="14.5"/>
    <n v="14500"/>
  </r>
  <r>
    <m/>
    <x v="5"/>
    <m/>
    <s v="Gabrukan"/>
    <n v="1000"/>
    <n v="2.5499999999999998"/>
    <n v="2550"/>
  </r>
  <r>
    <m/>
    <x v="5"/>
    <m/>
    <s v="Boncos"/>
    <n v="300"/>
    <n v="3.3"/>
    <n v="990"/>
  </r>
  <r>
    <m/>
    <x v="5"/>
    <m/>
    <s v="Asoy"/>
    <n v="200"/>
    <n v="2.75"/>
    <n v="550"/>
  </r>
  <r>
    <m/>
    <x v="5"/>
    <m/>
    <s v="Impact"/>
    <n v="600"/>
    <n v="0.55000000000000004"/>
    <n v="330"/>
  </r>
  <r>
    <n v="7"/>
    <x v="6"/>
    <n v="4"/>
    <s v="Gelas Putih Bersih"/>
    <n v="3500"/>
    <n v="0.4"/>
    <n v="1400"/>
  </r>
  <r>
    <m/>
    <x v="6"/>
    <m/>
    <s v="Boncos"/>
    <n v="300"/>
    <n v="1.1499999999999999"/>
    <n v="345"/>
  </r>
  <r>
    <m/>
    <x v="6"/>
    <m/>
    <s v="Botol Putih Bersih"/>
    <n v="2800"/>
    <n v="2.25"/>
    <n v="6300"/>
  </r>
  <r>
    <m/>
    <x v="6"/>
    <m/>
    <s v="Botol &amp; Kaca Beling"/>
    <n v="150"/>
    <n v="2.25"/>
    <n v="337.5"/>
  </r>
  <r>
    <m/>
    <x v="6"/>
    <m/>
    <s v="Gabrukan"/>
    <n v="1000"/>
    <n v="1.5"/>
    <n v="1500"/>
  </r>
  <r>
    <m/>
    <x v="6"/>
    <m/>
    <s v="Kardus Baik/Kering"/>
    <n v="1000"/>
    <n v="6.65"/>
    <n v="6650"/>
  </r>
  <r>
    <m/>
    <x v="6"/>
    <m/>
    <s v="Asoy"/>
    <n v="200"/>
    <n v="0.95"/>
    <n v="190"/>
  </r>
  <r>
    <m/>
    <x v="6"/>
    <m/>
    <s v="Galon Aqua"/>
    <n v="4000"/>
    <n v="1"/>
    <n v="4000"/>
  </r>
  <r>
    <m/>
    <x v="6"/>
    <m/>
    <s v="Kabin"/>
    <n v="1800"/>
    <n v="1.6"/>
    <n v="2880"/>
  </r>
  <r>
    <m/>
    <x v="6"/>
    <m/>
    <s v="Tutup Botol"/>
    <n v="2500"/>
    <n v="0.25"/>
    <n v="625"/>
  </r>
  <r>
    <n v="8"/>
    <x v="7"/>
    <n v="4"/>
    <s v="Gabrukan"/>
    <n v="1000"/>
    <n v="1.45"/>
    <n v="1450"/>
  </r>
  <r>
    <m/>
    <x v="7"/>
    <m/>
    <s v="Asoy"/>
    <n v="200"/>
    <n v="0.3"/>
    <n v="60"/>
  </r>
  <r>
    <m/>
    <x v="7"/>
    <m/>
    <s v="Kardus Baik/Kering"/>
    <n v="1000"/>
    <n v="0.95"/>
    <n v="950"/>
  </r>
  <r>
    <n v="9"/>
    <x v="8"/>
    <n v="4"/>
    <s v="Botol Putih Bersih"/>
    <n v="2800"/>
    <n v="0.65"/>
    <n v="1820"/>
  </r>
  <r>
    <m/>
    <x v="8"/>
    <m/>
    <s v="Asoy"/>
    <n v="200"/>
    <n v="0.55000000000000004"/>
    <n v="110.00000000000001"/>
  </r>
  <r>
    <m/>
    <x v="8"/>
    <m/>
    <s v="Kardus Baik/Kering"/>
    <n v="1000"/>
    <n v="0.25"/>
    <n v="250"/>
  </r>
  <r>
    <m/>
    <x v="8"/>
    <m/>
    <s v="Boncos"/>
    <n v="300"/>
    <n v="0.85"/>
    <n v="255"/>
  </r>
  <r>
    <m/>
    <x v="8"/>
    <m/>
    <s v="Botol &amp; Kaca Beling"/>
    <n v="150"/>
    <n v="0.8"/>
    <n v="120"/>
  </r>
  <r>
    <m/>
    <x v="8"/>
    <m/>
    <s v="Kaleng"/>
    <n v="1500"/>
    <n v="0.15"/>
    <n v="225"/>
  </r>
  <r>
    <m/>
    <x v="8"/>
    <m/>
    <s v="Emberan"/>
    <n v="1400"/>
    <n v="0.3"/>
    <n v="420"/>
  </r>
  <r>
    <n v="10"/>
    <x v="9"/>
    <n v="4"/>
    <s v="Magic Com Lengkap"/>
    <n v="10000"/>
    <n v="1"/>
    <n v="10000"/>
  </r>
  <r>
    <n v="11"/>
    <x v="10"/>
    <n v="2"/>
    <s v="Buku Tulis &amp; Pelajaran"/>
    <n v="1200"/>
    <n v="24.6"/>
    <n v="29520"/>
  </r>
  <r>
    <m/>
    <x v="10"/>
    <m/>
    <s v="Boncos"/>
    <n v="300"/>
    <n v="0.89999999999999991"/>
    <n v="270"/>
  </r>
  <r>
    <m/>
    <x v="10"/>
    <m/>
    <s v="Botol Putih Bersih"/>
    <n v="2800"/>
    <n v="0.6"/>
    <n v="1680"/>
  </r>
  <r>
    <m/>
    <x v="10"/>
    <m/>
    <s v="Emberan"/>
    <n v="1400"/>
    <n v="1.6"/>
    <n v="2240"/>
  </r>
  <r>
    <m/>
    <x v="10"/>
    <m/>
    <s v="Asoy"/>
    <n v="200"/>
    <n v="0.8"/>
    <n v="160"/>
  </r>
  <r>
    <m/>
    <x v="10"/>
    <m/>
    <s v="Tutup Botol"/>
    <n v="2500"/>
    <n v="0.2"/>
    <n v="500"/>
  </r>
  <r>
    <m/>
    <x v="10"/>
    <m/>
    <s v="Gabrukan"/>
    <n v="1000"/>
    <n v="0.45"/>
    <n v="450"/>
  </r>
  <r>
    <m/>
    <x v="10"/>
    <m/>
    <s v="Kabin"/>
    <n v="1800"/>
    <n v="0.45"/>
    <n v="810"/>
  </r>
  <r>
    <m/>
    <x v="10"/>
    <m/>
    <s v="Botol &amp; Kaca Beling"/>
    <n v="150"/>
    <n v="0.9"/>
    <n v="135"/>
  </r>
  <r>
    <m/>
    <x v="10"/>
    <m/>
    <s v="Kardus Baik/Kering"/>
    <n v="1000"/>
    <n v="0.7"/>
    <n v="700"/>
  </r>
  <r>
    <n v="12"/>
    <x v="11"/>
    <n v="4"/>
    <s v="Kardus Baik/Kering"/>
    <n v="1000"/>
    <n v="12.15"/>
    <n v="12150"/>
  </r>
  <r>
    <m/>
    <x v="11"/>
    <m/>
    <s v="Botol Putih Bersih"/>
    <n v="2800"/>
    <n v="1.1000000000000001"/>
    <n v="3080.0000000000005"/>
  </r>
  <r>
    <m/>
    <x v="11"/>
    <m/>
    <s v="Asoy"/>
    <n v="200"/>
    <n v="0.65"/>
    <n v="130"/>
  </r>
  <r>
    <m/>
    <x v="11"/>
    <m/>
    <s v="Kabin"/>
    <n v="1800"/>
    <n v="0.55000000000000004"/>
    <n v="990.00000000000011"/>
  </r>
  <r>
    <m/>
    <x v="11"/>
    <m/>
    <s v="Kaleng"/>
    <n v="1500"/>
    <n v="0.15"/>
    <n v="225"/>
  </r>
  <r>
    <m/>
    <x v="11"/>
    <m/>
    <s v="Emberan"/>
    <n v="1400"/>
    <n v="0.35"/>
    <n v="489.99999999999994"/>
  </r>
  <r>
    <m/>
    <x v="11"/>
    <m/>
    <s v="Kabin"/>
    <n v="1800"/>
    <n v="0.2"/>
    <n v="360"/>
  </r>
  <r>
    <m/>
    <x v="11"/>
    <m/>
    <s v="Besi"/>
    <n v="2500"/>
    <n v="0.15"/>
    <n v="375"/>
  </r>
  <r>
    <n v="13"/>
    <x v="12"/>
    <n v="4"/>
    <s v="Emberan"/>
    <n v="1400"/>
    <n v="0.6"/>
    <n v="840"/>
  </r>
  <r>
    <m/>
    <x v="12"/>
    <m/>
    <s v="Kardus Baik/Kering"/>
    <n v="1000"/>
    <n v="1.4"/>
    <n v="1400"/>
  </r>
  <r>
    <m/>
    <x v="12"/>
    <m/>
    <s v="Gabrukan"/>
    <n v="1000"/>
    <n v="1.05"/>
    <n v="1050"/>
  </r>
  <r>
    <m/>
    <x v="12"/>
    <m/>
    <s v="Asoy"/>
    <n v="200"/>
    <n v="0.3"/>
    <n v="60"/>
  </r>
  <r>
    <n v="14"/>
    <x v="13"/>
    <n v="1"/>
    <s v="Gabrukan"/>
    <n v="1000"/>
    <n v="3.2"/>
    <n v="3200"/>
  </r>
  <r>
    <n v="15"/>
    <x v="14"/>
    <n v="5"/>
    <s v="Gabrukan"/>
    <n v="1000"/>
    <n v="1.85"/>
    <n v="1850"/>
  </r>
  <r>
    <m/>
    <x v="14"/>
    <m/>
    <s v="Tutup Botol"/>
    <n v="2500"/>
    <n v="0.2"/>
    <n v="500"/>
  </r>
  <r>
    <m/>
    <x v="14"/>
    <m/>
    <s v="Kardus Baik/Kering"/>
    <n v="1000"/>
    <n v="1.25"/>
    <n v="1250"/>
  </r>
  <r>
    <n v="16"/>
    <x v="15"/>
    <n v="7"/>
    <s v="Botol &amp; Gelas Putih (Kotor)"/>
    <n v="1600"/>
    <n v="0.8"/>
    <n v="1280"/>
  </r>
  <r>
    <m/>
    <x v="15"/>
    <m/>
    <s v="Minyak Jelantah"/>
    <n v="4000"/>
    <n v="7.8"/>
    <n v="31200"/>
  </r>
  <r>
    <m/>
    <x v="15"/>
    <m/>
    <s v="Gabrukan"/>
    <n v="1000"/>
    <n v="4.1500000000000004"/>
    <n v="4150"/>
  </r>
  <r>
    <m/>
    <x v="15"/>
    <m/>
    <s v="Kabin"/>
    <n v="1800"/>
    <n v="0.75"/>
    <n v="1350"/>
  </r>
  <r>
    <m/>
    <x v="15"/>
    <m/>
    <s v="Emberan"/>
    <n v="1400"/>
    <n v="0.45"/>
    <n v="630"/>
  </r>
  <r>
    <n v="17"/>
    <x v="16"/>
    <n v="4"/>
    <s v="Kardus Baik/Kering"/>
    <n v="1000"/>
    <n v="3.75"/>
    <n v="3750"/>
  </r>
  <r>
    <m/>
    <x v="16"/>
    <m/>
    <s v="Asoy"/>
    <n v="200"/>
    <n v="0.35"/>
    <n v="70"/>
  </r>
  <r>
    <m/>
    <x v="16"/>
    <m/>
    <s v="Botol &amp; Kaca Beling"/>
    <n v="150"/>
    <n v="0.15"/>
    <n v="22.5"/>
  </r>
  <r>
    <m/>
    <x v="16"/>
    <m/>
    <s v="Emberan"/>
    <n v="1400"/>
    <n v="0.1"/>
    <n v="140"/>
  </r>
  <r>
    <m/>
    <x v="16"/>
    <m/>
    <s v="Gabrukan"/>
    <n v="1000"/>
    <n v="1.65"/>
    <n v="1650"/>
  </r>
  <r>
    <n v="18"/>
    <x v="17"/>
    <n v="2"/>
    <s v="Gabrukan"/>
    <n v="1000"/>
    <n v="2.2000000000000002"/>
    <n v="2200"/>
  </r>
  <r>
    <m/>
    <x v="17"/>
    <m/>
    <s v="Kaleng"/>
    <n v="1500"/>
    <n v="0.15"/>
    <n v="225"/>
  </r>
  <r>
    <m/>
    <x v="17"/>
    <m/>
    <s v="Alumunium"/>
    <n v="8000"/>
    <n v="0.5"/>
    <n v="4000"/>
  </r>
  <r>
    <m/>
    <x v="17"/>
    <m/>
    <s v="Kabin"/>
    <n v="1800"/>
    <n v="0.15000000000000002"/>
    <n v="270.00000000000006"/>
  </r>
  <r>
    <m/>
    <x v="17"/>
    <m/>
    <s v="Asoy"/>
    <n v="200"/>
    <n v="0.95"/>
    <n v="190"/>
  </r>
  <r>
    <m/>
    <x v="17"/>
    <m/>
    <s v="Tutup Botol"/>
    <n v="2500"/>
    <n v="0.2"/>
    <n v="500"/>
  </r>
  <r>
    <m/>
    <x v="17"/>
    <m/>
    <s v="Karung Beras"/>
    <n v="400"/>
    <n v="0.15"/>
    <n v="60"/>
  </r>
  <r>
    <m/>
    <x v="17"/>
    <m/>
    <s v="Boncos"/>
    <n v="300"/>
    <n v="0.2"/>
    <n v="60"/>
  </r>
  <r>
    <m/>
    <x v="17"/>
    <m/>
    <s v="Kardus Baik/Kering"/>
    <n v="1000"/>
    <n v="0.55000000000000004"/>
    <n v="550"/>
  </r>
  <r>
    <m/>
    <x v="17"/>
    <m/>
    <s v="Naso"/>
    <n v="2000"/>
    <n v="0.65"/>
    <n v="1300"/>
  </r>
  <r>
    <n v="19"/>
    <x v="18"/>
    <n v="4"/>
    <s v="Asoy"/>
    <n v="200"/>
    <n v="1.1500000000000001"/>
    <n v="230.00000000000003"/>
  </r>
  <r>
    <m/>
    <x v="18"/>
    <m/>
    <s v="Tutup Galon"/>
    <n v="3500"/>
    <n v="0.12"/>
    <n v="420"/>
  </r>
  <r>
    <m/>
    <x v="18"/>
    <m/>
    <s v="Tutup Botol"/>
    <n v="2500"/>
    <n v="0.1"/>
    <n v="250"/>
  </r>
  <r>
    <m/>
    <x v="18"/>
    <m/>
    <s v="Boncos"/>
    <n v="300"/>
    <n v="0.3"/>
    <n v="90"/>
  </r>
  <r>
    <m/>
    <x v="18"/>
    <m/>
    <s v="Botol Putih Bersih"/>
    <n v="2800"/>
    <n v="0.95000000000000007"/>
    <n v="2660"/>
  </r>
  <r>
    <m/>
    <x v="18"/>
    <m/>
    <s v="Kardus Baik/Kering"/>
    <n v="1000"/>
    <n v="1.1499999999999999"/>
    <n v="1150"/>
  </r>
  <r>
    <m/>
    <x v="18"/>
    <m/>
    <s v="Emberan"/>
    <n v="1400"/>
    <n v="8.9499999999999993"/>
    <n v="12529.999999999998"/>
  </r>
  <r>
    <m/>
    <x v="18"/>
    <m/>
    <s v="Botol &amp; Gelas Putih (Kotor)"/>
    <n v="1600"/>
    <n v="0.65"/>
    <n v="1040"/>
  </r>
  <r>
    <m/>
    <x v="18"/>
    <m/>
    <s v="Botol &amp; Kaca Beling"/>
    <n v="150"/>
    <n v="0.6"/>
    <n v="90"/>
  </r>
  <r>
    <m/>
    <x v="18"/>
    <m/>
    <s v="Gabrukan"/>
    <n v="1000"/>
    <n v="0.7"/>
    <n v="700"/>
  </r>
  <r>
    <n v="20"/>
    <x v="19"/>
    <n v="4"/>
    <s v="Kardus Baik/Kering"/>
    <n v="1000"/>
    <n v="1.9"/>
    <n v="1900"/>
  </r>
  <r>
    <m/>
    <x v="19"/>
    <m/>
    <s v="Minyak Jelantah"/>
    <n v="4000"/>
    <n v="2.2999999999999998"/>
    <n v="9200"/>
  </r>
  <r>
    <m/>
    <x v="19"/>
    <m/>
    <s v="Buku Tulis &amp; Pelajaran"/>
    <n v="1200"/>
    <n v="0.7"/>
    <n v="840"/>
  </r>
  <r>
    <m/>
    <x v="19"/>
    <m/>
    <s v="Tutup Botol"/>
    <n v="2500"/>
    <n v="0.15"/>
    <n v="375"/>
  </r>
  <r>
    <m/>
    <x v="19"/>
    <m/>
    <s v="Tutup Galon"/>
    <n v="3500"/>
    <n v="0.1"/>
    <n v="350"/>
  </r>
  <r>
    <m/>
    <x v="19"/>
    <m/>
    <s v="Emberan"/>
    <n v="1400"/>
    <n v="1.9"/>
    <n v="2660"/>
  </r>
  <r>
    <m/>
    <x v="19"/>
    <m/>
    <s v="Asoy"/>
    <n v="200"/>
    <n v="1.5499999999999998"/>
    <n v="309.99999999999994"/>
  </r>
  <r>
    <m/>
    <x v="19"/>
    <m/>
    <s v="Botol Putih Bersih"/>
    <n v="2800"/>
    <n v="0.4"/>
    <n v="1120"/>
  </r>
  <r>
    <m/>
    <x v="19"/>
    <m/>
    <s v="Botol &amp; Kaca Beling"/>
    <n v="150"/>
    <n v="1"/>
    <n v="150"/>
  </r>
  <r>
    <n v="21"/>
    <x v="20"/>
    <n v="6"/>
    <s v="Botol Putih Bersih"/>
    <n v="2800"/>
    <n v="0.2"/>
    <n v="560"/>
  </r>
  <r>
    <m/>
    <x v="20"/>
    <m/>
    <s v="Gabrukan"/>
    <n v="1000"/>
    <n v="0.75"/>
    <n v="750"/>
  </r>
  <r>
    <m/>
    <x v="20"/>
    <m/>
    <s v="Tutup Botol"/>
    <n v="2500"/>
    <n v="0.05"/>
    <n v="125"/>
  </r>
  <r>
    <m/>
    <x v="20"/>
    <m/>
    <s v="Boncos"/>
    <n v="300"/>
    <n v="0.65"/>
    <n v="195"/>
  </r>
  <r>
    <n v="22"/>
    <x v="21"/>
    <n v="4"/>
    <s v="Botol Putih Bersih"/>
    <n v="2800"/>
    <n v="0.7"/>
    <n v="1959.9999999999998"/>
  </r>
  <r>
    <m/>
    <x v="21"/>
    <m/>
    <s v="Emberan"/>
    <n v="1400"/>
    <n v="0.3"/>
    <n v="420"/>
  </r>
  <r>
    <m/>
    <x v="21"/>
    <m/>
    <s v="Botol &amp; Kaca Beling"/>
    <n v="150"/>
    <n v="0.1"/>
    <n v="15"/>
  </r>
  <r>
    <m/>
    <x v="21"/>
    <m/>
    <s v="Kaleng"/>
    <n v="1500"/>
    <n v="0.2"/>
    <n v="300"/>
  </r>
  <r>
    <m/>
    <x v="21"/>
    <m/>
    <s v="Boncos"/>
    <n v="300"/>
    <n v="0.2"/>
    <n v="60"/>
  </r>
  <r>
    <m/>
    <x v="21"/>
    <m/>
    <s v="Kardus Baik/Kering"/>
    <n v="1000"/>
    <n v="0.15"/>
    <n v="150"/>
  </r>
  <r>
    <m/>
    <x v="21"/>
    <m/>
    <s v="Gabrukan"/>
    <n v="1000"/>
    <n v="0.6"/>
    <n v="600"/>
  </r>
  <r>
    <n v="23"/>
    <x v="22"/>
    <n v="4"/>
    <s v="Gabrukan"/>
    <n v="1000"/>
    <n v="0.9"/>
    <n v="900"/>
  </r>
  <r>
    <m/>
    <x v="22"/>
    <m/>
    <s v="Asoy"/>
    <n v="200"/>
    <n v="2.65"/>
    <n v="530"/>
  </r>
  <r>
    <m/>
    <x v="22"/>
    <m/>
    <s v="Buku Tulis &amp; Pelajaran"/>
    <n v="1200"/>
    <n v="2.65"/>
    <n v="3180"/>
  </r>
  <r>
    <m/>
    <x v="22"/>
    <m/>
    <s v="Gabrukan"/>
    <n v="1000"/>
    <n v="3.75"/>
    <n v="3750"/>
  </r>
  <r>
    <m/>
    <x v="22"/>
    <m/>
    <s v="Kaleng"/>
    <n v="1500"/>
    <n v="0.85"/>
    <n v="1275"/>
  </r>
  <r>
    <n v="24"/>
    <x v="23"/>
    <n v="4"/>
    <s v="Botol Putih Bersih"/>
    <n v="2800"/>
    <n v="1.35"/>
    <n v="3780.0000000000005"/>
  </r>
  <r>
    <m/>
    <x v="23"/>
    <m/>
    <s v="Asoy"/>
    <n v="200"/>
    <n v="1.4"/>
    <n v="280"/>
  </r>
  <r>
    <m/>
    <x v="23"/>
    <m/>
    <s v="Boncos"/>
    <n v="300"/>
    <n v="1.95"/>
    <n v="585"/>
  </r>
  <r>
    <m/>
    <x v="23"/>
    <m/>
    <s v="Emberan"/>
    <n v="1400"/>
    <n v="2.65"/>
    <n v="3710"/>
  </r>
  <r>
    <m/>
    <x v="23"/>
    <m/>
    <s v="Gelas Putih Bersih"/>
    <n v="3500"/>
    <n v="0.4"/>
    <n v="1400"/>
  </r>
  <r>
    <m/>
    <x v="23"/>
    <m/>
    <s v="Kabin"/>
    <n v="1800"/>
    <n v="2.0499999999999998"/>
    <n v="3689.9999999999995"/>
  </r>
  <r>
    <m/>
    <x v="23"/>
    <m/>
    <s v="Botol &amp; Kaca Beling"/>
    <n v="150"/>
    <n v="0.2"/>
    <n v="30"/>
  </r>
  <r>
    <m/>
    <x v="23"/>
    <m/>
    <s v="Besi"/>
    <n v="2500"/>
    <n v="0.3"/>
    <n v="750"/>
  </r>
  <r>
    <n v="25"/>
    <x v="24"/>
    <n v="4"/>
    <s v="Boncos"/>
    <n v="300"/>
    <n v="1.45"/>
    <n v="435"/>
  </r>
  <r>
    <m/>
    <x v="24"/>
    <m/>
    <s v="Kardus Baik/Kering"/>
    <n v="1000"/>
    <n v="2.4500000000000002"/>
    <n v="2450"/>
  </r>
  <r>
    <m/>
    <x v="24"/>
    <m/>
    <s v="Emberan"/>
    <n v="1400"/>
    <n v="1.1000000000000001"/>
    <n v="1540.0000000000002"/>
  </r>
  <r>
    <m/>
    <x v="24"/>
    <m/>
    <s v="Botol Putih Bersih"/>
    <n v="2800"/>
    <n v="0.65"/>
    <n v="1820"/>
  </r>
  <r>
    <m/>
    <x v="24"/>
    <m/>
    <s v="Gelas Putih Bersih"/>
    <n v="3500"/>
    <n v="0.35"/>
    <n v="1225"/>
  </r>
  <r>
    <n v="26"/>
    <x v="25"/>
    <n v="4"/>
    <s v="Kardus Baik/Kering"/>
    <n v="1000"/>
    <n v="1.5"/>
    <n v="1500"/>
  </r>
  <r>
    <m/>
    <x v="25"/>
    <m/>
    <s v="Boncos"/>
    <n v="300"/>
    <n v="0.45"/>
    <n v="135"/>
  </r>
  <r>
    <m/>
    <x v="25"/>
    <m/>
    <s v="Kaleng"/>
    <n v="1500"/>
    <n v="0.3"/>
    <n v="450"/>
  </r>
  <r>
    <m/>
    <x v="25"/>
    <m/>
    <s v="Botol &amp; Kaca Beling"/>
    <n v="150"/>
    <n v="0.95"/>
    <n v="142.5"/>
  </r>
  <r>
    <m/>
    <x v="25"/>
    <m/>
    <s v="Kabin"/>
    <n v="1800"/>
    <n v="3.4"/>
    <n v="6120"/>
  </r>
  <r>
    <m/>
    <x v="25"/>
    <m/>
    <s v="Gelas Putih Bersih"/>
    <n v="3500"/>
    <n v="0.65"/>
    <n v="2275"/>
  </r>
  <r>
    <m/>
    <x v="25"/>
    <m/>
    <s v="Emberan"/>
    <n v="1400"/>
    <n v="0.4"/>
    <n v="560"/>
  </r>
  <r>
    <m/>
    <x v="25"/>
    <m/>
    <s v="Botol Putih Bersih"/>
    <n v="2800"/>
    <n v="1.35"/>
    <n v="3780.0000000000005"/>
  </r>
  <r>
    <n v="27"/>
    <x v="26"/>
    <n v="1"/>
    <s v="Gabrukan"/>
    <n v="1000"/>
    <n v="1.8"/>
    <n v="1800"/>
  </r>
  <r>
    <n v="28"/>
    <x v="27"/>
    <n v="7"/>
    <s v="Gabrukan"/>
    <n v="1000"/>
    <n v="2.2999999999999998"/>
    <n v="2300"/>
  </r>
  <r>
    <m/>
    <x v="27"/>
    <m/>
    <s v="Asoy"/>
    <n v="200"/>
    <n v="1"/>
    <n v="200"/>
  </r>
  <r>
    <m/>
    <x v="27"/>
    <m/>
    <s v="Naso"/>
    <n v="2000"/>
    <n v="0.65"/>
    <n v="1300"/>
  </r>
  <r>
    <m/>
    <x v="27"/>
    <m/>
    <s v="Emberan"/>
    <n v="1400"/>
    <n v="0.45"/>
    <n v="630"/>
  </r>
  <r>
    <m/>
    <x v="27"/>
    <m/>
    <s v="Tutup Botol"/>
    <n v="2500"/>
    <n v="0.1"/>
    <n v="250"/>
  </r>
  <r>
    <m/>
    <x v="27"/>
    <m/>
    <s v="Kipas Angin"/>
    <n v="13000"/>
    <n v="3"/>
    <n v="39000"/>
  </r>
  <r>
    <m/>
    <x v="27"/>
    <m/>
    <s v="Kardus Baik/Kering"/>
    <n v="1000"/>
    <n v="1.5"/>
    <n v="1500"/>
  </r>
  <r>
    <n v="29"/>
    <x v="28"/>
    <n v="2"/>
    <s v="Botol Putih Bersih"/>
    <n v="2800"/>
    <n v="0.85"/>
    <n v="2380"/>
  </r>
  <r>
    <m/>
    <x v="28"/>
    <m/>
    <s v="Tutup Galon"/>
    <n v="3500"/>
    <n v="0.15"/>
    <n v="525"/>
  </r>
  <r>
    <m/>
    <x v="28"/>
    <m/>
    <s v="Tutup Botol"/>
    <n v="2500"/>
    <n v="0.1"/>
    <n v="250"/>
  </r>
  <r>
    <m/>
    <x v="28"/>
    <m/>
    <s v="Boncos"/>
    <n v="300"/>
    <n v="1.55"/>
    <n v="465"/>
  </r>
  <r>
    <m/>
    <x v="28"/>
    <m/>
    <s v="Gabrukan"/>
    <n v="1000"/>
    <n v="0.75"/>
    <n v="750"/>
  </r>
  <r>
    <n v="30"/>
    <x v="29"/>
    <n v="2"/>
    <s v="Botol Putih Bersih"/>
    <n v="2800"/>
    <n v="3.25"/>
    <n v="9100"/>
  </r>
  <r>
    <m/>
    <x v="29"/>
    <m/>
    <s v="Kardus Baik/Kering"/>
    <n v="1000"/>
    <n v="8.1"/>
    <n v="8100"/>
  </r>
  <r>
    <m/>
    <x v="29"/>
    <m/>
    <s v="Tutup Botol"/>
    <n v="2500"/>
    <n v="0.8"/>
    <n v="2000"/>
  </r>
  <r>
    <n v="31"/>
    <x v="30"/>
    <n v="2"/>
    <s v="Botol Putih Bersih"/>
    <n v="2800"/>
    <n v="1.85"/>
    <n v="5180"/>
  </r>
  <r>
    <m/>
    <x v="30"/>
    <m/>
    <s v="Injek"/>
    <n v="1600"/>
    <n v="0.45"/>
    <n v="720"/>
  </r>
  <r>
    <m/>
    <x v="30"/>
    <m/>
    <s v="Botol &amp; Gelas Putih (Kotor)"/>
    <n v="1600"/>
    <n v="1"/>
    <n v="1600"/>
  </r>
  <r>
    <m/>
    <x v="30"/>
    <m/>
    <s v="Asoy"/>
    <n v="200"/>
    <n v="0.7"/>
    <n v="140"/>
  </r>
  <r>
    <m/>
    <x v="30"/>
    <m/>
    <s v="Tutup Botol"/>
    <n v="2500"/>
    <n v="0.2"/>
    <n v="500"/>
  </r>
  <r>
    <m/>
    <x v="30"/>
    <m/>
    <s v="Tutup Galon"/>
    <n v="3500"/>
    <n v="0.1"/>
    <n v="350"/>
  </r>
  <r>
    <m/>
    <x v="30"/>
    <m/>
    <s v="Kabin"/>
    <n v="1800"/>
    <n v="1.45"/>
    <n v="2610"/>
  </r>
  <r>
    <m/>
    <x v="30"/>
    <m/>
    <s v="Kardus Baik/Kering"/>
    <n v="1000"/>
    <n v="2.15"/>
    <n v="2150"/>
  </r>
  <r>
    <m/>
    <x v="30"/>
    <m/>
    <s v="Minyak Jelantah"/>
    <n v="4000"/>
    <n v="2.75"/>
    <n v="11000"/>
  </r>
  <r>
    <m/>
    <x v="30"/>
    <m/>
    <s v="Boncos"/>
    <n v="300"/>
    <n v="0.9"/>
    <n v="270"/>
  </r>
  <r>
    <m/>
    <x v="30"/>
    <m/>
    <s v="Kaleng"/>
    <n v="1500"/>
    <n v="0.45"/>
    <n v="675"/>
  </r>
  <r>
    <m/>
    <x v="30"/>
    <m/>
    <s v="Emberan"/>
    <n v="1400"/>
    <n v="1.3"/>
    <n v="1820"/>
  </r>
  <r>
    <m/>
    <x v="30"/>
    <m/>
    <s v="Botol &amp; Kaca Beling"/>
    <n v="150"/>
    <n v="0.6"/>
    <n v="90"/>
  </r>
  <r>
    <n v="32"/>
    <x v="31"/>
    <n v="3"/>
    <s v="Kardus Baik/Kering"/>
    <n v="1000"/>
    <n v="2.1"/>
    <n v="2100"/>
  </r>
  <r>
    <m/>
    <x v="31"/>
    <m/>
    <s v="Gabrukan"/>
    <n v="1000"/>
    <n v="1.85"/>
    <n v="1850"/>
  </r>
  <r>
    <m/>
    <x v="31"/>
    <m/>
    <s v="Asoy"/>
    <n v="200"/>
    <n v="0.25"/>
    <n v="50"/>
  </r>
  <r>
    <m/>
    <x v="31"/>
    <m/>
    <s v="Botol Putih Bersih"/>
    <n v="2800"/>
    <n v="0.75"/>
    <n v="2100"/>
  </r>
  <r>
    <m/>
    <x v="31"/>
    <m/>
    <s v="Gelas Putih Bersih"/>
    <n v="3500"/>
    <n v="1.8"/>
    <n v="6300"/>
  </r>
  <r>
    <n v="33"/>
    <x v="32"/>
    <n v="4"/>
    <s v="Kardus Baik/Kering"/>
    <n v="1000"/>
    <n v="2.5"/>
    <n v="2500"/>
  </r>
  <r>
    <m/>
    <x v="32"/>
    <m/>
    <s v="Kertas HVS Putih"/>
    <n v="1400"/>
    <n v="0.85"/>
    <n v="1190"/>
  </r>
  <r>
    <m/>
    <x v="32"/>
    <m/>
    <s v="Emberan"/>
    <n v="1400"/>
    <n v="0.65"/>
    <n v="910"/>
  </r>
  <r>
    <m/>
    <x v="32"/>
    <m/>
    <s v="Kaleng"/>
    <n v="1500"/>
    <n v="0.65"/>
    <n v="975"/>
  </r>
  <r>
    <m/>
    <x v="32"/>
    <m/>
    <s v="Alumunium"/>
    <n v="8000"/>
    <n v="0.05"/>
    <n v="400"/>
  </r>
  <r>
    <m/>
    <x v="32"/>
    <m/>
    <s v="Asoy"/>
    <n v="200"/>
    <n v="0.35"/>
    <n v="70"/>
  </r>
  <r>
    <m/>
    <x v="32"/>
    <m/>
    <s v="Naso"/>
    <n v="2000"/>
    <n v="0.2"/>
    <n v="400"/>
  </r>
  <r>
    <m/>
    <x v="32"/>
    <m/>
    <s v="Gabrukan"/>
    <n v="1000"/>
    <n v="1.8"/>
    <n v="1800"/>
  </r>
  <r>
    <n v="34"/>
    <x v="33"/>
    <n v="4"/>
    <s v="Besi"/>
    <n v="2500"/>
    <n v="3.35"/>
    <n v="8375"/>
  </r>
  <r>
    <m/>
    <x v="33"/>
    <m/>
    <s v="Tutup Botol"/>
    <n v="2500"/>
    <n v="0.45"/>
    <n v="1125"/>
  </r>
  <r>
    <m/>
    <x v="33"/>
    <m/>
    <s v="Kaleng"/>
    <n v="1500"/>
    <n v="1.1000000000000001"/>
    <n v="1650.0000000000002"/>
  </r>
  <r>
    <m/>
    <x v="33"/>
    <m/>
    <s v="Asoy"/>
    <n v="200"/>
    <n v="2.0499999999999998"/>
    <n v="409.99999999999994"/>
  </r>
  <r>
    <m/>
    <x v="33"/>
    <m/>
    <s v="Gabrukan"/>
    <n v="1000"/>
    <n v="2.25"/>
    <n v="2250"/>
  </r>
  <r>
    <m/>
    <x v="33"/>
    <m/>
    <s v="Kardus Baik/Kering"/>
    <n v="1000"/>
    <n v="9.6"/>
    <n v="9600"/>
  </r>
  <r>
    <m/>
    <x v="33"/>
    <m/>
    <s v="Botol Putih Bersih"/>
    <n v="2800"/>
    <n v="2.7"/>
    <n v="7560.0000000000009"/>
  </r>
  <r>
    <n v="35"/>
    <x v="34"/>
    <n v="2"/>
    <s v="Kardus Baik/Kering"/>
    <n v="1000"/>
    <n v="0.95"/>
    <n v="950"/>
  </r>
  <r>
    <m/>
    <x v="34"/>
    <m/>
    <s v="Emberan"/>
    <n v="1400"/>
    <n v="2.1"/>
    <n v="2940"/>
  </r>
  <r>
    <m/>
    <x v="34"/>
    <m/>
    <s v="Kabel Internet"/>
    <n v="150"/>
    <n v="0.6"/>
    <n v="90"/>
  </r>
  <r>
    <m/>
    <x v="34"/>
    <m/>
    <s v="Asoy"/>
    <n v="200"/>
    <n v="0.2"/>
    <n v="40"/>
  </r>
  <r>
    <m/>
    <x v="34"/>
    <m/>
    <s v="Besi"/>
    <n v="2500"/>
    <n v="7.9"/>
    <n v="19750"/>
  </r>
  <r>
    <m/>
    <x v="34"/>
    <m/>
    <s v="Kaleng"/>
    <n v="1500"/>
    <n v="0.15"/>
    <n v="225"/>
  </r>
  <r>
    <m/>
    <x v="34"/>
    <m/>
    <s v="Kabin"/>
    <n v="1800"/>
    <n v="0.45"/>
    <n v="810"/>
  </r>
  <r>
    <n v="36"/>
    <x v="35"/>
    <n v="5"/>
    <s v="Gabrukan"/>
    <n v="1000"/>
    <n v="2"/>
    <n v="2000"/>
  </r>
  <r>
    <m/>
    <x v="35"/>
    <m/>
    <s v="Emberan"/>
    <n v="1400"/>
    <n v="1.8"/>
    <n v="2520"/>
  </r>
  <r>
    <m/>
    <x v="35"/>
    <m/>
    <s v="Minyak Jelantah"/>
    <n v="4000"/>
    <n v="3.05"/>
    <n v="12200"/>
  </r>
  <r>
    <n v="37"/>
    <x v="36"/>
    <n v="3"/>
    <s v="Asoy"/>
    <n v="200"/>
    <n v="1.4"/>
    <n v="280"/>
  </r>
  <r>
    <m/>
    <x v="36"/>
    <m/>
    <s v="Gabrukan"/>
    <n v="1000"/>
    <n v="0.25"/>
    <n v="250"/>
  </r>
  <r>
    <n v="38"/>
    <x v="37"/>
    <n v="7"/>
    <s v="Boncos"/>
    <n v="300"/>
    <n v="1.4"/>
    <n v="420"/>
  </r>
  <r>
    <m/>
    <x v="37"/>
    <m/>
    <s v="Asoy"/>
    <n v="200"/>
    <n v="1.1000000000000001"/>
    <n v="220.00000000000003"/>
  </r>
  <r>
    <m/>
    <x v="37"/>
    <m/>
    <s v="Kertas HVS Putih"/>
    <n v="1400"/>
    <n v="3.15"/>
    <n v="4410"/>
  </r>
  <r>
    <m/>
    <x v="37"/>
    <m/>
    <s v="Gabrukan"/>
    <n v="1000"/>
    <n v="0.55000000000000004"/>
    <n v="550"/>
  </r>
  <r>
    <n v="39"/>
    <x v="38"/>
    <n v="1"/>
    <s v="Botol Putih Bersih"/>
    <n v="2800"/>
    <n v="0.8"/>
    <n v="2240"/>
  </r>
  <r>
    <m/>
    <x v="38"/>
    <m/>
    <s v="Kardus Baik/Kering"/>
    <n v="1000"/>
    <n v="0.95"/>
    <n v="950"/>
  </r>
  <r>
    <m/>
    <x v="38"/>
    <m/>
    <s v="Boncos"/>
    <n v="300"/>
    <n v="0.75"/>
    <n v="225"/>
  </r>
  <r>
    <m/>
    <x v="38"/>
    <m/>
    <s v="Kaleng"/>
    <n v="1500"/>
    <n v="0.5"/>
    <n v="750"/>
  </r>
  <r>
    <m/>
    <x v="38"/>
    <m/>
    <s v="Asoy"/>
    <n v="200"/>
    <n v="0.1"/>
    <n v="20"/>
  </r>
  <r>
    <m/>
    <x v="38"/>
    <m/>
    <s v="Botol &amp; Kaca Beling"/>
    <n v="150"/>
    <n v="0.15"/>
    <n v="22.5"/>
  </r>
  <r>
    <m/>
    <x v="38"/>
    <m/>
    <s v="Emberan"/>
    <n v="1400"/>
    <n v="0.5"/>
    <n v="700"/>
  </r>
  <r>
    <m/>
    <x v="38"/>
    <m/>
    <s v="Gabrukan"/>
    <n v="1000"/>
    <n v="0.35"/>
    <n v="350"/>
  </r>
  <r>
    <n v="40"/>
    <x v="39"/>
    <n v="1"/>
    <s v="Buku Tulis &amp; Pelajaran"/>
    <n v="1200"/>
    <n v="1.55"/>
    <n v="1860"/>
  </r>
  <r>
    <m/>
    <x v="39"/>
    <m/>
    <s v="Kardus Baik/Kering"/>
    <n v="1000"/>
    <n v="2.0499999999999998"/>
    <n v="2050"/>
  </r>
  <r>
    <m/>
    <x v="39"/>
    <m/>
    <s v="Boncos"/>
    <n v="300"/>
    <n v="1.1000000000000001"/>
    <n v="330"/>
  </r>
  <r>
    <m/>
    <x v="39"/>
    <m/>
    <s v="Botol Putih Bersih"/>
    <n v="2800"/>
    <n v="1.05"/>
    <n v="2940"/>
  </r>
  <r>
    <m/>
    <x v="39"/>
    <m/>
    <s v="Gabrukan"/>
    <n v="1000"/>
    <n v="1.35"/>
    <n v="1350"/>
  </r>
  <r>
    <m/>
    <x v="39"/>
    <m/>
    <s v="Asoy"/>
    <n v="200"/>
    <n v="0.7"/>
    <n v="140"/>
  </r>
  <r>
    <m/>
    <x v="39"/>
    <m/>
    <s v="Kaleng"/>
    <n v="1500"/>
    <n v="0.35"/>
    <n v="525"/>
  </r>
  <r>
    <m/>
    <x v="39"/>
    <m/>
    <s v="Kabel Kulit"/>
    <n v="700"/>
    <n v="1.1000000000000001"/>
    <n v="770.00000000000011"/>
  </r>
  <r>
    <n v="41"/>
    <x v="40"/>
    <n v="1"/>
    <s v="Besi"/>
    <n v="2500"/>
    <n v="1.4"/>
    <n v="3500"/>
  </r>
  <r>
    <m/>
    <x v="40"/>
    <m/>
    <s v="Gabrukan"/>
    <n v="1000"/>
    <n v="1.65"/>
    <n v="1650"/>
  </r>
  <r>
    <m/>
    <x v="40"/>
    <m/>
    <s v="Boncos"/>
    <n v="300"/>
    <n v="11.05"/>
    <n v="3315"/>
  </r>
  <r>
    <m/>
    <x v="40"/>
    <m/>
    <s v="Botol Putih Bersih"/>
    <n v="2800"/>
    <n v="4.3"/>
    <n v="12040"/>
  </r>
  <r>
    <m/>
    <x v="40"/>
    <m/>
    <s v="Asoy"/>
    <n v="200"/>
    <n v="6.25"/>
    <n v="1250"/>
  </r>
  <r>
    <m/>
    <x v="40"/>
    <m/>
    <s v="Kaleng"/>
    <n v="1500"/>
    <n v="1.6"/>
    <n v="2400"/>
  </r>
  <r>
    <n v="42"/>
    <x v="41"/>
    <n v="3"/>
    <s v="Kardus Baik/Kering"/>
    <n v="1000"/>
    <n v="0.5"/>
    <n v="500"/>
  </r>
  <r>
    <m/>
    <x v="41"/>
    <m/>
    <s v="Asoy"/>
    <n v="200"/>
    <n v="2"/>
    <n v="400"/>
  </r>
  <r>
    <m/>
    <x v="41"/>
    <m/>
    <s v="Kaleng"/>
    <n v="1500"/>
    <n v="0.4"/>
    <n v="600"/>
  </r>
  <r>
    <m/>
    <x v="41"/>
    <m/>
    <s v="Gelas Putih Bersih"/>
    <n v="3500"/>
    <n v="0.1"/>
    <n v="350"/>
  </r>
  <r>
    <m/>
    <x v="41"/>
    <m/>
    <s v="Emberan"/>
    <n v="1400"/>
    <n v="0.8"/>
    <n v="1120"/>
  </r>
  <r>
    <m/>
    <x v="41"/>
    <m/>
    <s v="Botol Putih Bersih"/>
    <n v="2800"/>
    <n v="1.85"/>
    <n v="5180"/>
  </r>
  <r>
    <n v="43"/>
    <x v="42"/>
    <n v="1"/>
    <s v="Kardus Baik/Kering"/>
    <n v="1000"/>
    <n v="8.75"/>
    <n v="8750"/>
  </r>
  <r>
    <m/>
    <x v="42"/>
    <m/>
    <s v="Gabrukan"/>
    <n v="1000"/>
    <n v="1.4"/>
    <n v="1400"/>
  </r>
  <r>
    <m/>
    <x v="42"/>
    <m/>
    <s v="Botol &amp; Gelas Putih (Kotor)"/>
    <n v="1600"/>
    <n v="0.55000000000000004"/>
    <n v="880.00000000000011"/>
  </r>
  <r>
    <m/>
    <x v="42"/>
    <m/>
    <s v="Emberan"/>
    <n v="1400"/>
    <n v="0.55000000000000004"/>
    <n v="770.00000000000011"/>
  </r>
  <r>
    <m/>
    <x v="42"/>
    <m/>
    <s v="Asoy"/>
    <n v="200"/>
    <n v="0.6"/>
    <n v="120"/>
  </r>
  <r>
    <m/>
    <x v="42"/>
    <m/>
    <s v="Tutup Botol"/>
    <n v="2500"/>
    <n v="0.25"/>
    <n v="625"/>
  </r>
  <r>
    <m/>
    <x v="42"/>
    <m/>
    <s v="Kaleng"/>
    <n v="1500"/>
    <n v="0.1"/>
    <n v="150"/>
  </r>
  <r>
    <n v="44"/>
    <x v="43"/>
    <n v="1"/>
    <s v="Botol &amp; Gelas Putih (Kotor)"/>
    <n v="1600"/>
    <n v="1"/>
    <n v="1600"/>
  </r>
  <r>
    <m/>
    <x v="43"/>
    <m/>
    <s v="Asoy"/>
    <n v="200"/>
    <n v="3.5"/>
    <n v="700"/>
  </r>
  <r>
    <n v="45"/>
    <x v="44"/>
    <s v="TD"/>
    <s v="Emberan"/>
    <n v="1400"/>
    <n v="3.75"/>
    <n v="5250"/>
  </r>
  <r>
    <m/>
    <x v="44"/>
    <m/>
    <s v="Kardus Baik/Kering"/>
    <n v="1000"/>
    <n v="1"/>
    <n v="1000"/>
  </r>
  <r>
    <m/>
    <x v="44"/>
    <m/>
    <s v="Boncos"/>
    <n v="300"/>
    <n v="0.2"/>
    <n v="60"/>
  </r>
  <r>
    <m/>
    <x v="44"/>
    <m/>
    <s v="Gabrukan"/>
    <n v="1000"/>
    <n v="1.8"/>
    <n v="1800"/>
  </r>
  <r>
    <m/>
    <x v="44"/>
    <m/>
    <s v="Botol &amp; Gelas Putih (Kotor)"/>
    <n v="1600"/>
    <n v="0.35"/>
    <n v="560"/>
  </r>
  <r>
    <n v="46"/>
    <x v="45"/>
    <n v="3"/>
    <s v="Botol &amp; Kaca Beling"/>
    <n v="150"/>
    <n v="1.45"/>
    <n v="217.5"/>
  </r>
  <r>
    <m/>
    <x v="45"/>
    <m/>
    <s v="Emberan"/>
    <n v="1400"/>
    <n v="2.95"/>
    <n v="4130"/>
  </r>
  <r>
    <m/>
    <x v="45"/>
    <m/>
    <s v="Aki"/>
    <n v="6000"/>
    <n v="2.1"/>
    <n v="12600"/>
  </r>
  <r>
    <m/>
    <x v="45"/>
    <m/>
    <s v="Kaleng"/>
    <n v="1500"/>
    <n v="1.85"/>
    <n v="2775"/>
  </r>
  <r>
    <m/>
    <x v="45"/>
    <m/>
    <s v="Kardus Baik/Kering"/>
    <n v="1000"/>
    <n v="3.15"/>
    <n v="3150"/>
  </r>
  <r>
    <m/>
    <x v="45"/>
    <m/>
    <s v="Botol Putih Bersih"/>
    <n v="2800"/>
    <n v="3.05"/>
    <n v="8540"/>
  </r>
  <r>
    <m/>
    <x v="45"/>
    <m/>
    <s v="Asoy"/>
    <n v="200"/>
    <n v="1.1499999999999999"/>
    <n v="229.99999999999997"/>
  </r>
  <r>
    <m/>
    <x v="45"/>
    <m/>
    <s v="Gelas Putih Bersih"/>
    <n v="3500"/>
    <n v="0.2"/>
    <n v="700"/>
  </r>
  <r>
    <m/>
    <x v="45"/>
    <m/>
    <s v="Boncos"/>
    <n v="300"/>
    <n v="1.1000000000000001"/>
    <n v="330"/>
  </r>
  <r>
    <m/>
    <x v="45"/>
    <m/>
    <s v="Injek"/>
    <n v="1600"/>
    <n v="0.15"/>
    <n v="240"/>
  </r>
  <r>
    <n v="47"/>
    <x v="46"/>
    <n v="4"/>
    <s v="Kaleng"/>
    <n v="1500"/>
    <n v="0.1"/>
    <n v="150"/>
  </r>
  <r>
    <m/>
    <x v="46"/>
    <m/>
    <s v="Asoy"/>
    <n v="200"/>
    <n v="0.1"/>
    <n v="20"/>
  </r>
  <r>
    <m/>
    <x v="46"/>
    <m/>
    <s v="Botol Putih Bersih"/>
    <n v="2800"/>
    <n v="0.7"/>
    <n v="1959.9999999999998"/>
  </r>
  <r>
    <m/>
    <x v="46"/>
    <m/>
    <s v="Gelas Putih Bersih"/>
    <n v="3500"/>
    <n v="0.05"/>
    <n v="175"/>
  </r>
  <r>
    <m/>
    <x v="46"/>
    <m/>
    <s v="Emberan"/>
    <n v="1400"/>
    <n v="0.3"/>
    <n v="420"/>
  </r>
  <r>
    <m/>
    <x v="46"/>
    <m/>
    <s v="Botol &amp; Gelas Putih (Kotor)"/>
    <n v="1600"/>
    <n v="0.6"/>
    <n v="960"/>
  </r>
  <r>
    <m/>
    <x v="46"/>
    <m/>
    <s v="Galon Aqua"/>
    <n v="4000"/>
    <n v="1"/>
    <n v="4000"/>
  </r>
  <r>
    <m/>
    <x v="46"/>
    <m/>
    <s v="Kardus Baik/Kering"/>
    <n v="1000"/>
    <n v="3.3"/>
    <n v="3300"/>
  </r>
  <r>
    <m/>
    <x v="46"/>
    <m/>
    <s v="Besi"/>
    <n v="2500"/>
    <n v="9.9"/>
    <n v="24750"/>
  </r>
  <r>
    <n v="48"/>
    <x v="47"/>
    <n v="4"/>
    <s v="Kardus Baik/Kering"/>
    <n v="1000"/>
    <n v="3.2"/>
    <n v="3200"/>
  </r>
  <r>
    <m/>
    <x v="47"/>
    <m/>
    <s v="Gabrukan"/>
    <n v="1000"/>
    <n v="0.75"/>
    <n v="750"/>
  </r>
  <r>
    <m/>
    <x v="47"/>
    <m/>
    <s v="Botol &amp; Gelas Putih (Kotor)"/>
    <n v="1600"/>
    <n v="0.55000000000000004"/>
    <n v="880.00000000000011"/>
  </r>
  <r>
    <n v="49"/>
    <x v="48"/>
    <n v="4"/>
    <s v="Asoy"/>
    <n v="200"/>
    <n v="0.5"/>
    <n v="100"/>
  </r>
  <r>
    <m/>
    <x v="48"/>
    <m/>
    <s v="Boncos"/>
    <n v="300"/>
    <n v="0.15"/>
    <n v="45"/>
  </r>
  <r>
    <m/>
    <x v="48"/>
    <m/>
    <s v="Botol Putih Bersih"/>
    <n v="2800"/>
    <n v="1.35"/>
    <n v="3780.0000000000005"/>
  </r>
  <r>
    <m/>
    <x v="48"/>
    <m/>
    <s v="Botol &amp; Kaca Beling"/>
    <n v="150"/>
    <n v="1.25"/>
    <n v="187.5"/>
  </r>
  <r>
    <m/>
    <x v="48"/>
    <m/>
    <s v="Gabrukan"/>
    <n v="1000"/>
    <n v="1.35"/>
    <n v="1350"/>
  </r>
  <r>
    <n v="50"/>
    <x v="49"/>
    <n v="4"/>
    <s v="Asoy"/>
    <n v="200"/>
    <n v="1.45"/>
    <n v="290"/>
  </r>
  <r>
    <m/>
    <x v="49"/>
    <m/>
    <s v="Boncos"/>
    <n v="300"/>
    <n v="0.25"/>
    <n v="75"/>
  </r>
  <r>
    <m/>
    <x v="49"/>
    <m/>
    <s v="Botol Putih Bersih"/>
    <n v="2800"/>
    <n v="1.4"/>
    <n v="3919.9999999999995"/>
  </r>
  <r>
    <m/>
    <x v="49"/>
    <m/>
    <s v="Emberan"/>
    <n v="1400"/>
    <n v="1.3"/>
    <n v="1820"/>
  </r>
  <r>
    <m/>
    <x v="49"/>
    <m/>
    <s v="Botol &amp; Gelas Putih (Kotor)"/>
    <n v="1600"/>
    <n v="1.9"/>
    <n v="3040"/>
  </r>
  <r>
    <n v="51"/>
    <x v="50"/>
    <n v="6"/>
    <s v="Botol Putih Bersih"/>
    <n v="2800"/>
    <n v="4.3"/>
    <n v="12040"/>
  </r>
  <r>
    <m/>
    <x v="50"/>
    <m/>
    <s v="Botol &amp; Gelas Putih (Kotor)"/>
    <n v="1600"/>
    <n v="0.64999999999999991"/>
    <n v="1039.9999999999998"/>
  </r>
  <r>
    <m/>
    <x v="50"/>
    <m/>
    <s v="Injek"/>
    <n v="1600"/>
    <n v="0.25"/>
    <n v="400"/>
  </r>
  <r>
    <m/>
    <x v="50"/>
    <m/>
    <s v="Gelas Putih Bersih"/>
    <n v="3500"/>
    <n v="0.75"/>
    <n v="2625"/>
  </r>
  <r>
    <m/>
    <x v="50"/>
    <m/>
    <s v="Tutup Botol"/>
    <n v="2500"/>
    <n v="0.45"/>
    <n v="1125"/>
  </r>
  <r>
    <m/>
    <x v="50"/>
    <m/>
    <s v="Gabrukan"/>
    <n v="1000"/>
    <n v="4.5"/>
    <n v="4500"/>
  </r>
  <r>
    <m/>
    <x v="50"/>
    <m/>
    <s v="Asoy"/>
    <n v="200"/>
    <n v="0.95"/>
    <n v="190"/>
  </r>
  <r>
    <m/>
    <x v="50"/>
    <m/>
    <s v="Kardus Baik/Kering"/>
    <n v="1000"/>
    <n v="7.6000000000000005"/>
    <n v="7600.0000000000009"/>
  </r>
  <r>
    <m/>
    <x v="50"/>
    <m/>
    <s v="Boncos"/>
    <n v="300"/>
    <n v="1.25"/>
    <n v="375"/>
  </r>
  <r>
    <n v="52"/>
    <x v="51"/>
    <n v="1"/>
    <s v="Boncos"/>
    <n v="300"/>
    <n v="3.5"/>
    <n v="1050"/>
  </r>
  <r>
    <m/>
    <x v="51"/>
    <m/>
    <s v="Asoy"/>
    <n v="200"/>
    <n v="3.2"/>
    <n v="640"/>
  </r>
  <r>
    <m/>
    <x v="51"/>
    <m/>
    <s v="Kabel Internet"/>
    <n v="150"/>
    <n v="0.55000000000000004"/>
    <n v="82.5"/>
  </r>
  <r>
    <m/>
    <x v="51"/>
    <m/>
    <s v="Emberan"/>
    <n v="1400"/>
    <n v="1.5499999999999998"/>
    <n v="2169.9999999999995"/>
  </r>
  <r>
    <m/>
    <x v="51"/>
    <m/>
    <s v="Tutup Botol"/>
    <n v="2500"/>
    <n v="0.2"/>
    <n v="500"/>
  </r>
  <r>
    <m/>
    <x v="51"/>
    <m/>
    <s v="Kaleng"/>
    <n v="1500"/>
    <n v="0.2"/>
    <n v="300"/>
  </r>
  <r>
    <n v="53"/>
    <x v="52"/>
    <n v="2"/>
    <s v="Boncos"/>
    <n v="300"/>
    <n v="0.3"/>
    <n v="90"/>
  </r>
  <r>
    <m/>
    <x v="52"/>
    <m/>
    <s v="Botol Putih Bersih"/>
    <n v="2800"/>
    <n v="1.1000000000000001"/>
    <n v="3080.0000000000005"/>
  </r>
  <r>
    <m/>
    <x v="52"/>
    <m/>
    <s v="Emberan"/>
    <n v="1400"/>
    <n v="0.1"/>
    <n v="140"/>
  </r>
  <r>
    <m/>
    <x v="52"/>
    <m/>
    <s v="Asoy"/>
    <n v="200"/>
    <n v="0.5"/>
    <n v="100"/>
  </r>
  <r>
    <n v="54"/>
    <x v="53"/>
    <n v="2"/>
    <s v="Gabrukan"/>
    <n v="1000"/>
    <n v="1.8"/>
    <n v="1800"/>
  </r>
  <r>
    <m/>
    <x v="53"/>
    <m/>
    <s v="Besi"/>
    <n v="2500"/>
    <n v="0.95"/>
    <n v="2375"/>
  </r>
  <r>
    <m/>
    <x v="53"/>
    <m/>
    <s v="Kardus Baik/Kering"/>
    <n v="1000"/>
    <n v="0.05"/>
    <n v="50"/>
  </r>
  <r>
    <m/>
    <x v="53"/>
    <m/>
    <s v="Kabin"/>
    <n v="1800"/>
    <n v="0.9"/>
    <n v="1620"/>
  </r>
  <r>
    <n v="55"/>
    <x v="54"/>
    <n v="5"/>
    <s v="Gabrukan"/>
    <n v="1000"/>
    <n v="1.9"/>
    <n v="1900"/>
  </r>
  <r>
    <m/>
    <x v="54"/>
    <m/>
    <s v="Botol &amp; Gelas Putih (Kotor)"/>
    <n v="1600"/>
    <n v="2.95"/>
    <n v="4720"/>
  </r>
  <r>
    <m/>
    <x v="54"/>
    <m/>
    <s v="Tutup Botol"/>
    <n v="2500"/>
    <n v="0.25"/>
    <n v="625"/>
  </r>
  <r>
    <m/>
    <x v="54"/>
    <m/>
    <s v="Asoy"/>
    <n v="200"/>
    <n v="1.2"/>
    <n v="240"/>
  </r>
  <r>
    <m/>
    <x v="54"/>
    <m/>
    <s v="Emberan"/>
    <n v="1400"/>
    <n v="0.65"/>
    <n v="910"/>
  </r>
  <r>
    <m/>
    <x v="54"/>
    <m/>
    <s v="Kabin"/>
    <n v="1800"/>
    <n v="0.7"/>
    <n v="1260"/>
  </r>
  <r>
    <m/>
    <x v="54"/>
    <m/>
    <s v="Naso"/>
    <n v="2000"/>
    <n v="0.2"/>
    <n v="400"/>
  </r>
  <r>
    <m/>
    <x v="54"/>
    <m/>
    <s v="Boncos"/>
    <n v="300"/>
    <n v="0.55000000000000004"/>
    <n v="165"/>
  </r>
  <r>
    <m/>
    <x v="54"/>
    <m/>
    <s v="Kardus Baik/Kering"/>
    <n v="1000"/>
    <n v="9.4499999999999993"/>
    <n v="9450"/>
  </r>
  <r>
    <n v="56"/>
    <x v="55"/>
    <n v="2"/>
    <s v="Asoy"/>
    <n v="200"/>
    <n v="1.3"/>
    <n v="260"/>
  </r>
  <r>
    <m/>
    <x v="55"/>
    <m/>
    <s v="Gelas Putih Bersih"/>
    <n v="3500"/>
    <n v="0.35"/>
    <n v="1225"/>
  </r>
  <r>
    <m/>
    <x v="55"/>
    <m/>
    <s v="Botol Putih Bersih"/>
    <n v="2800"/>
    <n v="0.7"/>
    <n v="1959.9999999999998"/>
  </r>
  <r>
    <m/>
    <x v="55"/>
    <m/>
    <s v="Kaleng"/>
    <n v="1500"/>
    <n v="2.0499999999999998"/>
    <n v="3074.9999999999995"/>
  </r>
  <r>
    <m/>
    <x v="55"/>
    <m/>
    <s v="Kabel Kulit"/>
    <n v="700"/>
    <n v="0.15"/>
    <n v="105"/>
  </r>
  <r>
    <m/>
    <x v="55"/>
    <m/>
    <s v="Emberan"/>
    <n v="1400"/>
    <n v="5.65"/>
    <n v="7910.0000000000009"/>
  </r>
  <r>
    <m/>
    <x v="55"/>
    <m/>
    <s v="Injek"/>
    <n v="1600"/>
    <n v="0.9"/>
    <n v="1440"/>
  </r>
  <r>
    <m/>
    <x v="55"/>
    <m/>
    <s v="Boncos"/>
    <n v="300"/>
    <n v="1.1000000000000001"/>
    <n v="330"/>
  </r>
  <r>
    <m/>
    <x v="55"/>
    <m/>
    <s v="Tutup Botol"/>
    <n v="2500"/>
    <n v="0.15"/>
    <n v="375"/>
  </r>
  <r>
    <m/>
    <x v="55"/>
    <m/>
    <s v="Botol &amp; Kaca Beling"/>
    <n v="150"/>
    <n v="0.6"/>
    <n v="90"/>
  </r>
  <r>
    <m/>
    <x v="55"/>
    <m/>
    <s v="Kabin"/>
    <n v="1800"/>
    <n v="0.9"/>
    <n v="1620"/>
  </r>
  <r>
    <m/>
    <x v="55"/>
    <m/>
    <s v="Besi"/>
    <n v="2500"/>
    <n v="1.0999999999999999"/>
    <n v="2749.9999999999995"/>
  </r>
  <r>
    <n v="57"/>
    <x v="56"/>
    <n v="5"/>
    <s v="Kardus Baik/Kering"/>
    <n v="1000"/>
    <n v="7"/>
    <n v="7000"/>
  </r>
  <r>
    <n v="58"/>
    <x v="57"/>
    <n v="6"/>
    <s v="Gabrukan"/>
    <n v="1000"/>
    <n v="4.0999999999999996"/>
    <n v="4100"/>
  </r>
  <r>
    <m/>
    <x v="57"/>
    <m/>
    <s v="Emberan"/>
    <n v="1400"/>
    <n v="0.3"/>
    <n v="420"/>
  </r>
  <r>
    <m/>
    <x v="57"/>
    <m/>
    <s v="Botol &amp; Kaca Beling"/>
    <n v="150"/>
    <n v="4.4000000000000004"/>
    <n v="660"/>
  </r>
  <r>
    <m/>
    <x v="57"/>
    <m/>
    <s v="Kardus Baik/Kering"/>
    <n v="1000"/>
    <n v="2.0499999999999998"/>
    <n v="2050"/>
  </r>
  <r>
    <n v="59"/>
    <x v="58"/>
    <n v="4"/>
    <s v="Botol Putih Bersih"/>
    <n v="2800"/>
    <n v="0.45"/>
    <n v="1260"/>
  </r>
  <r>
    <m/>
    <x v="58"/>
    <m/>
    <s v="Botol &amp; Kaca Beling"/>
    <n v="150"/>
    <n v="0.4"/>
    <n v="60"/>
  </r>
  <r>
    <m/>
    <x v="58"/>
    <m/>
    <s v="Asoy"/>
    <n v="200"/>
    <n v="0.55000000000000004"/>
    <n v="110.00000000000001"/>
  </r>
  <r>
    <m/>
    <x v="58"/>
    <m/>
    <s v="Tutup Botol"/>
    <n v="2500"/>
    <n v="0.15"/>
    <n v="375"/>
  </r>
  <r>
    <m/>
    <x v="58"/>
    <m/>
    <s v="Boncos"/>
    <n v="300"/>
    <n v="0.55000000000000004"/>
    <n v="165"/>
  </r>
  <r>
    <m/>
    <x v="58"/>
    <m/>
    <s v="Emberan"/>
    <n v="1400"/>
    <n v="0.25"/>
    <n v="350"/>
  </r>
  <r>
    <n v="60"/>
    <x v="59"/>
    <n v="5"/>
    <s v="Gabrukan"/>
    <n v="1000"/>
    <n v="1.1499999999999999"/>
    <n v="1150"/>
  </r>
  <r>
    <m/>
    <x v="59"/>
    <m/>
    <s v="Asoy"/>
    <n v="200"/>
    <n v="2.75"/>
    <n v="550"/>
  </r>
  <r>
    <m/>
    <x v="59"/>
    <m/>
    <s v="Kardus Baik/Kering"/>
    <n v="1000"/>
    <n v="0.55000000000000004"/>
    <n v="550"/>
  </r>
  <r>
    <m/>
    <x v="59"/>
    <m/>
    <s v="Boncos"/>
    <n v="300"/>
    <n v="3.4"/>
    <n v="1020"/>
  </r>
  <r>
    <m/>
    <x v="59"/>
    <m/>
    <s v="Botol Putih Bersih"/>
    <n v="2800"/>
    <n v="1.4"/>
    <n v="3919.9999999999995"/>
  </r>
  <r>
    <m/>
    <x v="59"/>
    <m/>
    <s v="Buku Tulis &amp; Pelajaran"/>
    <n v="1200"/>
    <n v="0.3"/>
    <n v="360"/>
  </r>
  <r>
    <m/>
    <x v="59"/>
    <m/>
    <s v="Tutup Botol"/>
    <n v="2500"/>
    <n v="0.7"/>
    <n v="1750"/>
  </r>
  <r>
    <n v="61"/>
    <x v="60"/>
    <n v="4"/>
    <s v="Kardus Baik/Kering"/>
    <n v="1000"/>
    <n v="2.35"/>
    <n v="2350"/>
  </r>
  <r>
    <m/>
    <x v="60"/>
    <m/>
    <s v="Botol Putih Bersih"/>
    <n v="2800"/>
    <n v="0.3"/>
    <n v="840"/>
  </r>
  <r>
    <m/>
    <x v="60"/>
    <m/>
    <s v="Boncos"/>
    <n v="300"/>
    <n v="2.7"/>
    <n v="810"/>
  </r>
  <r>
    <m/>
    <x v="60"/>
    <m/>
    <s v="Kaleng"/>
    <n v="1500"/>
    <n v="0.15"/>
    <n v="225"/>
  </r>
  <r>
    <m/>
    <x v="60"/>
    <m/>
    <s v="Botol &amp; Kaca Beling"/>
    <n v="150"/>
    <n v="0.6"/>
    <n v="90"/>
  </r>
  <r>
    <m/>
    <x v="60"/>
    <m/>
    <s v="Emberan"/>
    <n v="1400"/>
    <n v="0.9"/>
    <n v="1260"/>
  </r>
  <r>
    <m/>
    <x v="60"/>
    <m/>
    <s v="Asoy"/>
    <n v="200"/>
    <n v="1.45"/>
    <n v="29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">
  <r>
    <n v="1"/>
    <x v="0"/>
    <n v="4"/>
    <x v="0"/>
    <n v="1000"/>
    <n v="4.7"/>
    <n v="4700"/>
  </r>
  <r>
    <m/>
    <x v="0"/>
    <m/>
    <x v="1"/>
    <n v="200"/>
    <n v="2"/>
    <n v="400"/>
  </r>
  <r>
    <m/>
    <x v="0"/>
    <m/>
    <x v="2"/>
    <n v="1000"/>
    <n v="6.75"/>
    <n v="6750"/>
  </r>
  <r>
    <m/>
    <x v="0"/>
    <m/>
    <x v="3"/>
    <n v="300"/>
    <n v="1.7"/>
    <n v="510"/>
  </r>
  <r>
    <m/>
    <x v="0"/>
    <m/>
    <x v="4"/>
    <n v="1400"/>
    <n v="6.25"/>
    <n v="8750"/>
  </r>
  <r>
    <m/>
    <x v="0"/>
    <m/>
    <x v="5"/>
    <n v="2700"/>
    <n v="0.1"/>
    <n v="270"/>
  </r>
  <r>
    <m/>
    <x v="0"/>
    <m/>
    <x v="6"/>
    <n v="1600"/>
    <n v="0.6"/>
    <n v="960"/>
  </r>
  <r>
    <m/>
    <x v="0"/>
    <m/>
    <x v="7"/>
    <n v="1500"/>
    <n v="0.15"/>
    <n v="225"/>
  </r>
  <r>
    <m/>
    <x v="0"/>
    <m/>
    <x v="8"/>
    <n v="1200"/>
    <n v="0.6"/>
    <n v="720"/>
  </r>
  <r>
    <m/>
    <x v="0"/>
    <m/>
    <x v="9"/>
    <n v="1800"/>
    <n v="0.55000000000000004"/>
    <n v="990.00000000000011"/>
  </r>
  <r>
    <m/>
    <x v="0"/>
    <m/>
    <x v="10"/>
    <n v="13000"/>
    <n v="1"/>
    <n v="13000"/>
  </r>
  <r>
    <m/>
    <x v="0"/>
    <m/>
    <x v="11"/>
    <n v="50000"/>
    <n v="0.15"/>
    <n v="7500"/>
  </r>
  <r>
    <n v="2"/>
    <x v="1"/>
    <n v="5"/>
    <x v="0"/>
    <n v="1000"/>
    <n v="6.75"/>
    <n v="6750"/>
  </r>
  <r>
    <m/>
    <x v="1"/>
    <m/>
    <x v="1"/>
    <n v="200"/>
    <n v="1.4"/>
    <n v="280"/>
  </r>
  <r>
    <m/>
    <x v="1"/>
    <m/>
    <x v="3"/>
    <n v="300"/>
    <n v="0.5"/>
    <n v="150"/>
  </r>
  <r>
    <m/>
    <x v="1"/>
    <m/>
    <x v="2"/>
    <n v="1000"/>
    <n v="1.25"/>
    <n v="1250"/>
  </r>
  <r>
    <m/>
    <x v="1"/>
    <m/>
    <x v="12"/>
    <n v="1400"/>
    <n v="1.35"/>
    <n v="1890.0000000000002"/>
  </r>
  <r>
    <m/>
    <x v="1"/>
    <m/>
    <x v="13"/>
    <n v="2800"/>
    <n v="1.1000000000000001"/>
    <n v="3080.0000000000005"/>
  </r>
  <r>
    <n v="3"/>
    <x v="2"/>
    <n v="1"/>
    <x v="1"/>
    <n v="200"/>
    <n v="1.3900000000000001"/>
    <n v="278"/>
  </r>
  <r>
    <m/>
    <x v="2"/>
    <m/>
    <x v="2"/>
    <n v="1000"/>
    <n v="2.0499999999999998"/>
    <n v="2050"/>
  </r>
  <r>
    <m/>
    <x v="2"/>
    <m/>
    <x v="14"/>
    <n v="2500"/>
    <n v="0.3"/>
    <n v="750"/>
  </r>
  <r>
    <m/>
    <x v="2"/>
    <m/>
    <x v="0"/>
    <n v="1000"/>
    <n v="5.25"/>
    <n v="5250"/>
  </r>
  <r>
    <m/>
    <x v="2"/>
    <m/>
    <x v="3"/>
    <n v="300"/>
    <n v="0.95"/>
    <n v="285"/>
  </r>
  <r>
    <n v="4"/>
    <x v="3"/>
    <n v="1"/>
    <x v="2"/>
    <n v="1000"/>
    <n v="2.7"/>
    <n v="2700"/>
  </r>
  <r>
    <m/>
    <x v="3"/>
    <m/>
    <x v="15"/>
    <n v="150"/>
    <n v="1.9"/>
    <n v="285"/>
  </r>
  <r>
    <m/>
    <x v="3"/>
    <m/>
    <x v="7"/>
    <n v="1500"/>
    <n v="0.5"/>
    <n v="750"/>
  </r>
  <r>
    <m/>
    <x v="3"/>
    <m/>
    <x v="4"/>
    <n v="1400"/>
    <n v="1.1499999999999999"/>
    <n v="1609.9999999999998"/>
  </r>
  <r>
    <m/>
    <x v="3"/>
    <m/>
    <x v="16"/>
    <n v="2000"/>
    <n v="0.55000000000000004"/>
    <n v="1100"/>
  </r>
  <r>
    <m/>
    <x v="3"/>
    <m/>
    <x v="6"/>
    <n v="1600"/>
    <n v="1.1499999999999999"/>
    <n v="1839.9999999999998"/>
  </r>
  <r>
    <m/>
    <x v="3"/>
    <m/>
    <x v="17"/>
    <n v="1600"/>
    <n v="1.85"/>
    <n v="2960"/>
  </r>
  <r>
    <n v="5"/>
    <x v="4"/>
    <n v="4"/>
    <x v="8"/>
    <n v="1200"/>
    <n v="24.49"/>
    <n v="29387.999999999996"/>
  </r>
  <r>
    <m/>
    <x v="4"/>
    <m/>
    <x v="0"/>
    <n v="1000"/>
    <n v="0.7"/>
    <n v="700"/>
  </r>
  <r>
    <m/>
    <x v="4"/>
    <m/>
    <x v="18"/>
    <n v="800"/>
    <n v="0.05"/>
    <n v="40"/>
  </r>
  <r>
    <m/>
    <x v="4"/>
    <m/>
    <x v="12"/>
    <n v="1400"/>
    <n v="4"/>
    <n v="5600"/>
  </r>
  <r>
    <n v="6"/>
    <x v="5"/>
    <n v="1"/>
    <x v="19"/>
    <n v="4000"/>
    <n v="0.6"/>
    <n v="2400"/>
  </r>
  <r>
    <m/>
    <x v="5"/>
    <m/>
    <x v="2"/>
    <n v="1000"/>
    <n v="0.9"/>
    <n v="900"/>
  </r>
  <r>
    <n v="7"/>
    <x v="6"/>
    <n v="4"/>
    <x v="0"/>
    <n v="1000"/>
    <n v="2.2999999999999998"/>
    <n v="2300"/>
  </r>
  <r>
    <m/>
    <x v="6"/>
    <m/>
    <x v="3"/>
    <n v="300"/>
    <n v="1.25"/>
    <n v="375"/>
  </r>
  <r>
    <m/>
    <x v="6"/>
    <m/>
    <x v="15"/>
    <n v="150"/>
    <n v="1.25"/>
    <n v="187.5"/>
  </r>
  <r>
    <m/>
    <x v="6"/>
    <m/>
    <x v="2"/>
    <n v="1000"/>
    <n v="0.3"/>
    <n v="300"/>
  </r>
  <r>
    <m/>
    <x v="6"/>
    <m/>
    <x v="13"/>
    <n v="2800"/>
    <n v="0.25"/>
    <n v="700"/>
  </r>
  <r>
    <m/>
    <x v="6"/>
    <m/>
    <x v="1"/>
    <n v="200"/>
    <n v="0.75"/>
    <n v="150"/>
  </r>
  <r>
    <n v="8"/>
    <x v="7"/>
    <n v="4"/>
    <x v="13"/>
    <n v="2800"/>
    <n v="0.65"/>
    <n v="1820"/>
  </r>
  <r>
    <m/>
    <x v="7"/>
    <m/>
    <x v="14"/>
    <n v="2500"/>
    <n v="0.2"/>
    <n v="500"/>
  </r>
  <r>
    <m/>
    <x v="7"/>
    <m/>
    <x v="0"/>
    <n v="1000"/>
    <n v="1.1000000000000001"/>
    <n v="1100"/>
  </r>
  <r>
    <m/>
    <x v="7"/>
    <m/>
    <x v="16"/>
    <n v="2000"/>
    <n v="0.1"/>
    <n v="200"/>
  </r>
  <r>
    <m/>
    <x v="7"/>
    <m/>
    <x v="2"/>
    <n v="1000"/>
    <n v="0.45"/>
    <n v="450"/>
  </r>
  <r>
    <m/>
    <x v="7"/>
    <m/>
    <x v="15"/>
    <n v="150"/>
    <n v="0.55000000000000004"/>
    <n v="82.5"/>
  </r>
  <r>
    <m/>
    <x v="7"/>
    <m/>
    <x v="1"/>
    <n v="200"/>
    <n v="0.6"/>
    <n v="120"/>
  </r>
  <r>
    <m/>
    <x v="7"/>
    <m/>
    <x v="3"/>
    <n v="300"/>
    <n v="0.1"/>
    <n v="30"/>
  </r>
  <r>
    <n v="9"/>
    <x v="8"/>
    <n v="4"/>
    <x v="20"/>
    <n v="2500"/>
    <n v="12.08"/>
    <n v="30200"/>
  </r>
  <r>
    <m/>
    <x v="8"/>
    <m/>
    <x v="0"/>
    <n v="1000"/>
    <n v="1.9"/>
    <n v="1900"/>
  </r>
  <r>
    <m/>
    <x v="8"/>
    <m/>
    <x v="1"/>
    <n v="200"/>
    <n v="1.2"/>
    <n v="240"/>
  </r>
  <r>
    <m/>
    <x v="8"/>
    <m/>
    <x v="3"/>
    <n v="300"/>
    <n v="0.1"/>
    <n v="30"/>
  </r>
  <r>
    <m/>
    <x v="8"/>
    <m/>
    <x v="2"/>
    <n v="1000"/>
    <n v="1.45"/>
    <n v="1450"/>
  </r>
  <r>
    <n v="10"/>
    <x v="9"/>
    <n v="3"/>
    <x v="1"/>
    <n v="200"/>
    <n v="1.25"/>
    <n v="250"/>
  </r>
  <r>
    <m/>
    <x v="9"/>
    <m/>
    <x v="3"/>
    <n v="300"/>
    <n v="1.4"/>
    <n v="420"/>
  </r>
  <r>
    <m/>
    <x v="9"/>
    <m/>
    <x v="2"/>
    <n v="1000"/>
    <n v="1.8"/>
    <n v="1800"/>
  </r>
  <r>
    <m/>
    <x v="9"/>
    <m/>
    <x v="0"/>
    <n v="1000"/>
    <n v="12.2"/>
    <n v="12200"/>
  </r>
  <r>
    <m/>
    <x v="9"/>
    <m/>
    <x v="9"/>
    <n v="1800"/>
    <n v="0.4"/>
    <n v="720"/>
  </r>
  <r>
    <n v="11"/>
    <x v="10"/>
    <n v="4"/>
    <x v="2"/>
    <n v="1000"/>
    <n v="1.33"/>
    <n v="1330"/>
  </r>
  <r>
    <m/>
    <x v="10"/>
    <m/>
    <x v="15"/>
    <n v="150"/>
    <n v="0.3"/>
    <n v="45"/>
  </r>
  <r>
    <n v="12"/>
    <x v="11"/>
    <n v="5"/>
    <x v="21"/>
    <n v="3500"/>
    <n v="1.3"/>
    <n v="4550"/>
  </r>
  <r>
    <m/>
    <x v="11"/>
    <m/>
    <x v="1"/>
    <n v="200"/>
    <n v="0.6"/>
    <n v="120"/>
  </r>
  <r>
    <m/>
    <x v="11"/>
    <m/>
    <x v="0"/>
    <n v="1000"/>
    <n v="5.7"/>
    <n v="5700"/>
  </r>
  <r>
    <m/>
    <x v="11"/>
    <m/>
    <x v="14"/>
    <n v="2500"/>
    <n v="0.15"/>
    <n v="375"/>
  </r>
  <r>
    <m/>
    <x v="11"/>
    <m/>
    <x v="13"/>
    <n v="2800"/>
    <n v="0.3"/>
    <n v="840"/>
  </r>
  <r>
    <m/>
    <x v="11"/>
    <m/>
    <x v="6"/>
    <n v="1600"/>
    <n v="1.4"/>
    <n v="2240"/>
  </r>
  <r>
    <m/>
    <x v="11"/>
    <m/>
    <x v="4"/>
    <n v="1400"/>
    <n v="0.15"/>
    <n v="210"/>
  </r>
  <r>
    <m/>
    <x v="11"/>
    <m/>
    <x v="7"/>
    <n v="1500"/>
    <n v="0.3"/>
    <n v="450"/>
  </r>
  <r>
    <n v="13"/>
    <x v="12"/>
    <n v="1"/>
    <x v="15"/>
    <n v="150"/>
    <n v="2.2999999999999998"/>
    <n v="345"/>
  </r>
  <r>
    <m/>
    <x v="12"/>
    <m/>
    <x v="17"/>
    <n v="1600"/>
    <n v="1.8"/>
    <n v="2880"/>
  </r>
  <r>
    <m/>
    <x v="12"/>
    <m/>
    <x v="1"/>
    <n v="200"/>
    <n v="0.5"/>
    <n v="100"/>
  </r>
  <r>
    <m/>
    <x v="12"/>
    <m/>
    <x v="4"/>
    <n v="1400"/>
    <n v="2.95"/>
    <n v="4130"/>
  </r>
  <r>
    <m/>
    <x v="12"/>
    <m/>
    <x v="9"/>
    <n v="1800"/>
    <n v="0.5"/>
    <n v="900"/>
  </r>
  <r>
    <n v="14"/>
    <x v="13"/>
    <n v="1"/>
    <x v="3"/>
    <n v="300"/>
    <n v="6.4"/>
    <n v="1920"/>
  </r>
  <r>
    <m/>
    <x v="13"/>
    <m/>
    <x v="1"/>
    <n v="200"/>
    <n v="3.2"/>
    <n v="640"/>
  </r>
  <r>
    <m/>
    <x v="13"/>
    <m/>
    <x v="2"/>
    <n v="1000"/>
    <n v="1.05"/>
    <n v="1050"/>
  </r>
  <r>
    <m/>
    <x v="13"/>
    <m/>
    <x v="7"/>
    <n v="1500"/>
    <n v="0.7"/>
    <n v="1050"/>
  </r>
  <r>
    <n v="15"/>
    <x v="14"/>
    <n v="1"/>
    <x v="17"/>
    <n v="1600"/>
    <n v="1.7"/>
    <n v="2720"/>
  </r>
  <r>
    <m/>
    <x v="14"/>
    <m/>
    <x v="4"/>
    <n v="1400"/>
    <n v="1.05"/>
    <n v="1470"/>
  </r>
  <r>
    <n v="16"/>
    <x v="15"/>
    <n v="5"/>
    <x v="6"/>
    <n v="1600"/>
    <n v="0.7"/>
    <n v="1120"/>
  </r>
  <r>
    <m/>
    <x v="15"/>
    <m/>
    <x v="4"/>
    <n v="1400"/>
    <n v="1.05"/>
    <n v="1470"/>
  </r>
  <r>
    <m/>
    <x v="15"/>
    <m/>
    <x v="5"/>
    <n v="2700"/>
    <n v="0.55000000000000004"/>
    <n v="1485.0000000000002"/>
  </r>
  <r>
    <m/>
    <x v="15"/>
    <m/>
    <x v="1"/>
    <n v="200"/>
    <n v="0.9"/>
    <n v="180"/>
  </r>
  <r>
    <m/>
    <x v="15"/>
    <m/>
    <x v="14"/>
    <n v="2500"/>
    <n v="0.3"/>
    <n v="750"/>
  </r>
  <r>
    <m/>
    <x v="15"/>
    <m/>
    <x v="19"/>
    <n v="4000"/>
    <n v="0.95"/>
    <n v="3800"/>
  </r>
  <r>
    <m/>
    <x v="15"/>
    <m/>
    <x v="7"/>
    <n v="1500"/>
    <n v="0.2"/>
    <n v="300"/>
  </r>
  <r>
    <m/>
    <x v="15"/>
    <m/>
    <x v="12"/>
    <n v="1400"/>
    <n v="2.15"/>
    <n v="3010"/>
  </r>
  <r>
    <m/>
    <x v="15"/>
    <m/>
    <x v="13"/>
    <n v="2800"/>
    <n v="2.0499999999999998"/>
    <n v="5739.9999999999991"/>
  </r>
  <r>
    <n v="17"/>
    <x v="16"/>
    <n v="4"/>
    <x v="13"/>
    <n v="2800"/>
    <n v="1.25"/>
    <n v="3500"/>
  </r>
  <r>
    <m/>
    <x v="16"/>
    <m/>
    <x v="14"/>
    <n v="2500"/>
    <n v="0.15"/>
    <n v="375"/>
  </r>
  <r>
    <m/>
    <x v="16"/>
    <m/>
    <x v="0"/>
    <n v="1000"/>
    <n v="1.55"/>
    <n v="1550"/>
  </r>
  <r>
    <m/>
    <x v="16"/>
    <m/>
    <x v="2"/>
    <n v="1000"/>
    <n v="0.25"/>
    <n v="250"/>
  </r>
  <r>
    <m/>
    <x v="16"/>
    <m/>
    <x v="20"/>
    <n v="2500"/>
    <n v="0.15"/>
    <n v="375"/>
  </r>
  <r>
    <m/>
    <x v="16"/>
    <m/>
    <x v="3"/>
    <n v="300"/>
    <n v="0.25"/>
    <n v="75"/>
  </r>
  <r>
    <m/>
    <x v="16"/>
    <m/>
    <x v="1"/>
    <n v="200"/>
    <n v="0.25"/>
    <n v="50"/>
  </r>
  <r>
    <m/>
    <x v="16"/>
    <m/>
    <x v="7"/>
    <n v="1500"/>
    <n v="0.25"/>
    <n v="375"/>
  </r>
  <r>
    <m/>
    <x v="16"/>
    <m/>
    <x v="4"/>
    <n v="1400"/>
    <n v="0.15"/>
    <n v="210"/>
  </r>
  <r>
    <m/>
    <x v="16"/>
    <m/>
    <x v="19"/>
    <n v="4000"/>
    <n v="0.65"/>
    <n v="2600"/>
  </r>
  <r>
    <n v="18"/>
    <x v="17"/>
    <n v="2"/>
    <x v="4"/>
    <n v="1400"/>
    <n v="1.28"/>
    <n v="1792"/>
  </r>
  <r>
    <m/>
    <x v="17"/>
    <m/>
    <x v="7"/>
    <n v="1500"/>
    <n v="0.45"/>
    <n v="675"/>
  </r>
  <r>
    <m/>
    <x v="17"/>
    <m/>
    <x v="1"/>
    <n v="200"/>
    <n v="0.55000000000000004"/>
    <n v="110.00000000000001"/>
  </r>
  <r>
    <m/>
    <x v="17"/>
    <m/>
    <x v="17"/>
    <n v="1600"/>
    <n v="0.15"/>
    <n v="240"/>
  </r>
  <r>
    <m/>
    <x v="17"/>
    <m/>
    <x v="0"/>
    <n v="1000"/>
    <n v="2.1"/>
    <n v="2100"/>
  </r>
  <r>
    <m/>
    <x v="17"/>
    <m/>
    <x v="3"/>
    <n v="300"/>
    <n v="0.55000000000000004"/>
    <n v="165"/>
  </r>
  <r>
    <m/>
    <x v="17"/>
    <m/>
    <x v="14"/>
    <n v="2500"/>
    <n v="0.1"/>
    <n v="250"/>
  </r>
  <r>
    <m/>
    <x v="17"/>
    <m/>
    <x v="22"/>
    <n v="3500"/>
    <n v="0.25"/>
    <n v="875"/>
  </r>
  <r>
    <m/>
    <x v="17"/>
    <m/>
    <x v="13"/>
    <n v="2800"/>
    <n v="1.75"/>
    <n v="4900"/>
  </r>
  <r>
    <n v="19"/>
    <x v="18"/>
    <n v="4"/>
    <x v="1"/>
    <n v="200"/>
    <n v="1.2"/>
    <n v="240"/>
  </r>
  <r>
    <m/>
    <x v="18"/>
    <m/>
    <x v="3"/>
    <n v="300"/>
    <n v="2.7"/>
    <n v="810"/>
  </r>
  <r>
    <m/>
    <x v="18"/>
    <m/>
    <x v="4"/>
    <n v="1400"/>
    <n v="0.2"/>
    <n v="280"/>
  </r>
  <r>
    <m/>
    <x v="18"/>
    <m/>
    <x v="0"/>
    <n v="1000"/>
    <n v="0.15"/>
    <n v="150"/>
  </r>
  <r>
    <m/>
    <x v="18"/>
    <m/>
    <x v="12"/>
    <n v="1400"/>
    <n v="2.2999999999999998"/>
    <n v="3219.9999999999995"/>
  </r>
  <r>
    <m/>
    <x v="18"/>
    <m/>
    <x v="8"/>
    <n v="1200"/>
    <n v="9.0500000000000007"/>
    <n v="10860"/>
  </r>
  <r>
    <m/>
    <x v="18"/>
    <m/>
    <x v="18"/>
    <n v="800"/>
    <n v="8.75"/>
    <n v="7000"/>
  </r>
  <r>
    <n v="20"/>
    <x v="19"/>
    <n v="6"/>
    <x v="13"/>
    <n v="2800"/>
    <n v="1.4500000000000002"/>
    <n v="4060.0000000000005"/>
  </r>
  <r>
    <m/>
    <x v="19"/>
    <m/>
    <x v="4"/>
    <n v="1400"/>
    <n v="0.95"/>
    <n v="1330"/>
  </r>
  <r>
    <m/>
    <x v="19"/>
    <m/>
    <x v="0"/>
    <n v="1000"/>
    <n v="4.05"/>
    <n v="4050"/>
  </r>
  <r>
    <m/>
    <x v="19"/>
    <m/>
    <x v="6"/>
    <n v="1600"/>
    <n v="0.15"/>
    <n v="240"/>
  </r>
  <r>
    <m/>
    <x v="19"/>
    <m/>
    <x v="21"/>
    <n v="3500"/>
    <n v="0.65"/>
    <n v="2275"/>
  </r>
  <r>
    <m/>
    <x v="19"/>
    <m/>
    <x v="7"/>
    <n v="1500"/>
    <n v="0.25"/>
    <n v="375"/>
  </r>
  <r>
    <m/>
    <x v="19"/>
    <m/>
    <x v="16"/>
    <n v="2000"/>
    <n v="0.25"/>
    <n v="500"/>
  </r>
  <r>
    <m/>
    <x v="19"/>
    <m/>
    <x v="2"/>
    <n v="1000"/>
    <n v="0.7"/>
    <n v="700"/>
  </r>
  <r>
    <m/>
    <x v="19"/>
    <m/>
    <x v="14"/>
    <n v="2500"/>
    <n v="0.15"/>
    <n v="375"/>
  </r>
  <r>
    <m/>
    <x v="19"/>
    <m/>
    <x v="1"/>
    <n v="200"/>
    <n v="0.15"/>
    <n v="30"/>
  </r>
  <r>
    <m/>
    <x v="19"/>
    <m/>
    <x v="3"/>
    <n v="300"/>
    <n v="0.25"/>
    <n v="75"/>
  </r>
  <r>
    <m/>
    <x v="19"/>
    <m/>
    <x v="23"/>
    <n v="8000"/>
    <n v="0.1"/>
    <n v="800"/>
  </r>
  <r>
    <n v="21"/>
    <x v="20"/>
    <n v="3"/>
    <x v="20"/>
    <n v="2500"/>
    <n v="3.1"/>
    <n v="7750"/>
  </r>
  <r>
    <m/>
    <x v="20"/>
    <m/>
    <x v="13"/>
    <n v="2800"/>
    <n v="0.6"/>
    <n v="1680"/>
  </r>
  <r>
    <m/>
    <x v="20"/>
    <m/>
    <x v="14"/>
    <n v="2500"/>
    <n v="0.1"/>
    <n v="250"/>
  </r>
  <r>
    <m/>
    <x v="20"/>
    <m/>
    <x v="22"/>
    <n v="3500"/>
    <n v="0.2"/>
    <n v="700"/>
  </r>
  <r>
    <m/>
    <x v="20"/>
    <m/>
    <x v="4"/>
    <n v="1400"/>
    <n v="0.5"/>
    <n v="700"/>
  </r>
  <r>
    <m/>
    <x v="20"/>
    <m/>
    <x v="16"/>
    <n v="2000"/>
    <n v="0.2"/>
    <n v="400"/>
  </r>
  <r>
    <n v="22"/>
    <x v="21"/>
    <n v="4"/>
    <x v="2"/>
    <n v="1000"/>
    <n v="0.45"/>
    <n v="450"/>
  </r>
  <r>
    <m/>
    <x v="21"/>
    <m/>
    <x v="1"/>
    <n v="200"/>
    <n v="0.65"/>
    <n v="130"/>
  </r>
  <r>
    <m/>
    <x v="21"/>
    <m/>
    <x v="14"/>
    <n v="2500"/>
    <n v="0.25"/>
    <n v="625"/>
  </r>
  <r>
    <m/>
    <x v="21"/>
    <m/>
    <x v="0"/>
    <n v="1000"/>
    <n v="1.3"/>
    <n v="1300"/>
  </r>
  <r>
    <m/>
    <x v="21"/>
    <m/>
    <x v="3"/>
    <n v="300"/>
    <n v="2"/>
    <n v="600"/>
  </r>
  <r>
    <m/>
    <x v="21"/>
    <m/>
    <x v="7"/>
    <n v="1500"/>
    <n v="0.1"/>
    <n v="150"/>
  </r>
  <r>
    <m/>
    <x v="21"/>
    <m/>
    <x v="9"/>
    <n v="1800"/>
    <n v="0.3"/>
    <n v="540"/>
  </r>
  <r>
    <m/>
    <x v="21"/>
    <m/>
    <x v="4"/>
    <n v="1400"/>
    <n v="0.4"/>
    <n v="560"/>
  </r>
  <r>
    <n v="23"/>
    <x v="22"/>
    <n v="4"/>
    <x v="1"/>
    <n v="200"/>
    <n v="0.35"/>
    <n v="70"/>
  </r>
  <r>
    <m/>
    <x v="22"/>
    <m/>
    <x v="4"/>
    <n v="1400"/>
    <n v="1.4"/>
    <n v="1959.9999999999998"/>
  </r>
  <r>
    <m/>
    <x v="22"/>
    <m/>
    <x v="14"/>
    <n v="2500"/>
    <n v="0.2"/>
    <n v="500"/>
  </r>
  <r>
    <m/>
    <x v="22"/>
    <m/>
    <x v="0"/>
    <n v="1000"/>
    <n v="1.65"/>
    <n v="1650"/>
  </r>
  <r>
    <m/>
    <x v="22"/>
    <m/>
    <x v="24"/>
    <n v="600"/>
    <n v="0.35"/>
    <n v="210"/>
  </r>
  <r>
    <m/>
    <x v="22"/>
    <m/>
    <x v="13"/>
    <n v="2800"/>
    <n v="1.5"/>
    <n v="4200"/>
  </r>
  <r>
    <n v="24"/>
    <x v="23"/>
    <n v="4"/>
    <x v="0"/>
    <n v="1000"/>
    <n v="1.6"/>
    <n v="1600"/>
  </r>
  <r>
    <m/>
    <x v="23"/>
    <m/>
    <x v="20"/>
    <n v="2500"/>
    <n v="18.2"/>
    <n v="45500"/>
  </r>
  <r>
    <m/>
    <x v="23"/>
    <m/>
    <x v="25"/>
    <n v="800"/>
    <n v="0.9"/>
    <n v="720"/>
  </r>
  <r>
    <m/>
    <x v="23"/>
    <m/>
    <x v="9"/>
    <n v="1800"/>
    <n v="0.15"/>
    <n v="270"/>
  </r>
  <r>
    <m/>
    <x v="23"/>
    <m/>
    <x v="1"/>
    <n v="200"/>
    <n v="0.1"/>
    <n v="20"/>
  </r>
  <r>
    <m/>
    <x v="23"/>
    <m/>
    <x v="3"/>
    <n v="300"/>
    <n v="0.4"/>
    <n v="120"/>
  </r>
  <r>
    <m/>
    <x v="23"/>
    <m/>
    <x v="2"/>
    <n v="1000"/>
    <n v="0.8"/>
    <n v="800"/>
  </r>
  <r>
    <n v="25"/>
    <x v="24"/>
    <n v="1"/>
    <x v="1"/>
    <n v="200"/>
    <n v="3.3"/>
    <n v="660"/>
  </r>
  <r>
    <m/>
    <x v="24"/>
    <m/>
    <x v="15"/>
    <n v="150"/>
    <n v="0.3"/>
    <n v="45"/>
  </r>
  <r>
    <m/>
    <x v="24"/>
    <m/>
    <x v="23"/>
    <n v="8000"/>
    <n v="0.25"/>
    <n v="2000"/>
  </r>
  <r>
    <m/>
    <x v="24"/>
    <m/>
    <x v="3"/>
    <n v="300"/>
    <n v="0.6"/>
    <n v="180"/>
  </r>
  <r>
    <m/>
    <x v="24"/>
    <m/>
    <x v="17"/>
    <n v="1600"/>
    <n v="0.15"/>
    <n v="240"/>
  </r>
  <r>
    <m/>
    <x v="24"/>
    <m/>
    <x v="2"/>
    <n v="1000"/>
    <n v="0.3"/>
    <n v="300"/>
  </r>
  <r>
    <n v="26"/>
    <x v="25"/>
    <n v="3"/>
    <x v="13"/>
    <n v="2800"/>
    <n v="0.7"/>
    <n v="1959.9999999999998"/>
  </r>
  <r>
    <m/>
    <x v="25"/>
    <m/>
    <x v="17"/>
    <n v="1600"/>
    <n v="0.3"/>
    <n v="480"/>
  </r>
  <r>
    <m/>
    <x v="25"/>
    <m/>
    <x v="1"/>
    <n v="200"/>
    <n v="0.85"/>
    <n v="170"/>
  </r>
  <r>
    <m/>
    <x v="25"/>
    <m/>
    <x v="7"/>
    <n v="1500"/>
    <n v="0.3"/>
    <n v="450"/>
  </r>
  <r>
    <m/>
    <x v="25"/>
    <m/>
    <x v="14"/>
    <n v="2500"/>
    <n v="0.1"/>
    <n v="250"/>
  </r>
  <r>
    <m/>
    <x v="25"/>
    <m/>
    <x v="0"/>
    <n v="1000"/>
    <n v="1.4"/>
    <n v="1400"/>
  </r>
  <r>
    <n v="27"/>
    <x v="26"/>
    <n v="4"/>
    <x v="17"/>
    <n v="1600"/>
    <n v="0.3"/>
    <n v="480"/>
  </r>
  <r>
    <m/>
    <x v="26"/>
    <m/>
    <x v="0"/>
    <n v="1000"/>
    <n v="1.55"/>
    <n v="1550"/>
  </r>
  <r>
    <m/>
    <x v="26"/>
    <m/>
    <x v="2"/>
    <n v="1000"/>
    <n v="0.85"/>
    <n v="850"/>
  </r>
  <r>
    <n v="28"/>
    <x v="27"/>
    <n v="6"/>
    <x v="2"/>
    <n v="1000"/>
    <n v="1.65"/>
    <n v="1650"/>
  </r>
  <r>
    <m/>
    <x v="27"/>
    <m/>
    <x v="1"/>
    <n v="200"/>
    <n v="0.3"/>
    <n v="60"/>
  </r>
  <r>
    <m/>
    <x v="27"/>
    <m/>
    <x v="17"/>
    <n v="1600"/>
    <n v="0.3"/>
    <n v="480"/>
  </r>
  <r>
    <m/>
    <x v="27"/>
    <m/>
    <x v="4"/>
    <n v="1400"/>
    <n v="2.7"/>
    <n v="3780.0000000000005"/>
  </r>
  <r>
    <n v="29"/>
    <x v="28"/>
    <n v="4"/>
    <x v="26"/>
    <n v="6000"/>
    <n v="1.3"/>
    <n v="7800"/>
  </r>
  <r>
    <m/>
    <x v="28"/>
    <m/>
    <x v="20"/>
    <n v="2500"/>
    <n v="0.3"/>
    <n v="750"/>
  </r>
  <r>
    <m/>
    <x v="28"/>
    <m/>
    <x v="4"/>
    <n v="1400"/>
    <n v="0.4"/>
    <n v="560"/>
  </r>
  <r>
    <m/>
    <x v="28"/>
    <m/>
    <x v="1"/>
    <n v="200"/>
    <n v="0.1"/>
    <n v="20"/>
  </r>
  <r>
    <m/>
    <x v="28"/>
    <m/>
    <x v="0"/>
    <n v="1000"/>
    <n v="0.15"/>
    <n v="150"/>
  </r>
  <r>
    <m/>
    <x v="28"/>
    <m/>
    <x v="12"/>
    <n v="1400"/>
    <n v="17.649999999999999"/>
    <n v="24709.999999999996"/>
  </r>
  <r>
    <m/>
    <x v="28"/>
    <m/>
    <x v="13"/>
    <n v="2800"/>
    <n v="0.35"/>
    <n v="979.99999999999989"/>
  </r>
  <r>
    <n v="30"/>
    <x v="29"/>
    <n v="2"/>
    <x v="17"/>
    <n v="1600"/>
    <n v="1.5"/>
    <n v="2400"/>
  </r>
  <r>
    <m/>
    <x v="29"/>
    <m/>
    <x v="0"/>
    <n v="1000"/>
    <n v="0.9"/>
    <n v="900"/>
  </r>
  <r>
    <m/>
    <x v="29"/>
    <m/>
    <x v="1"/>
    <n v="200"/>
    <n v="0.1"/>
    <n v="20"/>
  </r>
  <r>
    <m/>
    <x v="29"/>
    <m/>
    <x v="3"/>
    <n v="300"/>
    <n v="0.2"/>
    <n v="60"/>
  </r>
  <r>
    <m/>
    <x v="29"/>
    <m/>
    <x v="2"/>
    <n v="1000"/>
    <n v="0.2"/>
    <n v="200"/>
  </r>
  <r>
    <m/>
    <x v="29"/>
    <m/>
    <x v="7"/>
    <n v="1500"/>
    <n v="0.3"/>
    <n v="450"/>
  </r>
  <r>
    <m/>
    <x v="29"/>
    <m/>
    <x v="15"/>
    <n v="150"/>
    <n v="0.3"/>
    <n v="45"/>
  </r>
  <r>
    <m/>
    <x v="29"/>
    <m/>
    <x v="4"/>
    <n v="1400"/>
    <n v="0.35"/>
    <n v="489.99999999999994"/>
  </r>
  <r>
    <m/>
    <x v="29"/>
    <m/>
    <x v="23"/>
    <n v="8000"/>
    <n v="0.1"/>
    <n v="800"/>
  </r>
  <r>
    <n v="31"/>
    <x v="30"/>
    <n v="3"/>
    <x v="0"/>
    <n v="1000"/>
    <n v="2"/>
    <n v="2000"/>
  </r>
  <r>
    <m/>
    <x v="30"/>
    <m/>
    <x v="17"/>
    <n v="1600"/>
    <n v="0.3"/>
    <n v="480"/>
  </r>
  <r>
    <m/>
    <x v="30"/>
    <m/>
    <x v="1"/>
    <n v="200"/>
    <n v="0.3"/>
    <n v="60"/>
  </r>
  <r>
    <m/>
    <x v="30"/>
    <m/>
    <x v="21"/>
    <n v="3500"/>
    <n v="0.45"/>
    <n v="1575"/>
  </r>
  <r>
    <m/>
    <x v="30"/>
    <m/>
    <x v="3"/>
    <n v="300"/>
    <n v="0.55000000000000004"/>
    <n v="165"/>
  </r>
  <r>
    <m/>
    <x v="30"/>
    <m/>
    <x v="23"/>
    <n v="8000"/>
    <n v="0.45"/>
    <n v="3600"/>
  </r>
  <r>
    <m/>
    <x v="30"/>
    <m/>
    <x v="13"/>
    <n v="2800"/>
    <n v="0.7"/>
    <n v="1959.9999999999998"/>
  </r>
  <r>
    <m/>
    <x v="30"/>
    <m/>
    <x v="4"/>
    <n v="1400"/>
    <n v="0.35"/>
    <n v="489.99999999999994"/>
  </r>
  <r>
    <n v="32"/>
    <x v="31"/>
    <n v="1"/>
    <x v="2"/>
    <n v="1000"/>
    <n v="0.8"/>
    <n v="800"/>
  </r>
  <r>
    <n v="33"/>
    <x v="32"/>
    <n v="4"/>
    <x v="4"/>
    <n v="1400"/>
    <n v="0.53"/>
    <n v="742"/>
  </r>
  <r>
    <m/>
    <x v="32"/>
    <m/>
    <x v="1"/>
    <n v="200"/>
    <n v="0.8"/>
    <n v="160"/>
  </r>
  <r>
    <m/>
    <x v="32"/>
    <m/>
    <x v="15"/>
    <n v="150"/>
    <n v="1"/>
    <n v="150"/>
  </r>
  <r>
    <m/>
    <x v="32"/>
    <m/>
    <x v="7"/>
    <n v="1500"/>
    <n v="1.35"/>
    <n v="2025.0000000000002"/>
  </r>
  <r>
    <m/>
    <x v="32"/>
    <m/>
    <x v="2"/>
    <n v="1000"/>
    <n v="0.55000000000000004"/>
    <n v="550"/>
  </r>
  <r>
    <m/>
    <x v="32"/>
    <m/>
    <x v="13"/>
    <n v="2800"/>
    <n v="0.9"/>
    <n v="2520"/>
  </r>
  <r>
    <n v="34"/>
    <x v="33"/>
    <n v="4"/>
    <x v="0"/>
    <n v="1000"/>
    <n v="7.7"/>
    <n v="7700"/>
  </r>
  <r>
    <m/>
    <x v="33"/>
    <m/>
    <x v="21"/>
    <n v="3500"/>
    <n v="0.2"/>
    <n v="700"/>
  </r>
  <r>
    <m/>
    <x v="33"/>
    <m/>
    <x v="15"/>
    <n v="150"/>
    <n v="1"/>
    <n v="150"/>
  </r>
  <r>
    <m/>
    <x v="33"/>
    <m/>
    <x v="24"/>
    <n v="600"/>
    <n v="0.5"/>
    <n v="300"/>
  </r>
  <r>
    <m/>
    <x v="33"/>
    <m/>
    <x v="2"/>
    <n v="1000"/>
    <n v="0.25"/>
    <n v="250"/>
  </r>
  <r>
    <n v="35"/>
    <x v="34"/>
    <n v="3"/>
    <x v="7"/>
    <n v="1500"/>
    <n v="0.55000000000000004"/>
    <n v="825.00000000000011"/>
  </r>
  <r>
    <m/>
    <x v="34"/>
    <m/>
    <x v="16"/>
    <n v="2000"/>
    <n v="0.2"/>
    <n v="400"/>
  </r>
  <r>
    <m/>
    <x v="34"/>
    <m/>
    <x v="4"/>
    <n v="1400"/>
    <n v="1.05"/>
    <n v="1470"/>
  </r>
  <r>
    <m/>
    <x v="34"/>
    <m/>
    <x v="9"/>
    <n v="1800"/>
    <n v="1.35"/>
    <n v="2430"/>
  </r>
  <r>
    <m/>
    <x v="34"/>
    <m/>
    <x v="0"/>
    <n v="1000"/>
    <n v="0.95"/>
    <n v="950"/>
  </r>
  <r>
    <m/>
    <x v="34"/>
    <m/>
    <x v="3"/>
    <n v="300"/>
    <n v="0.35"/>
    <n v="105"/>
  </r>
  <r>
    <n v="36"/>
    <x v="35"/>
    <n v="2"/>
    <x v="1"/>
    <n v="200"/>
    <n v="1"/>
    <n v="200"/>
  </r>
  <r>
    <m/>
    <x v="35"/>
    <m/>
    <x v="3"/>
    <n v="300"/>
    <n v="0.15"/>
    <n v="45"/>
  </r>
  <r>
    <m/>
    <x v="35"/>
    <m/>
    <x v="2"/>
    <n v="1000"/>
    <n v="1.45"/>
    <n v="1450"/>
  </r>
  <r>
    <m/>
    <x v="35"/>
    <m/>
    <x v="27"/>
    <n v="400"/>
    <n v="1.25"/>
    <n v="500"/>
  </r>
  <r>
    <m/>
    <x v="35"/>
    <m/>
    <x v="4"/>
    <n v="1400"/>
    <n v="6.2"/>
    <n v="8680"/>
  </r>
  <r>
    <m/>
    <x v="35"/>
    <m/>
    <x v="15"/>
    <n v="150"/>
    <n v="7.2"/>
    <n v="1080"/>
  </r>
  <r>
    <n v="37"/>
    <x v="36"/>
    <n v="4"/>
    <x v="13"/>
    <n v="2800"/>
    <n v="0.65"/>
    <n v="1820"/>
  </r>
  <r>
    <m/>
    <x v="36"/>
    <m/>
    <x v="3"/>
    <n v="300"/>
    <n v="1.6500000000000001"/>
    <n v="495.00000000000006"/>
  </r>
  <r>
    <m/>
    <x v="36"/>
    <m/>
    <x v="16"/>
    <n v="2000"/>
    <n v="0.1"/>
    <n v="200"/>
  </r>
  <r>
    <m/>
    <x v="36"/>
    <m/>
    <x v="7"/>
    <n v="1500"/>
    <n v="0.4"/>
    <n v="600"/>
  </r>
  <r>
    <m/>
    <x v="36"/>
    <m/>
    <x v="4"/>
    <n v="1400"/>
    <n v="0.4"/>
    <n v="560"/>
  </r>
  <r>
    <m/>
    <x v="36"/>
    <m/>
    <x v="17"/>
    <n v="1600"/>
    <n v="0.16"/>
    <n v="256"/>
  </r>
  <r>
    <m/>
    <x v="36"/>
    <m/>
    <x v="1"/>
    <n v="200"/>
    <n v="0.5"/>
    <n v="100"/>
  </r>
  <r>
    <m/>
    <x v="36"/>
    <m/>
    <x v="14"/>
    <n v="2500"/>
    <n v="0.2"/>
    <n v="500"/>
  </r>
  <r>
    <m/>
    <x v="36"/>
    <m/>
    <x v="0"/>
    <n v="1000"/>
    <n v="0.6"/>
    <n v="600"/>
  </r>
  <r>
    <m/>
    <x v="36"/>
    <m/>
    <x v="2"/>
    <n v="1000"/>
    <n v="0.6"/>
    <n v="600"/>
  </r>
  <r>
    <n v="38"/>
    <x v="37"/>
    <n v="5"/>
    <x v="15"/>
    <n v="150"/>
    <n v="2.6"/>
    <n v="390"/>
  </r>
  <r>
    <m/>
    <x v="37"/>
    <m/>
    <x v="7"/>
    <n v="1500"/>
    <n v="1"/>
    <n v="1500"/>
  </r>
  <r>
    <m/>
    <x v="37"/>
    <m/>
    <x v="2"/>
    <n v="1000"/>
    <n v="0.9"/>
    <n v="900"/>
  </r>
  <r>
    <m/>
    <x v="37"/>
    <m/>
    <x v="0"/>
    <n v="1000"/>
    <n v="1.5"/>
    <n v="1500"/>
  </r>
  <r>
    <n v="39"/>
    <x v="38"/>
    <n v="4"/>
    <x v="16"/>
    <n v="2000"/>
    <n v="0.15"/>
    <n v="300"/>
  </r>
  <r>
    <m/>
    <x v="38"/>
    <m/>
    <x v="1"/>
    <n v="200"/>
    <n v="0.3"/>
    <n v="60"/>
  </r>
  <r>
    <m/>
    <x v="38"/>
    <m/>
    <x v="3"/>
    <n v="300"/>
    <n v="0.16"/>
    <n v="48"/>
  </r>
  <r>
    <m/>
    <x v="38"/>
    <m/>
    <x v="2"/>
    <n v="1000"/>
    <n v="0.6"/>
    <n v="600"/>
  </r>
  <r>
    <m/>
    <x v="38"/>
    <m/>
    <x v="13"/>
    <n v="2800"/>
    <n v="0.25"/>
    <n v="700"/>
  </r>
  <r>
    <m/>
    <x v="38"/>
    <m/>
    <x v="0"/>
    <n v="1000"/>
    <n v="1.95"/>
    <n v="1950"/>
  </r>
  <r>
    <n v="40"/>
    <x v="39"/>
    <n v="4"/>
    <x v="3"/>
    <n v="300"/>
    <n v="1.7"/>
    <n v="510"/>
  </r>
  <r>
    <m/>
    <x v="39"/>
    <m/>
    <x v="0"/>
    <n v="1000"/>
    <n v="0.65"/>
    <n v="650"/>
  </r>
  <r>
    <m/>
    <x v="39"/>
    <m/>
    <x v="15"/>
    <n v="150"/>
    <n v="0.75"/>
    <n v="112.5"/>
  </r>
  <r>
    <m/>
    <x v="39"/>
    <m/>
    <x v="4"/>
    <n v="1400"/>
    <n v="1.45"/>
    <n v="2030"/>
  </r>
  <r>
    <m/>
    <x v="39"/>
    <m/>
    <x v="1"/>
    <n v="200"/>
    <n v="0.95"/>
    <n v="190"/>
  </r>
  <r>
    <m/>
    <x v="39"/>
    <m/>
    <x v="13"/>
    <n v="2800"/>
    <n v="0.8"/>
    <n v="2240"/>
  </r>
  <r>
    <m/>
    <x v="39"/>
    <m/>
    <x v="2"/>
    <n v="1000"/>
    <n v="2.6"/>
    <n v="2600"/>
  </r>
  <r>
    <n v="41"/>
    <x v="40"/>
    <n v="4"/>
    <x v="20"/>
    <n v="2500"/>
    <n v="1.3"/>
    <n v="3250"/>
  </r>
  <r>
    <m/>
    <x v="40"/>
    <m/>
    <x v="0"/>
    <n v="1000"/>
    <n v="1.1000000000000001"/>
    <n v="1100"/>
  </r>
  <r>
    <m/>
    <x v="40"/>
    <m/>
    <x v="3"/>
    <n v="300"/>
    <n v="0.35"/>
    <n v="105"/>
  </r>
  <r>
    <m/>
    <x v="40"/>
    <m/>
    <x v="1"/>
    <n v="200"/>
    <n v="0.55000000000000004"/>
    <n v="110.00000000000001"/>
  </r>
  <r>
    <m/>
    <x v="40"/>
    <m/>
    <x v="4"/>
    <n v="1400"/>
    <n v="0.6"/>
    <n v="840"/>
  </r>
  <r>
    <m/>
    <x v="40"/>
    <m/>
    <x v="13"/>
    <n v="2800"/>
    <n v="0.15"/>
    <n v="420"/>
  </r>
  <r>
    <m/>
    <x v="40"/>
    <m/>
    <x v="8"/>
    <n v="1200"/>
    <n v="6.8"/>
    <n v="8160"/>
  </r>
  <r>
    <n v="42"/>
    <x v="41"/>
    <s v="Pos"/>
    <x v="4"/>
    <n v="1400"/>
    <n v="3.7"/>
    <n v="5180"/>
  </r>
  <r>
    <n v="43"/>
    <x v="42"/>
    <n v="5"/>
    <x v="4"/>
    <n v="1400"/>
    <n v="1.95"/>
    <n v="2730"/>
  </r>
  <r>
    <m/>
    <x v="42"/>
    <m/>
    <x v="13"/>
    <n v="2800"/>
    <n v="0.4"/>
    <n v="1120"/>
  </r>
  <r>
    <m/>
    <x v="42"/>
    <m/>
    <x v="1"/>
    <n v="200"/>
    <n v="5.75"/>
    <n v="1150"/>
  </r>
  <r>
    <n v="43"/>
    <x v="43"/>
    <n v="7"/>
    <x v="2"/>
    <n v="1000"/>
    <n v="1.1499999999999999"/>
    <n v="1150"/>
  </r>
  <r>
    <m/>
    <x v="43"/>
    <m/>
    <x v="16"/>
    <n v="2000"/>
    <n v="0.45"/>
    <n v="900"/>
  </r>
  <r>
    <m/>
    <x v="43"/>
    <m/>
    <x v="1"/>
    <n v="200"/>
    <n v="2.25"/>
    <n v="45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n v="1"/>
    <x v="0"/>
    <n v="4"/>
    <s v="Asoy"/>
    <n v="200"/>
    <n v="1.5"/>
    <n v="300"/>
  </r>
  <r>
    <m/>
    <x v="0"/>
    <m/>
    <s v="Gabrukan"/>
    <n v="1000"/>
    <n v="4.1999999999999993"/>
    <n v="4199.9999999999991"/>
  </r>
  <r>
    <m/>
    <x v="0"/>
    <m/>
    <s v="Kardus Baik/Kering"/>
    <n v="1000"/>
    <n v="3.35"/>
    <n v="3350"/>
  </r>
  <r>
    <m/>
    <x v="0"/>
    <m/>
    <s v="Galon Aqua"/>
    <n v="4000"/>
    <n v="1"/>
    <n v="4000"/>
  </r>
  <r>
    <m/>
    <x v="0"/>
    <m/>
    <s v="Emberan"/>
    <n v="1400"/>
    <n v="0.75"/>
    <n v="1050"/>
  </r>
  <r>
    <n v="2"/>
    <x v="1"/>
    <n v="4"/>
    <s v="Kardus Baik/Kering"/>
    <n v="1000"/>
    <n v="2.1"/>
    <n v="2100"/>
  </r>
  <r>
    <m/>
    <x v="1"/>
    <m/>
    <s v="Gabrukan"/>
    <n v="1000"/>
    <n v="0.45"/>
    <n v="450"/>
  </r>
  <r>
    <m/>
    <x v="1"/>
    <m/>
    <s v="Seng"/>
    <n v="800"/>
    <n v="0.2"/>
    <n v="160"/>
  </r>
  <r>
    <m/>
    <x v="1"/>
    <m/>
    <s v="Besi"/>
    <n v="2500"/>
    <n v="4.55"/>
    <n v="11375"/>
  </r>
  <r>
    <n v="3"/>
    <x v="2"/>
    <n v="5"/>
    <s v="Kardus Baik/Kering"/>
    <n v="1000"/>
    <n v="4.95"/>
    <n v="4950"/>
  </r>
  <r>
    <m/>
    <x v="2"/>
    <m/>
    <s v="Multilayer"/>
    <n v="300"/>
    <n v="0.55000000000000004"/>
    <n v="165"/>
  </r>
  <r>
    <m/>
    <x v="2"/>
    <m/>
    <s v="Tutup Botol"/>
    <n v="2500"/>
    <n v="0.1"/>
    <n v="250"/>
  </r>
  <r>
    <m/>
    <x v="2"/>
    <m/>
    <s v="Gelas Putih Bersih"/>
    <n v="3500"/>
    <n v="0.3"/>
    <n v="1050"/>
  </r>
  <r>
    <m/>
    <x v="2"/>
    <m/>
    <s v="Asoy"/>
    <n v="200"/>
    <n v="0.15"/>
    <n v="30"/>
  </r>
  <r>
    <m/>
    <x v="2"/>
    <m/>
    <s v="Botol Putih Bersih"/>
    <n v="2800"/>
    <n v="0.45"/>
    <n v="1260"/>
  </r>
  <r>
    <m/>
    <x v="2"/>
    <m/>
    <s v="Boncos"/>
    <n v="300"/>
    <n v="0.6"/>
    <n v="180"/>
  </r>
  <r>
    <m/>
    <x v="2"/>
    <m/>
    <s v="Emberan"/>
    <n v="1400"/>
    <n v="0.95"/>
    <n v="1330"/>
  </r>
  <r>
    <m/>
    <x v="2"/>
    <m/>
    <s v="Kaleng"/>
    <n v="1500"/>
    <n v="0.15"/>
    <n v="225"/>
  </r>
  <r>
    <m/>
    <x v="2"/>
    <m/>
    <s v="Botol &amp; Kaca Beling"/>
    <n v="150"/>
    <n v="1.6"/>
    <n v="240"/>
  </r>
  <r>
    <m/>
    <x v="2"/>
    <m/>
    <s v="Naso"/>
    <n v="2000"/>
    <n v="0.95"/>
    <n v="1900"/>
  </r>
  <r>
    <n v="4"/>
    <x v="3"/>
    <n v="4"/>
    <s v="Emberan"/>
    <n v="1400"/>
    <n v="14.849999999999998"/>
    <n v="20789.999999999996"/>
  </r>
  <r>
    <m/>
    <x v="3"/>
    <s v="alu"/>
    <s v="Besi"/>
    <n v="2500"/>
    <n v="5.75"/>
    <n v="14375"/>
  </r>
  <r>
    <m/>
    <x v="3"/>
    <m/>
    <s v="Besi"/>
    <n v="2500"/>
    <n v="13.75"/>
    <n v="34375"/>
  </r>
  <r>
    <m/>
    <x v="3"/>
    <m/>
    <s v="Kaleng"/>
    <n v="1500"/>
    <n v="0.9"/>
    <n v="1350"/>
  </r>
  <r>
    <m/>
    <x v="3"/>
    <m/>
    <s v="Kardus Baik/Kering"/>
    <n v="1000"/>
    <n v="7.75"/>
    <n v="7750"/>
  </r>
  <r>
    <m/>
    <x v="3"/>
    <m/>
    <s v="Boncos"/>
    <n v="300"/>
    <n v="4.1999999999999993"/>
    <n v="1259.9999999999998"/>
  </r>
  <r>
    <m/>
    <x v="3"/>
    <m/>
    <s v="Botol Putih Bersih"/>
    <n v="2800"/>
    <n v="2.1"/>
    <n v="5880"/>
  </r>
  <r>
    <m/>
    <x v="3"/>
    <m/>
    <s v="Asoy"/>
    <n v="200"/>
    <n v="1.9"/>
    <n v="380"/>
  </r>
  <r>
    <m/>
    <x v="3"/>
    <m/>
    <s v="Botol &amp; Gelas Putih (Kotor)"/>
    <n v="1600"/>
    <n v="0.25"/>
    <n v="400"/>
  </r>
  <r>
    <m/>
    <x v="3"/>
    <m/>
    <s v="Multilayer"/>
    <n v="300"/>
    <n v="1.25"/>
    <n v="375"/>
  </r>
  <r>
    <m/>
    <x v="3"/>
    <m/>
    <s v="Tutup Galon"/>
    <n v="3500"/>
    <n v="0.35"/>
    <n v="1225"/>
  </r>
  <r>
    <m/>
    <x v="3"/>
    <m/>
    <s v="Botol &amp; Kaca Beling"/>
    <n v="150"/>
    <n v="1.75"/>
    <n v="262.5"/>
  </r>
  <r>
    <m/>
    <x v="3"/>
    <m/>
    <s v="Tutup Botol"/>
    <n v="2500"/>
    <n v="0.3"/>
    <n v="750"/>
  </r>
  <r>
    <m/>
    <x v="3"/>
    <m/>
    <s v="Babet"/>
    <n v="7500"/>
    <n v="0"/>
    <n v="0"/>
  </r>
  <r>
    <n v="5"/>
    <x v="4"/>
    <n v="4"/>
    <s v="Botol Putih Bersih"/>
    <n v="2800"/>
    <n v="1.1499999999999999"/>
    <n v="3219.9999999999995"/>
  </r>
  <r>
    <m/>
    <x v="4"/>
    <m/>
    <s v="Boncos"/>
    <n v="300"/>
    <n v="0.9"/>
    <n v="270"/>
  </r>
  <r>
    <m/>
    <x v="4"/>
    <m/>
    <s v="Botol &amp; Kaca Beling"/>
    <n v="150"/>
    <n v="2.1"/>
    <n v="315"/>
  </r>
  <r>
    <m/>
    <x v="4"/>
    <m/>
    <s v="Emberan"/>
    <n v="1400"/>
    <n v="0.7"/>
    <n v="979.99999999999989"/>
  </r>
  <r>
    <m/>
    <x v="4"/>
    <m/>
    <s v="Asoy"/>
    <n v="200"/>
    <n v="0.55000000000000004"/>
    <n v="110.00000000000001"/>
  </r>
  <r>
    <m/>
    <x v="4"/>
    <m/>
    <s v="Multilayer"/>
    <n v="300"/>
    <n v="1.45"/>
    <n v="435"/>
  </r>
  <r>
    <m/>
    <x v="4"/>
    <m/>
    <s v="Tutup Botol"/>
    <n v="2500"/>
    <n v="0.1"/>
    <n v="250"/>
  </r>
  <r>
    <n v="6"/>
    <x v="5"/>
    <n v="4"/>
    <s v="Gabrukan"/>
    <n v="1000"/>
    <n v="2.9000000000000004"/>
    <n v="2900.0000000000005"/>
  </r>
  <r>
    <m/>
    <x v="5"/>
    <m/>
    <s v="Tutup Botol"/>
    <n v="2500"/>
    <n v="0.45"/>
    <n v="1125"/>
  </r>
  <r>
    <m/>
    <x v="5"/>
    <m/>
    <s v="Kardus Baik/Kering"/>
    <n v="1000"/>
    <n v="3.45"/>
    <n v="3450"/>
  </r>
  <r>
    <m/>
    <x v="5"/>
    <m/>
    <s v="Multilayer"/>
    <n v="300"/>
    <n v="1.9"/>
    <n v="570"/>
  </r>
  <r>
    <m/>
    <x v="5"/>
    <m/>
    <s v="Emberan"/>
    <n v="1400"/>
    <n v="3.35"/>
    <n v="4690"/>
  </r>
  <r>
    <m/>
    <x v="5"/>
    <m/>
    <s v="Toples Kue Kristal"/>
    <n v="2700"/>
    <n v="0.3"/>
    <n v="810"/>
  </r>
  <r>
    <m/>
    <x v="5"/>
    <m/>
    <s v="Kaleng"/>
    <n v="1500"/>
    <n v="0.4"/>
    <n v="600"/>
  </r>
  <r>
    <m/>
    <x v="5"/>
    <m/>
    <s v="Besi"/>
    <n v="2500"/>
    <n v="1.1499999999999999"/>
    <n v="2875"/>
  </r>
  <r>
    <m/>
    <x v="5"/>
    <m/>
    <s v="Koran/LKS"/>
    <n v="800"/>
    <n v="2.0499999999999998"/>
    <n v="1639.9999999999998"/>
  </r>
  <r>
    <m/>
    <x v="5"/>
    <m/>
    <s v="Buku Tulis &amp; Pelajaran"/>
    <n v="1200"/>
    <n v="5.15"/>
    <n v="6180"/>
  </r>
  <r>
    <m/>
    <x v="5"/>
    <m/>
    <s v="Kardus Baik/Kering"/>
    <n v="1000"/>
    <n v="0.5"/>
    <n v="500"/>
  </r>
  <r>
    <n v="7"/>
    <x v="6"/>
    <n v="3"/>
    <s v="Gabrukan"/>
    <n v="1000"/>
    <n v="1"/>
    <n v="1000"/>
  </r>
  <r>
    <m/>
    <x v="6"/>
    <m/>
    <s v="Emberan"/>
    <n v="1400"/>
    <n v="0.6"/>
    <n v="840"/>
  </r>
  <r>
    <m/>
    <x v="6"/>
    <m/>
    <s v="Multilayer"/>
    <n v="300"/>
    <n v="1"/>
    <n v="300"/>
  </r>
  <r>
    <m/>
    <x v="6"/>
    <m/>
    <s v="Botol &amp; Kaca Beling"/>
    <n v="150"/>
    <n v="0.4"/>
    <n v="60"/>
  </r>
  <r>
    <m/>
    <x v="6"/>
    <m/>
    <s v="Boncos"/>
    <n v="300"/>
    <n v="0.55000000000000004"/>
    <n v="165"/>
  </r>
  <r>
    <m/>
    <x v="6"/>
    <m/>
    <s v="Asoy"/>
    <n v="200"/>
    <n v="0.65"/>
    <n v="130"/>
  </r>
  <r>
    <m/>
    <x v="6"/>
    <m/>
    <s v="Tutup Botol"/>
    <n v="2500"/>
    <n v="0.1"/>
    <n v="250"/>
  </r>
  <r>
    <m/>
    <x v="6"/>
    <m/>
    <s v="Botol &amp; Gelas Putih (Kotor)"/>
    <n v="1600"/>
    <n v="0.3"/>
    <n v="480"/>
  </r>
  <r>
    <n v="8"/>
    <x v="7"/>
    <n v="1"/>
    <s v="Kardus Baik/Kering"/>
    <n v="1000"/>
    <n v="0.85"/>
    <n v="850"/>
  </r>
  <r>
    <m/>
    <x v="7"/>
    <m/>
    <s v="Boncos"/>
    <n v="300"/>
    <n v="1.4"/>
    <n v="420"/>
  </r>
  <r>
    <m/>
    <x v="7"/>
    <m/>
    <s v="Gabrukan"/>
    <n v="1000"/>
    <n v="1.7"/>
    <n v="1700"/>
  </r>
  <r>
    <m/>
    <x v="7"/>
    <m/>
    <s v="Botol &amp; Gelas Putih (Kotor)"/>
    <n v="1600"/>
    <n v="0.55000000000000004"/>
    <n v="880.00000000000011"/>
  </r>
  <r>
    <m/>
    <x v="7"/>
    <m/>
    <s v="Minyak Jelantah"/>
    <n v="4000"/>
    <n v="0.7"/>
    <n v="2800"/>
  </r>
  <r>
    <n v="9"/>
    <x v="8"/>
    <n v="4"/>
    <s v="Kardus Baik/Kering"/>
    <n v="1000"/>
    <n v="4.55"/>
    <n v="4550"/>
  </r>
  <r>
    <m/>
    <x v="8"/>
    <m/>
    <s v="Botol &amp; Gelas Putih (Kotor)"/>
    <n v="1600"/>
    <n v="2.4"/>
    <n v="3840"/>
  </r>
  <r>
    <m/>
    <x v="8"/>
    <m/>
    <s v="Magic Com Lengkap"/>
    <n v="10000"/>
    <n v="1"/>
    <n v="10000"/>
  </r>
  <r>
    <m/>
    <x v="8"/>
    <m/>
    <s v="Multilayer"/>
    <n v="300"/>
    <n v="0.1"/>
    <n v="30"/>
  </r>
  <r>
    <n v="10"/>
    <x v="9"/>
    <n v="5"/>
    <s v="Besi"/>
    <n v="2500"/>
    <n v="0.7"/>
    <n v="1750"/>
  </r>
  <r>
    <m/>
    <x v="9"/>
    <m/>
    <s v="Emberan"/>
    <n v="1400"/>
    <n v="4.0999999999999996"/>
    <n v="5739.9999999999991"/>
  </r>
  <r>
    <m/>
    <x v="9"/>
    <m/>
    <s v="Botol Putih Bersih"/>
    <n v="2800"/>
    <n v="2.1"/>
    <n v="5880"/>
  </r>
  <r>
    <m/>
    <x v="9"/>
    <m/>
    <s v="Asoy"/>
    <n v="200"/>
    <n v="1.1499999999999999"/>
    <n v="229.99999999999997"/>
  </r>
  <r>
    <m/>
    <x v="9"/>
    <m/>
    <s v="Multilayer"/>
    <n v="300"/>
    <n v="2.2999999999999998"/>
    <n v="690"/>
  </r>
  <r>
    <m/>
    <x v="9"/>
    <m/>
    <s v="Boncos"/>
    <n v="300"/>
    <n v="2.8499999999999996"/>
    <n v="854.99999999999989"/>
  </r>
  <r>
    <m/>
    <x v="9"/>
    <m/>
    <s v="Gabrukan"/>
    <n v="1000"/>
    <n v="0.75"/>
    <n v="750"/>
  </r>
  <r>
    <m/>
    <x v="9"/>
    <m/>
    <s v="Kertas HVS Putih"/>
    <n v="1400"/>
    <n v="4.8"/>
    <n v="6720"/>
  </r>
  <r>
    <m/>
    <x v="9"/>
    <m/>
    <s v="Kardus Baik/Kering"/>
    <n v="1000"/>
    <n v="6.9499999999999993"/>
    <n v="6949.9999999999991"/>
  </r>
  <r>
    <n v="11"/>
    <x v="10"/>
    <n v="5"/>
    <s v="Botol Putih Bersih"/>
    <n v="2800"/>
    <n v="1.1499999999999999"/>
    <n v="3219.9999999999995"/>
  </r>
  <r>
    <m/>
    <x v="10"/>
    <m/>
    <s v="Gabrukan"/>
    <n v="1000"/>
    <n v="1.6"/>
    <n v="1600"/>
  </r>
  <r>
    <m/>
    <x v="10"/>
    <m/>
    <s v="Multilayer"/>
    <n v="300"/>
    <n v="1.4"/>
    <n v="420"/>
  </r>
  <r>
    <m/>
    <x v="10"/>
    <m/>
    <s v="Asoy"/>
    <n v="200"/>
    <n v="0.5"/>
    <n v="100"/>
  </r>
  <r>
    <m/>
    <x v="10"/>
    <m/>
    <s v="Alumunium"/>
    <n v="8000"/>
    <n v="0.1"/>
    <n v="800"/>
  </r>
  <r>
    <m/>
    <x v="10"/>
    <m/>
    <s v="Kardus Baik/Kering"/>
    <n v="1000"/>
    <n v="8.25"/>
    <n v="8250"/>
  </r>
  <r>
    <m/>
    <x v="10"/>
    <m/>
    <s v="Boncos"/>
    <n v="300"/>
    <n v="1.45"/>
    <n v="435"/>
  </r>
  <r>
    <m/>
    <x v="10"/>
    <m/>
    <s v="Majalah"/>
    <n v="600"/>
    <n v="0.8"/>
    <n v="480"/>
  </r>
  <r>
    <m/>
    <x v="10"/>
    <m/>
    <s v="Emberan"/>
    <n v="1400"/>
    <n v="0.15"/>
    <n v="210"/>
  </r>
  <r>
    <n v="12"/>
    <x v="11"/>
    <n v="3"/>
    <s v="Multilayer"/>
    <n v="300"/>
    <n v="1.1000000000000001"/>
    <n v="330"/>
  </r>
  <r>
    <m/>
    <x v="11"/>
    <m/>
    <s v="Asoy"/>
    <n v="200"/>
    <n v="0.3"/>
    <n v="60"/>
  </r>
  <r>
    <m/>
    <x v="11"/>
    <m/>
    <s v="Botol &amp; Gelas Putih (Kotor)"/>
    <n v="1600"/>
    <n v="0.15"/>
    <n v="240"/>
  </r>
  <r>
    <n v="13"/>
    <x v="12"/>
    <n v="4"/>
    <s v="Minyak Jelantah"/>
    <n v="4000"/>
    <n v="1.1499999999999999"/>
    <n v="4600"/>
  </r>
  <r>
    <m/>
    <x v="12"/>
    <m/>
    <s v="Kabin"/>
    <n v="1800"/>
    <n v="1.2"/>
    <n v="2160"/>
  </r>
  <r>
    <m/>
    <x v="12"/>
    <m/>
    <s v="Botol Putih Bersih"/>
    <n v="2800"/>
    <n v="0.7"/>
    <n v="1959.9999999999998"/>
  </r>
  <r>
    <m/>
    <x v="12"/>
    <m/>
    <s v="Tutup Botol"/>
    <n v="2500"/>
    <n v="0.15"/>
    <n v="375"/>
  </r>
  <r>
    <m/>
    <x v="12"/>
    <m/>
    <s v="Asoy"/>
    <n v="200"/>
    <n v="0.25"/>
    <n v="50"/>
  </r>
  <r>
    <m/>
    <x v="12"/>
    <m/>
    <s v="Multilayer"/>
    <n v="300"/>
    <n v="0.5"/>
    <n v="150"/>
  </r>
  <r>
    <m/>
    <x v="12"/>
    <m/>
    <s v="Kabel Internet"/>
    <n v="150"/>
    <n v="0.9"/>
    <n v="135"/>
  </r>
  <r>
    <m/>
    <x v="12"/>
    <m/>
    <s v="Gabrukan"/>
    <n v="1000"/>
    <n v="0.85"/>
    <n v="850"/>
  </r>
  <r>
    <m/>
    <x v="12"/>
    <m/>
    <s v="Kardus Baik/Kering"/>
    <n v="1000"/>
    <n v="2.9"/>
    <n v="2900"/>
  </r>
  <r>
    <m/>
    <x v="12"/>
    <m/>
    <s v="Boncos"/>
    <n v="300"/>
    <n v="0.9"/>
    <n v="270"/>
  </r>
  <r>
    <n v="14"/>
    <x v="13"/>
    <n v="1"/>
    <s v="Botol Putih Bersih"/>
    <n v="2800"/>
    <n v="1"/>
    <n v="2800"/>
  </r>
  <r>
    <m/>
    <x v="13"/>
    <m/>
    <s v="Asoy"/>
    <n v="200"/>
    <n v="0.9"/>
    <n v="180"/>
  </r>
  <r>
    <m/>
    <x v="13"/>
    <m/>
    <s v="Multilayer"/>
    <n v="300"/>
    <n v="1.35"/>
    <n v="405"/>
  </r>
  <r>
    <m/>
    <x v="13"/>
    <m/>
    <s v="Gabrukan"/>
    <n v="1000"/>
    <n v="0.35"/>
    <n v="350"/>
  </r>
  <r>
    <m/>
    <x v="13"/>
    <m/>
    <s v="Boncos"/>
    <n v="300"/>
    <n v="2.4"/>
    <n v="720"/>
  </r>
  <r>
    <m/>
    <x v="13"/>
    <m/>
    <s v="Emberan"/>
    <n v="1400"/>
    <n v="1.35"/>
    <n v="1890.0000000000002"/>
  </r>
  <r>
    <m/>
    <x v="13"/>
    <m/>
    <s v="Kabin"/>
    <n v="1800"/>
    <n v="0.75"/>
    <n v="1350"/>
  </r>
  <r>
    <m/>
    <x v="13"/>
    <m/>
    <s v="Botol &amp; Kaca Beling"/>
    <n v="150"/>
    <n v="1.45"/>
    <n v="217.5"/>
  </r>
  <r>
    <m/>
    <x v="13"/>
    <m/>
    <s v="Besi"/>
    <n v="2500"/>
    <n v="0.4"/>
    <n v="1000"/>
  </r>
  <r>
    <m/>
    <x v="13"/>
    <m/>
    <s v="Tutup Botol"/>
    <n v="2500"/>
    <n v="0.1"/>
    <n v="250"/>
  </r>
  <r>
    <n v="15"/>
    <x v="14"/>
    <n v="4"/>
    <s v="Emberan"/>
    <n v="1400"/>
    <n v="4.5999999999999996"/>
    <n v="6439.9999999999991"/>
  </r>
  <r>
    <m/>
    <x v="14"/>
    <m/>
    <s v="Botol Putih Bersih"/>
    <n v="2800"/>
    <n v="0.9"/>
    <n v="2520"/>
  </r>
  <r>
    <m/>
    <x v="14"/>
    <m/>
    <s v="Kardus Baik/Kering"/>
    <n v="1000"/>
    <n v="3.25"/>
    <n v="3250"/>
  </r>
  <r>
    <m/>
    <x v="14"/>
    <m/>
    <s v="Tutup Botol"/>
    <n v="2500"/>
    <n v="0.15"/>
    <n v="375"/>
  </r>
  <r>
    <m/>
    <x v="14"/>
    <m/>
    <s v="Gelas Putih Bersih"/>
    <n v="3500"/>
    <n v="0.2"/>
    <n v="700"/>
  </r>
  <r>
    <m/>
    <x v="14"/>
    <m/>
    <s v="Asoy"/>
    <n v="200"/>
    <n v="0.79999999999999993"/>
    <n v="160"/>
  </r>
  <r>
    <m/>
    <x v="14"/>
    <m/>
    <s v="Multilayer"/>
    <n v="300"/>
    <n v="0.7"/>
    <n v="210"/>
  </r>
  <r>
    <m/>
    <x v="14"/>
    <m/>
    <s v="Besi"/>
    <n v="2500"/>
    <n v="3.45"/>
    <n v="8625"/>
  </r>
  <r>
    <n v="16"/>
    <x v="15"/>
    <n v="5"/>
    <s v="Boncos"/>
    <n v="300"/>
    <n v="0.75"/>
    <n v="225"/>
  </r>
  <r>
    <m/>
    <x v="15"/>
    <m/>
    <s v="Kardus Baik/Kering"/>
    <n v="1000"/>
    <n v="1.3"/>
    <n v="1300"/>
  </r>
  <r>
    <m/>
    <x v="15"/>
    <m/>
    <s v="Gabrukan"/>
    <n v="1000"/>
    <n v="1.05"/>
    <n v="1050"/>
  </r>
  <r>
    <m/>
    <x v="15"/>
    <m/>
    <s v="Botol Putih Bersih"/>
    <n v="2800"/>
    <n v="1.3"/>
    <n v="3640"/>
  </r>
  <r>
    <n v="17"/>
    <x v="16"/>
    <n v="1"/>
    <s v="Emberan"/>
    <n v="1400"/>
    <n v="2.5499999999999998"/>
    <n v="3569.9999999999995"/>
  </r>
  <r>
    <m/>
    <x v="16"/>
    <m/>
    <s v="Asoy"/>
    <n v="200"/>
    <n v="2"/>
    <n v="400"/>
  </r>
  <r>
    <m/>
    <x v="16"/>
    <m/>
    <s v="Botol Putih Bersih"/>
    <n v="2800"/>
    <n v="2.4"/>
    <n v="6720"/>
  </r>
  <r>
    <m/>
    <x v="16"/>
    <m/>
    <s v="Multilayer"/>
    <n v="300"/>
    <n v="0.55000000000000004"/>
    <n v="165"/>
  </r>
  <r>
    <m/>
    <x v="16"/>
    <m/>
    <s v="Tutup Botol"/>
    <n v="2500"/>
    <n v="0.2"/>
    <n v="500"/>
  </r>
  <r>
    <m/>
    <x v="16"/>
    <m/>
    <s v="Injek"/>
    <n v="1600"/>
    <n v="0.44999999999999996"/>
    <n v="719.99999999999989"/>
  </r>
  <r>
    <m/>
    <x v="16"/>
    <m/>
    <s v="Kabin"/>
    <n v="1800"/>
    <n v="1.75"/>
    <n v="3150"/>
  </r>
  <r>
    <m/>
    <x v="16"/>
    <m/>
    <s v="Gelas Putih Bersih"/>
    <n v="3500"/>
    <n v="0.15"/>
    <n v="525"/>
  </r>
  <r>
    <m/>
    <x v="16"/>
    <m/>
    <s v="Minyak Jelantah"/>
    <n v="4000"/>
    <n v="1.85"/>
    <n v="7400"/>
  </r>
  <r>
    <n v="18"/>
    <x v="17"/>
    <n v="3"/>
    <s v="Kardus Baik/Kering"/>
    <n v="1000"/>
    <n v="4.05"/>
    <n v="4050"/>
  </r>
  <r>
    <m/>
    <x v="17"/>
    <m/>
    <s v="Boncos"/>
    <n v="300"/>
    <n v="1.5"/>
    <n v="450"/>
  </r>
  <r>
    <m/>
    <x v="17"/>
    <m/>
    <s v="Injek"/>
    <n v="1600"/>
    <n v="0.45"/>
    <n v="720"/>
  </r>
  <r>
    <m/>
    <x v="17"/>
    <m/>
    <s v="Gelas Putih Bersih"/>
    <n v="3500"/>
    <n v="0.2"/>
    <n v="700"/>
  </r>
  <r>
    <m/>
    <x v="17"/>
    <m/>
    <s v="Asoy"/>
    <n v="200"/>
    <n v="0.95"/>
    <n v="190"/>
  </r>
  <r>
    <m/>
    <x v="17"/>
    <m/>
    <s v="Multilayer"/>
    <n v="300"/>
    <n v="0.7"/>
    <n v="210"/>
  </r>
  <r>
    <m/>
    <x v="17"/>
    <m/>
    <s v="Botol Putih Bersih"/>
    <n v="2800"/>
    <n v="1.35"/>
    <n v="3780.0000000000005"/>
  </r>
  <r>
    <n v="19"/>
    <x v="18"/>
    <n v="1"/>
    <s v="Botol &amp; Kaca Beling"/>
    <n v="150"/>
    <n v="1.45"/>
    <n v="217.5"/>
  </r>
  <r>
    <m/>
    <x v="18"/>
    <m/>
    <s v="Alumunium"/>
    <n v="8000"/>
    <n v="0.25"/>
    <n v="2000"/>
  </r>
  <r>
    <m/>
    <x v="18"/>
    <m/>
    <s v="Emberan"/>
    <n v="1400"/>
    <n v="0.55000000000000004"/>
    <n v="770.00000000000011"/>
  </r>
  <r>
    <m/>
    <x v="18"/>
    <m/>
    <s v="Botol Putih Bersih"/>
    <n v="2800"/>
    <n v="0.4"/>
    <n v="1120"/>
  </r>
  <r>
    <m/>
    <x v="18"/>
    <m/>
    <s v="Botol &amp; Gelas Putih (Kotor)"/>
    <n v="1600"/>
    <n v="0.3"/>
    <n v="480"/>
  </r>
  <r>
    <m/>
    <x v="18"/>
    <m/>
    <s v="Boncos"/>
    <n v="300"/>
    <n v="0.8"/>
    <n v="240"/>
  </r>
  <r>
    <m/>
    <x v="18"/>
    <m/>
    <s v="Gabrukan"/>
    <n v="1000"/>
    <n v="0.9"/>
    <n v="900"/>
  </r>
  <r>
    <n v="20"/>
    <x v="19"/>
    <n v="4"/>
    <s v="Gabrukan"/>
    <n v="1000"/>
    <n v="1.1000000000000001"/>
    <n v="1100"/>
  </r>
  <r>
    <m/>
    <x v="19"/>
    <m/>
    <s v="Botol Putih Bersih"/>
    <n v="2800"/>
    <n v="0.5"/>
    <n v="1400"/>
  </r>
  <r>
    <m/>
    <x v="19"/>
    <m/>
    <s v="Asoy"/>
    <n v="200"/>
    <n v="0.55000000000000004"/>
    <n v="110.00000000000001"/>
  </r>
  <r>
    <n v="21"/>
    <x v="20"/>
    <n v="4"/>
    <s v="Gabrukan"/>
    <n v="1000"/>
    <n v="3.95"/>
    <n v="3950"/>
  </r>
  <r>
    <m/>
    <x v="20"/>
    <m/>
    <s v="Multilayer"/>
    <n v="300"/>
    <n v="0.8"/>
    <n v="240"/>
  </r>
  <r>
    <n v="22"/>
    <x v="21"/>
    <n v="2"/>
    <s v="Multilayer"/>
    <n v="300"/>
    <n v="0.7"/>
    <n v="210"/>
  </r>
  <r>
    <m/>
    <x v="21"/>
    <m/>
    <s v="Asoy"/>
    <n v="200"/>
    <n v="0.6"/>
    <n v="120"/>
  </r>
  <r>
    <m/>
    <x v="21"/>
    <m/>
    <s v="Emberan"/>
    <n v="1400"/>
    <n v="3.45"/>
    <n v="4830"/>
  </r>
  <r>
    <m/>
    <x v="21"/>
    <m/>
    <s v="Boncos"/>
    <n v="300"/>
    <n v="3.3499999999999996"/>
    <n v="1004.9999999999999"/>
  </r>
  <r>
    <m/>
    <x v="21"/>
    <m/>
    <s v="Injek"/>
    <n v="1600"/>
    <n v="0.35"/>
    <n v="560"/>
  </r>
  <r>
    <m/>
    <x v="21"/>
    <m/>
    <s v="Botol &amp; Gelas Putih (Kotor)"/>
    <n v="1600"/>
    <n v="2.15"/>
    <n v="3440"/>
  </r>
  <r>
    <m/>
    <x v="21"/>
    <m/>
    <s v="Kaleng"/>
    <n v="1500"/>
    <n v="0.95"/>
    <n v="1425"/>
  </r>
  <r>
    <m/>
    <x v="21"/>
    <m/>
    <s v="Tutup Galon"/>
    <n v="3500"/>
    <n v="0.15"/>
    <n v="525"/>
  </r>
  <r>
    <m/>
    <x v="21"/>
    <m/>
    <s v="Tutup Botol"/>
    <n v="2500"/>
    <n v="0.15"/>
    <n v="375"/>
  </r>
  <r>
    <m/>
    <x v="21"/>
    <m/>
    <s v="Botol &amp; Kaca Beling"/>
    <n v="150"/>
    <n v="0.45"/>
    <n v="67.5"/>
  </r>
  <r>
    <m/>
    <x v="21"/>
    <m/>
    <s v="Buku Tulis &amp; Pelajaran"/>
    <n v="1200"/>
    <n v="2.4500000000000002"/>
    <n v="2940"/>
  </r>
  <r>
    <m/>
    <x v="21"/>
    <m/>
    <s v="Kardus Baik/Kering"/>
    <n v="1000"/>
    <n v="4.5"/>
    <n v="4500"/>
  </r>
  <r>
    <n v="23"/>
    <x v="22"/>
    <n v="2"/>
    <s v="Botol Putih Bersih"/>
    <n v="2800"/>
    <n v="0.9"/>
    <n v="2520"/>
  </r>
  <r>
    <m/>
    <x v="22"/>
    <m/>
    <s v="Gelas Putih Bersih"/>
    <n v="3500"/>
    <n v="0.7"/>
    <n v="2450"/>
  </r>
  <r>
    <n v="24"/>
    <x v="23"/>
    <n v="4"/>
    <s v="Besi"/>
    <n v="2500"/>
    <n v="2.4"/>
    <n v="6000"/>
  </r>
  <r>
    <m/>
    <x v="23"/>
    <m/>
    <s v="Kardus Baik/Kering"/>
    <n v="1000"/>
    <n v="2.4"/>
    <n v="2400"/>
  </r>
  <r>
    <m/>
    <x v="23"/>
    <m/>
    <s v="Boncos"/>
    <n v="300"/>
    <n v="0.4"/>
    <n v="120"/>
  </r>
  <r>
    <m/>
    <x v="23"/>
    <m/>
    <s v="Asoy"/>
    <n v="200"/>
    <n v="0.3"/>
    <n v="60"/>
  </r>
  <r>
    <m/>
    <x v="23"/>
    <m/>
    <s v="Naso"/>
    <n v="2000"/>
    <n v="0.25"/>
    <n v="500"/>
  </r>
  <r>
    <m/>
    <x v="23"/>
    <m/>
    <s v="Kabin"/>
    <n v="1800"/>
    <n v="1.2"/>
    <n v="2160"/>
  </r>
  <r>
    <m/>
    <x v="23"/>
    <m/>
    <s v="Gabrukan"/>
    <n v="1000"/>
    <n v="1"/>
    <n v="1000"/>
  </r>
  <r>
    <n v="25"/>
    <x v="24"/>
    <n v="4"/>
    <s v="Boncos"/>
    <n v="300"/>
    <n v="5.9"/>
    <n v="1770"/>
  </r>
  <r>
    <m/>
    <x v="24"/>
    <m/>
    <s v="Besi"/>
    <n v="2500"/>
    <n v="80.900000000000006"/>
    <n v="202250"/>
  </r>
  <r>
    <m/>
    <x v="24"/>
    <m/>
    <s v="Emberan"/>
    <n v="1400"/>
    <n v="2.35"/>
    <n v="3290"/>
  </r>
  <r>
    <m/>
    <x v="24"/>
    <m/>
    <s v="Kardus Baik/Kering"/>
    <n v="1000"/>
    <n v="5.0999999999999996"/>
    <n v="5100"/>
  </r>
  <r>
    <m/>
    <x v="24"/>
    <m/>
    <s v="Gabrukan"/>
    <n v="1000"/>
    <n v="0.15"/>
    <n v="150"/>
  </r>
  <r>
    <m/>
    <x v="24"/>
    <m/>
    <s v="Multilayer"/>
    <n v="300"/>
    <n v="1.35"/>
    <n v="405"/>
  </r>
  <r>
    <m/>
    <x v="24"/>
    <m/>
    <s v="Botol Putih Bersih"/>
    <n v="2800"/>
    <n v="0.45"/>
    <n v="1260"/>
  </r>
  <r>
    <m/>
    <x v="24"/>
    <m/>
    <s v="Naso"/>
    <n v="2000"/>
    <n v="0.15"/>
    <n v="300"/>
  </r>
  <r>
    <m/>
    <x v="24"/>
    <m/>
    <s v="Botol &amp; Kaca Beling"/>
    <n v="150"/>
    <n v="0.1"/>
    <n v="15"/>
  </r>
  <r>
    <m/>
    <x v="24"/>
    <m/>
    <s v="Asoy"/>
    <n v="200"/>
    <n v="1"/>
    <n v="200"/>
  </r>
  <r>
    <n v="26"/>
    <x v="25"/>
    <n v="4"/>
    <s v="Kardus Baik/Kering"/>
    <n v="1000"/>
    <n v="1.6"/>
    <n v="1600"/>
  </r>
  <r>
    <m/>
    <x v="25"/>
    <m/>
    <s v="Emberan"/>
    <n v="1400"/>
    <n v="2.4500000000000002"/>
    <n v="3430.0000000000005"/>
  </r>
  <r>
    <m/>
    <x v="25"/>
    <m/>
    <s v="Kabel"/>
    <n v="1400"/>
    <n v="0.35"/>
    <n v="489.99999999999994"/>
  </r>
  <r>
    <m/>
    <x v="25"/>
    <m/>
    <s v="Kabin"/>
    <n v="1800"/>
    <n v="0.15"/>
    <n v="270"/>
  </r>
  <r>
    <m/>
    <x v="25"/>
    <m/>
    <s v="Botol Putih Bersih"/>
    <n v="2800"/>
    <n v="0.2"/>
    <n v="560"/>
  </r>
  <r>
    <m/>
    <x v="25"/>
    <m/>
    <s v="Gabrukan"/>
    <n v="1000"/>
    <n v="0.15"/>
    <n v="150"/>
  </r>
  <r>
    <n v="27"/>
    <x v="26"/>
    <n v="4"/>
    <s v="Kardus Baik/Kering"/>
    <n v="1000"/>
    <n v="2.8"/>
    <n v="2800"/>
  </r>
  <r>
    <m/>
    <x v="26"/>
    <m/>
    <s v="Boncos"/>
    <n v="300"/>
    <n v="0.5"/>
    <n v="150"/>
  </r>
  <r>
    <m/>
    <x v="26"/>
    <m/>
    <s v="Botol Putih Bersih"/>
    <n v="2800"/>
    <n v="0.6"/>
    <n v="1680"/>
  </r>
  <r>
    <m/>
    <x v="26"/>
    <m/>
    <s v="Gabrukan"/>
    <n v="1000"/>
    <n v="0.95"/>
    <n v="950"/>
  </r>
  <r>
    <n v="28"/>
    <x v="27"/>
    <n v="1"/>
    <s v="Multilayer"/>
    <n v="300"/>
    <n v="0.5"/>
    <n v="150"/>
  </r>
  <r>
    <n v="29"/>
    <x v="28"/>
    <n v="1"/>
    <s v="Asoy"/>
    <n v="200"/>
    <n v="0.7"/>
    <n v="140"/>
  </r>
  <r>
    <m/>
    <x v="28"/>
    <m/>
    <s v="Multilayer"/>
    <n v="300"/>
    <n v="0.7"/>
    <n v="210"/>
  </r>
  <r>
    <m/>
    <x v="28"/>
    <m/>
    <s v="Boncos"/>
    <n v="300"/>
    <n v="0.8"/>
    <n v="240"/>
  </r>
  <r>
    <m/>
    <x v="28"/>
    <m/>
    <s v="Gabrukan"/>
    <n v="1000"/>
    <n v="0.25"/>
    <n v="250"/>
  </r>
  <r>
    <n v="30"/>
    <x v="29"/>
    <n v="2"/>
    <s v="Botol Putih Bersih"/>
    <n v="2800"/>
    <n v="0.6"/>
    <n v="1680"/>
  </r>
  <r>
    <m/>
    <x v="29"/>
    <m/>
    <s v="Multilayer"/>
    <n v="300"/>
    <n v="0.45"/>
    <n v="135"/>
  </r>
  <r>
    <m/>
    <x v="29"/>
    <m/>
    <s v="Gabrukan"/>
    <n v="1000"/>
    <n v="2.15"/>
    <n v="2150"/>
  </r>
  <r>
    <m/>
    <x v="29"/>
    <m/>
    <s v="Boncos"/>
    <n v="300"/>
    <n v="0.6"/>
    <n v="180"/>
  </r>
  <r>
    <m/>
    <x v="29"/>
    <m/>
    <s v="Asoy"/>
    <n v="200"/>
    <n v="0.45"/>
    <n v="90"/>
  </r>
  <r>
    <m/>
    <x v="29"/>
    <m/>
    <s v="Tutup Botol"/>
    <n v="2500"/>
    <n v="0.15"/>
    <n v="375"/>
  </r>
  <r>
    <m/>
    <x v="29"/>
    <m/>
    <s v="Botol &amp; Gelas Putih (Kotor)"/>
    <n v="1600"/>
    <n v="0.6"/>
    <n v="960"/>
  </r>
  <r>
    <n v="31"/>
    <x v="30"/>
    <n v="4"/>
    <s v="Multilayer"/>
    <n v="300"/>
    <n v="3.4"/>
    <n v="1020"/>
  </r>
  <r>
    <m/>
    <x v="30"/>
    <m/>
    <s v="Boncos"/>
    <n v="300"/>
    <n v="2.0499999999999998"/>
    <n v="615"/>
  </r>
  <r>
    <m/>
    <x v="30"/>
    <m/>
    <s v="Botol Putih Bersih"/>
    <n v="2800"/>
    <n v="0.8"/>
    <n v="2240"/>
  </r>
  <r>
    <m/>
    <x v="30"/>
    <m/>
    <s v="Emberan"/>
    <n v="1400"/>
    <n v="0.85"/>
    <n v="1190"/>
  </r>
  <r>
    <m/>
    <x v="30"/>
    <m/>
    <s v="Asoy"/>
    <n v="200"/>
    <n v="1"/>
    <n v="200"/>
  </r>
  <r>
    <m/>
    <x v="30"/>
    <m/>
    <s v="Kertas HVS Putih"/>
    <n v="1400"/>
    <n v="12.25"/>
    <n v="17150"/>
  </r>
  <r>
    <n v="32"/>
    <x v="31"/>
    <n v="5"/>
    <s v="Kardus Baik/Kering"/>
    <n v="1000"/>
    <n v="12.649999999999999"/>
    <n v="12649.999999999998"/>
  </r>
  <r>
    <m/>
    <x v="31"/>
    <m/>
    <s v="Botol Putih Bersih"/>
    <n v="2800"/>
    <n v="1.9000000000000001"/>
    <n v="5320"/>
  </r>
  <r>
    <m/>
    <x v="31"/>
    <m/>
    <s v="Botol &amp; Gelas Putih (Kotor)"/>
    <n v="1600"/>
    <n v="1.6"/>
    <n v="2560"/>
  </r>
  <r>
    <m/>
    <x v="31"/>
    <m/>
    <s v="Naso"/>
    <n v="2000"/>
    <n v="0.4"/>
    <n v="800"/>
  </r>
  <r>
    <m/>
    <x v="31"/>
    <m/>
    <s v="Emberan"/>
    <n v="1400"/>
    <n v="4.2"/>
    <n v="5880"/>
  </r>
  <r>
    <m/>
    <x v="31"/>
    <m/>
    <s v="Tutup Botol"/>
    <n v="2500"/>
    <n v="0.15"/>
    <n v="375"/>
  </r>
  <r>
    <m/>
    <x v="31"/>
    <m/>
    <s v="Injek"/>
    <n v="1600"/>
    <n v="1"/>
    <n v="1600"/>
  </r>
  <r>
    <m/>
    <x v="31"/>
    <m/>
    <s v="Boncos"/>
    <n v="300"/>
    <n v="0.05"/>
    <n v="15"/>
  </r>
  <r>
    <n v="33"/>
    <x v="32"/>
    <n v="4"/>
    <s v="Gabrukan"/>
    <n v="1000"/>
    <n v="1.25"/>
    <n v="1250"/>
  </r>
  <r>
    <m/>
    <x v="32"/>
    <m/>
    <s v="Minyak Jelantah"/>
    <n v="4000"/>
    <n v="1"/>
    <n v="4000"/>
  </r>
  <r>
    <m/>
    <x v="32"/>
    <m/>
    <s v="Botol &amp; Kaca Beling"/>
    <n v="150"/>
    <n v="0.9"/>
    <n v="135"/>
  </r>
  <r>
    <n v="34"/>
    <x v="33"/>
    <n v="1"/>
    <s v="Emberan"/>
    <n v="1400"/>
    <n v="2.9"/>
    <n v="4060"/>
  </r>
  <r>
    <m/>
    <x v="33"/>
    <m/>
    <s v="Gabrukan"/>
    <n v="1000"/>
    <n v="3.4"/>
    <n v="3400"/>
  </r>
  <r>
    <n v="35"/>
    <x v="34"/>
    <n v="4"/>
    <s v="Emberan"/>
    <n v="1400"/>
    <n v="0.85"/>
    <n v="1190"/>
  </r>
  <r>
    <m/>
    <x v="34"/>
    <m/>
    <s v="Tutup Botol"/>
    <n v="2500"/>
    <n v="0.2"/>
    <n v="500"/>
  </r>
  <r>
    <m/>
    <x v="34"/>
    <m/>
    <s v="Multilayer"/>
    <n v="300"/>
    <n v="0.85"/>
    <n v="255"/>
  </r>
  <r>
    <m/>
    <x v="34"/>
    <m/>
    <s v="Gabrukan"/>
    <n v="1000"/>
    <n v="1.65"/>
    <n v="1650"/>
  </r>
  <r>
    <m/>
    <x v="34"/>
    <m/>
    <s v="Kardus Baik/Kering"/>
    <n v="1000"/>
    <n v="1.6"/>
    <n v="1600"/>
  </r>
  <r>
    <m/>
    <x v="34"/>
    <m/>
    <s v="Naso"/>
    <n v="2000"/>
    <n v="0.25"/>
    <n v="500"/>
  </r>
  <r>
    <n v="36"/>
    <x v="35"/>
    <n v="3"/>
    <s v="Asoy"/>
    <n v="200"/>
    <n v="0.65"/>
    <n v="130"/>
  </r>
  <r>
    <m/>
    <x v="35"/>
    <m/>
    <s v="Multilayer"/>
    <n v="300"/>
    <n v="0.5"/>
    <n v="150"/>
  </r>
  <r>
    <m/>
    <x v="35"/>
    <m/>
    <s v="Botol &amp; Kaca Beling"/>
    <n v="150"/>
    <n v="1.35"/>
    <n v="202.5"/>
  </r>
  <r>
    <m/>
    <x v="35"/>
    <m/>
    <s v="Emberan"/>
    <n v="1400"/>
    <n v="0.4"/>
    <n v="560"/>
  </r>
  <r>
    <m/>
    <x v="35"/>
    <m/>
    <s v="Botol Putih Bersih"/>
    <n v="2800"/>
    <n v="0.6"/>
    <n v="1680"/>
  </r>
  <r>
    <m/>
    <x v="35"/>
    <m/>
    <s v="Kaleng"/>
    <n v="1500"/>
    <n v="0.35"/>
    <n v="525"/>
  </r>
  <r>
    <m/>
    <x v="35"/>
    <m/>
    <s v="Injek"/>
    <n v="1600"/>
    <n v="0.05"/>
    <n v="80"/>
  </r>
  <r>
    <m/>
    <x v="35"/>
    <m/>
    <s v="Kardus Baik/Kering"/>
    <n v="1000"/>
    <n v="1.1499999999999999"/>
    <n v="1150"/>
  </r>
  <r>
    <n v="37"/>
    <x v="36"/>
    <n v="4"/>
    <s v="Emberan"/>
    <n v="1400"/>
    <n v="9.85"/>
    <n v="13790"/>
  </r>
  <r>
    <m/>
    <x v="36"/>
    <m/>
    <s v="Boncos"/>
    <n v="300"/>
    <n v="0.2"/>
    <n v="60"/>
  </r>
  <r>
    <m/>
    <x v="36"/>
    <m/>
    <s v="Gabrukan"/>
    <n v="1000"/>
    <n v="0.5"/>
    <n v="500"/>
  </r>
  <r>
    <m/>
    <x v="36"/>
    <m/>
    <s v="Multilayer"/>
    <n v="300"/>
    <n v="0.2"/>
    <n v="60"/>
  </r>
  <r>
    <m/>
    <x v="36"/>
    <m/>
    <s v="Asoy"/>
    <n v="200"/>
    <n v="0.05"/>
    <n v="10"/>
  </r>
  <r>
    <n v="38"/>
    <x v="37"/>
    <n v="2"/>
    <s v="Kardus Baik/Kering"/>
    <n v="1000"/>
    <n v="9.9"/>
    <n v="9900"/>
  </r>
  <r>
    <m/>
    <x v="37"/>
    <m/>
    <s v="Botol Putih Bersih"/>
    <n v="2800"/>
    <n v="2.15"/>
    <n v="6020"/>
  </r>
  <r>
    <m/>
    <x v="37"/>
    <m/>
    <s v="Botol &amp; Gelas Putih (Kotor)"/>
    <n v="1600"/>
    <n v="0.3"/>
    <n v="480"/>
  </r>
  <r>
    <m/>
    <x v="37"/>
    <m/>
    <s v="Emberan"/>
    <n v="1400"/>
    <n v="0.89999999999999991"/>
    <n v="1259.9999999999998"/>
  </r>
  <r>
    <m/>
    <x v="37"/>
    <m/>
    <s v="Naso"/>
    <n v="2000"/>
    <n v="0.25"/>
    <n v="500"/>
  </r>
  <r>
    <m/>
    <x v="37"/>
    <m/>
    <s v="Kertas HVS Putih"/>
    <n v="1400"/>
    <n v="1.5"/>
    <n v="2100"/>
  </r>
  <r>
    <n v="39"/>
    <x v="38"/>
    <n v="4"/>
    <s v="Kardus Baik/Kering"/>
    <n v="1000"/>
    <n v="1.1499999999999999"/>
    <n v="1150"/>
  </r>
  <r>
    <m/>
    <x v="38"/>
    <m/>
    <s v="Gabrukan"/>
    <n v="1000"/>
    <n v="2.15"/>
    <n v="2150"/>
  </r>
  <r>
    <m/>
    <x v="38"/>
    <m/>
    <s v="Asoy"/>
    <n v="200"/>
    <n v="0.25"/>
    <n v="50"/>
  </r>
  <r>
    <m/>
    <x v="38"/>
    <m/>
    <s v="Tutup Botol"/>
    <n v="2500"/>
    <n v="0.15"/>
    <n v="375"/>
  </r>
  <r>
    <n v="40"/>
    <x v="39"/>
    <n v="2"/>
    <s v="Gabrukan"/>
    <n v="1000"/>
    <n v="2.85"/>
    <n v="2850"/>
  </r>
  <r>
    <m/>
    <x v="39"/>
    <m/>
    <s v="Emberan"/>
    <n v="1400"/>
    <n v="3.3000000000000003"/>
    <n v="4620"/>
  </r>
  <r>
    <m/>
    <x v="39"/>
    <m/>
    <s v="Asoy"/>
    <n v="200"/>
    <n v="0.55000000000000004"/>
    <n v="110.00000000000001"/>
  </r>
  <r>
    <m/>
    <x v="39"/>
    <m/>
    <s v="Multilayer"/>
    <n v="300"/>
    <n v="0.5"/>
    <n v="150"/>
  </r>
  <r>
    <m/>
    <x v="39"/>
    <m/>
    <s v="Boncos"/>
    <n v="300"/>
    <n v="0.25"/>
    <n v="75"/>
  </r>
  <r>
    <m/>
    <x v="39"/>
    <m/>
    <s v="Injek"/>
    <n v="1600"/>
    <n v="0.5"/>
    <n v="800"/>
  </r>
  <r>
    <m/>
    <x v="39"/>
    <m/>
    <s v="Kardus Baik/Kering"/>
    <n v="1000"/>
    <n v="0.1"/>
    <n v="100"/>
  </r>
  <r>
    <n v="41"/>
    <x v="40"/>
    <n v="2"/>
    <s v="Botol Putih Bersih"/>
    <n v="2800"/>
    <n v="0.85000000000000009"/>
    <n v="2380.0000000000005"/>
  </r>
  <r>
    <m/>
    <x v="40"/>
    <m/>
    <s v="Kardus Baik/Kering"/>
    <n v="1000"/>
    <n v="0.6"/>
    <n v="600"/>
  </r>
  <r>
    <m/>
    <x v="40"/>
    <m/>
    <s v="Boncos"/>
    <n v="300"/>
    <n v="0.3"/>
    <n v="90"/>
  </r>
  <r>
    <m/>
    <x v="40"/>
    <m/>
    <s v="Kaleng"/>
    <n v="1500"/>
    <n v="0.1"/>
    <n v="150"/>
  </r>
  <r>
    <m/>
    <x v="40"/>
    <m/>
    <s v="Multilayer"/>
    <n v="300"/>
    <n v="0.35"/>
    <n v="105"/>
  </r>
  <r>
    <m/>
    <x v="40"/>
    <m/>
    <s v="Tutup Botol"/>
    <n v="2500"/>
    <n v="0.1"/>
    <n v="250"/>
  </r>
  <r>
    <m/>
    <x v="40"/>
    <m/>
    <s v="Emberan"/>
    <n v="1400"/>
    <n v="0.4"/>
    <n v="560"/>
  </r>
  <r>
    <n v="42"/>
    <x v="41"/>
    <n v="4"/>
    <s v="Emberan"/>
    <n v="1400"/>
    <n v="3.7"/>
    <n v="5180"/>
  </r>
  <r>
    <m/>
    <x v="41"/>
    <m/>
    <s v="Botol Putih Bersih"/>
    <n v="2800"/>
    <n v="0.55000000000000004"/>
    <n v="1540.0000000000002"/>
  </r>
  <r>
    <m/>
    <x v="41"/>
    <m/>
    <s v="Gelas Putih Bersih"/>
    <n v="3500"/>
    <n v="0.55000000000000004"/>
    <n v="1925.0000000000002"/>
  </r>
  <r>
    <m/>
    <x v="41"/>
    <m/>
    <s v="Multilayer"/>
    <n v="300"/>
    <n v="0.25"/>
    <n v="75"/>
  </r>
  <r>
    <m/>
    <x v="41"/>
    <m/>
    <s v="Kardus Baik/Kering"/>
    <n v="1000"/>
    <n v="3.8"/>
    <n v="3800"/>
  </r>
  <r>
    <m/>
    <x v="41"/>
    <m/>
    <s v="Asoy"/>
    <n v="200"/>
    <n v="1"/>
    <n v="200"/>
  </r>
  <r>
    <n v="43"/>
    <x v="42"/>
    <n v="4"/>
    <s v="Botol Putih Bersih"/>
    <n v="2800"/>
    <n v="2"/>
    <n v="5600"/>
  </r>
  <r>
    <m/>
    <x v="42"/>
    <m/>
    <s v="Asoy"/>
    <n v="200"/>
    <n v="7.55"/>
    <n v="1510"/>
  </r>
  <r>
    <m/>
    <x v="42"/>
    <m/>
    <s v="Boncos"/>
    <n v="300"/>
    <n v="2.75"/>
    <n v="825"/>
  </r>
  <r>
    <m/>
    <x v="42"/>
    <m/>
    <s v="Kardus Baik/Kering"/>
    <n v="1000"/>
    <n v="0.25"/>
    <n v="250"/>
  </r>
  <r>
    <m/>
    <x v="42"/>
    <m/>
    <s v="Tutup Botol"/>
    <n v="2500"/>
    <n v="0.2"/>
    <n v="500"/>
  </r>
  <r>
    <m/>
    <x v="42"/>
    <m/>
    <s v="Tutup Galon"/>
    <n v="3500"/>
    <n v="0.25"/>
    <n v="875"/>
  </r>
  <r>
    <m/>
    <x v="42"/>
    <m/>
    <s v="Botol &amp; Kaca Beling"/>
    <n v="150"/>
    <n v="0.6"/>
    <n v="90"/>
  </r>
  <r>
    <m/>
    <x v="42"/>
    <m/>
    <s v="Kaleng"/>
    <n v="1500"/>
    <n v="0.6"/>
    <n v="900"/>
  </r>
  <r>
    <m/>
    <x v="42"/>
    <m/>
    <s v="Alumunium"/>
    <n v="8000"/>
    <n v="0.2"/>
    <n v="1600"/>
  </r>
  <r>
    <m/>
    <x v="42"/>
    <m/>
    <s v="Emberan"/>
    <n v="1400"/>
    <n v="0.9"/>
    <n v="1260"/>
  </r>
  <r>
    <n v="44"/>
    <x v="43"/>
    <n v="3"/>
    <s v="Botol &amp; Gelas Putih (Kotor)"/>
    <n v="1600"/>
    <n v="0.8"/>
    <n v="1280"/>
  </r>
  <r>
    <m/>
    <x v="43"/>
    <m/>
    <s v="Kardus Baik/Kering"/>
    <n v="1000"/>
    <n v="0.45"/>
    <n v="450"/>
  </r>
  <r>
    <m/>
    <x v="43"/>
    <m/>
    <s v="Multilayer"/>
    <n v="300"/>
    <n v="0.35"/>
    <n v="105"/>
  </r>
  <r>
    <m/>
    <x v="43"/>
    <m/>
    <s v="Gabrukan"/>
    <n v="1000"/>
    <n v="0.75"/>
    <n v="750"/>
  </r>
  <r>
    <n v="45"/>
    <x v="44"/>
    <n v="6"/>
    <s v="Boncos"/>
    <n v="300"/>
    <n v="0.35"/>
    <n v="105"/>
  </r>
  <r>
    <m/>
    <x v="44"/>
    <m/>
    <s v="Gabrukan"/>
    <n v="1000"/>
    <n v="0.75"/>
    <n v="750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1"/>
    <x v="0"/>
    <n v="4"/>
    <s v="Buku Tulis &amp; Pelajaran"/>
    <n v="1200"/>
    <n v="8.6"/>
    <n v="10320"/>
  </r>
  <r>
    <m/>
    <x v="0"/>
    <m/>
    <s v="Kertas HVS Putih"/>
    <n v="1400"/>
    <n v="1.8"/>
    <n v="2520"/>
  </r>
  <r>
    <m/>
    <x v="0"/>
    <m/>
    <s v="Koran/LKS"/>
    <n v="800"/>
    <n v="7"/>
    <n v="5600"/>
  </r>
  <r>
    <m/>
    <x v="0"/>
    <m/>
    <s v="Kardus Baik/Kering"/>
    <n v="1000"/>
    <n v="1.6500000000000001"/>
    <n v="1650.0000000000002"/>
  </r>
  <r>
    <m/>
    <x v="0"/>
    <m/>
    <s v="Tutup Botol"/>
    <n v="2500"/>
    <n v="0.15"/>
    <n v="375"/>
  </r>
  <r>
    <m/>
    <x v="0"/>
    <m/>
    <s v="Boncos"/>
    <n v="300"/>
    <n v="0.45"/>
    <n v="135"/>
  </r>
  <r>
    <m/>
    <x v="0"/>
    <m/>
    <s v="Botol Putih Bersih"/>
    <n v="2800"/>
    <n v="0.4"/>
    <n v="1120"/>
  </r>
  <r>
    <m/>
    <x v="0"/>
    <m/>
    <s v="Emberan"/>
    <n v="1400"/>
    <n v="0.1"/>
    <n v="140"/>
  </r>
  <r>
    <m/>
    <x v="0"/>
    <m/>
    <s v="Asoy"/>
    <n v="200"/>
    <n v="0.05"/>
    <n v="10"/>
  </r>
  <r>
    <m/>
    <x v="0"/>
    <m/>
    <s v="Multilayer"/>
    <n v="300"/>
    <n v="0.05"/>
    <n v="15"/>
  </r>
  <r>
    <m/>
    <x v="0"/>
    <m/>
    <s v="Kabin"/>
    <n v="1800"/>
    <n v="1.95"/>
    <n v="3510"/>
  </r>
  <r>
    <n v="2"/>
    <x v="1"/>
    <n v="4"/>
    <s v="Emberan"/>
    <n v="1400"/>
    <n v="0.5"/>
    <n v="700"/>
  </r>
  <r>
    <m/>
    <x v="1"/>
    <m/>
    <s v="Tutup Galon"/>
    <n v="3500"/>
    <n v="0.05"/>
    <n v="175"/>
  </r>
  <r>
    <m/>
    <x v="1"/>
    <m/>
    <s v="Multilayer"/>
    <n v="300"/>
    <n v="2.1"/>
    <n v="630"/>
  </r>
  <r>
    <n v="3"/>
    <x v="2"/>
    <n v="4"/>
    <s v="Gabrukan"/>
    <n v="1000"/>
    <n v="3.6"/>
    <n v="3600"/>
  </r>
  <r>
    <m/>
    <x v="2"/>
    <m/>
    <s v="Asoy"/>
    <n v="200"/>
    <n v="0.45"/>
    <n v="90"/>
  </r>
  <r>
    <m/>
    <x v="2"/>
    <m/>
    <s v="Botol &amp; Gelas Putih (Kotor)"/>
    <n v="1600"/>
    <n v="0.05"/>
    <n v="80"/>
  </r>
  <r>
    <m/>
    <x v="2"/>
    <m/>
    <s v="Multilayer"/>
    <n v="300"/>
    <n v="0.35"/>
    <n v="105"/>
  </r>
  <r>
    <m/>
    <x v="2"/>
    <m/>
    <s v="Emberan"/>
    <n v="1400"/>
    <n v="1.55"/>
    <n v="2170"/>
  </r>
  <r>
    <m/>
    <x v="2"/>
    <m/>
    <s v="Besi"/>
    <n v="2500"/>
    <n v="1.5"/>
    <n v="3750"/>
  </r>
  <r>
    <m/>
    <x v="2"/>
    <m/>
    <s v="Kardus Baik/Kering"/>
    <n v="1000"/>
    <n v="0.05"/>
    <n v="50"/>
  </r>
  <r>
    <n v="4"/>
    <x v="3"/>
    <n v="4"/>
    <s v="Tutup Botol"/>
    <n v="2500"/>
    <n v="0.2"/>
    <n v="500"/>
  </r>
  <r>
    <m/>
    <x v="3"/>
    <m/>
    <s v="Asoy"/>
    <n v="200"/>
    <n v="1.7000000000000002"/>
    <n v="340.00000000000006"/>
  </r>
  <r>
    <m/>
    <x v="3"/>
    <m/>
    <s v="Botol Putih Bersih"/>
    <n v="2800"/>
    <n v="1.5"/>
    <n v="4200"/>
  </r>
  <r>
    <m/>
    <x v="3"/>
    <m/>
    <s v="Emberan"/>
    <n v="1400"/>
    <n v="4.05"/>
    <n v="5670"/>
  </r>
  <r>
    <m/>
    <x v="3"/>
    <m/>
    <s v="Injek"/>
    <n v="1600"/>
    <n v="0.55000000000000004"/>
    <n v="880.00000000000011"/>
  </r>
  <r>
    <m/>
    <x v="3"/>
    <m/>
    <s v="Multilayer"/>
    <n v="300"/>
    <n v="1.4"/>
    <n v="420"/>
  </r>
  <r>
    <m/>
    <x v="3"/>
    <m/>
    <s v="Gelas Putih Bersih"/>
    <n v="3500"/>
    <n v="0.4"/>
    <n v="1400"/>
  </r>
  <r>
    <m/>
    <x v="3"/>
    <m/>
    <s v="Besi"/>
    <n v="2500"/>
    <n v="2.75"/>
    <n v="6875"/>
  </r>
  <r>
    <m/>
    <x v="3"/>
    <m/>
    <s v="Boncos"/>
    <n v="300"/>
    <n v="1.75"/>
    <n v="525"/>
  </r>
  <r>
    <m/>
    <x v="3"/>
    <m/>
    <s v="Kardus Baik/Kering"/>
    <n v="1000"/>
    <n v="0.85"/>
    <n v="850"/>
  </r>
  <r>
    <m/>
    <x v="3"/>
    <m/>
    <s v="Kaleng"/>
    <n v="1500"/>
    <n v="1.65"/>
    <n v="2475"/>
  </r>
  <r>
    <n v="5"/>
    <x v="4"/>
    <n v="2"/>
    <s v="Emberan"/>
    <n v="1400"/>
    <n v="1.5"/>
    <n v="2100"/>
  </r>
  <r>
    <m/>
    <x v="4"/>
    <m/>
    <s v="Botol Putih Bersih"/>
    <n v="2800"/>
    <n v="0.55000000000000004"/>
    <n v="1540.0000000000002"/>
  </r>
  <r>
    <m/>
    <x v="4"/>
    <m/>
    <s v="Botol &amp; Kaca Beling"/>
    <n v="150"/>
    <n v="1.1000000000000001"/>
    <n v="165"/>
  </r>
  <r>
    <m/>
    <x v="4"/>
    <m/>
    <s v="Asoy"/>
    <n v="200"/>
    <n v="0.5"/>
    <n v="100"/>
  </r>
  <r>
    <m/>
    <x v="4"/>
    <m/>
    <s v="Multilayer"/>
    <n v="300"/>
    <n v="0.4"/>
    <n v="120"/>
  </r>
  <r>
    <m/>
    <x v="4"/>
    <m/>
    <s v="Boncos"/>
    <n v="300"/>
    <n v="0.75"/>
    <n v="225"/>
  </r>
  <r>
    <m/>
    <x v="4"/>
    <m/>
    <s v="Kardus Baik/Kering"/>
    <n v="1000"/>
    <n v="1.7"/>
    <n v="1700"/>
  </r>
  <r>
    <m/>
    <x v="4"/>
    <m/>
    <s v="Besi"/>
    <n v="2500"/>
    <n v="2.9"/>
    <n v="7250"/>
  </r>
  <r>
    <n v="6"/>
    <x v="5"/>
    <n v="4"/>
    <s v="Gabrukan"/>
    <n v="1000"/>
    <n v="4"/>
    <n v="4000"/>
  </r>
  <r>
    <m/>
    <x v="5"/>
    <m/>
    <s v="Injek"/>
    <n v="1600"/>
    <n v="0.55000000000000004"/>
    <n v="880.00000000000011"/>
  </r>
  <r>
    <m/>
    <x v="5"/>
    <m/>
    <s v="Kardus Baik/Kering"/>
    <n v="1000"/>
    <n v="5.5"/>
    <n v="5500"/>
  </r>
  <r>
    <m/>
    <x v="5"/>
    <m/>
    <s v="Multilayer"/>
    <n v="300"/>
    <n v="3.2"/>
    <n v="960"/>
  </r>
  <r>
    <n v="7"/>
    <x v="6"/>
    <n v="5"/>
    <s v="Multilayer"/>
    <n v="300"/>
    <n v="0.2"/>
    <n v="60"/>
  </r>
  <r>
    <m/>
    <x v="6"/>
    <m/>
    <s v="Botol &amp; Gelas Putih (Kotor)"/>
    <n v="1600"/>
    <n v="0.2"/>
    <n v="320"/>
  </r>
  <r>
    <m/>
    <x v="6"/>
    <m/>
    <s v="Boncos"/>
    <n v="300"/>
    <n v="0.45"/>
    <n v="135"/>
  </r>
  <r>
    <m/>
    <x v="6"/>
    <m/>
    <s v="Kardus Baik/Kering"/>
    <n v="1000"/>
    <n v="0.1"/>
    <n v="100"/>
  </r>
  <r>
    <m/>
    <x v="6"/>
    <m/>
    <s v="Asoy"/>
    <n v="200"/>
    <n v="0.2"/>
    <n v="40"/>
  </r>
  <r>
    <m/>
    <x v="6"/>
    <m/>
    <s v="Gabrukan"/>
    <n v="1000"/>
    <n v="0.8"/>
    <n v="800"/>
  </r>
  <r>
    <m/>
    <x v="6"/>
    <m/>
    <s v="Kaleng"/>
    <n v="1500"/>
    <n v="1.65"/>
    <n v="2475"/>
  </r>
  <r>
    <m/>
    <x v="6"/>
    <m/>
    <s v="Minyak Jelantah"/>
    <n v="4000"/>
    <n v="1.85"/>
    <n v="7400"/>
  </r>
  <r>
    <m/>
    <x v="6"/>
    <m/>
    <s v="Botol Putih Bersih"/>
    <n v="2800"/>
    <n v="3.9000000000000004"/>
    <n v="10920.000000000002"/>
  </r>
  <r>
    <m/>
    <x v="6"/>
    <m/>
    <s v="Botol &amp; Gelas Putih (Kotor)"/>
    <n v="1600"/>
    <n v="2.8"/>
    <n v="4480"/>
  </r>
  <r>
    <n v="8"/>
    <x v="7"/>
    <n v="3"/>
    <s v="Asoy"/>
    <n v="200"/>
    <n v="0.7"/>
    <n v="140"/>
  </r>
  <r>
    <m/>
    <x v="7"/>
    <m/>
    <s v="Multilayer"/>
    <n v="300"/>
    <n v="3.3499999999999996"/>
    <n v="1004.9999999999999"/>
  </r>
  <r>
    <m/>
    <x v="7"/>
    <m/>
    <s v="Boncos"/>
    <n v="300"/>
    <n v="2.7"/>
    <n v="810"/>
  </r>
  <r>
    <m/>
    <x v="7"/>
    <m/>
    <s v="Gabrukan"/>
    <n v="1000"/>
    <n v="0.95"/>
    <n v="950"/>
  </r>
  <r>
    <m/>
    <x v="7"/>
    <m/>
    <s v="Kardus Baik/Kering"/>
    <n v="1000"/>
    <n v="9.0500000000000007"/>
    <n v="9050"/>
  </r>
  <r>
    <n v="9"/>
    <x v="8"/>
    <n v="4"/>
    <s v="Asoy"/>
    <n v="200"/>
    <n v="0.35"/>
    <n v="70"/>
  </r>
  <r>
    <m/>
    <x v="8"/>
    <m/>
    <s v="Multilayer"/>
    <n v="300"/>
    <n v="0.75"/>
    <n v="225"/>
  </r>
  <r>
    <m/>
    <x v="8"/>
    <m/>
    <s v="Emberan"/>
    <n v="1400"/>
    <n v="0.5"/>
    <n v="700"/>
  </r>
  <r>
    <m/>
    <x v="8"/>
    <m/>
    <s v="Botol &amp; Kaca Beling"/>
    <n v="150"/>
    <n v="1.25"/>
    <n v="187.5"/>
  </r>
  <r>
    <m/>
    <x v="8"/>
    <m/>
    <s v="Boncos"/>
    <n v="300"/>
    <n v="0.2"/>
    <n v="60"/>
  </r>
  <r>
    <m/>
    <x v="8"/>
    <m/>
    <s v="Gabrukan"/>
    <n v="1000"/>
    <n v="2.63"/>
    <n v="2630"/>
  </r>
  <r>
    <n v="10"/>
    <x v="9"/>
    <m/>
    <m/>
    <m/>
    <m/>
    <m/>
  </r>
  <r>
    <n v="11"/>
    <x v="10"/>
    <n v="2"/>
    <s v="Botol &amp; Gelas Putih (Kotor)"/>
    <n v="1600"/>
    <n v="0.3"/>
    <n v="480"/>
  </r>
  <r>
    <m/>
    <x v="10"/>
    <m/>
    <s v="Kabin"/>
    <n v="1800"/>
    <n v="2.5499999999999998"/>
    <n v="4590"/>
  </r>
  <r>
    <m/>
    <x v="10"/>
    <m/>
    <s v="Botol &amp; Kaca Beling"/>
    <n v="150"/>
    <n v="0.35"/>
    <n v="52.5"/>
  </r>
  <r>
    <m/>
    <x v="10"/>
    <m/>
    <s v="Kaleng"/>
    <n v="1500"/>
    <n v="0.1"/>
    <n v="150"/>
  </r>
  <r>
    <m/>
    <x v="10"/>
    <m/>
    <s v="Gabrukan"/>
    <n v="1000"/>
    <n v="4.2"/>
    <n v="4200"/>
  </r>
  <r>
    <n v="12"/>
    <x v="11"/>
    <n v="1"/>
    <s v="Besi"/>
    <n v="2500"/>
    <n v="4.3499999999999996"/>
    <n v="10875"/>
  </r>
  <r>
    <m/>
    <x v="11"/>
    <m/>
    <s v="Minyak Jelantah"/>
    <n v="4000"/>
    <n v="0.1"/>
    <n v="400"/>
  </r>
  <r>
    <m/>
    <x v="11"/>
    <m/>
    <s v="Kardus Baik/Kering"/>
    <n v="1000"/>
    <n v="1.8"/>
    <n v="1800"/>
  </r>
  <r>
    <m/>
    <x v="11"/>
    <m/>
    <s v="Asoy"/>
    <n v="200"/>
    <n v="2.25"/>
    <n v="450"/>
  </r>
  <r>
    <m/>
    <x v="11"/>
    <m/>
    <s v="Karung Beras"/>
    <n v="400"/>
    <n v="1.1499999999999999"/>
    <n v="459.99999999999994"/>
  </r>
  <r>
    <m/>
    <x v="11"/>
    <m/>
    <s v="Multilayer"/>
    <n v="300"/>
    <n v="0.5"/>
    <n v="150"/>
  </r>
  <r>
    <m/>
    <x v="11"/>
    <m/>
    <s v="Emberan"/>
    <n v="1400"/>
    <n v="0.55000000000000004"/>
    <n v="770.00000000000011"/>
  </r>
  <r>
    <m/>
    <x v="11"/>
    <m/>
    <s v="Boncos"/>
    <n v="300"/>
    <n v="0.55000000000000004"/>
    <n v="165"/>
  </r>
  <r>
    <m/>
    <x v="11"/>
    <m/>
    <s v="Kertas HVS Putih"/>
    <n v="1400"/>
    <n v="1.4"/>
    <n v="1959.9999999999998"/>
  </r>
  <r>
    <m/>
    <x v="11"/>
    <m/>
    <s v="Botol &amp; Gelas Putih (Kotor)"/>
    <n v="1600"/>
    <n v="0.15"/>
    <n v="240"/>
  </r>
  <r>
    <n v="13"/>
    <x v="12"/>
    <n v="2"/>
    <s v="Botol Putih Bersih"/>
    <n v="2800"/>
    <n v="0.75"/>
    <n v="2100"/>
  </r>
  <r>
    <m/>
    <x v="12"/>
    <m/>
    <s v="Multilayer"/>
    <n v="300"/>
    <n v="0.3"/>
    <n v="90"/>
  </r>
  <r>
    <m/>
    <x v="12"/>
    <m/>
    <s v="Asoy"/>
    <n v="200"/>
    <n v="0.5"/>
    <n v="100"/>
  </r>
  <r>
    <m/>
    <x v="12"/>
    <m/>
    <s v="Tutup Botol"/>
    <n v="2500"/>
    <n v="0.15"/>
    <n v="375"/>
  </r>
  <r>
    <m/>
    <x v="12"/>
    <m/>
    <s v="Boncos"/>
    <n v="300"/>
    <n v="0.65"/>
    <n v="195"/>
  </r>
  <r>
    <m/>
    <x v="12"/>
    <m/>
    <s v="Gabrukan"/>
    <n v="1000"/>
    <n v="1.1499999999999999"/>
    <n v="1150"/>
  </r>
  <r>
    <m/>
    <x v="12"/>
    <m/>
    <s v="Kardus Baik/Kering"/>
    <n v="1000"/>
    <n v="0.75"/>
    <n v="750"/>
  </r>
  <r>
    <n v="14"/>
    <x v="13"/>
    <n v="1"/>
    <s v="Gabrukan"/>
    <n v="1000"/>
    <n v="0.75"/>
    <n v="750"/>
  </r>
  <r>
    <m/>
    <x v="13"/>
    <m/>
    <s v="Asoy"/>
    <n v="200"/>
    <n v="0.5"/>
    <n v="100"/>
  </r>
  <r>
    <m/>
    <x v="13"/>
    <m/>
    <s v="Multilayer"/>
    <n v="300"/>
    <n v="0.2"/>
    <n v="60"/>
  </r>
  <r>
    <m/>
    <x v="13"/>
    <m/>
    <s v="Kaleng"/>
    <n v="1500"/>
    <n v="0.6"/>
    <n v="900"/>
  </r>
  <r>
    <m/>
    <x v="13"/>
    <m/>
    <s v="Botol &amp; Kaca Beling"/>
    <n v="150"/>
    <n v="0.95"/>
    <n v="142.5"/>
  </r>
  <r>
    <m/>
    <x v="13"/>
    <m/>
    <s v="Emberan"/>
    <n v="1400"/>
    <n v="0.75"/>
    <n v="1050"/>
  </r>
  <r>
    <m/>
    <x v="13"/>
    <m/>
    <s v="Boncos"/>
    <n v="300"/>
    <n v="0.9"/>
    <n v="270"/>
  </r>
  <r>
    <m/>
    <x v="13"/>
    <m/>
    <s v="Minyak Jelantah"/>
    <n v="4000"/>
    <n v="0.7"/>
    <n v="2800"/>
  </r>
  <r>
    <n v="15"/>
    <x v="14"/>
    <n v="2"/>
    <s v="Botol &amp; Kaca Beling"/>
    <n v="150"/>
    <n v="0.35"/>
    <n v="52.5"/>
  </r>
  <r>
    <m/>
    <x v="14"/>
    <m/>
    <s v="Emberan"/>
    <n v="1400"/>
    <n v="0.8"/>
    <n v="1120"/>
  </r>
  <r>
    <m/>
    <x v="14"/>
    <m/>
    <s v="Boncos"/>
    <n v="300"/>
    <n v="0.2"/>
    <n v="60"/>
  </r>
  <r>
    <m/>
    <x v="14"/>
    <m/>
    <s v="Botol Putih Bersih"/>
    <n v="2800"/>
    <n v="0.45"/>
    <n v="1260"/>
  </r>
  <r>
    <m/>
    <x v="14"/>
    <m/>
    <s v="Multilayer"/>
    <n v="300"/>
    <n v="0.5"/>
    <n v="150"/>
  </r>
  <r>
    <n v="16"/>
    <x v="15"/>
    <n v="4"/>
    <s v="Kardus Baik/Kering"/>
    <n v="1000"/>
    <n v="7.35"/>
    <n v="7350"/>
  </r>
  <r>
    <m/>
    <x v="15"/>
    <m/>
    <s v="Botol Putih Bersih"/>
    <n v="2800"/>
    <n v="1.4"/>
    <n v="3919.9999999999995"/>
  </r>
  <r>
    <m/>
    <x v="15"/>
    <m/>
    <s v="Emberan"/>
    <n v="1400"/>
    <n v="0.1"/>
    <n v="140"/>
  </r>
  <r>
    <m/>
    <x v="15"/>
    <m/>
    <s v="Tutup Botol"/>
    <n v="2500"/>
    <n v="0.25"/>
    <n v="625"/>
  </r>
  <r>
    <m/>
    <x v="15"/>
    <m/>
    <s v="Tutup Galon"/>
    <n v="3500"/>
    <n v="0.2"/>
    <n v="700"/>
  </r>
  <r>
    <m/>
    <x v="15"/>
    <m/>
    <s v="Kaleng"/>
    <n v="1500"/>
    <n v="0.2"/>
    <n v="300"/>
  </r>
  <r>
    <n v="17"/>
    <x v="16"/>
    <n v="5"/>
    <s v="Tutup Botol"/>
    <n v="2500"/>
    <n v="0.2"/>
    <n v="500"/>
  </r>
  <r>
    <m/>
    <x v="16"/>
    <m/>
    <s v="Kardus Baik/Kering"/>
    <n v="1000"/>
    <n v="4.4000000000000004"/>
    <n v="4400"/>
  </r>
  <r>
    <m/>
    <x v="16"/>
    <m/>
    <s v="Boncos"/>
    <n v="300"/>
    <n v="0.2"/>
    <n v="60"/>
  </r>
  <r>
    <m/>
    <x v="16"/>
    <m/>
    <s v="Naso"/>
    <n v="2000"/>
    <n v="0.2"/>
    <n v="400"/>
  </r>
  <r>
    <m/>
    <x v="16"/>
    <m/>
    <s v="Botol Putih Bersih"/>
    <n v="2800"/>
    <n v="1.75"/>
    <n v="4900"/>
  </r>
  <r>
    <m/>
    <x v="16"/>
    <m/>
    <s v="Gabrukan"/>
    <n v="1000"/>
    <n v="2"/>
    <n v="2000"/>
  </r>
  <r>
    <m/>
    <x v="16"/>
    <m/>
    <s v="Asoy"/>
    <n v="200"/>
    <n v="0.8"/>
    <n v="160"/>
  </r>
  <r>
    <m/>
    <x v="16"/>
    <m/>
    <s v="Emberan"/>
    <n v="1400"/>
    <n v="1"/>
    <n v="1400"/>
  </r>
  <r>
    <m/>
    <x v="16"/>
    <m/>
    <s v="Besi"/>
    <n v="2500"/>
    <n v="0.3"/>
    <n v="750"/>
  </r>
  <r>
    <n v="18"/>
    <x v="17"/>
    <n v="4"/>
    <s v="Kardus Baik/Kering"/>
    <n v="1000"/>
    <n v="9.1"/>
    <n v="9100"/>
  </r>
  <r>
    <m/>
    <x v="17"/>
    <m/>
    <s v="Emberan"/>
    <n v="1400"/>
    <n v="0.7"/>
    <n v="979.99999999999989"/>
  </r>
  <r>
    <m/>
    <x v="17"/>
    <m/>
    <s v="Asoy"/>
    <n v="200"/>
    <n v="0.4"/>
    <n v="80"/>
  </r>
  <r>
    <m/>
    <x v="17"/>
    <m/>
    <s v="Multilayer"/>
    <n v="300"/>
    <n v="0.45"/>
    <n v="135"/>
  </r>
  <r>
    <m/>
    <x v="17"/>
    <m/>
    <s v="Botol &amp; Gelas Putih (Kotor)"/>
    <n v="1600"/>
    <n v="0.35"/>
    <n v="560"/>
  </r>
  <r>
    <n v="19"/>
    <x v="18"/>
    <s v="UE"/>
    <s v="Kardus Baik/Kering"/>
    <n v="1000"/>
    <n v="0.45"/>
    <n v="450"/>
  </r>
  <r>
    <m/>
    <x v="18"/>
    <m/>
    <s v="Asoy"/>
    <n v="200"/>
    <n v="0.05"/>
    <n v="10"/>
  </r>
  <r>
    <m/>
    <x v="18"/>
    <m/>
    <s v="Botol &amp; Gelas Putih (Kotor)"/>
    <n v="1600"/>
    <n v="0.5"/>
    <n v="800"/>
  </r>
  <r>
    <n v="20"/>
    <x v="19"/>
    <n v="2"/>
    <s v="Botol Putih Bersih"/>
    <n v="2800"/>
    <n v="1.7"/>
    <n v="4760"/>
  </r>
  <r>
    <m/>
    <x v="19"/>
    <m/>
    <s v="Emberan"/>
    <n v="1400"/>
    <n v="0.25"/>
    <n v="350"/>
  </r>
  <r>
    <m/>
    <x v="19"/>
    <m/>
    <s v="Kardus Baik/Kering"/>
    <n v="1000"/>
    <n v="2.65"/>
    <n v="2650"/>
  </r>
  <r>
    <n v="21"/>
    <x v="20"/>
    <n v="4"/>
    <s v="Botol Putih Bersih"/>
    <n v="2800"/>
    <n v="0.5"/>
    <n v="1400"/>
  </r>
  <r>
    <m/>
    <x v="20"/>
    <m/>
    <s v="Injek"/>
    <n v="1600"/>
    <n v="0.25"/>
    <n v="400"/>
  </r>
  <r>
    <m/>
    <x v="20"/>
    <m/>
    <s v="Kaleng"/>
    <n v="1500"/>
    <n v="0.35"/>
    <n v="525"/>
  </r>
  <r>
    <m/>
    <x v="20"/>
    <m/>
    <s v="Kardus Baik/Kering"/>
    <n v="1000"/>
    <n v="0.45"/>
    <n v="450"/>
  </r>
  <r>
    <m/>
    <x v="20"/>
    <m/>
    <s v="Koran/LKS"/>
    <n v="800"/>
    <n v="0.5"/>
    <n v="400"/>
  </r>
  <r>
    <m/>
    <x v="20"/>
    <m/>
    <s v="Multilayer"/>
    <n v="300"/>
    <n v="0.3"/>
    <n v="90"/>
  </r>
  <r>
    <m/>
    <x v="20"/>
    <m/>
    <s v="Botol &amp; Kaca Beling"/>
    <n v="150"/>
    <n v="0.5"/>
    <n v="75"/>
  </r>
  <r>
    <m/>
    <x v="20"/>
    <m/>
    <s v="Emberan"/>
    <n v="1400"/>
    <n v="1.1499999999999999"/>
    <n v="1609.9999999999998"/>
  </r>
  <r>
    <n v="22"/>
    <x v="21"/>
    <n v="3"/>
    <s v="Gabrukan"/>
    <n v="1000"/>
    <n v="2.15"/>
    <n v="2150"/>
  </r>
  <r>
    <m/>
    <x v="21"/>
    <m/>
    <s v="Emberan"/>
    <n v="1400"/>
    <n v="0.8"/>
    <n v="1120"/>
  </r>
  <r>
    <m/>
    <x v="21"/>
    <m/>
    <s v="Kardus Baik/Kering"/>
    <n v="1000"/>
    <n v="1.2"/>
    <n v="1200"/>
  </r>
  <r>
    <m/>
    <x v="21"/>
    <m/>
    <s v="Multilayer"/>
    <n v="300"/>
    <n v="1.4"/>
    <n v="420"/>
  </r>
  <r>
    <m/>
    <x v="21"/>
    <m/>
    <s v="Asoy"/>
    <n v="200"/>
    <n v="0.4"/>
    <n v="80"/>
  </r>
  <r>
    <n v="23"/>
    <x v="22"/>
    <n v="4"/>
    <s v="Kertas HVS Putih"/>
    <n v="1400"/>
    <n v="11.4"/>
    <n v="15960"/>
  </r>
  <r>
    <m/>
    <x v="22"/>
    <m/>
    <s v="Asoy"/>
    <n v="200"/>
    <n v="0.45"/>
    <n v="90"/>
  </r>
  <r>
    <m/>
    <x v="22"/>
    <m/>
    <s v="Multilayer"/>
    <n v="300"/>
    <n v="0.25"/>
    <n v="75"/>
  </r>
  <r>
    <m/>
    <x v="22"/>
    <m/>
    <s v="Gabrukan"/>
    <n v="1000"/>
    <n v="1.05"/>
    <n v="1050"/>
  </r>
  <r>
    <m/>
    <x v="22"/>
    <m/>
    <s v="Botol &amp; Kaca Beling"/>
    <n v="150"/>
    <n v="1.2"/>
    <n v="180"/>
  </r>
  <r>
    <m/>
    <x v="22"/>
    <m/>
    <s v="Kaleng"/>
    <n v="1500"/>
    <n v="0.5"/>
    <n v="750"/>
  </r>
  <r>
    <m/>
    <x v="22"/>
    <m/>
    <s v="Emberan"/>
    <n v="1400"/>
    <n v="0.1"/>
    <n v="140"/>
  </r>
  <r>
    <m/>
    <x v="22"/>
    <m/>
    <s v="Naso"/>
    <n v="2000"/>
    <n v="0.2"/>
    <n v="400"/>
  </r>
  <r>
    <m/>
    <x v="22"/>
    <m/>
    <s v="Boncos"/>
    <n v="300"/>
    <n v="0.9"/>
    <n v="270"/>
  </r>
  <r>
    <m/>
    <x v="22"/>
    <m/>
    <s v="Kardus Baik/Kering"/>
    <n v="1000"/>
    <n v="3.45"/>
    <n v="3450"/>
  </r>
  <r>
    <m/>
    <x v="22"/>
    <m/>
    <s v="TV LED"/>
    <n v="8000"/>
    <n v="1"/>
    <n v="8000"/>
  </r>
  <r>
    <n v="24"/>
    <x v="23"/>
    <n v="1"/>
    <s v="Asoy"/>
    <n v="200"/>
    <n v="1.1000000000000001"/>
    <n v="220.00000000000003"/>
  </r>
  <r>
    <m/>
    <x v="23"/>
    <m/>
    <s v="Multilayer"/>
    <n v="300"/>
    <n v="4.25"/>
    <n v="1275"/>
  </r>
  <r>
    <m/>
    <x v="23"/>
    <m/>
    <s v="Gabrukan"/>
    <n v="1000"/>
    <n v="1.1499999999999999"/>
    <n v="1150"/>
  </r>
  <r>
    <m/>
    <x v="23"/>
    <m/>
    <s v="Besi"/>
    <n v="2500"/>
    <n v="1"/>
    <n v="2500"/>
  </r>
  <r>
    <n v="25"/>
    <x v="24"/>
    <n v="3"/>
    <s v="Asoy"/>
    <n v="200"/>
    <n v="1.35"/>
    <n v="270"/>
  </r>
  <r>
    <m/>
    <x v="24"/>
    <m/>
    <s v="Multilayer"/>
    <n v="300"/>
    <n v="0.65"/>
    <n v="195"/>
  </r>
  <r>
    <m/>
    <x v="24"/>
    <m/>
    <s v="Boncos"/>
    <n v="300"/>
    <n v="1.4"/>
    <n v="420"/>
  </r>
  <r>
    <m/>
    <x v="24"/>
    <m/>
    <s v="Botol Putih Bersih"/>
    <n v="2800"/>
    <n v="1.1499999999999999"/>
    <n v="3219.9999999999995"/>
  </r>
  <r>
    <m/>
    <x v="24"/>
    <m/>
    <s v="Kardus Baik/Kering"/>
    <n v="1000"/>
    <n v="2.4"/>
    <n v="2400"/>
  </r>
  <r>
    <m/>
    <x v="24"/>
    <m/>
    <s v="Injek"/>
    <n v="1600"/>
    <n v="0.15"/>
    <n v="240"/>
  </r>
  <r>
    <m/>
    <x v="24"/>
    <m/>
    <s v="Tutup Botol"/>
    <n v="2500"/>
    <n v="0.45"/>
    <n v="1125"/>
  </r>
  <r>
    <m/>
    <x v="24"/>
    <m/>
    <s v="Gelas Putih Bersih"/>
    <n v="3500"/>
    <n v="0.25"/>
    <n v="875"/>
  </r>
  <r>
    <m/>
    <x v="24"/>
    <m/>
    <s v="Emberan"/>
    <n v="1400"/>
    <n v="1"/>
    <n v="1400"/>
  </r>
  <r>
    <n v="26"/>
    <x v="25"/>
    <n v="1"/>
    <s v="Boncos"/>
    <n v="300"/>
    <n v="0.75"/>
    <n v="225"/>
  </r>
  <r>
    <m/>
    <x v="25"/>
    <m/>
    <s v="Kaleng"/>
    <n v="1500"/>
    <n v="0.65"/>
    <n v="975"/>
  </r>
  <r>
    <m/>
    <x v="25"/>
    <m/>
    <s v="Kardus Baik/Kering"/>
    <n v="1000"/>
    <n v="2"/>
    <n v="2000"/>
  </r>
  <r>
    <m/>
    <x v="25"/>
    <m/>
    <s v="Multilayer"/>
    <n v="300"/>
    <n v="1.05"/>
    <n v="315"/>
  </r>
  <r>
    <m/>
    <x v="25"/>
    <m/>
    <s v="Emberan"/>
    <n v="1400"/>
    <n v="1.75"/>
    <n v="2450"/>
  </r>
  <r>
    <m/>
    <x v="25"/>
    <m/>
    <s v="Botol &amp; Kaca Beling"/>
    <n v="150"/>
    <n v="1.1499999999999999"/>
    <n v="172.5"/>
  </r>
  <r>
    <m/>
    <x v="25"/>
    <m/>
    <s v="Botol &amp; Gelas Putih (Kotor)"/>
    <n v="1600"/>
    <n v="1.1499999999999999"/>
    <n v="1839.9999999999998"/>
  </r>
  <r>
    <m/>
    <x v="25"/>
    <m/>
    <s v="Gabrukan"/>
    <n v="1000"/>
    <n v="0.6"/>
    <n v="600"/>
  </r>
  <r>
    <m/>
    <x v="25"/>
    <m/>
    <s v="Tutup Botol"/>
    <n v="2500"/>
    <n v="0.3"/>
    <n v="750"/>
  </r>
  <r>
    <m/>
    <x v="25"/>
    <m/>
    <s v="Asoy"/>
    <n v="200"/>
    <n v="0.85"/>
    <n v="170"/>
  </r>
  <r>
    <n v="27"/>
    <x v="26"/>
    <n v="1"/>
    <s v="Boncos"/>
    <n v="300"/>
    <n v="12.65"/>
    <n v="3795"/>
  </r>
  <r>
    <m/>
    <x v="26"/>
    <m/>
    <s v="Multilayer"/>
    <n v="300"/>
    <n v="6.65"/>
    <n v="1995"/>
  </r>
  <r>
    <m/>
    <x v="26"/>
    <m/>
    <s v="Asoy"/>
    <n v="200"/>
    <n v="0.35"/>
    <n v="70"/>
  </r>
  <r>
    <m/>
    <x v="26"/>
    <m/>
    <s v="Gabrukan"/>
    <n v="1000"/>
    <n v="1.75"/>
    <n v="1750"/>
  </r>
  <r>
    <m/>
    <x v="26"/>
    <m/>
    <s v="Kaleng"/>
    <n v="1500"/>
    <n v="1.4"/>
    <n v="2100"/>
  </r>
  <r>
    <m/>
    <x v="26"/>
    <m/>
    <s v="Kardus Baik/Kering"/>
    <n v="1000"/>
    <n v="10.25"/>
    <n v="10250"/>
  </r>
  <r>
    <m/>
    <x v="26"/>
    <m/>
    <s v="Minyak Jelantah"/>
    <n v="4000"/>
    <n v="3.25"/>
    <n v="13000"/>
  </r>
  <r>
    <n v="28"/>
    <x v="27"/>
    <n v="1"/>
    <s v="Boncos"/>
    <n v="300"/>
    <n v="2.7"/>
    <n v="810"/>
  </r>
  <r>
    <m/>
    <x v="27"/>
    <m/>
    <s v="Asoy"/>
    <n v="200"/>
    <n v="1.75"/>
    <n v="350"/>
  </r>
  <r>
    <m/>
    <x v="27"/>
    <m/>
    <s v="Multilayer"/>
    <n v="300"/>
    <n v="3.8"/>
    <n v="1140"/>
  </r>
  <r>
    <m/>
    <x v="27"/>
    <m/>
    <s v="Gabrukan"/>
    <n v="1000"/>
    <n v="0.75"/>
    <n v="750"/>
  </r>
  <r>
    <n v="29"/>
    <x v="28"/>
    <n v="2"/>
    <s v="Emberan"/>
    <n v="1400"/>
    <n v="0.85"/>
    <n v="1190"/>
  </r>
  <r>
    <m/>
    <x v="28"/>
    <m/>
    <s v="Tutup Botol"/>
    <n v="2500"/>
    <n v="0.15"/>
    <n v="375"/>
  </r>
  <r>
    <m/>
    <x v="28"/>
    <m/>
    <s v="Tutup Galon"/>
    <n v="3500"/>
    <n v="0.15"/>
    <n v="525"/>
  </r>
  <r>
    <m/>
    <x v="28"/>
    <m/>
    <s v="Botol &amp; Kaca Beling"/>
    <n v="150"/>
    <n v="0.35"/>
    <n v="52.5"/>
  </r>
  <r>
    <m/>
    <x v="28"/>
    <m/>
    <s v="Kardus Baik/Kering"/>
    <n v="1000"/>
    <n v="1.85"/>
    <n v="1850"/>
  </r>
  <r>
    <m/>
    <x v="28"/>
    <m/>
    <s v="Asoy"/>
    <n v="200"/>
    <n v="0.15"/>
    <n v="30"/>
  </r>
  <r>
    <m/>
    <x v="28"/>
    <m/>
    <s v="Multilayer"/>
    <n v="300"/>
    <n v="0.95"/>
    <n v="285"/>
  </r>
  <r>
    <m/>
    <x v="28"/>
    <m/>
    <s v="Kaleng"/>
    <n v="1500"/>
    <n v="0.9"/>
    <n v="1350"/>
  </r>
  <r>
    <m/>
    <x v="28"/>
    <m/>
    <s v="Botol &amp; Gelas Putih (Kotor)"/>
    <n v="1600"/>
    <n v="0.2"/>
    <n v="320"/>
  </r>
  <r>
    <m/>
    <x v="28"/>
    <m/>
    <s v="Botol Putih Bersih"/>
    <n v="2800"/>
    <n v="1.45"/>
    <n v="4060"/>
  </r>
  <r>
    <m/>
    <x v="28"/>
    <m/>
    <s v="Gabrukan"/>
    <n v="1000"/>
    <n v="0.75"/>
    <n v="750"/>
  </r>
  <r>
    <m/>
    <x v="28"/>
    <m/>
    <s v="Kipas Angin"/>
    <n v="13000"/>
    <n v="1"/>
    <n v="13000"/>
  </r>
  <r>
    <n v="30"/>
    <x v="29"/>
    <s v="UB"/>
    <s v="Boncos"/>
    <n v="300"/>
    <n v="0.55000000000000004"/>
    <n v="165"/>
  </r>
  <r>
    <m/>
    <x v="29"/>
    <m/>
    <s v="Kardus Baik/Kering"/>
    <n v="1000"/>
    <n v="0.4"/>
    <n v="400"/>
  </r>
  <r>
    <m/>
    <x v="29"/>
    <m/>
    <s v="Asoy"/>
    <n v="200"/>
    <n v="2.15"/>
    <n v="430"/>
  </r>
  <r>
    <m/>
    <x v="29"/>
    <m/>
    <s v="Multilayer"/>
    <n v="300"/>
    <n v="0.5"/>
    <n v="150"/>
  </r>
  <r>
    <m/>
    <x v="29"/>
    <m/>
    <s v="Emberan"/>
    <n v="1400"/>
    <n v="3.9"/>
    <n v="5460"/>
  </r>
  <r>
    <m/>
    <x v="29"/>
    <m/>
    <s v="Injek"/>
    <n v="1600"/>
    <n v="3.3"/>
    <n v="5280"/>
  </r>
  <r>
    <m/>
    <x v="29"/>
    <m/>
    <s v="Toples Kue Kristal"/>
    <n v="2700"/>
    <n v="0.1"/>
    <n v="270"/>
  </r>
  <r>
    <m/>
    <x v="29"/>
    <m/>
    <s v="Gabrukan"/>
    <n v="1000"/>
    <n v="1.05"/>
    <n v="1050"/>
  </r>
  <r>
    <m/>
    <x v="29"/>
    <m/>
    <s v="Minyak Jelantah"/>
    <n v="4000"/>
    <n v="4.4000000000000004"/>
    <n v="17600"/>
  </r>
  <r>
    <m/>
    <x v="29"/>
    <m/>
    <s v="Kaleng"/>
    <n v="1500"/>
    <n v="0.75"/>
    <n v="1125"/>
  </r>
  <r>
    <m/>
    <x v="29"/>
    <m/>
    <s v="Kabin"/>
    <n v="1800"/>
    <n v="0.35"/>
    <n v="630"/>
  </r>
  <r>
    <m/>
    <x v="29"/>
    <m/>
    <s v="Majalah"/>
    <n v="600"/>
    <n v="47.45"/>
    <n v="28470"/>
  </r>
  <r>
    <m/>
    <x v="29"/>
    <m/>
    <s v="Buku Tulis &amp; Pelajaran"/>
    <n v="1200"/>
    <n v="30.049999999999997"/>
    <n v="36060"/>
  </r>
  <r>
    <m/>
    <x v="29"/>
    <m/>
    <s v="Kardus Baik/Kering"/>
    <n v="1000"/>
    <n v="1.75"/>
    <n v="1750"/>
  </r>
  <r>
    <m/>
    <x v="29"/>
    <m/>
    <s v="Boncos"/>
    <n v="300"/>
    <n v="3.65"/>
    <n v="1095"/>
  </r>
  <r>
    <n v="31"/>
    <x v="30"/>
    <n v="3"/>
    <s v="Botol Putih Bersih"/>
    <n v="2800"/>
    <n v="0.7"/>
    <n v="1959.9999999999998"/>
  </r>
  <r>
    <m/>
    <x v="30"/>
    <m/>
    <s v="Multilayer"/>
    <n v="300"/>
    <n v="1.55"/>
    <n v="465"/>
  </r>
  <r>
    <m/>
    <x v="30"/>
    <m/>
    <s v="Asoy"/>
    <n v="200"/>
    <n v="0.75"/>
    <n v="150"/>
  </r>
  <r>
    <m/>
    <x v="30"/>
    <m/>
    <s v="Kardus Baik/Kering"/>
    <n v="1000"/>
    <n v="1.85"/>
    <n v="1850"/>
  </r>
  <r>
    <m/>
    <x v="30"/>
    <m/>
    <s v="Kaleng"/>
    <n v="1500"/>
    <n v="0.45"/>
    <n v="675"/>
  </r>
  <r>
    <m/>
    <x v="30"/>
    <m/>
    <s v="Botol &amp; Kaca Beling"/>
    <n v="150"/>
    <n v="0.15"/>
    <n v="22.5"/>
  </r>
  <r>
    <m/>
    <x v="30"/>
    <m/>
    <s v="Emberan"/>
    <n v="1400"/>
    <n v="0.5"/>
    <n v="700"/>
  </r>
  <r>
    <m/>
    <x v="30"/>
    <m/>
    <s v="Tutup Botol"/>
    <n v="2500"/>
    <n v="0.1"/>
    <n v="250"/>
  </r>
  <r>
    <m/>
    <x v="30"/>
    <m/>
    <s v="Besi"/>
    <n v="2500"/>
    <n v="0.55000000000000004"/>
    <n v="1375"/>
  </r>
  <r>
    <n v="32"/>
    <x v="31"/>
    <n v="4"/>
    <s v="Gabrukan"/>
    <n v="1000"/>
    <n v="2.4"/>
    <n v="2400"/>
  </r>
  <r>
    <n v="33"/>
    <x v="32"/>
    <n v="4"/>
    <s v="Gabrukan"/>
    <n v="1000"/>
    <n v="0.75"/>
    <n v="750"/>
  </r>
  <r>
    <m/>
    <x v="32"/>
    <m/>
    <s v="Kertas HVS Putih"/>
    <n v="1400"/>
    <n v="3.2"/>
    <n v="4480"/>
  </r>
  <r>
    <m/>
    <x v="32"/>
    <m/>
    <s v="Buku Tulis &amp; Pelajaran"/>
    <n v="1200"/>
    <n v="1.45"/>
    <n v="1740"/>
  </r>
  <r>
    <m/>
    <x v="32"/>
    <m/>
    <s v="Kardus Baik/Kering"/>
    <n v="1000"/>
    <n v="0.55000000000000004"/>
    <n v="550"/>
  </r>
  <r>
    <n v="34"/>
    <x v="33"/>
    <n v="4"/>
    <s v="Botol Putih Bersih"/>
    <n v="2800"/>
    <n v="1.05"/>
    <n v="2940"/>
  </r>
  <r>
    <m/>
    <x v="33"/>
    <m/>
    <s v="Tutup Galon"/>
    <n v="3500"/>
    <n v="0.45"/>
    <n v="1575"/>
  </r>
  <r>
    <m/>
    <x v="33"/>
    <m/>
    <s v="Tutup Botol"/>
    <n v="2500"/>
    <n v="0.65"/>
    <n v="1625"/>
  </r>
  <r>
    <m/>
    <x v="33"/>
    <m/>
    <s v="Boncos"/>
    <n v="300"/>
    <n v="1.65"/>
    <n v="495"/>
  </r>
  <r>
    <m/>
    <x v="33"/>
    <m/>
    <s v="Multilayer"/>
    <n v="300"/>
    <n v="1.8499999999999999"/>
    <n v="555"/>
  </r>
  <r>
    <m/>
    <x v="33"/>
    <m/>
    <s v="Botol &amp; Kaca Beling"/>
    <n v="150"/>
    <n v="1.45"/>
    <n v="217.5"/>
  </r>
  <r>
    <m/>
    <x v="33"/>
    <m/>
    <s v="Emberan"/>
    <n v="1400"/>
    <n v="1.85"/>
    <n v="2590"/>
  </r>
  <r>
    <m/>
    <x v="33"/>
    <m/>
    <s v="Kaleng"/>
    <n v="1500"/>
    <n v="0.7"/>
    <n v="1050"/>
  </r>
  <r>
    <n v="35"/>
    <x v="34"/>
    <n v="6"/>
    <s v="Botol Putih Bersih"/>
    <n v="2800"/>
    <n v="6.1499999999999995"/>
    <n v="17220"/>
  </r>
  <r>
    <m/>
    <x v="34"/>
    <m/>
    <s v="Gelas Putih Bersih"/>
    <n v="3500"/>
    <n v="0.4"/>
    <n v="1400"/>
  </r>
  <r>
    <m/>
    <x v="34"/>
    <m/>
    <s v="Gabrukan"/>
    <n v="1000"/>
    <n v="2.95"/>
    <n v="2950"/>
  </r>
  <r>
    <m/>
    <x v="34"/>
    <m/>
    <s v="Buku Tulis &amp; Pelajaran"/>
    <n v="1200"/>
    <n v="20.6"/>
    <n v="24720"/>
  </r>
  <r>
    <m/>
    <x v="34"/>
    <m/>
    <s v="Koran/LKS"/>
    <n v="800"/>
    <n v="4.9000000000000004"/>
    <n v="3920.0000000000005"/>
  </r>
  <r>
    <m/>
    <x v="34"/>
    <m/>
    <s v="Boncos"/>
    <n v="300"/>
    <n v="3.1500000000000004"/>
    <n v="945.00000000000011"/>
  </r>
  <r>
    <m/>
    <x v="34"/>
    <m/>
    <s v="Emberan"/>
    <n v="1400"/>
    <n v="1.95"/>
    <n v="2730"/>
  </r>
  <r>
    <m/>
    <x v="34"/>
    <m/>
    <s v="Naso"/>
    <n v="2000"/>
    <n v="0.95"/>
    <n v="1900"/>
  </r>
  <r>
    <m/>
    <x v="34"/>
    <m/>
    <s v="Kaleng"/>
    <n v="1500"/>
    <n v="0.45"/>
    <n v="675"/>
  </r>
  <r>
    <m/>
    <x v="34"/>
    <m/>
    <s v="Asoy"/>
    <n v="200"/>
    <n v="0.55000000000000004"/>
    <n v="110.00000000000001"/>
  </r>
  <r>
    <m/>
    <x v="34"/>
    <m/>
    <s v="Tutup Botol"/>
    <n v="2500"/>
    <n v="0.45"/>
    <n v="1125"/>
  </r>
  <r>
    <m/>
    <x v="34"/>
    <m/>
    <s v="Kardus Baik/Kering"/>
    <n v="1000"/>
    <n v="7.9"/>
    <n v="7900"/>
  </r>
  <r>
    <m/>
    <x v="34"/>
    <m/>
    <s v="Karung Beras"/>
    <n v="400"/>
    <n v="0.01"/>
    <n v="4"/>
  </r>
  <r>
    <m/>
    <x v="34"/>
    <m/>
    <s v="Botol &amp; Gelas Putih (Kotor)"/>
    <n v="1600"/>
    <n v="0.25"/>
    <n v="400"/>
  </r>
  <r>
    <n v="36"/>
    <x v="35"/>
    <n v="4"/>
    <s v="Gabrukan"/>
    <n v="1000"/>
    <n v="0.25"/>
    <n v="250"/>
  </r>
  <r>
    <m/>
    <x v="35"/>
    <m/>
    <s v="Emberan"/>
    <n v="1400"/>
    <n v="6.8"/>
    <n v="9520"/>
  </r>
  <r>
    <m/>
    <x v="35"/>
    <m/>
    <s v="Kaleng"/>
    <n v="1500"/>
    <n v="1"/>
    <n v="1500"/>
  </r>
  <r>
    <m/>
    <x v="35"/>
    <m/>
    <s v="Besi"/>
    <n v="2500"/>
    <n v="4.05"/>
    <n v="10125"/>
  </r>
  <r>
    <m/>
    <x v="35"/>
    <m/>
    <s v="Kabel"/>
    <n v="1400"/>
    <n v="0.95"/>
    <n v="1330"/>
  </r>
  <r>
    <m/>
    <x v="35"/>
    <m/>
    <s v="Kertas HVS Putih"/>
    <n v="1400"/>
    <n v="10"/>
    <n v="14000"/>
  </r>
  <r>
    <n v="37"/>
    <x v="36"/>
    <n v="6"/>
    <s v="Minyak Jelantah"/>
    <n v="4000"/>
    <n v="3.8"/>
    <n v="15200"/>
  </r>
  <r>
    <m/>
    <x v="36"/>
    <m/>
    <s v="Karung Beras"/>
    <n v="400"/>
    <n v="0.45"/>
    <n v="180"/>
  </r>
  <r>
    <m/>
    <x v="36"/>
    <m/>
    <s v="Emberan"/>
    <n v="1400"/>
    <n v="3.6999999999999997"/>
    <n v="5180"/>
  </r>
  <r>
    <m/>
    <x v="36"/>
    <m/>
    <s v="Boncos"/>
    <n v="300"/>
    <n v="0.45"/>
    <n v="135"/>
  </r>
  <r>
    <m/>
    <x v="36"/>
    <m/>
    <s v="Botol &amp; Kaca Beling"/>
    <n v="150"/>
    <n v="0.9"/>
    <n v="135"/>
  </r>
  <r>
    <n v="38"/>
    <x v="37"/>
    <n v="4"/>
    <s v="Botol Putih Bersih"/>
    <n v="2800"/>
    <n v="2.1"/>
    <n v="5880"/>
  </r>
  <r>
    <m/>
    <x v="37"/>
    <m/>
    <s v="Multilayer"/>
    <n v="300"/>
    <n v="3.55"/>
    <n v="1065"/>
  </r>
  <r>
    <m/>
    <x v="37"/>
    <m/>
    <s v="Tutup Botol"/>
    <n v="2500"/>
    <n v="0.15"/>
    <n v="375"/>
  </r>
  <r>
    <m/>
    <x v="37"/>
    <m/>
    <s v="Gabrukan"/>
    <n v="1000"/>
    <n v="0.95"/>
    <n v="950"/>
  </r>
  <r>
    <m/>
    <x v="37"/>
    <m/>
    <s v="Boncos"/>
    <n v="300"/>
    <n v="0.75"/>
    <n v="225"/>
  </r>
  <r>
    <n v="39"/>
    <x v="38"/>
    <n v="5"/>
    <s v="Asoy"/>
    <n v="200"/>
    <n v="0.45"/>
    <n v="90"/>
  </r>
  <r>
    <m/>
    <x v="38"/>
    <m/>
    <s v="Botol Putih Bersih"/>
    <n v="2800"/>
    <n v="1.6"/>
    <n v="4480"/>
  </r>
  <r>
    <m/>
    <x v="38"/>
    <m/>
    <s v="Kardus Baik/Kering"/>
    <n v="1000"/>
    <n v="1.75"/>
    <n v="1750"/>
  </r>
  <r>
    <m/>
    <x v="38"/>
    <m/>
    <s v="Gabrukan"/>
    <n v="1000"/>
    <n v="3.0999999999999996"/>
    <n v="3099.9999999999995"/>
  </r>
  <r>
    <m/>
    <x v="38"/>
    <m/>
    <s v="Emberan"/>
    <n v="1400"/>
    <n v="1.7"/>
    <n v="2380"/>
  </r>
  <r>
    <m/>
    <x v="38"/>
    <m/>
    <s v="Boncos"/>
    <n v="300"/>
    <n v="3.5"/>
    <n v="1050"/>
  </r>
  <r>
    <m/>
    <x v="38"/>
    <m/>
    <s v="Multilayer"/>
    <n v="300"/>
    <n v="1.85"/>
    <n v="555"/>
  </r>
  <r>
    <m/>
    <x v="38"/>
    <m/>
    <s v="Asoy"/>
    <n v="200"/>
    <n v="0.9"/>
    <n v="180"/>
  </r>
  <r>
    <n v="40"/>
    <x v="39"/>
    <n v="4"/>
    <s v="Botol Putih Bersih"/>
    <n v="2800"/>
    <n v="1.05"/>
    <n v="2940"/>
  </r>
  <r>
    <m/>
    <x v="39"/>
    <m/>
    <s v="Kardus Baik/Kering"/>
    <n v="1000"/>
    <n v="1.7"/>
    <n v="1700"/>
  </r>
  <r>
    <m/>
    <x v="39"/>
    <m/>
    <s v="Boncos"/>
    <n v="300"/>
    <n v="2.0499999999999998"/>
    <n v="615"/>
  </r>
  <r>
    <m/>
    <x v="39"/>
    <m/>
    <s v="Asoy"/>
    <n v="200"/>
    <n v="0.2"/>
    <n v="40"/>
  </r>
  <r>
    <m/>
    <x v="39"/>
    <m/>
    <s v="Kaleng"/>
    <n v="1500"/>
    <n v="0.55000000000000004"/>
    <n v="825.00000000000011"/>
  </r>
  <r>
    <m/>
    <x v="39"/>
    <m/>
    <s v="Emberan"/>
    <n v="1400"/>
    <n v="3.55"/>
    <n v="4970"/>
  </r>
  <r>
    <m/>
    <x v="39"/>
    <m/>
    <s v="Tutup Botol"/>
    <n v="2500"/>
    <n v="0.2"/>
    <n v="500"/>
  </r>
  <r>
    <m/>
    <x v="39"/>
    <m/>
    <s v="Botol &amp; Kaca Beling"/>
    <n v="150"/>
    <n v="2.4500000000000002"/>
    <n v="367.5"/>
  </r>
  <r>
    <m/>
    <x v="39"/>
    <m/>
    <s v="Multilayer"/>
    <n v="300"/>
    <n v="0.9"/>
    <n v="270"/>
  </r>
  <r>
    <n v="41"/>
    <x v="40"/>
    <n v="4"/>
    <s v="Minyak Jelantah"/>
    <n v="4000"/>
    <n v="1.2"/>
    <n v="4800"/>
  </r>
  <r>
    <m/>
    <x v="40"/>
    <m/>
    <s v="Tutup Botol"/>
    <n v="2500"/>
    <n v="0.2"/>
    <n v="500"/>
  </r>
  <r>
    <m/>
    <x v="40"/>
    <m/>
    <s v="Botol Putih Bersih"/>
    <n v="2800"/>
    <n v="0.4"/>
    <n v="1120"/>
  </r>
  <r>
    <m/>
    <x v="40"/>
    <m/>
    <s v="Multilayer"/>
    <n v="300"/>
    <n v="2.4500000000000002"/>
    <n v="735"/>
  </r>
  <r>
    <m/>
    <x v="40"/>
    <m/>
    <s v="Asoy"/>
    <n v="200"/>
    <n v="0.5"/>
    <n v="100"/>
  </r>
  <r>
    <m/>
    <x v="40"/>
    <m/>
    <s v="Kaleng"/>
    <n v="1500"/>
    <n v="0.3"/>
    <n v="450"/>
  </r>
  <r>
    <m/>
    <x v="40"/>
    <m/>
    <s v="Emberan"/>
    <n v="1400"/>
    <n v="0.45"/>
    <n v="630"/>
  </r>
  <r>
    <m/>
    <x v="40"/>
    <m/>
    <s v="Gelas Putih Bersih"/>
    <n v="3500"/>
    <n v="0.05"/>
    <n v="175"/>
  </r>
  <r>
    <n v="42"/>
    <x v="41"/>
    <n v="4"/>
    <s v="Kardus Baik/Kering"/>
    <n v="1000"/>
    <n v="0.6"/>
    <n v="600"/>
  </r>
  <r>
    <m/>
    <x v="41"/>
    <m/>
    <s v="Multilayer"/>
    <n v="300"/>
    <n v="0.25"/>
    <n v="75"/>
  </r>
  <r>
    <m/>
    <x v="41"/>
    <m/>
    <s v="Emberan"/>
    <n v="1400"/>
    <n v="0.25"/>
    <n v="350"/>
  </r>
  <r>
    <m/>
    <x v="41"/>
    <m/>
    <s v="Boncos"/>
    <n v="300"/>
    <n v="0.05"/>
    <n v="15"/>
  </r>
  <r>
    <m/>
    <x v="41"/>
    <m/>
    <s v="Botol &amp; Gelas Putih (Kotor)"/>
    <n v="1600"/>
    <n v="0.3"/>
    <n v="480"/>
  </r>
  <r>
    <m/>
    <x v="41"/>
    <m/>
    <s v="Asoy"/>
    <n v="200"/>
    <n v="0.45"/>
    <n v="90"/>
  </r>
  <r>
    <m/>
    <x v="41"/>
    <m/>
    <s v="Buku Tulis &amp; Pelajaran"/>
    <n v="1200"/>
    <n v="8.6"/>
    <n v="10320"/>
  </r>
  <r>
    <n v="43"/>
    <x v="42"/>
    <n v="4"/>
    <s v="Kardus Baik/Kering"/>
    <n v="1000"/>
    <n v="1"/>
    <n v="1000"/>
  </r>
  <r>
    <m/>
    <x v="42"/>
    <m/>
    <s v="Gabrukan"/>
    <n v="1000"/>
    <n v="0.55000000000000004"/>
    <n v="550"/>
  </r>
  <r>
    <m/>
    <x v="42"/>
    <m/>
    <s v="Injek"/>
    <n v="1600"/>
    <n v="0.25"/>
    <n v="400"/>
  </r>
  <r>
    <m/>
    <x v="42"/>
    <m/>
    <s v="Multilayer"/>
    <n v="300"/>
    <n v="0.4"/>
    <n v="120"/>
  </r>
  <r>
    <m/>
    <x v="42"/>
    <m/>
    <s v="Asoy"/>
    <n v="200"/>
    <n v="0.25"/>
    <n v="50"/>
  </r>
  <r>
    <m/>
    <x v="42"/>
    <m/>
    <s v="Tutup Botol"/>
    <n v="2500"/>
    <n v="0.1"/>
    <n v="250"/>
  </r>
  <r>
    <m/>
    <x v="42"/>
    <m/>
    <s v="Emberan"/>
    <n v="1400"/>
    <n v="0.2"/>
    <n v="280"/>
  </r>
  <r>
    <m/>
    <x v="42"/>
    <m/>
    <s v="Botol &amp; Kaca Beling"/>
    <n v="150"/>
    <n v="0.15"/>
    <n v="22.5"/>
  </r>
  <r>
    <n v="44"/>
    <x v="43"/>
    <n v="4"/>
    <s v="Minyak Jelantah"/>
    <n v="4000"/>
    <n v="0.45"/>
    <n v="1800"/>
  </r>
  <r>
    <m/>
    <x v="43"/>
    <m/>
    <s v="Multilayer"/>
    <n v="300"/>
    <n v="2.5"/>
    <n v="750"/>
  </r>
  <r>
    <n v="45"/>
    <x v="44"/>
    <n v="4"/>
    <s v="Kardus Baik/Kering"/>
    <n v="1000"/>
    <n v="6.65"/>
    <n v="6650"/>
  </r>
  <r>
    <n v="46"/>
    <x v="45"/>
    <n v="4"/>
    <s v="Kardus Baik/Kering"/>
    <n v="1000"/>
    <n v="2.15"/>
    <n v="2150"/>
  </r>
  <r>
    <m/>
    <x v="45"/>
    <m/>
    <s v="Kertas HVS Putih"/>
    <n v="1400"/>
    <n v="0.55000000000000004"/>
    <n v="770.00000000000011"/>
  </r>
  <r>
    <m/>
    <x v="45"/>
    <m/>
    <s v="Boncos"/>
    <n v="300"/>
    <n v="6.6999999999999993"/>
    <n v="2009.9999999999998"/>
  </r>
  <r>
    <m/>
    <x v="45"/>
    <m/>
    <s v="Botol Putih Bersih"/>
    <n v="2800"/>
    <n v="0.3"/>
    <n v="840"/>
  </r>
  <r>
    <m/>
    <x v="45"/>
    <m/>
    <s v="Tutup Botol"/>
    <n v="2500"/>
    <n v="0.5"/>
    <n v="1250"/>
  </r>
  <r>
    <m/>
    <x v="45"/>
    <m/>
    <s v="Tutup Galon"/>
    <n v="3500"/>
    <n v="0.55000000000000004"/>
    <n v="1925.0000000000002"/>
  </r>
  <r>
    <m/>
    <x v="45"/>
    <m/>
    <s v="Naso"/>
    <n v="2000"/>
    <n v="0.85"/>
    <n v="1700"/>
  </r>
  <r>
    <m/>
    <x v="45"/>
    <m/>
    <s v="Emberan"/>
    <n v="1400"/>
    <n v="1"/>
    <n v="1400"/>
  </r>
  <r>
    <m/>
    <x v="45"/>
    <m/>
    <s v="Multilayer"/>
    <n v="300"/>
    <n v="1.25"/>
    <n v="375"/>
  </r>
  <r>
    <m/>
    <x v="45"/>
    <m/>
    <s v="Asoy"/>
    <n v="200"/>
    <n v="1.85"/>
    <n v="370"/>
  </r>
  <r>
    <n v="47"/>
    <x v="46"/>
    <n v="4"/>
    <s v="Gabrukan"/>
    <n v="1000"/>
    <n v="1.3"/>
    <n v="1300"/>
  </r>
  <r>
    <m/>
    <x v="46"/>
    <m/>
    <s v="Botol &amp; Kaca Beling"/>
    <n v="150"/>
    <n v="0.25"/>
    <n v="37.5"/>
  </r>
  <r>
    <m/>
    <x v="46"/>
    <m/>
    <s v="Naso"/>
    <n v="2000"/>
    <n v="0.2"/>
    <n v="400"/>
  </r>
  <r>
    <m/>
    <x v="46"/>
    <m/>
    <s v="Botol &amp; Gelas Putih (Kotor)"/>
    <n v="1600"/>
    <n v="0.35"/>
    <n v="560"/>
  </r>
  <r>
    <m/>
    <x v="46"/>
    <m/>
    <s v="Multilayer"/>
    <n v="300"/>
    <n v="0.15"/>
    <n v="45"/>
  </r>
  <r>
    <n v="48"/>
    <x v="47"/>
    <n v="7"/>
    <s v="Asoy"/>
    <n v="200"/>
    <n v="2"/>
    <n v="400"/>
  </r>
  <r>
    <m/>
    <x v="47"/>
    <m/>
    <s v="Kipas Angin"/>
    <n v="13000"/>
    <n v="1"/>
    <n v="13000"/>
  </r>
  <r>
    <m/>
    <x v="47"/>
    <m/>
    <s v="Kardus Baik/Kering"/>
    <n v="1000"/>
    <n v="7.8"/>
    <n v="7800"/>
  </r>
  <r>
    <m/>
    <x v="47"/>
    <m/>
    <s v="Multilayer"/>
    <n v="300"/>
    <n v="0.55000000000000004"/>
    <n v="165"/>
  </r>
  <r>
    <m/>
    <x v="47"/>
    <m/>
    <s v="Botol Putih Bersih"/>
    <n v="2800"/>
    <n v="1.8"/>
    <n v="5040"/>
  </r>
  <r>
    <m/>
    <x v="47"/>
    <m/>
    <s v="Naso"/>
    <n v="2000"/>
    <n v="1.1000000000000001"/>
    <n v="2200"/>
  </r>
  <r>
    <m/>
    <x v="47"/>
    <m/>
    <s v="Emberan"/>
    <n v="1400"/>
    <n v="1.85"/>
    <n v="2590"/>
  </r>
  <r>
    <m/>
    <x v="47"/>
    <m/>
    <s v="Gabrukan"/>
    <n v="1000"/>
    <n v="3.95"/>
    <n v="395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n v="1"/>
    <x v="0"/>
    <n v="2"/>
    <s v="Botol Putih Bersih"/>
    <n v="2800"/>
    <n v="0.45"/>
    <n v="1260"/>
  </r>
  <r>
    <m/>
    <x v="0"/>
    <m/>
    <s v="Multilayer"/>
    <n v="300"/>
    <n v="0.5"/>
    <n v="150"/>
  </r>
  <r>
    <m/>
    <x v="0"/>
    <m/>
    <s v="Tutup Botol"/>
    <n v="2500"/>
    <n v="0.25"/>
    <n v="625"/>
  </r>
  <r>
    <m/>
    <x v="0"/>
    <m/>
    <s v="Boncos"/>
    <n v="300"/>
    <n v="0.35"/>
    <n v="105"/>
  </r>
  <r>
    <m/>
    <x v="0"/>
    <m/>
    <s v="Gabrukan"/>
    <n v="1000"/>
    <n v="0.95"/>
    <n v="950"/>
  </r>
  <r>
    <m/>
    <x v="0"/>
    <m/>
    <s v="Botol &amp; Gelas Putih (Kotor)"/>
    <n v="1600"/>
    <n v="0.89999999999999991"/>
    <n v="1439.9999999999998"/>
  </r>
  <r>
    <m/>
    <x v="0"/>
    <m/>
    <s v="Kardus Baik/Kering"/>
    <n v="1000"/>
    <n v="1.7"/>
    <n v="1700"/>
  </r>
  <r>
    <m/>
    <x v="0"/>
    <m/>
    <s v="Plastik (PE)"/>
    <n v="800"/>
    <n v="0.05"/>
    <n v="40"/>
  </r>
  <r>
    <m/>
    <x v="0"/>
    <m/>
    <s v="Besi"/>
    <n v="2500"/>
    <n v="10.85"/>
    <n v="27125"/>
  </r>
  <r>
    <n v="2"/>
    <x v="1"/>
    <n v="4"/>
    <s v="Emberan"/>
    <n v="1400"/>
    <n v="13.9"/>
    <n v="19460"/>
  </r>
  <r>
    <m/>
    <x v="1"/>
    <m/>
    <s v="Kaleng"/>
    <n v="1500"/>
    <n v="0.8"/>
    <n v="1200"/>
  </r>
  <r>
    <m/>
    <x v="1"/>
    <m/>
    <s v="Kabin"/>
    <n v="1800"/>
    <n v="3.0999999999999996"/>
    <n v="5579.9999999999991"/>
  </r>
  <r>
    <m/>
    <x v="1"/>
    <m/>
    <s v="Impact"/>
    <n v="600"/>
    <n v="1.4"/>
    <n v="840"/>
  </r>
  <r>
    <m/>
    <x v="1"/>
    <m/>
    <s v="Gelas Putih Bersih"/>
    <n v="3500"/>
    <n v="0.2"/>
    <n v="700"/>
  </r>
  <r>
    <m/>
    <x v="1"/>
    <m/>
    <s v="Toples Kue Kristal"/>
    <n v="2700"/>
    <n v="0.55000000000000004"/>
    <n v="1485.0000000000002"/>
  </r>
  <r>
    <m/>
    <x v="1"/>
    <m/>
    <s v="Botol &amp; Gelas Putih (Kotor)"/>
    <n v="1600"/>
    <n v="0.15"/>
    <n v="240"/>
  </r>
  <r>
    <m/>
    <x v="1"/>
    <m/>
    <s v="Botol Putih Bersih"/>
    <n v="2800"/>
    <n v="0.25"/>
    <n v="700"/>
  </r>
  <r>
    <m/>
    <x v="1"/>
    <m/>
    <s v="Tutup Botol"/>
    <n v="2500"/>
    <n v="0.1"/>
    <n v="250"/>
  </r>
  <r>
    <m/>
    <x v="1"/>
    <m/>
    <s v="Boncos"/>
    <n v="300"/>
    <n v="0.75"/>
    <n v="225"/>
  </r>
  <r>
    <m/>
    <x v="1"/>
    <m/>
    <s v="Multilayer"/>
    <n v="300"/>
    <n v="1.35"/>
    <n v="405"/>
  </r>
  <r>
    <m/>
    <x v="1"/>
    <m/>
    <s v="Kardus Baik/Kering"/>
    <n v="1000"/>
    <n v="0.85"/>
    <n v="850"/>
  </r>
  <r>
    <m/>
    <x v="1"/>
    <m/>
    <s v="Sterofoam"/>
    <n v="150"/>
    <n v="0.05"/>
    <n v="7.5"/>
  </r>
  <r>
    <n v="3"/>
    <x v="2"/>
    <n v="4"/>
    <s v="Botol Putih Bersih"/>
    <n v="2800"/>
    <n v="0.4"/>
    <n v="1120"/>
  </r>
  <r>
    <m/>
    <x v="2"/>
    <m/>
    <s v="Boncos"/>
    <n v="300"/>
    <n v="0.25"/>
    <n v="75"/>
  </r>
  <r>
    <m/>
    <x v="2"/>
    <m/>
    <s v="Botol &amp; Kaca Beling"/>
    <n v="150"/>
    <n v="2.6999999999999997"/>
    <n v="404.99999999999994"/>
  </r>
  <r>
    <m/>
    <x v="2"/>
    <m/>
    <s v="Emberan"/>
    <n v="1400"/>
    <n v="1.3"/>
    <n v="1820"/>
  </r>
  <r>
    <m/>
    <x v="2"/>
    <m/>
    <s v="Kaleng"/>
    <n v="1500"/>
    <n v="0.2"/>
    <n v="300"/>
  </r>
  <r>
    <n v="4"/>
    <x v="3"/>
    <n v="5"/>
    <s v="Kardus Baik/Kering"/>
    <n v="1000"/>
    <n v="17.150000000000002"/>
    <n v="17150.000000000004"/>
  </r>
  <r>
    <m/>
    <x v="3"/>
    <m/>
    <s v="Botol Putih Bersih"/>
    <n v="2800"/>
    <n v="0.35"/>
    <n v="979.99999999999989"/>
  </r>
  <r>
    <m/>
    <x v="3"/>
    <m/>
    <s v="Tutup Botol"/>
    <n v="2500"/>
    <n v="0.25"/>
    <n v="625"/>
  </r>
  <r>
    <m/>
    <x v="3"/>
    <m/>
    <s v="Gelas Putih Bersih"/>
    <n v="3500"/>
    <n v="2.1"/>
    <n v="7350"/>
  </r>
  <r>
    <m/>
    <x v="3"/>
    <m/>
    <s v="Multilayer"/>
    <n v="300"/>
    <n v="2"/>
    <n v="600"/>
  </r>
  <r>
    <m/>
    <x v="3"/>
    <m/>
    <s v="Boncos"/>
    <n v="300"/>
    <n v="0.8"/>
    <n v="240"/>
  </r>
  <r>
    <m/>
    <x v="3"/>
    <m/>
    <s v="Besi"/>
    <n v="2500"/>
    <n v="1.1499999999999999"/>
    <n v="2875"/>
  </r>
  <r>
    <m/>
    <x v="3"/>
    <m/>
    <s v="Gabrukan"/>
    <n v="1000"/>
    <n v="0.75"/>
    <n v="750"/>
  </r>
  <r>
    <m/>
    <x v="3"/>
    <m/>
    <s v="Botol &amp; Gelas Putih (Kotor)"/>
    <n v="1600"/>
    <n v="0.25"/>
    <n v="400"/>
  </r>
  <r>
    <m/>
    <x v="3"/>
    <m/>
    <s v="Kabin"/>
    <n v="1800"/>
    <n v="4.3499999999999996"/>
    <n v="7829.9999999999991"/>
  </r>
  <r>
    <n v="5"/>
    <x v="4"/>
    <n v="3"/>
    <s v="Kardus Baik/Kering"/>
    <n v="1000"/>
    <n v="11.55"/>
    <n v="11550"/>
  </r>
  <r>
    <m/>
    <x v="4"/>
    <m/>
    <s v="Gabrukan"/>
    <n v="1000"/>
    <n v="0.2"/>
    <n v="200"/>
  </r>
  <r>
    <m/>
    <x v="4"/>
    <m/>
    <s v="Boncos"/>
    <n v="300"/>
    <n v="1.05"/>
    <n v="315"/>
  </r>
  <r>
    <m/>
    <x v="4"/>
    <m/>
    <s v="Botol Putih Bersih"/>
    <n v="2800"/>
    <n v="1.95"/>
    <n v="5460"/>
  </r>
  <r>
    <m/>
    <x v="4"/>
    <m/>
    <s v="Multilayer"/>
    <n v="300"/>
    <n v="0.5"/>
    <n v="150"/>
  </r>
  <r>
    <m/>
    <x v="4"/>
    <m/>
    <s v="Tutup Botol"/>
    <n v="2500"/>
    <n v="0.25"/>
    <n v="625"/>
  </r>
  <r>
    <n v="6"/>
    <x v="5"/>
    <n v="5"/>
    <s v="Impact"/>
    <n v="600"/>
    <n v="3.25"/>
    <n v="1950"/>
  </r>
  <r>
    <m/>
    <x v="5"/>
    <m/>
    <s v="Gabrukan"/>
    <n v="1000"/>
    <n v="1"/>
    <n v="1000"/>
  </r>
  <r>
    <m/>
    <x v="5"/>
    <m/>
    <s v="CD Kristal"/>
    <n v="5000"/>
    <n v="0.75"/>
    <n v="3750"/>
  </r>
  <r>
    <m/>
    <x v="5"/>
    <m/>
    <s v="Emberan"/>
    <n v="1400"/>
    <n v="0.95"/>
    <n v="1330"/>
  </r>
  <r>
    <m/>
    <x v="5"/>
    <m/>
    <s v="Kardus Baik/Kering"/>
    <n v="1000"/>
    <n v="6.2"/>
    <n v="6200"/>
  </r>
  <r>
    <n v="7"/>
    <x v="6"/>
    <n v="2"/>
    <s v="Botol Putih Bersih"/>
    <n v="2800"/>
    <n v="0.5"/>
    <n v="1400"/>
  </r>
  <r>
    <m/>
    <x v="6"/>
    <m/>
    <s v="Multilayer"/>
    <n v="300"/>
    <n v="0.1"/>
    <n v="30"/>
  </r>
  <r>
    <m/>
    <x v="6"/>
    <m/>
    <s v="Emberan"/>
    <n v="1400"/>
    <n v="1.65"/>
    <n v="2310"/>
  </r>
  <r>
    <n v="8"/>
    <x v="7"/>
    <n v="5"/>
    <s v="Emberan"/>
    <n v="1400"/>
    <n v="1.45"/>
    <n v="2030"/>
  </r>
  <r>
    <m/>
    <x v="7"/>
    <m/>
    <s v="Kaleng"/>
    <n v="1500"/>
    <n v="0.15"/>
    <n v="225"/>
  </r>
  <r>
    <m/>
    <x v="7"/>
    <m/>
    <s v="Kardus Baik/Kering"/>
    <n v="1000"/>
    <n v="2.4"/>
    <n v="2400"/>
  </r>
  <r>
    <m/>
    <x v="7"/>
    <m/>
    <s v="Boncos"/>
    <n v="300"/>
    <n v="2"/>
    <n v="600"/>
  </r>
  <r>
    <m/>
    <x v="7"/>
    <m/>
    <s v="Botol &amp; Kaca Beling"/>
    <n v="150"/>
    <n v="0.9"/>
    <n v="135"/>
  </r>
  <r>
    <m/>
    <x v="7"/>
    <m/>
    <s v="Multilayer"/>
    <n v="300"/>
    <n v="0.85"/>
    <n v="255"/>
  </r>
  <r>
    <m/>
    <x v="7"/>
    <m/>
    <s v="Botol Putih Bersih"/>
    <n v="2800"/>
    <n v="1.2"/>
    <n v="3360"/>
  </r>
  <r>
    <m/>
    <x v="7"/>
    <m/>
    <s v="Botol &amp; Gelas Putih (Kotor)"/>
    <n v="1600"/>
    <n v="0.2"/>
    <n v="320"/>
  </r>
  <r>
    <m/>
    <x v="7"/>
    <m/>
    <s v="Gabrukan"/>
    <n v="1000"/>
    <n v="0.15"/>
    <n v="150"/>
  </r>
  <r>
    <n v="9"/>
    <x v="8"/>
    <n v="1"/>
    <s v="Botol &amp; Gelas Putih (Kotor)"/>
    <n v="1600"/>
    <n v="2.4000000000000004"/>
    <n v="3840.0000000000005"/>
  </r>
  <r>
    <m/>
    <x v="8"/>
    <m/>
    <s v="Gabrukan"/>
    <n v="1000"/>
    <n v="1.65"/>
    <n v="1650"/>
  </r>
  <r>
    <m/>
    <x v="8"/>
    <m/>
    <s v="Multilayer"/>
    <n v="300"/>
    <n v="4.6500000000000004"/>
    <n v="1395"/>
  </r>
  <r>
    <m/>
    <x v="8"/>
    <m/>
    <s v="Kardus Baik/Kering"/>
    <n v="1000"/>
    <n v="0.4"/>
    <n v="400"/>
  </r>
  <r>
    <m/>
    <x v="8"/>
    <m/>
    <s v="Emberan"/>
    <n v="1400"/>
    <n v="1.9"/>
    <n v="2660"/>
  </r>
  <r>
    <m/>
    <x v="8"/>
    <s v="BASAH"/>
    <s v="Kardus Baik/Kering"/>
    <n v="1000"/>
    <n v="2"/>
    <n v="2000"/>
  </r>
  <r>
    <n v="10"/>
    <x v="9"/>
    <n v="4"/>
    <s v="Botol Putih Bersih"/>
    <n v="2800"/>
    <n v="1.25"/>
    <n v="3500"/>
  </r>
  <r>
    <m/>
    <x v="9"/>
    <m/>
    <s v="Tutup Botol"/>
    <n v="2500"/>
    <n v="0.1"/>
    <n v="250"/>
  </r>
  <r>
    <m/>
    <x v="9"/>
    <m/>
    <s v="Minyak Jelantah"/>
    <n v="4000"/>
    <n v="1.35"/>
    <n v="5400"/>
  </r>
  <r>
    <m/>
    <x v="9"/>
    <m/>
    <s v="Multilayer"/>
    <n v="300"/>
    <n v="0.25"/>
    <n v="75"/>
  </r>
  <r>
    <m/>
    <x v="9"/>
    <m/>
    <s v="Plastik (PE)"/>
    <n v="800"/>
    <n v="0.15"/>
    <n v="120"/>
  </r>
  <r>
    <m/>
    <x v="9"/>
    <m/>
    <s v="Emberan"/>
    <n v="1400"/>
    <n v="0.95000000000000007"/>
    <n v="1330"/>
  </r>
  <r>
    <m/>
    <x v="9"/>
    <m/>
    <s v="Besi"/>
    <n v="2500"/>
    <n v="1.7"/>
    <n v="4250"/>
  </r>
  <r>
    <m/>
    <x v="9"/>
    <m/>
    <s v="Kaleng"/>
    <n v="1500"/>
    <n v="0.25"/>
    <n v="375"/>
  </r>
  <r>
    <n v="11"/>
    <x v="10"/>
    <n v="4"/>
    <s v="Botol Putih Bersih"/>
    <n v="2800"/>
    <n v="3.25"/>
    <n v="9100"/>
  </r>
  <r>
    <m/>
    <x v="10"/>
    <m/>
    <s v="Emberan"/>
    <n v="1400"/>
    <n v="3.9"/>
    <n v="5460"/>
  </r>
  <r>
    <m/>
    <x v="10"/>
    <m/>
    <s v="Tutup Botol"/>
    <n v="2500"/>
    <n v="0.65"/>
    <n v="1625"/>
  </r>
  <r>
    <m/>
    <x v="10"/>
    <m/>
    <s v="Kaleng"/>
    <n v="1500"/>
    <n v="0.75"/>
    <n v="1125"/>
  </r>
  <r>
    <m/>
    <x v="10"/>
    <m/>
    <s v="Kardus Baik/Kering"/>
    <n v="1000"/>
    <n v="4.7"/>
    <n v="4700"/>
  </r>
  <r>
    <m/>
    <x v="10"/>
    <m/>
    <s v="Multilayer"/>
    <n v="300"/>
    <n v="2"/>
    <n v="600"/>
  </r>
  <r>
    <m/>
    <x v="10"/>
    <m/>
    <s v="Naso"/>
    <n v="2000"/>
    <n v="0.2"/>
    <n v="400"/>
  </r>
  <r>
    <m/>
    <x v="10"/>
    <m/>
    <s v="Besi"/>
    <n v="2500"/>
    <n v="2.2999999999999998"/>
    <n v="5750"/>
  </r>
  <r>
    <m/>
    <x v="10"/>
    <m/>
    <s v="Botol &amp; Kaca Beling"/>
    <n v="150"/>
    <n v="0.4"/>
    <n v="60"/>
  </r>
  <r>
    <n v="12"/>
    <x v="11"/>
    <n v="1"/>
    <s v="Botol Putih Bersih"/>
    <n v="2800"/>
    <n v="1.05"/>
    <n v="2940"/>
  </r>
  <r>
    <m/>
    <x v="11"/>
    <m/>
    <s v="Multilayer"/>
    <n v="300"/>
    <n v="1.25"/>
    <n v="375"/>
  </r>
  <r>
    <m/>
    <x v="11"/>
    <m/>
    <s v="Boncos"/>
    <n v="300"/>
    <n v="2.6"/>
    <n v="780"/>
  </r>
  <r>
    <m/>
    <x v="11"/>
    <m/>
    <s v="Kardus Baik/Kering"/>
    <n v="1000"/>
    <n v="0.9"/>
    <n v="900"/>
  </r>
  <r>
    <m/>
    <x v="11"/>
    <m/>
    <s v="Gabrukan"/>
    <n v="1000"/>
    <n v="1.9"/>
    <n v="1900"/>
  </r>
  <r>
    <m/>
    <x v="11"/>
    <m/>
    <s v="Kabel"/>
    <n v="1400"/>
    <n v="0.25"/>
    <n v="350"/>
  </r>
  <r>
    <n v="13"/>
    <x v="12"/>
    <n v="1"/>
    <s v="Gabrukan"/>
    <n v="1000"/>
    <n v="1.5499999999999998"/>
    <n v="1549.9999999999998"/>
  </r>
  <r>
    <m/>
    <x v="12"/>
    <m/>
    <s v="Sterofoam"/>
    <n v="150"/>
    <n v="0.7"/>
    <n v="105"/>
  </r>
  <r>
    <m/>
    <x v="12"/>
    <m/>
    <s v="Plastik (PE)"/>
    <n v="800"/>
    <n v="1.65"/>
    <n v="1320"/>
  </r>
  <r>
    <m/>
    <x v="12"/>
    <m/>
    <s v="Multilayer"/>
    <n v="300"/>
    <n v="1.1000000000000001"/>
    <n v="330"/>
  </r>
  <r>
    <m/>
    <x v="12"/>
    <m/>
    <s v="Boncos"/>
    <n v="300"/>
    <n v="0.55000000000000004"/>
    <n v="165"/>
  </r>
  <r>
    <m/>
    <x v="12"/>
    <m/>
    <s v="Kaleng"/>
    <n v="1500"/>
    <n v="0.15"/>
    <n v="225"/>
  </r>
  <r>
    <m/>
    <x v="12"/>
    <m/>
    <s v="Alumunium"/>
    <n v="8000"/>
    <n v="0.15"/>
    <n v="1200"/>
  </r>
  <r>
    <m/>
    <x v="12"/>
    <m/>
    <s v="Kabin"/>
    <n v="1800"/>
    <n v="1"/>
    <n v="1800"/>
  </r>
  <r>
    <m/>
    <x v="12"/>
    <m/>
    <s v="Emberan"/>
    <n v="1400"/>
    <n v="0.15"/>
    <n v="210"/>
  </r>
  <r>
    <n v="14"/>
    <x v="13"/>
    <n v="1"/>
    <s v="Kardus Baik/Kering"/>
    <n v="1000"/>
    <n v="10"/>
    <n v="10000"/>
  </r>
  <r>
    <m/>
    <x v="13"/>
    <m/>
    <s v="Multilayer"/>
    <n v="300"/>
    <n v="2.85"/>
    <n v="855"/>
  </r>
  <r>
    <m/>
    <x v="13"/>
    <m/>
    <s v="Boncos"/>
    <n v="300"/>
    <n v="4.5"/>
    <n v="1350"/>
  </r>
  <r>
    <m/>
    <x v="13"/>
    <m/>
    <s v="Gabrukan"/>
    <n v="1000"/>
    <n v="0.75"/>
    <n v="750"/>
  </r>
  <r>
    <m/>
    <x v="13"/>
    <m/>
    <s v="Kaleng"/>
    <n v="1500"/>
    <n v="0.9"/>
    <n v="1350"/>
  </r>
  <r>
    <n v="15"/>
    <x v="14"/>
    <n v="5"/>
    <s v="Boncos"/>
    <n v="300"/>
    <n v="4.2"/>
    <n v="1260"/>
  </r>
  <r>
    <m/>
    <x v="14"/>
    <m/>
    <s v="Multilayer"/>
    <n v="300"/>
    <n v="3.55"/>
    <n v="1065"/>
  </r>
  <r>
    <m/>
    <x v="14"/>
    <m/>
    <s v="Plastik (PE)"/>
    <n v="800"/>
    <n v="0.8"/>
    <n v="640"/>
  </r>
  <r>
    <m/>
    <x v="14"/>
    <m/>
    <s v="Emberan"/>
    <n v="1400"/>
    <n v="14.350000000000001"/>
    <n v="20090.000000000004"/>
  </r>
  <r>
    <m/>
    <x v="14"/>
    <m/>
    <s v="Tutup Botol"/>
    <n v="2500"/>
    <n v="1.3"/>
    <n v="3250"/>
  </r>
  <r>
    <m/>
    <x v="14"/>
    <m/>
    <s v="Botol &amp; Kaca Beling"/>
    <n v="150"/>
    <n v="2.2999999999999998"/>
    <n v="345"/>
  </r>
  <r>
    <m/>
    <x v="14"/>
    <m/>
    <s v="Kaleng"/>
    <n v="1500"/>
    <n v="0.85"/>
    <n v="1275"/>
  </r>
  <r>
    <m/>
    <x v="14"/>
    <m/>
    <s v="Kertas HVS Putih"/>
    <n v="1400"/>
    <n v="0.85"/>
    <n v="1190"/>
  </r>
  <r>
    <m/>
    <x v="14"/>
    <m/>
    <s v="Botol Putih Bersih"/>
    <n v="2800"/>
    <n v="5.85"/>
    <n v="16379.999999999998"/>
  </r>
  <r>
    <n v="16"/>
    <x v="15"/>
    <n v="5"/>
    <s v="Emberan"/>
    <n v="1400"/>
    <n v="4.2"/>
    <n v="5880"/>
  </r>
  <r>
    <m/>
    <x v="15"/>
    <m/>
    <s v="Gelas Putih Bersih"/>
    <n v="3500"/>
    <n v="0.05"/>
    <n v="175"/>
  </r>
  <r>
    <n v="17"/>
    <x v="16"/>
    <n v="5"/>
    <s v="Boncos"/>
    <n v="300"/>
    <n v="3.7"/>
    <n v="1110"/>
  </r>
  <r>
    <m/>
    <x v="16"/>
    <m/>
    <s v="Kardus Baik/Kering"/>
    <n v="1000"/>
    <n v="4.55"/>
    <n v="4550"/>
  </r>
  <r>
    <m/>
    <x v="16"/>
    <m/>
    <s v="Multilayer"/>
    <n v="300"/>
    <n v="0.4"/>
    <n v="120"/>
  </r>
  <r>
    <m/>
    <x v="16"/>
    <m/>
    <s v="Botol Putih Bersih"/>
    <n v="2800"/>
    <n v="1.2"/>
    <n v="3360"/>
  </r>
  <r>
    <m/>
    <x v="16"/>
    <m/>
    <s v="Tutup Botol"/>
    <n v="2500"/>
    <n v="0.5"/>
    <n v="1250"/>
  </r>
  <r>
    <m/>
    <x v="16"/>
    <m/>
    <s v="Emberan"/>
    <n v="1400"/>
    <n v="1.8500000000000003"/>
    <n v="2590.0000000000005"/>
  </r>
  <r>
    <m/>
    <x v="16"/>
    <m/>
    <s v="Naso"/>
    <n v="2000"/>
    <n v="0.3"/>
    <n v="600"/>
  </r>
  <r>
    <m/>
    <x v="16"/>
    <m/>
    <s v="Seng"/>
    <n v="800"/>
    <n v="1.85"/>
    <n v="1480"/>
  </r>
  <r>
    <m/>
    <x v="16"/>
    <m/>
    <s v="Kaleng"/>
    <n v="1500"/>
    <n v="0.5"/>
    <n v="750"/>
  </r>
  <r>
    <m/>
    <x v="16"/>
    <m/>
    <s v="Botol &amp; Gelas Putih (Kotor)"/>
    <n v="1600"/>
    <n v="0.95"/>
    <n v="1520"/>
  </r>
  <r>
    <n v="18"/>
    <x v="17"/>
    <n v="2"/>
    <s v="Multilayer"/>
    <n v="300"/>
    <n v="0.95000000000000007"/>
    <n v="285"/>
  </r>
  <r>
    <m/>
    <x v="17"/>
    <m/>
    <s v="Kaleng"/>
    <n v="1500"/>
    <n v="0.35"/>
    <n v="525"/>
  </r>
  <r>
    <m/>
    <x v="17"/>
    <m/>
    <s v="Botol Putih Bersih"/>
    <n v="2800"/>
    <n v="0.85"/>
    <n v="2380"/>
  </r>
  <r>
    <m/>
    <x v="17"/>
    <m/>
    <s v="Botol &amp; Gelas Putih (Kotor)"/>
    <n v="1600"/>
    <n v="0.15"/>
    <n v="240"/>
  </r>
  <r>
    <m/>
    <x v="17"/>
    <m/>
    <s v="Boncos"/>
    <n v="300"/>
    <n v="1.25"/>
    <n v="375"/>
  </r>
  <r>
    <m/>
    <x v="17"/>
    <m/>
    <s v="Kardus Baik/Kering"/>
    <n v="1000"/>
    <n v="2.5499999999999998"/>
    <n v="2550"/>
  </r>
  <r>
    <m/>
    <x v="17"/>
    <m/>
    <s v="Tutup Botol"/>
    <n v="2500"/>
    <n v="0.1"/>
    <n v="250"/>
  </r>
  <r>
    <m/>
    <x v="17"/>
    <m/>
    <s v="Tutup Galon"/>
    <n v="3500"/>
    <n v="0.1"/>
    <n v="350"/>
  </r>
  <r>
    <m/>
    <x v="17"/>
    <m/>
    <s v="Kabin"/>
    <n v="1800"/>
    <n v="0.65"/>
    <n v="1170"/>
  </r>
  <r>
    <m/>
    <x v="17"/>
    <m/>
    <s v="Naso"/>
    <n v="2000"/>
    <n v="0.25"/>
    <n v="500"/>
  </r>
  <r>
    <m/>
    <x v="17"/>
    <m/>
    <s v="Emberan"/>
    <n v="1400"/>
    <n v="6.4"/>
    <n v="8960"/>
  </r>
  <r>
    <n v="19"/>
    <x v="18"/>
    <n v="4"/>
    <s v="Kardus Baik/Kering"/>
    <n v="1000"/>
    <n v="2.7"/>
    <n v="2700"/>
  </r>
  <r>
    <m/>
    <x v="18"/>
    <m/>
    <s v="Multilayer"/>
    <n v="300"/>
    <n v="1.1000000000000001"/>
    <n v="330"/>
  </r>
  <r>
    <m/>
    <x v="18"/>
    <m/>
    <s v="Botol Putih Bersih"/>
    <n v="2800"/>
    <n v="0.3"/>
    <n v="840"/>
  </r>
  <r>
    <m/>
    <x v="18"/>
    <m/>
    <s v="Gelas Putih Bersih"/>
    <n v="3500"/>
    <n v="0.15"/>
    <n v="525"/>
  </r>
  <r>
    <m/>
    <x v="18"/>
    <m/>
    <s v="Emberan"/>
    <n v="1400"/>
    <n v="0.55000000000000004"/>
    <n v="770.00000000000011"/>
  </r>
  <r>
    <m/>
    <x v="18"/>
    <m/>
    <s v="Plastik (PE)"/>
    <n v="800"/>
    <n v="0.1"/>
    <n v="80"/>
  </r>
  <r>
    <m/>
    <x v="18"/>
    <m/>
    <s v="Boncos"/>
    <n v="300"/>
    <n v="0.25"/>
    <n v="75"/>
  </r>
  <r>
    <n v="20"/>
    <x v="19"/>
    <n v="3"/>
    <s v="Kaleng"/>
    <n v="1500"/>
    <n v="0.25"/>
    <n v="375"/>
  </r>
  <r>
    <m/>
    <x v="19"/>
    <m/>
    <s v="Tutup Botol"/>
    <n v="2500"/>
    <n v="0.1"/>
    <n v="250"/>
  </r>
  <r>
    <m/>
    <x v="19"/>
    <m/>
    <s v="Botol Putih Bersih"/>
    <n v="2800"/>
    <n v="0.55000000000000004"/>
    <n v="1540.0000000000002"/>
  </r>
  <r>
    <n v="21"/>
    <x v="20"/>
    <n v="4"/>
    <s v="Kardus Baik/Kering"/>
    <n v="1000"/>
    <n v="3.25"/>
    <n v="3250"/>
  </r>
  <r>
    <m/>
    <x v="20"/>
    <m/>
    <s v="Botol &amp; Gelas Putih (Kotor)"/>
    <n v="1600"/>
    <n v="0.2"/>
    <n v="320"/>
  </r>
  <r>
    <m/>
    <x v="20"/>
    <m/>
    <s v="Gabrukan"/>
    <n v="1000"/>
    <n v="0.2"/>
    <n v="200"/>
  </r>
  <r>
    <n v="22"/>
    <x v="21"/>
    <n v="4"/>
    <s v="Minyak Jelantah"/>
    <n v="4000"/>
    <n v="9.1"/>
    <n v="36400"/>
  </r>
  <r>
    <m/>
    <x v="21"/>
    <m/>
    <s v="Botol Putih Bersih"/>
    <n v="2800"/>
    <n v="0.6"/>
    <n v="1680"/>
  </r>
  <r>
    <m/>
    <x v="21"/>
    <m/>
    <s v="Boncos"/>
    <n v="300"/>
    <n v="0.45"/>
    <n v="135"/>
  </r>
  <r>
    <m/>
    <x v="21"/>
    <m/>
    <s v="Emberan"/>
    <n v="1400"/>
    <n v="0.2"/>
    <n v="280"/>
  </r>
  <r>
    <m/>
    <x v="21"/>
    <m/>
    <s v="Gabrukan"/>
    <n v="1000"/>
    <n v="0.8"/>
    <n v="800"/>
  </r>
  <r>
    <m/>
    <x v="21"/>
    <m/>
    <s v="Plastik (PE)"/>
    <n v="800"/>
    <n v="0.5"/>
    <n v="400"/>
  </r>
  <r>
    <m/>
    <x v="21"/>
    <m/>
    <s v="Tutup Botol"/>
    <n v="2500"/>
    <n v="0.1"/>
    <n v="250"/>
  </r>
  <r>
    <m/>
    <x v="21"/>
    <m/>
    <s v="Kardus Baik/Kering"/>
    <n v="1000"/>
    <n v="0.55000000000000004"/>
    <n v="550"/>
  </r>
  <r>
    <n v="23"/>
    <x v="22"/>
    <n v="2"/>
    <s v="Boncos"/>
    <n v="300"/>
    <n v="2.0499999999999998"/>
    <n v="615"/>
  </r>
  <r>
    <m/>
    <x v="22"/>
    <m/>
    <s v="Kardus Baik/Kering"/>
    <n v="1000"/>
    <n v="0.45"/>
    <n v="450"/>
  </r>
  <r>
    <m/>
    <x v="22"/>
    <m/>
    <s v="Tutup Galon"/>
    <n v="3500"/>
    <n v="0.25"/>
    <n v="875"/>
  </r>
  <r>
    <m/>
    <x v="22"/>
    <m/>
    <s v="Tutup Botol"/>
    <n v="2500"/>
    <n v="0.1"/>
    <n v="250"/>
  </r>
  <r>
    <m/>
    <x v="22"/>
    <m/>
    <s v="Kaleng"/>
    <n v="1500"/>
    <n v="0.25"/>
    <n v="375"/>
  </r>
  <r>
    <m/>
    <x v="22"/>
    <m/>
    <s v="Naso"/>
    <n v="2000"/>
    <n v="0.25"/>
    <n v="500"/>
  </r>
  <r>
    <m/>
    <x v="22"/>
    <m/>
    <s v="Emberan"/>
    <n v="1400"/>
    <n v="0.25"/>
    <n v="350"/>
  </r>
  <r>
    <m/>
    <x v="22"/>
    <m/>
    <s v="Botol &amp; Kaca Beling"/>
    <n v="150"/>
    <n v="0.65"/>
    <n v="97.5"/>
  </r>
  <r>
    <m/>
    <x v="22"/>
    <m/>
    <s v="Botol Putih Bersih"/>
    <n v="2800"/>
    <n v="1.05"/>
    <n v="2940"/>
  </r>
  <r>
    <m/>
    <x v="22"/>
    <m/>
    <s v="Emberan"/>
    <n v="1400"/>
    <n v="0.5"/>
    <n v="700"/>
  </r>
  <r>
    <m/>
    <x v="22"/>
    <m/>
    <s v="Botol &amp; Gelas Putih (Kotor)"/>
    <n v="1600"/>
    <n v="0.25"/>
    <n v="400"/>
  </r>
  <r>
    <n v="24"/>
    <x v="23"/>
    <s v="UB"/>
    <s v="Plastik (PE)"/>
    <n v="800"/>
    <n v="0.1"/>
    <n v="80"/>
  </r>
  <r>
    <m/>
    <x v="23"/>
    <m/>
    <s v="Impact"/>
    <n v="600"/>
    <n v="1.4"/>
    <n v="840"/>
  </r>
  <r>
    <m/>
    <x v="23"/>
    <m/>
    <s v="Gabrukan"/>
    <n v="1000"/>
    <n v="1.4500000000000002"/>
    <n v="1450.0000000000002"/>
  </r>
  <r>
    <m/>
    <x v="23"/>
    <m/>
    <s v="Toples Kue Kristal"/>
    <n v="2700"/>
    <n v="0.15"/>
    <n v="405"/>
  </r>
  <r>
    <m/>
    <x v="23"/>
    <m/>
    <s v="Emberan"/>
    <n v="1400"/>
    <n v="1"/>
    <n v="1400"/>
  </r>
  <r>
    <m/>
    <x v="23"/>
    <m/>
    <s v="Kaleng"/>
    <n v="1500"/>
    <n v="0.35"/>
    <n v="525"/>
  </r>
  <r>
    <m/>
    <x v="23"/>
    <m/>
    <s v="Botol &amp; Kaca Beling"/>
    <n v="150"/>
    <n v="0.5"/>
    <n v="75"/>
  </r>
  <r>
    <n v="25"/>
    <x v="24"/>
    <n v="4"/>
    <s v="Emberan"/>
    <n v="1400"/>
    <n v="4.8"/>
    <n v="6720"/>
  </r>
  <r>
    <m/>
    <x v="24"/>
    <m/>
    <s v="Impact"/>
    <n v="600"/>
    <n v="0.5"/>
    <n v="300"/>
  </r>
  <r>
    <m/>
    <x v="24"/>
    <m/>
    <s v="Botol Putih Bersih"/>
    <n v="2800"/>
    <n v="0.35"/>
    <n v="979.99999999999989"/>
  </r>
  <r>
    <m/>
    <x v="24"/>
    <m/>
    <s v="Gelas Putih Bersih"/>
    <n v="3500"/>
    <n v="0.2"/>
    <n v="700"/>
  </r>
  <r>
    <m/>
    <x v="24"/>
    <m/>
    <s v="Botol &amp; Gelas Putih (Kotor)"/>
    <n v="1600"/>
    <n v="0.1"/>
    <n v="160"/>
  </r>
  <r>
    <m/>
    <x v="24"/>
    <m/>
    <s v="Kardus Baik/Kering"/>
    <n v="1000"/>
    <n v="0.5"/>
    <n v="500"/>
  </r>
  <r>
    <m/>
    <x v="24"/>
    <m/>
    <s v="Boncos"/>
    <n v="300"/>
    <n v="1.1499999999999999"/>
    <n v="345"/>
  </r>
  <r>
    <m/>
    <x v="24"/>
    <m/>
    <s v="CD Kristal"/>
    <n v="5000"/>
    <n v="1.1000000000000001"/>
    <n v="5500"/>
  </r>
  <r>
    <n v="26"/>
    <x v="25"/>
    <n v="4"/>
    <s v="Kardus Baik/Kering"/>
    <n v="1000"/>
    <n v="2.2000000000000002"/>
    <n v="2200"/>
  </r>
  <r>
    <m/>
    <x v="25"/>
    <m/>
    <s v="Minyak Jelantah"/>
    <n v="4000"/>
    <n v="3.2"/>
    <n v="12800"/>
  </r>
  <r>
    <m/>
    <x v="25"/>
    <m/>
    <s v="Emberan"/>
    <n v="1400"/>
    <n v="2"/>
    <n v="2800"/>
  </r>
  <r>
    <m/>
    <x v="25"/>
    <m/>
    <s v="Plastik (PE)"/>
    <n v="800"/>
    <n v="0.05"/>
    <n v="40"/>
  </r>
  <r>
    <m/>
    <x v="25"/>
    <m/>
    <s v="Multilayer"/>
    <n v="300"/>
    <n v="0.35"/>
    <n v="105"/>
  </r>
  <r>
    <m/>
    <x v="25"/>
    <s v="BASAH"/>
    <s v="Koran/LKS"/>
    <n v="800"/>
    <n v="0.6"/>
    <n v="480"/>
  </r>
  <r>
    <m/>
    <x v="25"/>
    <m/>
    <s v="Gabrukan"/>
    <n v="1000"/>
    <n v="0.4"/>
    <n v="400"/>
  </r>
  <r>
    <n v="27"/>
    <x v="26"/>
    <n v="3"/>
    <s v="Boncos"/>
    <n v="300"/>
    <n v="0.8"/>
    <n v="240"/>
  </r>
  <r>
    <m/>
    <x v="26"/>
    <m/>
    <s v="Buku Tulis &amp; Pelajaran"/>
    <n v="1200"/>
    <n v="4.6500000000000004"/>
    <n v="5580"/>
  </r>
  <r>
    <m/>
    <x v="26"/>
    <m/>
    <s v="Kardus Baik/Kering"/>
    <n v="1000"/>
    <n v="0.95"/>
    <n v="950"/>
  </r>
  <r>
    <m/>
    <x v="26"/>
    <m/>
    <s v="Botol Putih Bersih"/>
    <n v="2800"/>
    <n v="0.3"/>
    <n v="840"/>
  </r>
  <r>
    <m/>
    <x v="26"/>
    <m/>
    <s v="Multilayer"/>
    <n v="300"/>
    <n v="0.3"/>
    <n v="90"/>
  </r>
  <r>
    <m/>
    <x v="26"/>
    <m/>
    <s v="Impact"/>
    <n v="600"/>
    <n v="0.15"/>
    <n v="90"/>
  </r>
  <r>
    <n v="28"/>
    <x v="27"/>
    <n v="4"/>
    <s v="Karung Beras"/>
    <n v="400"/>
    <n v="6"/>
    <n v="2400"/>
  </r>
  <r>
    <m/>
    <x v="27"/>
    <m/>
    <s v="Multilayer"/>
    <n v="300"/>
    <n v="0.1"/>
    <n v="30"/>
  </r>
  <r>
    <m/>
    <x v="27"/>
    <m/>
    <s v="Botol &amp; Gelas Putih (Kotor)"/>
    <n v="1600"/>
    <n v="0.15"/>
    <n v="240"/>
  </r>
  <r>
    <m/>
    <x v="27"/>
    <m/>
    <s v="Emberan"/>
    <n v="1400"/>
    <n v="0.1"/>
    <n v="140"/>
  </r>
  <r>
    <m/>
    <x v="27"/>
    <m/>
    <s v="Kardus Baik/Kering"/>
    <n v="1000"/>
    <n v="4.2"/>
    <n v="4200"/>
  </r>
  <r>
    <m/>
    <x v="27"/>
    <m/>
    <s v="Kertas HVS Putih"/>
    <n v="1400"/>
    <n v="0.8"/>
    <n v="1120"/>
  </r>
  <r>
    <m/>
    <x v="27"/>
    <m/>
    <s v="Buku Tulis &amp; Pelajaran"/>
    <n v="1200"/>
    <n v="6"/>
    <n v="7200"/>
  </r>
  <r>
    <n v="29"/>
    <x v="28"/>
    <n v="1"/>
    <s v="Boncos"/>
    <n v="300"/>
    <n v="0.5"/>
    <n v="150"/>
  </r>
  <r>
    <m/>
    <x v="28"/>
    <m/>
    <s v="Multilayer"/>
    <n v="300"/>
    <n v="0.6"/>
    <n v="180"/>
  </r>
  <r>
    <m/>
    <x v="28"/>
    <m/>
    <s v="Kardus Baik/Kering"/>
    <n v="1000"/>
    <n v="1.3"/>
    <n v="1300"/>
  </r>
  <r>
    <m/>
    <x v="28"/>
    <m/>
    <s v="Gabrukan"/>
    <n v="1000"/>
    <n v="0.3"/>
    <n v="300"/>
  </r>
  <r>
    <n v="30"/>
    <x v="29"/>
    <n v="4"/>
    <s v="Kardus Baik/Kering"/>
    <n v="1000"/>
    <n v="0.75"/>
    <n v="750"/>
  </r>
  <r>
    <m/>
    <x v="29"/>
    <m/>
    <s v="Botol &amp; Gelas Putih (Kotor)"/>
    <n v="1600"/>
    <n v="0.15"/>
    <n v="240"/>
  </r>
  <r>
    <m/>
    <x v="29"/>
    <m/>
    <s v="Multilayer"/>
    <n v="300"/>
    <n v="0.2"/>
    <n v="60"/>
  </r>
  <r>
    <m/>
    <x v="29"/>
    <m/>
    <s v="Plastik (PE)"/>
    <n v="800"/>
    <n v="0.1"/>
    <n v="80"/>
  </r>
  <r>
    <m/>
    <x v="29"/>
    <m/>
    <s v="CD Kristal"/>
    <n v="5000"/>
    <n v="1.1000000000000001"/>
    <n v="5500"/>
  </r>
  <r>
    <m/>
    <x v="29"/>
    <m/>
    <s v="Boncos"/>
    <n v="300"/>
    <n v="2.0499999999999998"/>
    <n v="615"/>
  </r>
  <r>
    <m/>
    <x v="29"/>
    <m/>
    <s v="Emberan"/>
    <n v="1400"/>
    <n v="1.9"/>
    <n v="2660"/>
  </r>
  <r>
    <m/>
    <x v="29"/>
    <m/>
    <s v="Kabel"/>
    <n v="1400"/>
    <n v="2.0499999999999998"/>
    <n v="2869.9999999999995"/>
  </r>
  <r>
    <n v="31"/>
    <x v="30"/>
    <n v="6"/>
    <s v="Boncos"/>
    <n v="300"/>
    <n v="0.15"/>
    <n v="45"/>
  </r>
  <r>
    <m/>
    <x v="30"/>
    <m/>
    <s v="Botol &amp; Gelas Putih (Kotor)"/>
    <n v="1600"/>
    <n v="0.15"/>
    <n v="240"/>
  </r>
  <r>
    <m/>
    <x v="30"/>
    <m/>
    <s v="Gabrukan"/>
    <n v="1000"/>
    <n v="0.55000000000000004"/>
    <n v="550"/>
  </r>
  <r>
    <m/>
    <x v="30"/>
    <m/>
    <s v="Minyak Jelantah"/>
    <n v="4000"/>
    <n v="0.9"/>
    <n v="3600"/>
  </r>
  <r>
    <m/>
    <x v="30"/>
    <m/>
    <s v="Emberan"/>
    <n v="1400"/>
    <n v="0.15"/>
    <n v="210"/>
  </r>
  <r>
    <m/>
    <x v="30"/>
    <m/>
    <s v="Buku Tulis &amp; Pelajaran"/>
    <n v="1200"/>
    <n v="2.75"/>
    <n v="3300"/>
  </r>
  <r>
    <n v="32"/>
    <x v="31"/>
    <n v="4"/>
    <s v="Impact"/>
    <n v="600"/>
    <n v="1.4"/>
    <n v="840"/>
  </r>
  <r>
    <m/>
    <x v="31"/>
    <m/>
    <s v="Boncos"/>
    <n v="300"/>
    <n v="0.4"/>
    <n v="120"/>
  </r>
  <r>
    <m/>
    <x v="31"/>
    <m/>
    <s v="Emberan"/>
    <n v="1400"/>
    <n v="1.4"/>
    <n v="1959.9999999999998"/>
  </r>
  <r>
    <n v="33"/>
    <x v="32"/>
    <n v="4"/>
    <s v="Besi"/>
    <n v="2500"/>
    <n v="1.85"/>
    <n v="4625"/>
  </r>
  <r>
    <m/>
    <x v="32"/>
    <m/>
    <s v="Kardus Baik/Kering"/>
    <n v="1000"/>
    <n v="1"/>
    <n v="1000"/>
  </r>
  <r>
    <m/>
    <x v="32"/>
    <m/>
    <s v="Boncos"/>
    <n v="300"/>
    <n v="0.55000000000000004"/>
    <n v="165"/>
  </r>
  <r>
    <m/>
    <x v="32"/>
    <m/>
    <s v="Multilayer"/>
    <n v="300"/>
    <n v="0.15"/>
    <n v="45"/>
  </r>
  <r>
    <m/>
    <x v="32"/>
    <m/>
    <s v="Gabrukan"/>
    <n v="1000"/>
    <n v="0.35"/>
    <n v="350"/>
  </r>
  <r>
    <m/>
    <x v="32"/>
    <m/>
    <s v="Emberan"/>
    <n v="1400"/>
    <n v="0.35"/>
    <n v="489.99999999999994"/>
  </r>
  <r>
    <m/>
    <x v="32"/>
    <m/>
    <s v="Botol &amp; Kaca Beling"/>
    <n v="150"/>
    <n v="1.3"/>
    <n v="195"/>
  </r>
  <r>
    <m/>
    <x v="32"/>
    <m/>
    <s v="Kabin"/>
    <n v="1800"/>
    <n v="0.15"/>
    <n v="270"/>
  </r>
  <r>
    <m/>
    <x v="32"/>
    <m/>
    <s v="Tutup Botol"/>
    <n v="2500"/>
    <n v="0.1"/>
    <n v="250"/>
  </r>
  <r>
    <n v="34"/>
    <x v="33"/>
    <n v="4"/>
    <s v="Besi"/>
    <n v="2500"/>
    <n v="5.8"/>
    <n v="14500"/>
  </r>
  <r>
    <m/>
    <x v="33"/>
    <m/>
    <s v="Toples Kue Kristal"/>
    <n v="2700"/>
    <n v="0.3"/>
    <n v="810"/>
  </r>
  <r>
    <m/>
    <x v="33"/>
    <m/>
    <s v="Emberan"/>
    <n v="1400"/>
    <n v="1.55"/>
    <n v="2170"/>
  </r>
  <r>
    <m/>
    <x v="33"/>
    <m/>
    <s v="Kaleng"/>
    <n v="1500"/>
    <n v="0.15"/>
    <n v="225"/>
  </r>
  <r>
    <m/>
    <x v="33"/>
    <m/>
    <s v="Botol Putih Bersih"/>
    <n v="2800"/>
    <n v="0.1"/>
    <n v="280"/>
  </r>
  <r>
    <m/>
    <x v="33"/>
    <m/>
    <s v="Buku Tulis &amp; Pelajaran"/>
    <n v="1200"/>
    <n v="1.35"/>
    <n v="1620"/>
  </r>
  <r>
    <m/>
    <x v="33"/>
    <m/>
    <s v="Kardus Baik/Kering"/>
    <n v="1000"/>
    <n v="1.95"/>
    <n v="1950"/>
  </r>
  <r>
    <n v="35"/>
    <x v="34"/>
    <n v="6"/>
    <s v="Gabrukan"/>
    <n v="1000"/>
    <n v="0.85"/>
    <n v="850"/>
  </r>
  <r>
    <m/>
    <x v="34"/>
    <m/>
    <s v="Botol Putih Bersih"/>
    <n v="2800"/>
    <n v="1.25"/>
    <n v="3500"/>
  </r>
  <r>
    <m/>
    <x v="34"/>
    <m/>
    <s v="Tutup Botol"/>
    <n v="2500"/>
    <n v="0.25"/>
    <n v="625"/>
  </r>
  <r>
    <m/>
    <x v="34"/>
    <m/>
    <s v="Boncos"/>
    <n v="300"/>
    <n v="0.2"/>
    <n v="60"/>
  </r>
  <r>
    <m/>
    <x v="34"/>
    <m/>
    <s v="Kabin"/>
    <n v="1800"/>
    <n v="1.1499999999999999"/>
    <n v="2070"/>
  </r>
  <r>
    <n v="36"/>
    <x v="35"/>
    <n v="2"/>
    <s v="Botol Putih Bersih"/>
    <n v="2800"/>
    <n v="1.5"/>
    <n v="4200"/>
  </r>
  <r>
    <m/>
    <x v="35"/>
    <m/>
    <s v="Kardus Baik/Kering"/>
    <n v="1000"/>
    <n v="3.3"/>
    <n v="3300"/>
  </r>
  <r>
    <n v="37"/>
    <x v="36"/>
    <n v="4"/>
    <s v="Kardus Baik/Kering"/>
    <n v="1000"/>
    <n v="6.95"/>
    <n v="6950"/>
  </r>
  <r>
    <m/>
    <x v="36"/>
    <m/>
    <s v="Botol Putih Bersih"/>
    <n v="2800"/>
    <n v="0.7"/>
    <n v="1959.9999999999998"/>
  </r>
  <r>
    <m/>
    <x v="36"/>
    <m/>
    <s v="Botol &amp; Gelas Putih (Kotor)"/>
    <n v="1600"/>
    <n v="0.25"/>
    <n v="400"/>
  </r>
  <r>
    <m/>
    <x v="36"/>
    <m/>
    <s v="Alumunium"/>
    <n v="8000"/>
    <n v="0.1"/>
    <n v="800"/>
  </r>
  <r>
    <m/>
    <x v="36"/>
    <m/>
    <s v="Boncos"/>
    <n v="300"/>
    <n v="3.8"/>
    <n v="1140"/>
  </r>
  <r>
    <m/>
    <x v="36"/>
    <m/>
    <s v="Tutup Botol"/>
    <n v="2500"/>
    <n v="0.4"/>
    <n v="1000"/>
  </r>
  <r>
    <m/>
    <x v="36"/>
    <m/>
    <s v="Botol &amp; Kaca Beling"/>
    <n v="150"/>
    <n v="0.7"/>
    <n v="105"/>
  </r>
  <r>
    <m/>
    <x v="36"/>
    <m/>
    <s v="Plastik (PE)"/>
    <n v="800"/>
    <n v="0.15"/>
    <n v="120"/>
  </r>
  <r>
    <m/>
    <x v="36"/>
    <m/>
    <s v="Emberan"/>
    <n v="1400"/>
    <n v="0.95"/>
    <n v="1330"/>
  </r>
  <r>
    <m/>
    <x v="36"/>
    <m/>
    <s v="Multilayer"/>
    <n v="300"/>
    <n v="0.65"/>
    <n v="195"/>
  </r>
  <r>
    <m/>
    <x v="36"/>
    <m/>
    <s v="Karung Beras"/>
    <n v="400"/>
    <n v="0.3"/>
    <n v="120"/>
  </r>
  <r>
    <m/>
    <x v="36"/>
    <m/>
    <s v="Kaleng"/>
    <n v="1500"/>
    <n v="0.35"/>
    <n v="525"/>
  </r>
  <r>
    <m/>
    <x v="36"/>
    <m/>
    <s v="Besi"/>
    <n v="2500"/>
    <n v="0.55000000000000004"/>
    <n v="1375"/>
  </r>
  <r>
    <n v="38"/>
    <x v="37"/>
    <n v="4"/>
    <s v="Gabrukan"/>
    <n v="1000"/>
    <n v="1.2"/>
    <n v="1200"/>
  </r>
  <r>
    <m/>
    <x v="37"/>
    <m/>
    <s v="Botol Putih Bersih"/>
    <n v="2800"/>
    <n v="0.4"/>
    <n v="1120"/>
  </r>
  <r>
    <m/>
    <x v="37"/>
    <m/>
    <s v="Botol &amp; Kaca Beling"/>
    <n v="150"/>
    <n v="1.45"/>
    <n v="217.5"/>
  </r>
  <r>
    <m/>
    <x v="37"/>
    <m/>
    <s v="Tutup Botol"/>
    <n v="2500"/>
    <n v="0.25"/>
    <n v="625"/>
  </r>
  <r>
    <m/>
    <x v="37"/>
    <m/>
    <s v="Kabin"/>
    <n v="1800"/>
    <n v="0.1"/>
    <n v="180"/>
  </r>
  <r>
    <m/>
    <x v="37"/>
    <m/>
    <s v="Naso"/>
    <n v="2000"/>
    <n v="0.2"/>
    <n v="400"/>
  </r>
  <r>
    <m/>
    <x v="37"/>
    <m/>
    <s v="Sterofoam"/>
    <n v="150"/>
    <n v="0.7"/>
    <n v="105"/>
  </r>
  <r>
    <m/>
    <x v="37"/>
    <m/>
    <s v="Boncos"/>
    <n v="300"/>
    <n v="0.6"/>
    <n v="180"/>
  </r>
  <r>
    <m/>
    <x v="37"/>
    <m/>
    <s v="Kertas HVS Putih"/>
    <n v="1400"/>
    <n v="4.8499999999999996"/>
    <n v="6789.9999999999991"/>
  </r>
  <r>
    <m/>
    <x v="37"/>
    <m/>
    <s v="Kardus Baik/Kering"/>
    <n v="1000"/>
    <n v="1.55"/>
    <n v="1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E8E05-60A8-4993-B818-0AED7777777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1" firstHeaderRow="0" firstDataRow="1" firstDataCol="1"/>
  <pivotFields count="7">
    <pivotField showAll="0"/>
    <pivotField axis="axisRow" showAll="0" sortType="ascending">
      <items count="39">
        <item x="11"/>
        <item x="0"/>
        <item x="24"/>
        <item x="22"/>
        <item x="13"/>
        <item x="3"/>
        <item x="29"/>
        <item x="33"/>
        <item x="32"/>
        <item x="7"/>
        <item x="19"/>
        <item x="2"/>
        <item x="27"/>
        <item x="8"/>
        <item x="31"/>
        <item x="4"/>
        <item x="9"/>
        <item x="21"/>
        <item x="25"/>
        <item x="1"/>
        <item x="18"/>
        <item x="10"/>
        <item x="16"/>
        <item x="6"/>
        <item x="26"/>
        <item x="23"/>
        <item x="12"/>
        <item x="30"/>
        <item x="20"/>
        <item x="28"/>
        <item x="17"/>
        <item x="14"/>
        <item x="5"/>
        <item x="15"/>
        <item x="34"/>
        <item x="35"/>
        <item x="3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39">
    <i>
      <x v="25"/>
    </i>
    <i>
      <x v="13"/>
    </i>
    <i>
      <x/>
    </i>
    <i>
      <x v="4"/>
    </i>
    <i>
      <x v="29"/>
    </i>
    <i>
      <x v="26"/>
    </i>
    <i>
      <x v="35"/>
    </i>
    <i>
      <x v="3"/>
    </i>
    <i>
      <x v="30"/>
    </i>
    <i>
      <x v="23"/>
    </i>
    <i>
      <x v="1"/>
    </i>
    <i>
      <x v="15"/>
    </i>
    <i>
      <x v="10"/>
    </i>
    <i>
      <x v="24"/>
    </i>
    <i>
      <x v="18"/>
    </i>
    <i>
      <x v="11"/>
    </i>
    <i>
      <x v="6"/>
    </i>
    <i>
      <x v="16"/>
    </i>
    <i>
      <x v="37"/>
    </i>
    <i>
      <x v="17"/>
    </i>
    <i>
      <x v="19"/>
    </i>
    <i>
      <x v="28"/>
    </i>
    <i>
      <x v="21"/>
    </i>
    <i>
      <x v="12"/>
    </i>
    <i>
      <x v="8"/>
    </i>
    <i>
      <x v="20"/>
    </i>
    <i>
      <x v="36"/>
    </i>
    <i>
      <x v="2"/>
    </i>
    <i>
      <x v="7"/>
    </i>
    <i>
      <x v="14"/>
    </i>
    <i>
      <x v="5"/>
    </i>
    <i>
      <x v="33"/>
    </i>
    <i>
      <x v="31"/>
    </i>
    <i>
      <x v="9"/>
    </i>
    <i>
      <x v="32"/>
    </i>
    <i>
      <x v="22"/>
    </i>
    <i>
      <x v="27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5EE42-ADFF-437C-BFBD-E4FC3AA19814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L53" firstHeaderRow="0" firstDataRow="1" firstDataCol="1"/>
  <pivotFields count="7">
    <pivotField showAll="0"/>
    <pivotField axis="axisRow" showAll="0" sortType="ascending">
      <items count="49">
        <item x="14"/>
        <item x="33"/>
        <item x="26"/>
        <item x="41"/>
        <item x="37"/>
        <item x="34"/>
        <item x="47"/>
        <item x="35"/>
        <item x="42"/>
        <item x="6"/>
        <item x="38"/>
        <item x="30"/>
        <item x="2"/>
        <item x="32"/>
        <item x="43"/>
        <item x="7"/>
        <item x="12"/>
        <item x="39"/>
        <item x="21"/>
        <item x="22"/>
        <item x="31"/>
        <item x="15"/>
        <item x="20"/>
        <item x="8"/>
        <item x="16"/>
        <item x="18"/>
        <item x="5"/>
        <item x="25"/>
        <item x="11"/>
        <item x="40"/>
        <item x="13"/>
        <item x="17"/>
        <item x="4"/>
        <item x="24"/>
        <item x="44"/>
        <item x="29"/>
        <item x="27"/>
        <item x="1"/>
        <item x="36"/>
        <item x="46"/>
        <item x="23"/>
        <item x="3"/>
        <item x="28"/>
        <item x="0"/>
        <item x="19"/>
        <item x="10"/>
        <item x="4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49">
    <i>
      <x v="25"/>
    </i>
    <i>
      <x v="35"/>
    </i>
    <i>
      <x v="47"/>
    </i>
    <i>
      <x v="28"/>
    </i>
    <i>
      <x v="27"/>
    </i>
    <i>
      <x v="40"/>
    </i>
    <i>
      <x v="30"/>
    </i>
    <i>
      <x v="2"/>
    </i>
    <i>
      <x v="36"/>
    </i>
    <i>
      <x v="32"/>
    </i>
    <i>
      <x/>
    </i>
    <i>
      <x v="16"/>
    </i>
    <i>
      <x v="42"/>
    </i>
    <i>
      <x v="45"/>
    </i>
    <i>
      <x v="44"/>
    </i>
    <i>
      <x v="18"/>
    </i>
    <i>
      <x v="33"/>
    </i>
    <i>
      <x v="15"/>
    </i>
    <i>
      <x v="11"/>
    </i>
    <i>
      <x v="23"/>
    </i>
    <i>
      <x v="12"/>
    </i>
    <i>
      <x v="34"/>
    </i>
    <i>
      <x v="21"/>
    </i>
    <i>
      <x v="13"/>
    </i>
    <i>
      <x v="22"/>
    </i>
    <i>
      <x v="19"/>
    </i>
    <i>
      <x v="7"/>
    </i>
    <i>
      <x v="14"/>
    </i>
    <i>
      <x v="8"/>
    </i>
    <i>
      <x v="37"/>
    </i>
    <i>
      <x v="31"/>
    </i>
    <i>
      <x v="39"/>
    </i>
    <i>
      <x v="20"/>
    </i>
    <i>
      <x v="3"/>
    </i>
    <i>
      <x v="26"/>
    </i>
    <i>
      <x v="41"/>
    </i>
    <i>
      <x v="1"/>
    </i>
    <i>
      <x v="4"/>
    </i>
    <i>
      <x v="29"/>
    </i>
    <i>
      <x v="43"/>
    </i>
    <i>
      <x v="46"/>
    </i>
    <i>
      <x v="17"/>
    </i>
    <i>
      <x v="24"/>
    </i>
    <i>
      <x v="10"/>
    </i>
    <i>
      <x v="9"/>
    </i>
    <i>
      <x v="38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formats count="2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A12DE-96D2-4CA0-84F6-F920D922734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8" firstHeaderRow="0" firstDataRow="1" firstDataCol="1"/>
  <pivotFields count="7">
    <pivotField showAll="0"/>
    <pivotField axis="axisRow" showAll="0" sortType="ascending">
      <items count="47">
        <item x="29"/>
        <item x="30"/>
        <item x="10"/>
        <item x="2"/>
        <item x="42"/>
        <item x="25"/>
        <item x="36"/>
        <item x="9"/>
        <item x="8"/>
        <item x="43"/>
        <item x="27"/>
        <item x="35"/>
        <item x="5"/>
        <item x="16"/>
        <item x="33"/>
        <item x="32"/>
        <item x="6"/>
        <item x="12"/>
        <item x="23"/>
        <item x="1"/>
        <item x="38"/>
        <item m="1" x="45"/>
        <item x="0"/>
        <item x="11"/>
        <item x="13"/>
        <item x="41"/>
        <item x="18"/>
        <item x="34"/>
        <item x="14"/>
        <item x="17"/>
        <item x="3"/>
        <item x="44"/>
        <item x="20"/>
        <item x="22"/>
        <item x="28"/>
        <item x="4"/>
        <item x="21"/>
        <item x="40"/>
        <item x="7"/>
        <item x="15"/>
        <item x="26"/>
        <item x="39"/>
        <item x="37"/>
        <item x="31"/>
        <item x="24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6">
    <i>
      <x v="26"/>
    </i>
    <i>
      <x v="14"/>
    </i>
    <i>
      <x v="24"/>
    </i>
    <i>
      <x v="13"/>
    </i>
    <i>
      <x v="10"/>
    </i>
    <i>
      <x v="38"/>
    </i>
    <i>
      <x v="34"/>
    </i>
    <i>
      <x v="42"/>
    </i>
    <i>
      <x v="37"/>
    </i>
    <i>
      <x/>
    </i>
    <i>
      <x v="33"/>
    </i>
    <i>
      <x v="36"/>
    </i>
    <i>
      <x v="41"/>
    </i>
    <i>
      <x v="23"/>
    </i>
    <i>
      <x v="16"/>
    </i>
    <i>
      <x v="29"/>
    </i>
    <i>
      <x v="11"/>
    </i>
    <i>
      <x v="9"/>
    </i>
    <i>
      <x v="30"/>
    </i>
    <i>
      <x v="32"/>
    </i>
    <i>
      <x v="19"/>
    </i>
    <i>
      <x v="45"/>
    </i>
    <i>
      <x v="20"/>
    </i>
    <i>
      <x v="4"/>
    </i>
    <i>
      <x v="8"/>
    </i>
    <i>
      <x v="25"/>
    </i>
    <i>
      <x v="35"/>
    </i>
    <i>
      <x v="27"/>
    </i>
    <i>
      <x v="17"/>
    </i>
    <i>
      <x v="15"/>
    </i>
    <i>
      <x v="1"/>
    </i>
    <i>
      <x v="5"/>
    </i>
    <i>
      <x v="18"/>
    </i>
    <i>
      <x v="28"/>
    </i>
    <i>
      <x v="40"/>
    </i>
    <i>
      <x v="6"/>
    </i>
    <i>
      <x v="12"/>
    </i>
    <i>
      <x v="22"/>
    </i>
    <i>
      <x v="44"/>
    </i>
    <i>
      <x v="7"/>
    </i>
    <i>
      <x v="43"/>
    </i>
    <i>
      <x v="3"/>
    </i>
    <i>
      <x v="39"/>
    </i>
    <i>
      <x v="2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54B2B-1CAF-41CD-AF83-7941384FAA8B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64" firstHeaderRow="0" firstDataRow="1" firstDataCol="1"/>
  <pivotFields count="7">
    <pivotField showAll="0"/>
    <pivotField axis="axisRow" showAll="0" sortType="ascending">
      <items count="65">
        <item x="55"/>
        <item x="53"/>
        <item x="39"/>
        <item x="10"/>
        <item x="23"/>
        <item x="4"/>
        <item x="28"/>
        <item x="40"/>
        <item x="3"/>
        <item x="24"/>
        <item x="12"/>
        <item x="50"/>
        <item x="27"/>
        <item x="25"/>
        <item x="46"/>
        <item x="58"/>
        <item x="14"/>
        <item x="59"/>
        <item x="2"/>
        <item x="41"/>
        <item x="44"/>
        <item x="13"/>
        <item x="49"/>
        <item x="5"/>
        <item x="17"/>
        <item x="11"/>
        <item m="1" x="63"/>
        <item x="37"/>
        <item m="1" x="61"/>
        <item m="1" x="62"/>
        <item x="18"/>
        <item x="31"/>
        <item x="32"/>
        <item x="21"/>
        <item x="7"/>
        <item x="48"/>
        <item x="54"/>
        <item x="1"/>
        <item x="36"/>
        <item x="19"/>
        <item x="38"/>
        <item x="26"/>
        <item x="16"/>
        <item x="33"/>
        <item x="0"/>
        <item x="45"/>
        <item x="42"/>
        <item x="9"/>
        <item x="51"/>
        <item x="22"/>
        <item x="20"/>
        <item x="15"/>
        <item x="47"/>
        <item x="43"/>
        <item x="56"/>
        <item x="6"/>
        <item x="30"/>
        <item x="57"/>
        <item x="52"/>
        <item x="8"/>
        <item x="34"/>
        <item x="29"/>
        <item x="60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62">
    <i>
      <x v="20"/>
    </i>
    <i>
      <x v="21"/>
    </i>
    <i>
      <x v="40"/>
    </i>
    <i>
      <x v="7"/>
    </i>
    <i>
      <x v="41"/>
    </i>
    <i>
      <x v="53"/>
    </i>
    <i>
      <x v="46"/>
    </i>
    <i>
      <x v="2"/>
    </i>
    <i>
      <x v="48"/>
    </i>
    <i>
      <x v="61"/>
    </i>
    <i>
      <x v="6"/>
    </i>
    <i>
      <x/>
    </i>
    <i>
      <x v="24"/>
    </i>
    <i>
      <x v="3"/>
    </i>
    <i>
      <x v="60"/>
    </i>
    <i>
      <x v="1"/>
    </i>
    <i>
      <x v="56"/>
    </i>
    <i>
      <x v="44"/>
    </i>
    <i>
      <x v="58"/>
    </i>
    <i>
      <x v="31"/>
    </i>
    <i>
      <x v="45"/>
    </i>
    <i>
      <x v="23"/>
    </i>
    <i>
      <x v="38"/>
    </i>
    <i>
      <x v="19"/>
    </i>
    <i>
      <x v="33"/>
    </i>
    <i>
      <x v="43"/>
    </i>
    <i>
      <x v="62"/>
    </i>
    <i>
      <x v="25"/>
    </i>
    <i>
      <x v="32"/>
    </i>
    <i>
      <x v="18"/>
    </i>
    <i>
      <x v="35"/>
    </i>
    <i>
      <x v="47"/>
    </i>
    <i>
      <x v="13"/>
    </i>
    <i>
      <x v="4"/>
    </i>
    <i>
      <x v="14"/>
    </i>
    <i>
      <x v="49"/>
    </i>
    <i>
      <x v="42"/>
    </i>
    <i>
      <x v="52"/>
    </i>
    <i>
      <x v="34"/>
    </i>
    <i>
      <x v="55"/>
    </i>
    <i>
      <x v="39"/>
    </i>
    <i>
      <x v="22"/>
    </i>
    <i>
      <x v="30"/>
    </i>
    <i>
      <x v="59"/>
    </i>
    <i>
      <x v="15"/>
    </i>
    <i>
      <x v="9"/>
    </i>
    <i>
      <x v="37"/>
    </i>
    <i>
      <x v="10"/>
    </i>
    <i>
      <x v="17"/>
    </i>
    <i>
      <x v="8"/>
    </i>
    <i>
      <x v="63"/>
    </i>
    <i>
      <x v="36"/>
    </i>
    <i>
      <x v="54"/>
    </i>
    <i>
      <x v="16"/>
    </i>
    <i>
      <x v="57"/>
    </i>
    <i>
      <x v="50"/>
    </i>
    <i>
      <x v="11"/>
    </i>
    <i>
      <x v="5"/>
    </i>
    <i>
      <x v="51"/>
    </i>
    <i>
      <x v="27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formats count="7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50">
            <x v="0"/>
            <x v="1"/>
            <x v="2"/>
            <x v="3"/>
            <x v="4"/>
            <x v="6"/>
            <x v="7"/>
            <x v="8"/>
            <x v="9"/>
            <x v="10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2"/>
            <x v="53"/>
            <x v="55"/>
            <x v="56"/>
            <x v="58"/>
            <x v="59"/>
            <x v="60"/>
            <x v="61"/>
            <x v="62"/>
          </reference>
        </references>
      </pivotArea>
    </format>
    <format dxfId="25">
      <pivotArea dataOnly="0" labelOnly="1" fieldPosition="0">
        <references count="1">
          <reference field="1" count="11">
            <x v="5"/>
            <x v="11"/>
            <x v="12"/>
            <x v="16"/>
            <x v="27"/>
            <x v="36"/>
            <x v="50"/>
            <x v="51"/>
            <x v="54"/>
            <x v="57"/>
            <x v="63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CD53C-638F-4AB0-A0CC-B3612139DF6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31" firstHeaderRow="0" firstDataRow="1" firstDataCol="1"/>
  <pivotFields count="7">
    <pivotField showAll="0"/>
    <pivotField showAll="0"/>
    <pivotField showAll="0"/>
    <pivotField axis="axisRow" showAll="0">
      <items count="29">
        <item x="26"/>
        <item x="23"/>
        <item x="1"/>
        <item x="20"/>
        <item x="3"/>
        <item x="17"/>
        <item x="15"/>
        <item x="13"/>
        <item x="8"/>
        <item x="4"/>
        <item x="2"/>
        <item x="21"/>
        <item x="24"/>
        <item x="6"/>
        <item x="9"/>
        <item x="7"/>
        <item x="0"/>
        <item x="27"/>
        <item x="12"/>
        <item x="10"/>
        <item x="18"/>
        <item x="19"/>
        <item x="16"/>
        <item x="25"/>
        <item x="11"/>
        <item x="5"/>
        <item x="14"/>
        <item x="22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E7336-F777-4DFC-8579-B93F953FAC5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7" firstHeaderRow="0" firstDataRow="1" firstDataCol="1"/>
  <pivotFields count="7">
    <pivotField showAll="0"/>
    <pivotField axis="axisRow" showAll="0" sortType="ascending">
      <items count="47">
        <item x="32"/>
        <item x="13"/>
        <item x="11"/>
        <item x="4"/>
        <item x="18"/>
        <item x="19"/>
        <item x="43"/>
        <item x="35"/>
        <item x="28"/>
        <item x="40"/>
        <item x="37"/>
        <item x="20"/>
        <item x="1"/>
        <item x="25"/>
        <item x="14"/>
        <item x="31"/>
        <item x="9"/>
        <item x="16"/>
        <item x="36"/>
        <item x="23"/>
        <item x="26"/>
        <item x="6"/>
        <item x="38"/>
        <item x="0"/>
        <item m="1" x="44"/>
        <item x="34"/>
        <item x="12"/>
        <item x="3"/>
        <item x="5"/>
        <item x="21"/>
        <item x="33"/>
        <item x="30"/>
        <item x="27"/>
        <item x="41"/>
        <item x="10"/>
        <item x="24"/>
        <item x="22"/>
        <item x="17"/>
        <item x="15"/>
        <item x="8"/>
        <item x="7"/>
        <item x="29"/>
        <item x="39"/>
        <item x="42"/>
        <item m="1" x="4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5">
    <i>
      <x v="33"/>
    </i>
    <i>
      <x v="45"/>
    </i>
    <i>
      <x v="26"/>
    </i>
    <i>
      <x v="27"/>
    </i>
    <i>
      <x v="14"/>
    </i>
    <i>
      <x v="28"/>
    </i>
    <i>
      <x v="15"/>
    </i>
    <i>
      <x v="35"/>
    </i>
    <i>
      <x v="1"/>
    </i>
    <i>
      <x v="41"/>
    </i>
    <i>
      <x v="7"/>
    </i>
    <i>
      <x v="37"/>
    </i>
    <i>
      <x v="25"/>
    </i>
    <i>
      <x v="16"/>
    </i>
    <i>
      <x v="11"/>
    </i>
    <i>
      <x v="13"/>
    </i>
    <i>
      <x v="31"/>
    </i>
    <i>
      <x v="21"/>
    </i>
    <i>
      <x v="3"/>
    </i>
    <i>
      <x v="29"/>
    </i>
    <i>
      <x v="19"/>
    </i>
    <i>
      <x v="30"/>
    </i>
    <i>
      <x/>
    </i>
    <i>
      <x v="18"/>
    </i>
    <i>
      <x v="23"/>
    </i>
    <i>
      <x v="4"/>
    </i>
    <i>
      <x v="9"/>
    </i>
    <i>
      <x v="34"/>
    </i>
    <i>
      <x v="20"/>
    </i>
    <i>
      <x v="36"/>
    </i>
    <i>
      <x v="8"/>
    </i>
    <i>
      <x v="39"/>
    </i>
    <i>
      <x v="22"/>
    </i>
    <i>
      <x v="40"/>
    </i>
    <i>
      <x v="17"/>
    </i>
    <i>
      <x v="42"/>
    </i>
    <i>
      <x v="12"/>
    </i>
    <i>
      <x v="2"/>
    </i>
    <i>
      <x v="38"/>
    </i>
    <i>
      <x v="10"/>
    </i>
    <i>
      <x v="43"/>
    </i>
    <i>
      <x v="5"/>
    </i>
    <i>
      <x v="3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D4C88-383B-4812-BD79-3163A3437A0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48" firstHeaderRow="0" firstDataRow="1" firstDataCol="1"/>
  <pivotFields count="7">
    <pivotField showAll="0"/>
    <pivotField axis="axisRow" showAll="0" sortType="ascending">
      <items count="46">
        <item x="1"/>
        <item x="4"/>
        <item x="32"/>
        <item x="22"/>
        <item x="21"/>
        <item x="23"/>
        <item x="44"/>
        <item x="40"/>
        <item x="33"/>
        <item x="29"/>
        <item x="41"/>
        <item x="37"/>
        <item x="27"/>
        <item x="3"/>
        <item x="43"/>
        <item x="11"/>
        <item x="30"/>
        <item x="36"/>
        <item x="5"/>
        <item x="31"/>
        <item x="13"/>
        <item x="2"/>
        <item x="35"/>
        <item x="26"/>
        <item x="24"/>
        <item x="39"/>
        <item x="14"/>
        <item x="38"/>
        <item x="0"/>
        <item x="18"/>
        <item x="15"/>
        <item x="9"/>
        <item x="17"/>
        <item x="10"/>
        <item x="8"/>
        <item x="6"/>
        <item x="34"/>
        <item x="25"/>
        <item x="28"/>
        <item x="12"/>
        <item x="20"/>
        <item x="19"/>
        <item x="16"/>
        <item x="7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6">
    <i>
      <x v="17"/>
    </i>
    <i>
      <x/>
    </i>
    <i>
      <x v="42"/>
    </i>
    <i>
      <x v="40"/>
    </i>
    <i>
      <x v="30"/>
    </i>
    <i>
      <x v="4"/>
    </i>
    <i>
      <x v="34"/>
    </i>
    <i>
      <x v="3"/>
    </i>
    <i>
      <x v="37"/>
    </i>
    <i>
      <x v="39"/>
    </i>
    <i>
      <x v="1"/>
    </i>
    <i>
      <x v="44"/>
    </i>
    <i>
      <x v="23"/>
    </i>
    <i>
      <x v="14"/>
    </i>
    <i>
      <x v="16"/>
    </i>
    <i>
      <x v="20"/>
    </i>
    <i>
      <x v="29"/>
    </i>
    <i>
      <x v="33"/>
    </i>
    <i>
      <x v="12"/>
    </i>
    <i>
      <x v="22"/>
    </i>
    <i>
      <x v="32"/>
    </i>
    <i>
      <x v="8"/>
    </i>
    <i>
      <x v="11"/>
    </i>
    <i>
      <x v="19"/>
    </i>
    <i>
      <x v="2"/>
    </i>
    <i>
      <x v="25"/>
    </i>
    <i>
      <x v="31"/>
    </i>
    <i>
      <x v="27"/>
    </i>
    <i>
      <x v="36"/>
    </i>
    <i>
      <x v="24"/>
    </i>
    <i>
      <x v="38"/>
    </i>
    <i>
      <x v="28"/>
    </i>
    <i>
      <x v="7"/>
    </i>
    <i>
      <x v="26"/>
    </i>
    <i>
      <x v="18"/>
    </i>
    <i>
      <x v="13"/>
    </i>
    <i>
      <x v="6"/>
    </i>
    <i>
      <x v="41"/>
    </i>
    <i>
      <x v="43"/>
    </i>
    <i>
      <x v="5"/>
    </i>
    <i>
      <x v="9"/>
    </i>
    <i>
      <x v="35"/>
    </i>
    <i>
      <x v="15"/>
    </i>
    <i>
      <x v="1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6A6EF-69F6-4047-8CDA-037D772729B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V33" firstHeaderRow="0" firstDataRow="1" firstDataCol="1"/>
  <pivotFields count="7">
    <pivotField showAll="0"/>
    <pivotField showAll="0"/>
    <pivotField showAll="0"/>
    <pivotField axis="axisRow" showAll="0">
      <items count="31">
        <item x="23"/>
        <item x="3"/>
        <item x="13"/>
        <item x="11"/>
        <item x="7"/>
        <item x="10"/>
        <item x="0"/>
        <item x="21"/>
        <item x="15"/>
        <item x="6"/>
        <item x="1"/>
        <item x="5"/>
        <item x="22"/>
        <item x="14"/>
        <item x="9"/>
        <item x="12"/>
        <item x="4"/>
        <item x="25"/>
        <item x="27"/>
        <item x="20"/>
        <item x="2"/>
        <item x="8"/>
        <item x="16"/>
        <item x="19"/>
        <item x="17"/>
        <item x="18"/>
        <item x="26"/>
        <item x="24"/>
        <item x="28"/>
        <item x="29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A79F3-AD51-4065-956D-A7D6086E4B9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69" firstHeaderRow="0" firstDataRow="1" firstDataCol="1"/>
  <pivotFields count="7">
    <pivotField showAll="0"/>
    <pivotField axis="axisRow" showAll="0" sortType="ascending">
      <items count="67">
        <item x="31"/>
        <item x="35"/>
        <item x="15"/>
        <item x="58"/>
        <item x="38"/>
        <item x="10"/>
        <item x="20"/>
        <item x="19"/>
        <item x="0"/>
        <item x="2"/>
        <item x="50"/>
        <item x="36"/>
        <item x="60"/>
        <item x="43"/>
        <item x="44"/>
        <item x="4"/>
        <item x="54"/>
        <item x="40"/>
        <item x="46"/>
        <item x="17"/>
        <item x="34"/>
        <item x="12"/>
        <item x="24"/>
        <item x="26"/>
        <item x="52"/>
        <item x="8"/>
        <item x="25"/>
        <item x="6"/>
        <item x="22"/>
        <item x="21"/>
        <item x="5"/>
        <item x="14"/>
        <item x="9"/>
        <item x="61"/>
        <item x="51"/>
        <item x="13"/>
        <item x="23"/>
        <item x="7"/>
        <item x="1"/>
        <item x="41"/>
        <item x="42"/>
        <item x="53"/>
        <item x="62"/>
        <item x="32"/>
        <item x="3"/>
        <item x="56"/>
        <item x="48"/>
        <item x="16"/>
        <item x="29"/>
        <item x="63"/>
        <item x="28"/>
        <item x="11"/>
        <item x="39"/>
        <item x="18"/>
        <item x="37"/>
        <item x="30"/>
        <item x="27"/>
        <item x="55"/>
        <item x="47"/>
        <item x="33"/>
        <item x="57"/>
        <item x="59"/>
        <item x="45"/>
        <item x="49"/>
        <item x="65"/>
        <item x="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67">
    <i>
      <x v="64"/>
    </i>
    <i>
      <x v="65"/>
    </i>
    <i>
      <x v="24"/>
    </i>
    <i>
      <x v="2"/>
    </i>
    <i>
      <x v="54"/>
    </i>
    <i>
      <x v="5"/>
    </i>
    <i>
      <x v="28"/>
    </i>
    <i>
      <x v="51"/>
    </i>
    <i>
      <x v="31"/>
    </i>
    <i>
      <x v="4"/>
    </i>
    <i>
      <x v="53"/>
    </i>
    <i>
      <x v="23"/>
    </i>
    <i>
      <x v="1"/>
    </i>
    <i>
      <x v="36"/>
    </i>
    <i>
      <x v="56"/>
    </i>
    <i>
      <x v="13"/>
    </i>
    <i>
      <x v="59"/>
    </i>
    <i>
      <x v="47"/>
    </i>
    <i>
      <x v="61"/>
    </i>
    <i>
      <x/>
    </i>
    <i>
      <x v="63"/>
    </i>
    <i>
      <x v="30"/>
    </i>
    <i>
      <x v="15"/>
    </i>
    <i>
      <x v="48"/>
    </i>
    <i>
      <x v="22"/>
    </i>
    <i>
      <x v="19"/>
    </i>
    <i>
      <x v="35"/>
    </i>
    <i>
      <x v="26"/>
    </i>
    <i>
      <x v="32"/>
    </i>
    <i>
      <x v="18"/>
    </i>
    <i>
      <x v="29"/>
    </i>
    <i>
      <x v="3"/>
    </i>
    <i>
      <x v="14"/>
    </i>
    <i>
      <x v="34"/>
    </i>
    <i>
      <x v="49"/>
    </i>
    <i>
      <x v="37"/>
    </i>
    <i>
      <x v="52"/>
    </i>
    <i>
      <x v="39"/>
    </i>
    <i>
      <x v="21"/>
    </i>
    <i>
      <x v="42"/>
    </i>
    <i>
      <x v="8"/>
    </i>
    <i>
      <x v="44"/>
    </i>
    <i>
      <x v="55"/>
    </i>
    <i>
      <x v="27"/>
    </i>
    <i>
      <x v="9"/>
    </i>
    <i>
      <x v="38"/>
    </i>
    <i>
      <x v="58"/>
    </i>
    <i>
      <x v="43"/>
    </i>
    <i>
      <x v="10"/>
    </i>
    <i>
      <x v="16"/>
    </i>
    <i>
      <x v="25"/>
    </i>
    <i>
      <x v="45"/>
    </i>
    <i>
      <x v="62"/>
    </i>
    <i>
      <x v="40"/>
    </i>
    <i>
      <x v="11"/>
    </i>
    <i>
      <x v="7"/>
    </i>
    <i>
      <x v="60"/>
    </i>
    <i>
      <x v="41"/>
    </i>
    <i>
      <x v="6"/>
    </i>
    <i>
      <x v="17"/>
    </i>
    <i>
      <x v="50"/>
    </i>
    <i>
      <x v="20"/>
    </i>
    <i>
      <x v="46"/>
    </i>
    <i>
      <x v="57"/>
    </i>
    <i>
      <x v="33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F0CFE-31A5-4332-8955-FB22FFDDB1F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6" firstHeaderRow="0" firstDataRow="1" firstDataCol="1"/>
  <pivotFields count="7">
    <pivotField showAll="0"/>
    <pivotField axis="axisRow" showAll="0" sortType="ascending">
      <items count="58">
        <item x="24"/>
        <item x="15"/>
        <item x="26"/>
        <item x="19"/>
        <item x="9"/>
        <item x="0"/>
        <item x="21"/>
        <item x="3"/>
        <item x="51"/>
        <item x="6"/>
        <item x="12"/>
        <item x="42"/>
        <item x="46"/>
        <item x="7"/>
        <item x="45"/>
        <item x="16"/>
        <item x="44"/>
        <item x="14"/>
        <item x="2"/>
        <item x="22"/>
        <item x="8"/>
        <item x="27"/>
        <item x="32"/>
        <item x="28"/>
        <item x="13"/>
        <item x="39"/>
        <item x="40"/>
        <item x="11"/>
        <item x="25"/>
        <item x="5"/>
        <item x="48"/>
        <item x="10"/>
        <item x="41"/>
        <item x="1"/>
        <item x="36"/>
        <item x="47"/>
        <item x="23"/>
        <item x="43"/>
        <item x="33"/>
        <item x="17"/>
        <item x="20"/>
        <item m="1" x="54"/>
        <item x="49"/>
        <item m="1" x="53"/>
        <item x="18"/>
        <item x="30"/>
        <item x="4"/>
        <item x="37"/>
        <item x="29"/>
        <item x="34"/>
        <item m="1" x="55"/>
        <item x="38"/>
        <item x="52"/>
        <item m="1" x="56"/>
        <item x="31"/>
        <item x="35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54">
    <i>
      <x v="52"/>
    </i>
    <i>
      <x v="22"/>
    </i>
    <i>
      <x v="23"/>
    </i>
    <i>
      <x v="37"/>
    </i>
    <i>
      <x v="2"/>
    </i>
    <i>
      <x v="54"/>
    </i>
    <i>
      <x v="45"/>
    </i>
    <i>
      <x v="10"/>
    </i>
    <i>
      <x v="47"/>
    </i>
    <i>
      <x v="28"/>
    </i>
    <i>
      <x v="48"/>
    </i>
    <i>
      <x v="14"/>
    </i>
    <i>
      <x v="49"/>
    </i>
    <i>
      <x v="1"/>
    </i>
    <i>
      <x v="51"/>
    </i>
    <i>
      <x v="24"/>
    </i>
    <i>
      <x v="40"/>
    </i>
    <i>
      <x v="27"/>
    </i>
    <i>
      <x v="15"/>
    </i>
    <i>
      <x v="19"/>
    </i>
    <i>
      <x v="26"/>
    </i>
    <i>
      <x v="36"/>
    </i>
    <i>
      <x v="12"/>
    </i>
    <i>
      <x v="7"/>
    </i>
    <i>
      <x v="38"/>
    </i>
    <i>
      <x v="9"/>
    </i>
    <i>
      <x v="39"/>
    </i>
    <i>
      <x/>
    </i>
    <i>
      <x v="13"/>
    </i>
    <i>
      <x v="11"/>
    </i>
    <i>
      <x v="42"/>
    </i>
    <i>
      <x v="30"/>
    </i>
    <i>
      <x v="44"/>
    </i>
    <i>
      <x v="32"/>
    </i>
    <i>
      <x v="4"/>
    </i>
    <i>
      <x v="34"/>
    </i>
    <i>
      <x v="46"/>
    </i>
    <i>
      <x v="21"/>
    </i>
    <i>
      <x v="5"/>
    </i>
    <i>
      <x v="35"/>
    </i>
    <i>
      <x v="33"/>
    </i>
    <i>
      <x v="29"/>
    </i>
    <i>
      <x v="31"/>
    </i>
    <i>
      <x v="18"/>
    </i>
    <i>
      <x v="20"/>
    </i>
    <i>
      <x v="6"/>
    </i>
    <i>
      <x v="3"/>
    </i>
    <i>
      <x v="16"/>
    </i>
    <i>
      <x v="56"/>
    </i>
    <i>
      <x v="25"/>
    </i>
    <i>
      <x v="55"/>
    </i>
    <i>
      <x v="8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0" baseItem="0"/>
    <dataField name="Sum of Total Harga" fld="6" baseField="1" baseItem="0" numFmtId="165"/>
  </dataFields>
  <formats count="2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38B30-6507-46DB-8DFB-0721B485952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38" firstHeaderRow="0" firstDataRow="1" firstDataCol="1"/>
  <pivotFields count="7">
    <pivotField showAll="0"/>
    <pivotField showAll="0"/>
    <pivotField showAll="0"/>
    <pivotField axis="axisRow" showAll="0">
      <items count="36">
        <item x="15"/>
        <item x="4"/>
        <item x="19"/>
        <item x="9"/>
        <item x="18"/>
        <item x="2"/>
        <item x="8"/>
        <item x="16"/>
        <item x="31"/>
        <item x="5"/>
        <item x="6"/>
        <item x="33"/>
        <item x="14"/>
        <item x="10"/>
        <item x="20"/>
        <item x="25"/>
        <item x="0"/>
        <item x="1"/>
        <item x="3"/>
        <item x="28"/>
        <item x="27"/>
        <item x="29"/>
        <item x="11"/>
        <item x="32"/>
        <item x="26"/>
        <item x="7"/>
        <item x="21"/>
        <item x="24"/>
        <item x="13"/>
        <item x="23"/>
        <item x="30"/>
        <item x="12"/>
        <item x="17"/>
        <item x="22"/>
        <item x="34"/>
        <item t="default"/>
      </items>
    </pivotField>
    <pivotField showAll="0"/>
    <pivotField dataField="1" showAll="0"/>
    <pivotField dataField="1" showAll="0"/>
  </pivotFields>
  <rowFields count="1">
    <field x="3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3" baseItem="0" numFmtId="165"/>
  </dataFields>
  <formats count="2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E0AE0-16E4-417B-84B4-95DB8E0536B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7" firstHeaderRow="0" firstDataRow="1" firstDataCol="1"/>
  <pivotFields count="7">
    <pivotField showAll="0"/>
    <pivotField axis="axisRow" showAll="0" sortType="ascending">
      <items count="57">
        <item x="25"/>
        <item x="46"/>
        <item x="36"/>
        <item x="21"/>
        <item x="28"/>
        <item x="24"/>
        <item x="11"/>
        <item x="34"/>
        <item x="19"/>
        <item x="6"/>
        <item x="4"/>
        <item x="9"/>
        <item x="0"/>
        <item x="13"/>
        <item x="43"/>
        <item x="10"/>
        <item x="44"/>
        <item x="40"/>
        <item x="45"/>
        <item x="8"/>
        <item x="7"/>
        <item x="27"/>
        <item x="5"/>
        <item x="2"/>
        <item x="16"/>
        <item x="41"/>
        <item x="30"/>
        <item x="3"/>
        <item x="39"/>
        <item x="26"/>
        <item x="33"/>
        <item x="47"/>
        <item x="48"/>
        <item x="31"/>
        <item x="17"/>
        <item x="20"/>
        <item x="38"/>
        <item x="49"/>
        <item x="22"/>
        <item x="15"/>
        <item x="50"/>
        <item x="32"/>
        <item x="53"/>
        <item x="52"/>
        <item x="35"/>
        <item m="1" x="54"/>
        <item x="37"/>
        <item x="18"/>
        <item x="1"/>
        <item x="12"/>
        <item x="42"/>
        <item x="29"/>
        <item x="23"/>
        <item x="51"/>
        <item m="1" x="5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55">
    <i>
      <x v="15"/>
    </i>
    <i>
      <x v="43"/>
    </i>
    <i>
      <x v="18"/>
    </i>
    <i>
      <x v="6"/>
    </i>
    <i>
      <x v="42"/>
    </i>
    <i>
      <x v="20"/>
    </i>
    <i>
      <x v="5"/>
    </i>
    <i>
      <x/>
    </i>
    <i>
      <x v="46"/>
    </i>
    <i>
      <x v="41"/>
    </i>
    <i>
      <x v="3"/>
    </i>
    <i>
      <x v="1"/>
    </i>
    <i>
      <x v="13"/>
    </i>
    <i>
      <x v="51"/>
    </i>
    <i>
      <x v="50"/>
    </i>
    <i>
      <x v="34"/>
    </i>
    <i>
      <x v="39"/>
    </i>
    <i>
      <x v="22"/>
    </i>
    <i>
      <x v="26"/>
    </i>
    <i>
      <x v="36"/>
    </i>
    <i>
      <x v="19"/>
    </i>
    <i>
      <x v="37"/>
    </i>
    <i>
      <x v="21"/>
    </i>
    <i>
      <x v="35"/>
    </i>
    <i>
      <x v="9"/>
    </i>
    <i>
      <x v="25"/>
    </i>
    <i>
      <x v="23"/>
    </i>
    <i>
      <x v="27"/>
    </i>
    <i>
      <x v="2"/>
    </i>
    <i>
      <x v="29"/>
    </i>
    <i>
      <x v="14"/>
    </i>
    <i>
      <x v="31"/>
    </i>
    <i>
      <x v="4"/>
    </i>
    <i>
      <x v="55"/>
    </i>
    <i>
      <x v="44"/>
    </i>
    <i>
      <x v="28"/>
    </i>
    <i>
      <x v="47"/>
    </i>
    <i>
      <x v="33"/>
    </i>
    <i>
      <x v="49"/>
    </i>
    <i>
      <x v="30"/>
    </i>
    <i>
      <x v="17"/>
    </i>
    <i>
      <x v="10"/>
    </i>
    <i>
      <x v="52"/>
    </i>
    <i>
      <x v="38"/>
    </i>
    <i>
      <x v="40"/>
    </i>
    <i>
      <x v="32"/>
    </i>
    <i>
      <x v="16"/>
    </i>
    <i>
      <x v="7"/>
    </i>
    <i>
      <x v="53"/>
    </i>
    <i>
      <x v="8"/>
    </i>
    <i>
      <x v="48"/>
    </i>
    <i>
      <x v="11"/>
    </i>
    <i>
      <x v="12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D7324-E60E-4DD5-AD8D-0DCABBD91FF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37" firstHeaderRow="0" firstDataRow="1" firstDataCol="1"/>
  <pivotFields count="7">
    <pivotField showAll="0"/>
    <pivotField showAll="0"/>
    <pivotField showAll="0"/>
    <pivotField axis="axisRow" showAll="0">
      <items count="36">
        <item x="29"/>
        <item x="18"/>
        <item x="0"/>
        <item x="23"/>
        <item x="9"/>
        <item x="14"/>
        <item x="1"/>
        <item x="4"/>
        <item x="7"/>
        <item x="10"/>
        <item x="2"/>
        <item x="20"/>
        <item x="26"/>
        <item x="6"/>
        <item x="25"/>
        <item x="17"/>
        <item x="28"/>
        <item x="12"/>
        <item x="5"/>
        <item x="11"/>
        <item x="8"/>
        <item x="32"/>
        <item x="30"/>
        <item x="22"/>
        <item x="16"/>
        <item x="19"/>
        <item x="31"/>
        <item x="21"/>
        <item x="13"/>
        <item x="24"/>
        <item x="27"/>
        <item x="15"/>
        <item x="3"/>
        <item x="33"/>
        <item m="1" x="34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FFF60-6C2D-42CA-90F4-E37098CA1022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B40" firstHeaderRow="0" firstDataRow="1" firstDataCol="1"/>
  <pivotFields count="7">
    <pivotField showAll="0"/>
    <pivotField showAll="0"/>
    <pivotField showAll="0"/>
    <pivotField axis="axisRow" showAll="0">
      <items count="38">
        <item x="24"/>
        <item x="30"/>
        <item x="11"/>
        <item x="0"/>
        <item x="9"/>
        <item x="2"/>
        <item x="19"/>
        <item x="6"/>
        <item x="21"/>
        <item x="10"/>
        <item x="7"/>
        <item x="16"/>
        <item x="8"/>
        <item x="20"/>
        <item x="15"/>
        <item x="31"/>
        <item x="4"/>
        <item x="3"/>
        <item x="1"/>
        <item x="14"/>
        <item x="17"/>
        <item x="33"/>
        <item x="29"/>
        <item x="35"/>
        <item x="34"/>
        <item x="23"/>
        <item x="18"/>
        <item x="12"/>
        <item x="5"/>
        <item x="27"/>
        <item x="25"/>
        <item x="32"/>
        <item x="26"/>
        <item x="28"/>
        <item x="22"/>
        <item x="13"/>
        <item x="36"/>
        <item t="default"/>
      </items>
    </pivotField>
    <pivotField showAll="0"/>
    <pivotField dataField="1" showAll="0"/>
    <pivotField dataField="1"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formats count="2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6E5FF-633A-4EBB-97C1-8CA280EB72F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5" firstHeaderRow="0" firstDataRow="1" firstDataCol="1"/>
  <pivotFields count="7">
    <pivotField showAll="0"/>
    <pivotField axis="axisRow" showAll="0" sortType="ascending">
      <items count="57">
        <item x="1"/>
        <item x="23"/>
        <item x="8"/>
        <item x="47"/>
        <item x="19"/>
        <item x="24"/>
        <item x="6"/>
        <item x="21"/>
        <item x="48"/>
        <item x="11"/>
        <item x="12"/>
        <item x="35"/>
        <item x="18"/>
        <item x="26"/>
        <item x="40"/>
        <item x="14"/>
        <item x="44"/>
        <item x="9"/>
        <item x="0"/>
        <item x="7"/>
        <item x="42"/>
        <item x="41"/>
        <item m="1" x="54"/>
        <item x="3"/>
        <item x="37"/>
        <item x="4"/>
        <item x="49"/>
        <item x="39"/>
        <item x="22"/>
        <item x="2"/>
        <item x="20"/>
        <item x="13"/>
        <item x="36"/>
        <item x="27"/>
        <item x="17"/>
        <item x="16"/>
        <item x="34"/>
        <item x="5"/>
        <item x="29"/>
        <item x="43"/>
        <item x="33"/>
        <item x="25"/>
        <item x="45"/>
        <item x="28"/>
        <item x="30"/>
        <item m="1" x="55"/>
        <item x="46"/>
        <item x="15"/>
        <item m="1" x="53"/>
        <item x="31"/>
        <item x="51"/>
        <item x="38"/>
        <item x="32"/>
        <item x="50"/>
        <item m="1" x="5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53">
    <i>
      <x v="53"/>
    </i>
    <i>
      <x v="42"/>
    </i>
    <i>
      <x v="43"/>
    </i>
    <i>
      <x v="33"/>
    </i>
    <i>
      <x v="39"/>
    </i>
    <i>
      <x v="1"/>
    </i>
    <i>
      <x v="41"/>
    </i>
    <i>
      <x v="21"/>
    </i>
    <i>
      <x v="5"/>
    </i>
    <i>
      <x v="55"/>
    </i>
    <i>
      <x v="12"/>
    </i>
    <i>
      <x v="4"/>
    </i>
    <i>
      <x v="24"/>
    </i>
    <i>
      <x v="46"/>
    </i>
    <i>
      <x v="37"/>
    </i>
    <i>
      <x v="47"/>
    </i>
    <i>
      <x/>
    </i>
    <i>
      <x v="51"/>
    </i>
    <i>
      <x v="27"/>
    </i>
    <i>
      <x v="40"/>
    </i>
    <i>
      <x v="38"/>
    </i>
    <i>
      <x v="16"/>
    </i>
    <i>
      <x v="23"/>
    </i>
    <i>
      <x v="13"/>
    </i>
    <i>
      <x v="26"/>
    </i>
    <i>
      <x v="15"/>
    </i>
    <i>
      <x v="3"/>
    </i>
    <i>
      <x v="25"/>
    </i>
    <i>
      <x v="28"/>
    </i>
    <i>
      <x v="11"/>
    </i>
    <i>
      <x v="30"/>
    </i>
    <i>
      <x v="18"/>
    </i>
    <i>
      <x v="32"/>
    </i>
    <i>
      <x v="19"/>
    </i>
    <i>
      <x v="34"/>
    </i>
    <i>
      <x v="44"/>
    </i>
    <i>
      <x v="9"/>
    </i>
    <i>
      <x v="20"/>
    </i>
    <i>
      <x v="31"/>
    </i>
    <i>
      <x v="7"/>
    </i>
    <i>
      <x v="35"/>
    </i>
    <i>
      <x v="50"/>
    </i>
    <i>
      <x v="2"/>
    </i>
    <i>
      <x v="8"/>
    </i>
    <i>
      <x v="29"/>
    </i>
    <i>
      <x v="52"/>
    </i>
    <i>
      <x v="14"/>
    </i>
    <i>
      <x v="49"/>
    </i>
    <i>
      <x v="36"/>
    </i>
    <i>
      <x v="6"/>
    </i>
    <i>
      <x v="10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0"/>
    <dataField name="Sum of Total Harga" fld="6" baseField="1" baseItem="0" numFmtId="165"/>
  </dataFields>
  <formats count="2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ED5B7-59D7-4CC1-9160-3C33D818038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2:AF40" firstHeaderRow="0" firstDataRow="1" firstDataCol="1"/>
  <pivotFields count="7">
    <pivotField showAll="0"/>
    <pivotField showAll="0"/>
    <pivotField showAll="0"/>
    <pivotField axis="axisRow" showAll="0">
      <items count="38">
        <item x="6"/>
        <item x="9"/>
        <item x="27"/>
        <item x="22"/>
        <item x="10"/>
        <item x="8"/>
        <item x="18"/>
        <item x="4"/>
        <item x="3"/>
        <item x="14"/>
        <item x="5"/>
        <item x="13"/>
        <item x="36"/>
        <item x="29"/>
        <item x="17"/>
        <item x="11"/>
        <item x="25"/>
        <item x="30"/>
        <item x="15"/>
        <item x="16"/>
        <item x="0"/>
        <item x="19"/>
        <item x="1"/>
        <item x="20"/>
        <item x="31"/>
        <item x="26"/>
        <item x="2"/>
        <item x="35"/>
        <item x="21"/>
        <item x="32"/>
        <item x="33"/>
        <item x="23"/>
        <item x="24"/>
        <item x="12"/>
        <item x="28"/>
        <item x="7"/>
        <item x="34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1695F-5A5B-4A3C-81FD-FE338B9850B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8" firstHeaderRow="0" firstDataRow="1" firstDataCol="1"/>
  <pivotFields count="7">
    <pivotField showAll="0"/>
    <pivotField axis="axisRow" showAll="0" sortType="ascending">
      <items count="57">
        <item x="39"/>
        <item x="34"/>
        <item x="19"/>
        <item x="20"/>
        <item x="28"/>
        <item x="32"/>
        <item x="30"/>
        <item x="14"/>
        <item x="15"/>
        <item x="48"/>
        <item x="4"/>
        <item x="29"/>
        <item x="11"/>
        <item x="50"/>
        <item x="44"/>
        <item x="16"/>
        <item x="35"/>
        <item x="24"/>
        <item x="23"/>
        <item x="43"/>
        <item x="41"/>
        <item x="10"/>
        <item x="18"/>
        <item x="52"/>
        <item x="2"/>
        <item x="53"/>
        <item x="42"/>
        <item x="40"/>
        <item x="37"/>
        <item x="1"/>
        <item x="3"/>
        <item x="5"/>
        <item x="38"/>
        <item x="17"/>
        <item x="31"/>
        <item x="33"/>
        <item x="12"/>
        <item x="46"/>
        <item x="22"/>
        <item x="49"/>
        <item x="27"/>
        <item x="7"/>
        <item x="0"/>
        <item x="25"/>
        <item x="13"/>
        <item x="45"/>
        <item x="54"/>
        <item x="9"/>
        <item x="51"/>
        <item x="6"/>
        <item x="26"/>
        <item x="21"/>
        <item x="8"/>
        <item x="47"/>
        <item x="36"/>
        <item m="1"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56">
    <i>
      <x v="46"/>
    </i>
    <i>
      <x v="23"/>
    </i>
    <i>
      <x v="27"/>
    </i>
    <i>
      <x v="1"/>
    </i>
    <i>
      <x v="48"/>
    </i>
    <i>
      <x v="26"/>
    </i>
    <i>
      <x v="20"/>
    </i>
    <i>
      <x v="45"/>
    </i>
    <i>
      <x v="3"/>
    </i>
    <i>
      <x v="52"/>
    </i>
    <i>
      <x v="50"/>
    </i>
    <i>
      <x v="30"/>
    </i>
    <i>
      <x/>
    </i>
    <i>
      <x v="13"/>
    </i>
    <i>
      <x v="33"/>
    </i>
    <i>
      <x v="29"/>
    </i>
    <i>
      <x v="41"/>
    </i>
    <i>
      <x v="15"/>
    </i>
    <i>
      <x v="44"/>
    </i>
    <i>
      <x v="16"/>
    </i>
    <i>
      <x v="28"/>
    </i>
    <i>
      <x v="37"/>
    </i>
    <i>
      <x v="38"/>
    </i>
    <i>
      <x v="22"/>
    </i>
    <i>
      <x v="39"/>
    </i>
    <i>
      <x v="24"/>
    </i>
    <i>
      <x v="40"/>
    </i>
    <i>
      <x v="9"/>
    </i>
    <i>
      <x v="8"/>
    </i>
    <i>
      <x v="25"/>
    </i>
    <i>
      <x v="4"/>
    </i>
    <i>
      <x v="10"/>
    </i>
    <i>
      <x v="32"/>
    </i>
    <i>
      <x v="42"/>
    </i>
    <i>
      <x v="34"/>
    </i>
    <i>
      <x v="2"/>
    </i>
    <i>
      <x v="36"/>
    </i>
    <i>
      <x v="47"/>
    </i>
    <i>
      <x v="31"/>
    </i>
    <i>
      <x v="18"/>
    </i>
    <i>
      <x v="35"/>
    </i>
    <i>
      <x v="49"/>
    </i>
    <i>
      <x v="14"/>
    </i>
    <i>
      <x v="51"/>
    </i>
    <i>
      <x v="54"/>
    </i>
    <i>
      <x v="7"/>
    </i>
    <i>
      <x v="5"/>
    </i>
    <i>
      <x v="43"/>
    </i>
    <i>
      <x v="6"/>
    </i>
    <i>
      <x v="53"/>
    </i>
    <i>
      <x v="17"/>
    </i>
    <i>
      <x v="19"/>
    </i>
    <i>
      <x v="21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1" baseItem="46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EFF28-E0C6-4988-9912-0840AAE3E0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51" firstHeaderRow="0" firstDataRow="1" firstDataCol="1"/>
  <pivotFields count="7">
    <pivotField showAll="0"/>
    <pivotField axis="axisRow" showAll="0" sortType="ascending">
      <items count="54">
        <item x="39"/>
        <item x="30"/>
        <item x="32"/>
        <item x="21"/>
        <item x="46"/>
        <item x="44"/>
        <item x="3"/>
        <item x="42"/>
        <item x="6"/>
        <item m="1" x="49"/>
        <item x="35"/>
        <item x="41"/>
        <item x="5"/>
        <item x="22"/>
        <item x="24"/>
        <item x="10"/>
        <item x="11"/>
        <item m="1" x="50"/>
        <item x="8"/>
        <item x="26"/>
        <item x="37"/>
        <item m="1" x="48"/>
        <item x="15"/>
        <item x="40"/>
        <item x="25"/>
        <item x="16"/>
        <item x="4"/>
        <item x="33"/>
        <item x="45"/>
        <item x="20"/>
        <item x="36"/>
        <item x="28"/>
        <item x="12"/>
        <item m="1" x="51"/>
        <item m="1" x="52"/>
        <item x="17"/>
        <item x="9"/>
        <item x="47"/>
        <item x="19"/>
        <item x="2"/>
        <item x="43"/>
        <item x="14"/>
        <item x="13"/>
        <item x="7"/>
        <item x="23"/>
        <item x="27"/>
        <item x="29"/>
        <item x="0"/>
        <item x="38"/>
        <item x="34"/>
        <item x="31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49">
    <i>
      <x v="32"/>
    </i>
    <i>
      <x v="35"/>
    </i>
    <i>
      <x v="1"/>
    </i>
    <i>
      <x v="42"/>
    </i>
    <i>
      <x v="16"/>
    </i>
    <i>
      <x v="38"/>
    </i>
    <i>
      <x v="2"/>
    </i>
    <i>
      <x v="4"/>
    </i>
    <i>
      <x/>
    </i>
    <i>
      <x v="44"/>
    </i>
    <i>
      <x v="51"/>
    </i>
    <i>
      <x v="46"/>
    </i>
    <i>
      <x v="39"/>
    </i>
    <i>
      <x v="24"/>
    </i>
    <i>
      <x v="13"/>
    </i>
    <i>
      <x v="50"/>
    </i>
    <i>
      <x v="52"/>
    </i>
    <i>
      <x v="41"/>
    </i>
    <i>
      <x v="26"/>
    </i>
    <i>
      <x v="36"/>
    </i>
    <i>
      <x v="20"/>
    </i>
    <i>
      <x v="37"/>
    </i>
    <i>
      <x v="6"/>
    </i>
    <i>
      <x v="22"/>
    </i>
    <i>
      <x v="7"/>
    </i>
    <i>
      <x v="12"/>
    </i>
    <i>
      <x v="28"/>
    </i>
    <i>
      <x v="40"/>
    </i>
    <i>
      <x v="30"/>
    </i>
    <i>
      <x v="3"/>
    </i>
    <i>
      <x v="8"/>
    </i>
    <i>
      <x v="43"/>
    </i>
    <i>
      <x v="23"/>
    </i>
    <i>
      <x v="15"/>
    </i>
    <i>
      <x v="27"/>
    </i>
    <i>
      <x v="5"/>
    </i>
    <i>
      <x v="31"/>
    </i>
    <i>
      <x v="47"/>
    </i>
    <i>
      <x v="25"/>
    </i>
    <i>
      <x v="49"/>
    </i>
    <i>
      <x v="10"/>
    </i>
    <i>
      <x v="18"/>
    </i>
    <i>
      <x v="29"/>
    </i>
    <i>
      <x v="19"/>
    </i>
    <i>
      <x v="11"/>
    </i>
    <i>
      <x v="48"/>
    </i>
    <i>
      <x v="4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T" fld="2" baseField="0" baseItem="0"/>
    <dataField name="Sum of Total Harga" fld="6" baseField="0" baseItem="0" numFmtId="165"/>
  </dataFields>
  <formats count="1">
    <format dxfId="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25CE4-96FF-40A1-916F-702834C902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3:AG41" firstHeaderRow="0" firstDataRow="1" firstDataCol="1"/>
  <pivotFields count="7">
    <pivotField showAll="0"/>
    <pivotField showAll="0"/>
    <pivotField showAll="0"/>
    <pivotField axis="axisRow" showAll="0">
      <items count="39">
        <item x="30"/>
        <item x="3"/>
        <item x="9"/>
        <item x="8"/>
        <item x="16"/>
        <item x="14"/>
        <item x="7"/>
        <item x="20"/>
        <item x="26"/>
        <item x="2"/>
        <item x="12"/>
        <item x="23"/>
        <item x="34"/>
        <item x="19"/>
        <item x="15"/>
        <item x="22"/>
        <item x="18"/>
        <item x="4"/>
        <item x="0"/>
        <item x="11"/>
        <item x="25"/>
        <item x="33"/>
        <item x="32"/>
        <item x="27"/>
        <item x="10"/>
        <item m="1" x="37"/>
        <item x="5"/>
        <item x="13"/>
        <item x="29"/>
        <item x="35"/>
        <item x="21"/>
        <item x="36"/>
        <item x="6"/>
        <item x="1"/>
        <item x="17"/>
        <item x="24"/>
        <item x="31"/>
        <item x="28"/>
        <item t="default"/>
      </items>
    </pivotField>
    <pivotField numFmtId="165" showAll="0"/>
    <pivotField dataField="1" showAll="0"/>
    <pivotField dataField="1" numFmtId="165" showAll="0"/>
  </pivotFields>
  <rowFields count="1">
    <field x="3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erat" fld="5" baseField="0" baseItem="0"/>
    <dataField name="Sum of Total Harga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6055A-7C4B-4722-AA64-4FB8E1FE7A64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ma">
  <location ref="J2:L52" firstHeaderRow="0" firstDataRow="1" firstDataCol="1"/>
  <pivotFields count="7">
    <pivotField showAll="0"/>
    <pivotField axis="axisRow" showAll="0" sortType="ascending">
      <items count="67">
        <item m="1" x="60"/>
        <item x="21"/>
        <item x="42"/>
        <item x="6"/>
        <item x="3"/>
        <item x="31"/>
        <item x="13"/>
        <item x="15"/>
        <item x="8"/>
        <item x="19"/>
        <item x="12"/>
        <item m="1" x="55"/>
        <item m="1" x="63"/>
        <item x="18"/>
        <item m="1" x="62"/>
        <item x="27"/>
        <item x="14"/>
        <item x="34"/>
        <item x="37"/>
        <item x="26"/>
        <item x="11"/>
        <item x="35"/>
        <item x="22"/>
        <item x="32"/>
        <item m="1" x="56"/>
        <item x="23"/>
        <item m="1" x="53"/>
        <item m="1" x="64"/>
        <item x="17"/>
        <item x="28"/>
        <item m="1" x="65"/>
        <item x="29"/>
        <item x="48"/>
        <item x="39"/>
        <item x="43"/>
        <item x="25"/>
        <item x="30"/>
        <item x="2"/>
        <item x="1"/>
        <item x="20"/>
        <item x="33"/>
        <item m="1" x="49"/>
        <item m="1" x="61"/>
        <item m="1" x="50"/>
        <item x="40"/>
        <item m="1" x="57"/>
        <item x="0"/>
        <item x="38"/>
        <item x="41"/>
        <item x="7"/>
        <item m="1" x="52"/>
        <item x="16"/>
        <item x="47"/>
        <item x="9"/>
        <item x="44"/>
        <item x="45"/>
        <item m="1" x="59"/>
        <item m="1" x="58"/>
        <item x="5"/>
        <item x="36"/>
        <item x="10"/>
        <item m="1" x="54"/>
        <item x="46"/>
        <item m="1" x="51"/>
        <item x="4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5" showAll="0"/>
    <pivotField showAll="0"/>
    <pivotField dataField="1" numFmtId="165" showAll="0"/>
  </pivotFields>
  <rowFields count="1">
    <field x="1"/>
  </rowFields>
  <rowItems count="50">
    <i>
      <x v="15"/>
    </i>
    <i>
      <x v="7"/>
    </i>
    <i>
      <x v="19"/>
    </i>
    <i>
      <x v="65"/>
    </i>
    <i>
      <x v="3"/>
    </i>
    <i>
      <x v="4"/>
    </i>
    <i>
      <x v="1"/>
    </i>
    <i>
      <x v="37"/>
    </i>
    <i>
      <x v="2"/>
    </i>
    <i>
      <x v="9"/>
    </i>
    <i>
      <x v="64"/>
    </i>
    <i>
      <x v="22"/>
    </i>
    <i>
      <x v="44"/>
    </i>
    <i>
      <x v="51"/>
    </i>
    <i>
      <x v="46"/>
    </i>
    <i>
      <x v="5"/>
    </i>
    <i>
      <x v="48"/>
    </i>
    <i>
      <x v="38"/>
    </i>
    <i>
      <x v="16"/>
    </i>
    <i>
      <x v="60"/>
    </i>
    <i>
      <x v="31"/>
    </i>
    <i>
      <x v="49"/>
    </i>
    <i>
      <x v="18"/>
    </i>
    <i>
      <x v="28"/>
    </i>
    <i>
      <x v="34"/>
    </i>
    <i>
      <x v="52"/>
    </i>
    <i>
      <x v="10"/>
    </i>
    <i>
      <x v="53"/>
    </i>
    <i>
      <x v="39"/>
    </i>
    <i>
      <x v="54"/>
    </i>
    <i>
      <x v="23"/>
    </i>
    <i>
      <x v="55"/>
    </i>
    <i>
      <x v="33"/>
    </i>
    <i>
      <x v="58"/>
    </i>
    <i>
      <x v="20"/>
    </i>
    <i>
      <x v="59"/>
    </i>
    <i>
      <x v="25"/>
    </i>
    <i>
      <x v="29"/>
    </i>
    <i>
      <x v="8"/>
    </i>
    <i>
      <x v="62"/>
    </i>
    <i>
      <x v="35"/>
    </i>
    <i>
      <x v="6"/>
    </i>
    <i>
      <x v="32"/>
    </i>
    <i>
      <x v="17"/>
    </i>
    <i>
      <x v="21"/>
    </i>
    <i>
      <x v="13"/>
    </i>
    <i>
      <x v="40"/>
    </i>
    <i>
      <x v="47"/>
    </i>
    <i>
      <x v="36"/>
    </i>
    <i t="grand">
      <x/>
    </i>
  </rowItems>
  <colFields count="1">
    <field x="-2"/>
  </colFields>
  <colItems count="2">
    <i>
      <x/>
    </i>
    <i i="1">
      <x v="1"/>
    </i>
  </colItems>
  <dataFields count="2">
    <dataField name="No. RT" fld="2" subtotal="product" baseField="1" baseItem="0"/>
    <dataField name="Sum of Total Harga" fld="6" baseField="0" baseItem="0" numFmtId="165"/>
  </dataFields>
  <formats count="8">
    <format dxfId="7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2">
      <pivotArea dataOnly="0" labelOnly="1" fieldPosition="0">
        <references count="1">
          <reference field="1" count="2">
            <x v="21"/>
            <x v="40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9.xml"/><Relationship Id="rId1" Type="http://schemas.openxmlformats.org/officeDocument/2006/relationships/pivotTable" Target="../pivotTables/pivot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B472-F8A7-424A-A069-4E266AC74AD6}">
  <sheetPr>
    <tabColor rgb="FFFF0000"/>
  </sheetPr>
  <dimension ref="A2:F108"/>
  <sheetViews>
    <sheetView topLeftCell="A44" zoomScale="66" zoomScaleNormal="80" workbookViewId="0">
      <selection activeCell="C51" sqref="C51"/>
    </sheetView>
  </sheetViews>
  <sheetFormatPr defaultRowHeight="14.5" x14ac:dyDescent="0.35"/>
  <cols>
    <col min="1" max="1" width="11.453125" style="61" customWidth="1"/>
    <col min="2" max="2" width="43.90625" customWidth="1"/>
    <col min="3" max="5" width="11.81640625" style="3" customWidth="1"/>
    <col min="6" max="6" width="24.08984375" customWidth="1"/>
  </cols>
  <sheetData>
    <row r="2" spans="1:6" x14ac:dyDescent="0.35">
      <c r="A2" s="62" t="s">
        <v>160</v>
      </c>
      <c r="B2" s="63" t="s">
        <v>159</v>
      </c>
      <c r="C2" s="64" t="s">
        <v>156</v>
      </c>
      <c r="D2" s="64" t="s">
        <v>157</v>
      </c>
      <c r="E2" s="64" t="s">
        <v>12</v>
      </c>
      <c r="F2" s="64" t="s">
        <v>155</v>
      </c>
    </row>
    <row r="3" spans="1:6" x14ac:dyDescent="0.35">
      <c r="A3" s="60"/>
      <c r="B3" t="s">
        <v>158</v>
      </c>
      <c r="C3" s="59"/>
      <c r="D3" s="59"/>
      <c r="E3" s="59">
        <v>0</v>
      </c>
    </row>
    <row r="4" spans="1:6" x14ac:dyDescent="0.35">
      <c r="A4" s="61">
        <v>45864</v>
      </c>
      <c r="B4" t="s">
        <v>168</v>
      </c>
      <c r="C4" s="3">
        <f>'12-7-2025'!V67</f>
        <v>748802.5</v>
      </c>
      <c r="E4" s="3">
        <f>IF(AND(C4="",D4=""),"",E3+C4-D4)</f>
        <v>748802.5</v>
      </c>
      <c r="F4" t="s">
        <v>206</v>
      </c>
    </row>
    <row r="5" spans="1:6" x14ac:dyDescent="0.35">
      <c r="A5" s="61">
        <v>45864</v>
      </c>
      <c r="B5" t="s">
        <v>166</v>
      </c>
      <c r="D5" s="89">
        <f>GETPIVOTDATA("Sum of Total Harga",'12-7-2025'!$J$2)</f>
        <v>633711</v>
      </c>
      <c r="E5" s="3">
        <f t="shared" ref="E5:E21" si="0">IF(AND(C5="",D5=""),"",E4+C5-D5)</f>
        <v>115091.5</v>
      </c>
      <c r="F5" t="s">
        <v>204</v>
      </c>
    </row>
    <row r="6" spans="1:6" x14ac:dyDescent="0.35">
      <c r="A6" s="61">
        <v>45864</v>
      </c>
      <c r="B6" t="s">
        <v>304</v>
      </c>
      <c r="D6" s="3">
        <v>74000</v>
      </c>
      <c r="E6" s="3">
        <f t="shared" si="0"/>
        <v>41091.5</v>
      </c>
      <c r="F6" t="s">
        <v>161</v>
      </c>
    </row>
    <row r="7" spans="1:6" x14ac:dyDescent="0.35">
      <c r="A7" s="61">
        <v>45864</v>
      </c>
      <c r="B7" t="s">
        <v>168</v>
      </c>
      <c r="C7" s="3">
        <f>'26-7-2025'!AB68</f>
        <v>60000</v>
      </c>
      <c r="E7" s="3">
        <f t="shared" si="0"/>
        <v>101091.5</v>
      </c>
      <c r="F7" t="s">
        <v>207</v>
      </c>
    </row>
    <row r="8" spans="1:6" x14ac:dyDescent="0.35">
      <c r="A8" s="61">
        <v>45864</v>
      </c>
      <c r="B8" t="s">
        <v>173</v>
      </c>
      <c r="D8" s="3">
        <v>10000</v>
      </c>
      <c r="E8" s="3">
        <f t="shared" si="0"/>
        <v>91091.5</v>
      </c>
      <c r="F8" t="s">
        <v>209</v>
      </c>
    </row>
    <row r="9" spans="1:6" x14ac:dyDescent="0.35">
      <c r="A9" s="61">
        <v>45864</v>
      </c>
      <c r="B9" t="s">
        <v>231</v>
      </c>
      <c r="D9" s="3">
        <v>58082</v>
      </c>
      <c r="E9" s="3">
        <f t="shared" si="0"/>
        <v>33009.5</v>
      </c>
    </row>
    <row r="10" spans="1:6" x14ac:dyDescent="0.35">
      <c r="A10" s="61">
        <v>45878</v>
      </c>
      <c r="B10" t="s">
        <v>168</v>
      </c>
      <c r="C10" s="3">
        <f>'26-7-2025'!V68</f>
        <v>663626.5</v>
      </c>
      <c r="E10" s="3">
        <f t="shared" si="0"/>
        <v>696636</v>
      </c>
      <c r="F10" t="s">
        <v>208</v>
      </c>
    </row>
    <row r="11" spans="1:6" x14ac:dyDescent="0.35">
      <c r="A11" s="61">
        <v>45878</v>
      </c>
      <c r="B11" t="s">
        <v>166</v>
      </c>
      <c r="D11" s="89">
        <f>GETPIVOTDATA("Sum of Total Harga",'26-7-2025'!$J$2)</f>
        <v>620721</v>
      </c>
      <c r="E11" s="3">
        <f t="shared" si="0"/>
        <v>75915</v>
      </c>
      <c r="F11" t="s">
        <v>205</v>
      </c>
    </row>
    <row r="12" spans="1:6" x14ac:dyDescent="0.35">
      <c r="A12" s="61">
        <v>45878</v>
      </c>
      <c r="B12" t="s">
        <v>304</v>
      </c>
      <c r="D12" s="3">
        <v>92000</v>
      </c>
      <c r="E12" s="3">
        <f t="shared" si="0"/>
        <v>-16085</v>
      </c>
      <c r="F12" t="s">
        <v>210</v>
      </c>
    </row>
    <row r="13" spans="1:6" x14ac:dyDescent="0.35">
      <c r="A13" s="61">
        <v>45878</v>
      </c>
      <c r="B13" t="s">
        <v>168</v>
      </c>
      <c r="C13" s="3">
        <f>'9-8-2025'!AB68</f>
        <v>282000</v>
      </c>
      <c r="E13" s="3">
        <f t="shared" si="0"/>
        <v>265915</v>
      </c>
      <c r="F13" t="s">
        <v>214</v>
      </c>
    </row>
    <row r="14" spans="1:6" x14ac:dyDescent="0.35">
      <c r="A14" s="61">
        <v>45878</v>
      </c>
      <c r="B14" t="s">
        <v>276</v>
      </c>
      <c r="C14" s="3">
        <v>28245</v>
      </c>
      <c r="E14" s="3">
        <f t="shared" si="0"/>
        <v>294160</v>
      </c>
    </row>
    <row r="15" spans="1:6" x14ac:dyDescent="0.35">
      <c r="A15" s="61">
        <v>45892</v>
      </c>
      <c r="B15" t="s">
        <v>168</v>
      </c>
      <c r="C15" s="3">
        <f>'9-8-2025'!V68</f>
        <v>622167.5</v>
      </c>
      <c r="E15" s="3">
        <f t="shared" si="0"/>
        <v>916327.5</v>
      </c>
      <c r="F15" t="s">
        <v>213</v>
      </c>
    </row>
    <row r="16" spans="1:6" x14ac:dyDescent="0.35">
      <c r="A16" s="61">
        <v>45892</v>
      </c>
      <c r="B16" t="s">
        <v>166</v>
      </c>
      <c r="D16" s="89">
        <f>GETPIVOTDATA("Sum of Total Harga",'9-8-2025'!$J$2)</f>
        <v>644175</v>
      </c>
      <c r="E16" s="3">
        <f t="shared" si="0"/>
        <v>272152.5</v>
      </c>
      <c r="F16" t="s">
        <v>212</v>
      </c>
    </row>
    <row r="17" spans="1:6" x14ac:dyDescent="0.35">
      <c r="A17" s="61">
        <v>45892</v>
      </c>
      <c r="B17" t="s">
        <v>304</v>
      </c>
      <c r="D17" s="3">
        <v>43000</v>
      </c>
      <c r="E17" s="3">
        <f t="shared" si="0"/>
        <v>229152.5</v>
      </c>
      <c r="F17" t="s">
        <v>222</v>
      </c>
    </row>
    <row r="18" spans="1:6" x14ac:dyDescent="0.35">
      <c r="A18" s="61">
        <v>45892</v>
      </c>
      <c r="B18" t="s">
        <v>304</v>
      </c>
      <c r="D18" s="3">
        <v>4000</v>
      </c>
      <c r="E18" s="3">
        <f t="shared" si="0"/>
        <v>225152.5</v>
      </c>
      <c r="F18" t="s">
        <v>223</v>
      </c>
    </row>
    <row r="19" spans="1:6" x14ac:dyDescent="0.35">
      <c r="A19" s="61">
        <v>45892</v>
      </c>
      <c r="B19" t="s">
        <v>168</v>
      </c>
      <c r="C19" s="3">
        <f>'23-8-2025'!X68</f>
        <v>193700</v>
      </c>
      <c r="E19" s="3">
        <f t="shared" si="0"/>
        <v>418852.5</v>
      </c>
      <c r="F19" t="s">
        <v>224</v>
      </c>
    </row>
    <row r="20" spans="1:6" x14ac:dyDescent="0.35">
      <c r="A20" s="61">
        <v>45892</v>
      </c>
      <c r="B20" t="s">
        <v>168</v>
      </c>
      <c r="C20" s="3">
        <f>'23-8-2025'!R68</f>
        <v>550750</v>
      </c>
      <c r="E20" s="3">
        <f t="shared" si="0"/>
        <v>969602.5</v>
      </c>
      <c r="F20" t="s">
        <v>225</v>
      </c>
    </row>
    <row r="21" spans="1:6" x14ac:dyDescent="0.35">
      <c r="A21" s="61">
        <v>45892</v>
      </c>
      <c r="B21" t="s">
        <v>166</v>
      </c>
      <c r="D21" s="89">
        <f>GETPIVOTDATA("Sum of Total Harga",'23-8-2025'!$J$2)</f>
        <v>615287.5</v>
      </c>
      <c r="E21" s="3">
        <f t="shared" si="0"/>
        <v>354315</v>
      </c>
      <c r="F21" t="s">
        <v>226</v>
      </c>
    </row>
    <row r="22" spans="1:6" x14ac:dyDescent="0.35">
      <c r="A22" s="61">
        <v>45892</v>
      </c>
      <c r="B22" t="s">
        <v>276</v>
      </c>
      <c r="C22" s="3">
        <v>13000</v>
      </c>
      <c r="E22" s="3">
        <f>IF(AND(C22="",D22=""),"",E21+C22-D22)</f>
        <v>367315</v>
      </c>
    </row>
    <row r="23" spans="1:6" x14ac:dyDescent="0.35">
      <c r="A23" s="61">
        <v>45893</v>
      </c>
      <c r="B23" t="s">
        <v>230</v>
      </c>
      <c r="C23" s="3">
        <v>100000</v>
      </c>
      <c r="E23" s="3">
        <f t="shared" ref="E23:E36" si="1">IF(AND(C23="",D23=""),"",E22+C23-D23)</f>
        <v>467315</v>
      </c>
      <c r="F23" t="s">
        <v>232</v>
      </c>
    </row>
    <row r="24" spans="1:6" x14ac:dyDescent="0.35">
      <c r="A24" s="61">
        <v>45907</v>
      </c>
      <c r="B24" t="s">
        <v>304</v>
      </c>
      <c r="D24" s="3">
        <f>35000</f>
        <v>35000</v>
      </c>
      <c r="E24" s="3">
        <f t="shared" si="1"/>
        <v>432315</v>
      </c>
      <c r="F24" t="s">
        <v>246</v>
      </c>
    </row>
    <row r="25" spans="1:6" x14ac:dyDescent="0.35">
      <c r="A25" s="61">
        <v>45907</v>
      </c>
      <c r="B25" t="s">
        <v>256</v>
      </c>
      <c r="D25" s="3">
        <v>54000</v>
      </c>
      <c r="E25" s="3">
        <f t="shared" si="1"/>
        <v>378315</v>
      </c>
      <c r="F25" t="s">
        <v>258</v>
      </c>
    </row>
    <row r="26" spans="1:6" x14ac:dyDescent="0.35">
      <c r="A26" s="61">
        <v>45907</v>
      </c>
      <c r="B26" t="s">
        <v>168</v>
      </c>
      <c r="C26" s="3">
        <f>'7-9-2025'!R68</f>
        <v>706727.5</v>
      </c>
      <c r="E26" s="3">
        <f t="shared" si="1"/>
        <v>1085042.5</v>
      </c>
      <c r="F26" t="s">
        <v>247</v>
      </c>
    </row>
    <row r="27" spans="1:6" x14ac:dyDescent="0.35">
      <c r="A27" s="61">
        <v>45907</v>
      </c>
      <c r="B27" t="s">
        <v>166</v>
      </c>
      <c r="D27" s="89">
        <f>GETPIVOTDATA("Sum of Total Harga",'7-9-2025'!$J$2)</f>
        <v>606410</v>
      </c>
      <c r="E27" s="3">
        <f t="shared" si="1"/>
        <v>478632.5</v>
      </c>
      <c r="F27" t="s">
        <v>248</v>
      </c>
    </row>
    <row r="28" spans="1:6" x14ac:dyDescent="0.35">
      <c r="A28" s="61">
        <v>45907</v>
      </c>
      <c r="B28" t="s">
        <v>276</v>
      </c>
      <c r="C28" s="3">
        <v>15940</v>
      </c>
      <c r="E28" s="3">
        <f t="shared" si="1"/>
        <v>494572.5</v>
      </c>
    </row>
    <row r="29" spans="1:6" x14ac:dyDescent="0.35">
      <c r="A29" s="61">
        <v>45921</v>
      </c>
      <c r="B29" t="s">
        <v>304</v>
      </c>
      <c r="D29" s="3">
        <v>30000</v>
      </c>
      <c r="E29" s="3">
        <f t="shared" si="1"/>
        <v>464572.5</v>
      </c>
      <c r="F29" t="s">
        <v>267</v>
      </c>
    </row>
    <row r="30" spans="1:6" x14ac:dyDescent="0.35">
      <c r="A30" s="61">
        <v>45921</v>
      </c>
      <c r="B30" t="s">
        <v>304</v>
      </c>
      <c r="D30" s="3">
        <v>60000</v>
      </c>
      <c r="E30" s="3">
        <f t="shared" si="1"/>
        <v>404572.5</v>
      </c>
      <c r="F30" t="s">
        <v>268</v>
      </c>
    </row>
    <row r="31" spans="1:6" x14ac:dyDescent="0.35">
      <c r="A31" s="61">
        <v>45921</v>
      </c>
      <c r="B31" t="s">
        <v>168</v>
      </c>
      <c r="C31" s="3">
        <f>'21-9-2025'!X67</f>
        <v>115080</v>
      </c>
      <c r="E31" s="3">
        <f t="shared" si="1"/>
        <v>519652.5</v>
      </c>
      <c r="F31" t="s">
        <v>269</v>
      </c>
    </row>
    <row r="32" spans="1:6" x14ac:dyDescent="0.35">
      <c r="A32" s="61">
        <v>45921</v>
      </c>
      <c r="B32" t="s">
        <v>168</v>
      </c>
      <c r="C32" s="3">
        <f>'21-9-2025'!R67</f>
        <v>607945</v>
      </c>
      <c r="E32" s="3">
        <f t="shared" si="1"/>
        <v>1127597.5</v>
      </c>
      <c r="F32" t="s">
        <v>270</v>
      </c>
    </row>
    <row r="33" spans="1:6" x14ac:dyDescent="0.35">
      <c r="A33" s="61">
        <v>45921</v>
      </c>
      <c r="B33" t="s">
        <v>166</v>
      </c>
      <c r="D33" s="89">
        <f>GETPIVOTDATA("Sum of Total Harga",'21-9-2025'!$J$2)</f>
        <v>639949.5</v>
      </c>
      <c r="E33" s="3">
        <f t="shared" si="1"/>
        <v>487648</v>
      </c>
      <c r="F33" t="s">
        <v>271</v>
      </c>
    </row>
    <row r="34" spans="1:6" x14ac:dyDescent="0.35">
      <c r="A34" s="61">
        <v>45921</v>
      </c>
      <c r="B34" t="s">
        <v>276</v>
      </c>
      <c r="C34" s="3">
        <v>45602.5</v>
      </c>
      <c r="E34" s="3">
        <f t="shared" si="1"/>
        <v>533250.5</v>
      </c>
    </row>
    <row r="35" spans="1:6" x14ac:dyDescent="0.35">
      <c r="A35" s="61">
        <v>45937</v>
      </c>
      <c r="B35" t="s">
        <v>272</v>
      </c>
      <c r="C35" s="3">
        <v>200000</v>
      </c>
      <c r="E35" s="3">
        <f t="shared" si="1"/>
        <v>733250.5</v>
      </c>
    </row>
    <row r="36" spans="1:6" x14ac:dyDescent="0.35">
      <c r="A36" s="61">
        <v>45949</v>
      </c>
      <c r="B36" t="s">
        <v>282</v>
      </c>
      <c r="D36" s="3">
        <v>12000</v>
      </c>
      <c r="E36" s="3">
        <f t="shared" si="1"/>
        <v>721250.5</v>
      </c>
    </row>
    <row r="37" spans="1:6" x14ac:dyDescent="0.35">
      <c r="A37" s="61">
        <v>45953</v>
      </c>
      <c r="B37" t="s">
        <v>292</v>
      </c>
      <c r="D37" s="3">
        <v>44600</v>
      </c>
      <c r="E37" s="3">
        <f t="shared" ref="E37:E69" si="2">IF(AND(C37="",D37=""),"",E36+C37-D37)</f>
        <v>676650.5</v>
      </c>
    </row>
    <row r="38" spans="1:6" x14ac:dyDescent="0.35">
      <c r="A38" s="61">
        <v>45962</v>
      </c>
      <c r="B38" t="s">
        <v>300</v>
      </c>
      <c r="D38" s="3">
        <v>20000</v>
      </c>
      <c r="E38" s="3">
        <f t="shared" si="2"/>
        <v>656650.5</v>
      </c>
    </row>
    <row r="39" spans="1:6" x14ac:dyDescent="0.35">
      <c r="A39" s="61">
        <v>45962</v>
      </c>
      <c r="B39" t="s">
        <v>304</v>
      </c>
      <c r="D39" s="3">
        <f>75000+25000</f>
        <v>100000</v>
      </c>
      <c r="E39" s="3">
        <f t="shared" si="2"/>
        <v>556650.5</v>
      </c>
      <c r="F39" t="s">
        <v>324</v>
      </c>
    </row>
    <row r="40" spans="1:6" x14ac:dyDescent="0.35">
      <c r="A40" s="61">
        <v>45962</v>
      </c>
      <c r="B40" t="s">
        <v>303</v>
      </c>
      <c r="D40" s="3">
        <v>3000</v>
      </c>
      <c r="E40" s="3">
        <f t="shared" si="2"/>
        <v>553650.5</v>
      </c>
    </row>
    <row r="41" spans="1:6" x14ac:dyDescent="0.35">
      <c r="A41" s="61">
        <v>45962</v>
      </c>
      <c r="B41" t="s">
        <v>168</v>
      </c>
      <c r="C41" s="3">
        <f>'1-11-25'!X68</f>
        <v>282000</v>
      </c>
      <c r="E41" s="3">
        <f t="shared" si="2"/>
        <v>835650.5</v>
      </c>
      <c r="F41" t="s">
        <v>306</v>
      </c>
    </row>
    <row r="42" spans="1:6" x14ac:dyDescent="0.35">
      <c r="A42" s="61">
        <v>45962</v>
      </c>
      <c r="B42" t="s">
        <v>168</v>
      </c>
      <c r="C42" s="3">
        <f>'1-11-25'!R68</f>
        <v>633113.5</v>
      </c>
      <c r="E42" s="3">
        <f t="shared" si="2"/>
        <v>1468764</v>
      </c>
      <c r="F42" t="s">
        <v>307</v>
      </c>
    </row>
    <row r="43" spans="1:6" x14ac:dyDescent="0.35">
      <c r="A43" s="61">
        <v>45962</v>
      </c>
      <c r="B43" t="s">
        <v>166</v>
      </c>
      <c r="D43" s="80">
        <f>GETPIVOTDATA("Sum of Total Harga",'1-11-25'!$J$2)</f>
        <v>560888.5</v>
      </c>
      <c r="E43" s="3">
        <f t="shared" si="2"/>
        <v>907875.5</v>
      </c>
      <c r="F43" t="s">
        <v>308</v>
      </c>
    </row>
    <row r="44" spans="1:6" x14ac:dyDescent="0.35">
      <c r="A44" s="61">
        <v>45962</v>
      </c>
      <c r="B44" t="s">
        <v>305</v>
      </c>
      <c r="C44" s="3">
        <f>(43*3000)-1000</f>
        <v>128000</v>
      </c>
      <c r="E44" s="3">
        <f t="shared" si="2"/>
        <v>1035875.5</v>
      </c>
    </row>
    <row r="45" spans="1:6" x14ac:dyDescent="0.35">
      <c r="A45" s="61">
        <v>45976</v>
      </c>
      <c r="B45" t="s">
        <v>304</v>
      </c>
      <c r="D45" s="3">
        <v>30000</v>
      </c>
      <c r="E45" s="3">
        <f t="shared" si="2"/>
        <v>1005875.5</v>
      </c>
    </row>
    <row r="46" spans="1:6" x14ac:dyDescent="0.35">
      <c r="A46" s="61">
        <v>45976</v>
      </c>
      <c r="B46" t="s">
        <v>304</v>
      </c>
      <c r="D46" s="3">
        <f>13000*2</f>
        <v>26000</v>
      </c>
      <c r="E46" s="3">
        <f t="shared" si="2"/>
        <v>979875.5</v>
      </c>
    </row>
    <row r="47" spans="1:6" x14ac:dyDescent="0.35">
      <c r="A47" s="61">
        <v>45976</v>
      </c>
      <c r="B47" t="s">
        <v>228</v>
      </c>
      <c r="C47" s="3">
        <f>'15-11-25'!J51</f>
        <v>313736</v>
      </c>
      <c r="E47" s="3">
        <f t="shared" si="2"/>
        <v>1293611.5</v>
      </c>
    </row>
    <row r="48" spans="1:6" x14ac:dyDescent="0.35">
      <c r="A48" s="61">
        <v>45976</v>
      </c>
      <c r="B48" t="s">
        <v>304</v>
      </c>
      <c r="D48" s="3">
        <v>60000</v>
      </c>
      <c r="E48" s="3">
        <f t="shared" si="2"/>
        <v>1233611.5</v>
      </c>
      <c r="F48" t="s">
        <v>332</v>
      </c>
    </row>
    <row r="49" spans="1:6" x14ac:dyDescent="0.35">
      <c r="A49" s="61">
        <v>45977</v>
      </c>
      <c r="B49" t="s">
        <v>333</v>
      </c>
      <c r="D49" s="3">
        <v>25000</v>
      </c>
      <c r="E49" s="3">
        <f t="shared" si="2"/>
        <v>1208611.5</v>
      </c>
    </row>
    <row r="50" spans="1:6" x14ac:dyDescent="0.35">
      <c r="A50" s="61">
        <v>46004</v>
      </c>
      <c r="B50" t="s">
        <v>304</v>
      </c>
      <c r="D50" s="3">
        <f>226000-33000</f>
        <v>193000</v>
      </c>
      <c r="E50" s="3">
        <f t="shared" si="2"/>
        <v>1015611.5</v>
      </c>
      <c r="F50" t="s">
        <v>336</v>
      </c>
    </row>
    <row r="51" spans="1:6" x14ac:dyDescent="0.35">
      <c r="A51" s="61">
        <v>46004</v>
      </c>
      <c r="B51" t="s">
        <v>168</v>
      </c>
      <c r="C51" s="3">
        <f>81000+54000</f>
        <v>135000</v>
      </c>
      <c r="E51" s="3">
        <f t="shared" si="2"/>
        <v>1150611.5</v>
      </c>
      <c r="F51" t="s">
        <v>337</v>
      </c>
    </row>
    <row r="52" spans="1:6" x14ac:dyDescent="0.35">
      <c r="A52" s="61">
        <v>46004</v>
      </c>
      <c r="B52" t="s">
        <v>339</v>
      </c>
      <c r="D52" s="3">
        <v>24000</v>
      </c>
      <c r="E52" s="3">
        <f t="shared" si="2"/>
        <v>1126611.5</v>
      </c>
      <c r="F52" t="s">
        <v>340</v>
      </c>
    </row>
    <row r="53" spans="1:6" x14ac:dyDescent="0.35">
      <c r="A53" s="61">
        <v>46004</v>
      </c>
      <c r="B53" t="s">
        <v>341</v>
      </c>
      <c r="D53" s="3">
        <v>5000</v>
      </c>
      <c r="E53" s="3">
        <f t="shared" si="2"/>
        <v>1121611.5</v>
      </c>
    </row>
    <row r="54" spans="1:6" x14ac:dyDescent="0.35">
      <c r="A54" s="61">
        <v>46004</v>
      </c>
      <c r="B54" t="s">
        <v>343</v>
      </c>
      <c r="C54" s="3">
        <v>110000</v>
      </c>
      <c r="E54" s="3">
        <f t="shared" si="2"/>
        <v>1231611.5</v>
      </c>
    </row>
    <row r="55" spans="1:6" x14ac:dyDescent="0.35">
      <c r="A55" s="61">
        <v>46009</v>
      </c>
      <c r="B55" t="s">
        <v>343</v>
      </c>
      <c r="C55" s="3">
        <v>60000</v>
      </c>
      <c r="E55" s="3">
        <f t="shared" si="2"/>
        <v>1291611.5</v>
      </c>
    </row>
    <row r="56" spans="1:6" x14ac:dyDescent="0.35">
      <c r="A56" s="61">
        <v>46017</v>
      </c>
      <c r="B56" t="s">
        <v>343</v>
      </c>
      <c r="C56" s="3">
        <v>30000</v>
      </c>
      <c r="E56" s="3">
        <f t="shared" si="2"/>
        <v>1321611.5</v>
      </c>
    </row>
    <row r="57" spans="1:6" x14ac:dyDescent="0.35">
      <c r="A57" s="61">
        <v>46025</v>
      </c>
      <c r="B57" t="s">
        <v>304</v>
      </c>
      <c r="D57" s="3">
        <v>230000</v>
      </c>
      <c r="E57" s="3">
        <f t="shared" si="2"/>
        <v>1091611.5</v>
      </c>
    </row>
    <row r="58" spans="1:6" x14ac:dyDescent="0.35">
      <c r="A58" s="61">
        <v>46025</v>
      </c>
      <c r="B58" t="s">
        <v>304</v>
      </c>
      <c r="D58" s="3">
        <v>20000</v>
      </c>
      <c r="E58" s="3">
        <f t="shared" si="2"/>
        <v>1071611.5</v>
      </c>
    </row>
    <row r="59" spans="1:6" x14ac:dyDescent="0.35">
      <c r="A59" s="61">
        <v>46025</v>
      </c>
      <c r="B59" t="s">
        <v>349</v>
      </c>
      <c r="D59" s="3">
        <v>11000</v>
      </c>
      <c r="E59" s="3">
        <f t="shared" si="2"/>
        <v>1060611.5</v>
      </c>
    </row>
    <row r="60" spans="1:6" x14ac:dyDescent="0.35">
      <c r="A60" s="61">
        <v>46025</v>
      </c>
      <c r="B60" t="s">
        <v>354</v>
      </c>
      <c r="D60" s="3">
        <v>35000</v>
      </c>
      <c r="E60" s="3">
        <f t="shared" si="2"/>
        <v>1025611.5</v>
      </c>
    </row>
    <row r="61" spans="1:6" x14ac:dyDescent="0.35">
      <c r="A61" s="61">
        <v>46039</v>
      </c>
      <c r="B61" t="s">
        <v>353</v>
      </c>
      <c r="D61" s="3">
        <v>20000</v>
      </c>
      <c r="E61" s="3">
        <f t="shared" si="2"/>
        <v>1005611.5</v>
      </c>
    </row>
    <row r="62" spans="1:6" x14ac:dyDescent="0.35">
      <c r="A62" s="61">
        <v>46039</v>
      </c>
      <c r="B62" t="s">
        <v>355</v>
      </c>
      <c r="D62" s="3">
        <v>154000</v>
      </c>
      <c r="E62" s="3">
        <f t="shared" si="2"/>
        <v>851611.5</v>
      </c>
    </row>
    <row r="63" spans="1:6" x14ac:dyDescent="0.35">
      <c r="A63" s="61">
        <v>46047</v>
      </c>
      <c r="B63" t="s">
        <v>356</v>
      </c>
      <c r="D63" s="3">
        <v>61000</v>
      </c>
      <c r="E63" s="3">
        <f t="shared" si="2"/>
        <v>790611.5</v>
      </c>
    </row>
    <row r="64" spans="1:6" x14ac:dyDescent="0.35">
      <c r="E64" s="3" t="str">
        <f t="shared" si="2"/>
        <v/>
      </c>
    </row>
    <row r="65" spans="5:5" x14ac:dyDescent="0.35">
      <c r="E65" s="3" t="str">
        <f t="shared" si="2"/>
        <v/>
      </c>
    </row>
    <row r="66" spans="5:5" x14ac:dyDescent="0.35">
      <c r="E66" s="3" t="str">
        <f t="shared" si="2"/>
        <v/>
      </c>
    </row>
    <row r="67" spans="5:5" x14ac:dyDescent="0.35">
      <c r="E67" s="3" t="str">
        <f t="shared" si="2"/>
        <v/>
      </c>
    </row>
    <row r="68" spans="5:5" x14ac:dyDescent="0.35">
      <c r="E68" s="3" t="str">
        <f t="shared" si="2"/>
        <v/>
      </c>
    </row>
    <row r="69" spans="5:5" x14ac:dyDescent="0.35">
      <c r="E69" s="3" t="str">
        <f t="shared" si="2"/>
        <v/>
      </c>
    </row>
    <row r="70" spans="5:5" x14ac:dyDescent="0.35">
      <c r="E70" s="3" t="str">
        <f t="shared" ref="E70:E101" si="3">IF(AND(C70="",D70=""),"",E69+C70-D70)</f>
        <v/>
      </c>
    </row>
    <row r="71" spans="5:5" x14ac:dyDescent="0.35">
      <c r="E71" s="3" t="str">
        <f t="shared" si="3"/>
        <v/>
      </c>
    </row>
    <row r="72" spans="5:5" x14ac:dyDescent="0.35">
      <c r="E72" s="3" t="str">
        <f t="shared" si="3"/>
        <v/>
      </c>
    </row>
    <row r="73" spans="5:5" x14ac:dyDescent="0.35">
      <c r="E73" s="3" t="str">
        <f t="shared" si="3"/>
        <v/>
      </c>
    </row>
    <row r="74" spans="5:5" x14ac:dyDescent="0.35">
      <c r="E74" s="3" t="str">
        <f t="shared" si="3"/>
        <v/>
      </c>
    </row>
    <row r="75" spans="5:5" x14ac:dyDescent="0.35">
      <c r="E75" s="3" t="str">
        <f t="shared" si="3"/>
        <v/>
      </c>
    </row>
    <row r="76" spans="5:5" x14ac:dyDescent="0.35">
      <c r="E76" s="3" t="str">
        <f t="shared" si="3"/>
        <v/>
      </c>
    </row>
    <row r="77" spans="5:5" x14ac:dyDescent="0.35">
      <c r="E77" s="3" t="str">
        <f t="shared" si="3"/>
        <v/>
      </c>
    </row>
    <row r="78" spans="5:5" x14ac:dyDescent="0.35">
      <c r="E78" s="3" t="str">
        <f t="shared" si="3"/>
        <v/>
      </c>
    </row>
    <row r="79" spans="5:5" x14ac:dyDescent="0.35">
      <c r="E79" s="3" t="str">
        <f t="shared" si="3"/>
        <v/>
      </c>
    </row>
    <row r="80" spans="5:5" x14ac:dyDescent="0.35">
      <c r="E80" s="3" t="str">
        <f t="shared" si="3"/>
        <v/>
      </c>
    </row>
    <row r="81" spans="5:5" x14ac:dyDescent="0.35">
      <c r="E81" s="3" t="str">
        <f t="shared" si="3"/>
        <v/>
      </c>
    </row>
    <row r="82" spans="5:5" x14ac:dyDescent="0.35">
      <c r="E82" s="3" t="str">
        <f t="shared" si="3"/>
        <v/>
      </c>
    </row>
    <row r="83" spans="5:5" x14ac:dyDescent="0.35">
      <c r="E83" s="3" t="str">
        <f t="shared" si="3"/>
        <v/>
      </c>
    </row>
    <row r="84" spans="5:5" x14ac:dyDescent="0.35">
      <c r="E84" s="3" t="str">
        <f t="shared" si="3"/>
        <v/>
      </c>
    </row>
    <row r="85" spans="5:5" x14ac:dyDescent="0.35">
      <c r="E85" s="3" t="str">
        <f t="shared" si="3"/>
        <v/>
      </c>
    </row>
    <row r="86" spans="5:5" x14ac:dyDescent="0.35">
      <c r="E86" s="3" t="str">
        <f t="shared" si="3"/>
        <v/>
      </c>
    </row>
    <row r="87" spans="5:5" x14ac:dyDescent="0.35">
      <c r="E87" s="3" t="str">
        <f t="shared" si="3"/>
        <v/>
      </c>
    </row>
    <row r="88" spans="5:5" x14ac:dyDescent="0.35">
      <c r="E88" s="3" t="str">
        <f t="shared" si="3"/>
        <v/>
      </c>
    </row>
    <row r="89" spans="5:5" x14ac:dyDescent="0.35">
      <c r="E89" s="3" t="str">
        <f t="shared" si="3"/>
        <v/>
      </c>
    </row>
    <row r="90" spans="5:5" x14ac:dyDescent="0.35">
      <c r="E90" s="3" t="str">
        <f t="shared" si="3"/>
        <v/>
      </c>
    </row>
    <row r="91" spans="5:5" x14ac:dyDescent="0.35">
      <c r="E91" s="3" t="str">
        <f t="shared" si="3"/>
        <v/>
      </c>
    </row>
    <row r="92" spans="5:5" x14ac:dyDescent="0.35">
      <c r="E92" s="3" t="str">
        <f t="shared" si="3"/>
        <v/>
      </c>
    </row>
    <row r="93" spans="5:5" x14ac:dyDescent="0.35">
      <c r="E93" s="3" t="str">
        <f t="shared" si="3"/>
        <v/>
      </c>
    </row>
    <row r="94" spans="5:5" x14ac:dyDescent="0.35">
      <c r="E94" s="3" t="str">
        <f t="shared" si="3"/>
        <v/>
      </c>
    </row>
    <row r="95" spans="5:5" x14ac:dyDescent="0.35">
      <c r="E95" s="3" t="str">
        <f t="shared" si="3"/>
        <v/>
      </c>
    </row>
    <row r="96" spans="5:5" x14ac:dyDescent="0.35">
      <c r="E96" s="3" t="str">
        <f t="shared" si="3"/>
        <v/>
      </c>
    </row>
    <row r="97" spans="5:5" x14ac:dyDescent="0.35">
      <c r="E97" s="3" t="str">
        <f t="shared" si="3"/>
        <v/>
      </c>
    </row>
    <row r="98" spans="5:5" x14ac:dyDescent="0.35">
      <c r="E98" s="3" t="str">
        <f t="shared" si="3"/>
        <v/>
      </c>
    </row>
    <row r="99" spans="5:5" x14ac:dyDescent="0.35">
      <c r="E99" s="3" t="str">
        <f t="shared" si="3"/>
        <v/>
      </c>
    </row>
    <row r="100" spans="5:5" x14ac:dyDescent="0.35">
      <c r="E100" s="3" t="str">
        <f t="shared" si="3"/>
        <v/>
      </c>
    </row>
    <row r="101" spans="5:5" x14ac:dyDescent="0.35">
      <c r="E101" s="3" t="str">
        <f t="shared" si="3"/>
        <v/>
      </c>
    </row>
    <row r="102" spans="5:5" x14ac:dyDescent="0.35">
      <c r="E102" s="3" t="str">
        <f t="shared" ref="E102:E108" si="4">IF(AND(C102="",D102=""),"",E101+C102-D102)</f>
        <v/>
      </c>
    </row>
    <row r="103" spans="5:5" x14ac:dyDescent="0.35">
      <c r="E103" s="3" t="str">
        <f t="shared" si="4"/>
        <v/>
      </c>
    </row>
    <row r="104" spans="5:5" x14ac:dyDescent="0.35">
      <c r="E104" s="3" t="str">
        <f t="shared" si="4"/>
        <v/>
      </c>
    </row>
    <row r="105" spans="5:5" x14ac:dyDescent="0.35">
      <c r="E105" s="3" t="str">
        <f t="shared" si="4"/>
        <v/>
      </c>
    </row>
    <row r="106" spans="5:5" x14ac:dyDescent="0.35">
      <c r="E106" s="3" t="str">
        <f t="shared" si="4"/>
        <v/>
      </c>
    </row>
    <row r="107" spans="5:5" x14ac:dyDescent="0.35">
      <c r="E107" s="3" t="str">
        <f t="shared" si="4"/>
        <v/>
      </c>
    </row>
    <row r="108" spans="5:5" x14ac:dyDescent="0.35">
      <c r="E108" s="3" t="str">
        <f t="shared" si="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16D9-7424-4113-A087-87C042191368}">
  <dimension ref="A3:I114"/>
  <sheetViews>
    <sheetView view="pageBreakPreview" zoomScale="60" zoomScaleNormal="81" workbookViewId="0">
      <selection activeCell="I114" sqref="I114"/>
    </sheetView>
  </sheetViews>
  <sheetFormatPr defaultRowHeight="14.5" x14ac:dyDescent="0.35"/>
  <cols>
    <col min="1" max="1" width="8.7265625" style="1"/>
    <col min="2" max="2" width="16.1796875" bestFit="1" customWidth="1"/>
    <col min="3" max="3" width="10.6328125" bestFit="1" customWidth="1"/>
    <col min="4" max="4" width="13.1796875" bestFit="1" customWidth="1"/>
    <col min="5" max="5" width="10.54296875" bestFit="1" customWidth="1"/>
    <col min="8" max="8" width="13.1796875" bestFit="1" customWidth="1"/>
    <col min="9" max="9" width="23.7265625" bestFit="1" customWidth="1"/>
  </cols>
  <sheetData>
    <row r="3" spans="1:9" x14ac:dyDescent="0.35">
      <c r="A3" s="103" t="s">
        <v>320</v>
      </c>
      <c r="B3" s="103"/>
      <c r="C3" s="103"/>
      <c r="D3" s="103"/>
      <c r="E3" s="103"/>
      <c r="F3" s="103"/>
      <c r="G3" s="103"/>
      <c r="H3" s="103"/>
      <c r="I3" s="103"/>
    </row>
    <row r="4" spans="1:9" x14ac:dyDescent="0.35">
      <c r="A4" s="103" t="s">
        <v>321</v>
      </c>
      <c r="B4" s="103"/>
      <c r="C4" s="103"/>
      <c r="D4" s="103"/>
      <c r="E4" s="103"/>
      <c r="F4" s="103"/>
      <c r="G4" s="103"/>
      <c r="H4" s="103"/>
      <c r="I4" s="103"/>
    </row>
    <row r="5" spans="1:9" x14ac:dyDescent="0.35">
      <c r="A5" s="103" t="s">
        <v>322</v>
      </c>
      <c r="B5" s="103"/>
      <c r="C5" s="103"/>
      <c r="D5" s="103"/>
      <c r="E5" s="103"/>
      <c r="F5" s="103"/>
      <c r="G5" s="103"/>
      <c r="H5" s="103"/>
      <c r="I5" s="103"/>
    </row>
    <row r="6" spans="1:9" x14ac:dyDescent="0.35">
      <c r="A6" s="56" t="s">
        <v>8</v>
      </c>
      <c r="B6" s="56" t="s">
        <v>2</v>
      </c>
      <c r="C6" s="56" t="s">
        <v>315</v>
      </c>
      <c r="D6" s="56" t="s">
        <v>309</v>
      </c>
      <c r="E6" s="56" t="s">
        <v>310</v>
      </c>
      <c r="F6" s="56" t="s">
        <v>311</v>
      </c>
      <c r="G6" s="56" t="s">
        <v>312</v>
      </c>
      <c r="H6" s="56" t="s">
        <v>314</v>
      </c>
      <c r="I6" s="56" t="s">
        <v>313</v>
      </c>
    </row>
    <row r="7" spans="1:9" x14ac:dyDescent="0.35">
      <c r="A7" s="44">
        <v>1</v>
      </c>
      <c r="B7" s="17" t="s">
        <v>83</v>
      </c>
      <c r="C7" s="44">
        <v>1</v>
      </c>
      <c r="D7" s="41" t="s">
        <v>317</v>
      </c>
      <c r="E7" s="17" t="s">
        <v>323</v>
      </c>
      <c r="F7" s="17" t="s">
        <v>316</v>
      </c>
      <c r="G7" s="17">
        <v>15810</v>
      </c>
      <c r="H7" s="41" t="s">
        <v>318</v>
      </c>
      <c r="I7" s="17" t="s">
        <v>319</v>
      </c>
    </row>
    <row r="8" spans="1:9" x14ac:dyDescent="0.35">
      <c r="A8" s="44">
        <v>2</v>
      </c>
      <c r="B8" s="17" t="s">
        <v>217</v>
      </c>
      <c r="C8" s="44">
        <v>1</v>
      </c>
      <c r="D8" s="41" t="s">
        <v>317</v>
      </c>
      <c r="E8" s="17" t="s">
        <v>323</v>
      </c>
      <c r="F8" s="17" t="s">
        <v>316</v>
      </c>
      <c r="G8" s="17">
        <v>15810</v>
      </c>
      <c r="H8" s="41" t="s">
        <v>318</v>
      </c>
      <c r="I8" s="17" t="s">
        <v>319</v>
      </c>
    </row>
    <row r="9" spans="1:9" x14ac:dyDescent="0.35">
      <c r="A9" s="44">
        <v>3</v>
      </c>
      <c r="B9" s="17" t="s">
        <v>103</v>
      </c>
      <c r="C9" s="44">
        <v>1</v>
      </c>
      <c r="D9" s="41" t="s">
        <v>317</v>
      </c>
      <c r="E9" s="17" t="s">
        <v>323</v>
      </c>
      <c r="F9" s="17" t="s">
        <v>316</v>
      </c>
      <c r="G9" s="17">
        <v>15810</v>
      </c>
      <c r="H9" s="41" t="s">
        <v>318</v>
      </c>
      <c r="I9" s="17" t="s">
        <v>319</v>
      </c>
    </row>
    <row r="10" spans="1:9" x14ac:dyDescent="0.35">
      <c r="A10" s="44">
        <v>4</v>
      </c>
      <c r="B10" s="17" t="s">
        <v>194</v>
      </c>
      <c r="C10" s="44">
        <v>1</v>
      </c>
      <c r="D10" s="41" t="s">
        <v>317</v>
      </c>
      <c r="E10" s="17" t="s">
        <v>323</v>
      </c>
      <c r="F10" s="17" t="s">
        <v>316</v>
      </c>
      <c r="G10" s="17">
        <v>15810</v>
      </c>
      <c r="H10" s="41" t="s">
        <v>318</v>
      </c>
      <c r="I10" s="17" t="s">
        <v>319</v>
      </c>
    </row>
    <row r="11" spans="1:9" x14ac:dyDescent="0.35">
      <c r="A11" s="44">
        <v>5</v>
      </c>
      <c r="B11" s="17" t="s">
        <v>195</v>
      </c>
      <c r="C11" s="44">
        <v>1</v>
      </c>
      <c r="D11" s="41" t="s">
        <v>317</v>
      </c>
      <c r="E11" s="17" t="s">
        <v>323</v>
      </c>
      <c r="F11" s="17" t="s">
        <v>316</v>
      </c>
      <c r="G11" s="17">
        <v>15810</v>
      </c>
      <c r="H11" s="41" t="s">
        <v>318</v>
      </c>
      <c r="I11" s="17" t="s">
        <v>319</v>
      </c>
    </row>
    <row r="12" spans="1:9" x14ac:dyDescent="0.35">
      <c r="A12" s="44">
        <v>6</v>
      </c>
      <c r="B12" s="17" t="s">
        <v>193</v>
      </c>
      <c r="C12" s="44">
        <v>1</v>
      </c>
      <c r="D12" s="41" t="s">
        <v>317</v>
      </c>
      <c r="E12" s="17" t="s">
        <v>323</v>
      </c>
      <c r="F12" s="17" t="s">
        <v>316</v>
      </c>
      <c r="G12" s="17">
        <v>15810</v>
      </c>
      <c r="H12" s="41" t="s">
        <v>318</v>
      </c>
      <c r="I12" s="17" t="s">
        <v>319</v>
      </c>
    </row>
    <row r="13" spans="1:9" x14ac:dyDescent="0.35">
      <c r="A13" s="44">
        <v>7</v>
      </c>
      <c r="B13" s="17" t="s">
        <v>138</v>
      </c>
      <c r="C13" s="44">
        <v>1</v>
      </c>
      <c r="D13" s="41" t="s">
        <v>317</v>
      </c>
      <c r="E13" s="17" t="s">
        <v>323</v>
      </c>
      <c r="F13" s="17" t="s">
        <v>316</v>
      </c>
      <c r="G13" s="17">
        <v>15810</v>
      </c>
      <c r="H13" s="41" t="s">
        <v>318</v>
      </c>
      <c r="I13" s="17" t="s">
        <v>319</v>
      </c>
    </row>
    <row r="14" spans="1:9" x14ac:dyDescent="0.35">
      <c r="A14" s="44">
        <v>8</v>
      </c>
      <c r="B14" s="17" t="s">
        <v>143</v>
      </c>
      <c r="C14" s="44">
        <v>1</v>
      </c>
      <c r="D14" s="41" t="s">
        <v>317</v>
      </c>
      <c r="E14" s="17" t="s">
        <v>323</v>
      </c>
      <c r="F14" s="17" t="s">
        <v>316</v>
      </c>
      <c r="G14" s="17">
        <v>15810</v>
      </c>
      <c r="H14" s="41" t="s">
        <v>318</v>
      </c>
      <c r="I14" s="17" t="s">
        <v>319</v>
      </c>
    </row>
    <row r="15" spans="1:9" x14ac:dyDescent="0.35">
      <c r="A15" s="44">
        <v>9</v>
      </c>
      <c r="B15" s="17" t="s">
        <v>218</v>
      </c>
      <c r="C15" s="44">
        <v>1</v>
      </c>
      <c r="D15" s="41" t="s">
        <v>317</v>
      </c>
      <c r="E15" s="17" t="s">
        <v>323</v>
      </c>
      <c r="F15" s="17" t="s">
        <v>316</v>
      </c>
      <c r="G15" s="17">
        <v>15810</v>
      </c>
      <c r="H15" s="41" t="s">
        <v>318</v>
      </c>
      <c r="I15" s="17" t="s">
        <v>319</v>
      </c>
    </row>
    <row r="16" spans="1:9" x14ac:dyDescent="0.35">
      <c r="A16" s="44">
        <v>10</v>
      </c>
      <c r="B16" s="17" t="s">
        <v>197</v>
      </c>
      <c r="C16" s="44">
        <v>1</v>
      </c>
      <c r="D16" s="41" t="s">
        <v>317</v>
      </c>
      <c r="E16" s="17" t="s">
        <v>323</v>
      </c>
      <c r="F16" s="17" t="s">
        <v>316</v>
      </c>
      <c r="G16" s="17">
        <v>15810</v>
      </c>
      <c r="H16" s="41" t="s">
        <v>318</v>
      </c>
      <c r="I16" s="17" t="s">
        <v>319</v>
      </c>
    </row>
    <row r="17" spans="1:9" x14ac:dyDescent="0.35">
      <c r="A17" s="44">
        <v>11</v>
      </c>
      <c r="B17" s="17" t="s">
        <v>296</v>
      </c>
      <c r="C17" s="44">
        <v>1</v>
      </c>
      <c r="D17" s="41" t="s">
        <v>317</v>
      </c>
      <c r="E17" s="17" t="s">
        <v>323</v>
      </c>
      <c r="F17" s="17" t="s">
        <v>316</v>
      </c>
      <c r="G17" s="17">
        <v>15810</v>
      </c>
      <c r="H17" s="41" t="s">
        <v>318</v>
      </c>
      <c r="I17" s="17" t="s">
        <v>319</v>
      </c>
    </row>
    <row r="18" spans="1:9" x14ac:dyDescent="0.35">
      <c r="A18" s="44">
        <v>12</v>
      </c>
      <c r="B18" s="17" t="s">
        <v>139</v>
      </c>
      <c r="C18" s="44">
        <v>1</v>
      </c>
      <c r="D18" s="41" t="s">
        <v>317</v>
      </c>
      <c r="E18" s="17" t="s">
        <v>323</v>
      </c>
      <c r="F18" s="17" t="s">
        <v>316</v>
      </c>
      <c r="G18" s="17">
        <v>15810</v>
      </c>
      <c r="H18" s="41" t="s">
        <v>318</v>
      </c>
      <c r="I18" s="17" t="s">
        <v>319</v>
      </c>
    </row>
    <row r="19" spans="1:9" x14ac:dyDescent="0.35">
      <c r="A19" s="44">
        <v>13</v>
      </c>
      <c r="B19" s="17" t="s">
        <v>298</v>
      </c>
      <c r="C19" s="44">
        <v>1</v>
      </c>
      <c r="D19" s="41" t="s">
        <v>317</v>
      </c>
      <c r="E19" s="17" t="s">
        <v>323</v>
      </c>
      <c r="F19" s="17" t="s">
        <v>316</v>
      </c>
      <c r="G19" s="17">
        <v>15810</v>
      </c>
      <c r="H19" s="41" t="s">
        <v>318</v>
      </c>
      <c r="I19" s="17" t="s">
        <v>319</v>
      </c>
    </row>
    <row r="20" spans="1:9" x14ac:dyDescent="0.35">
      <c r="A20" s="44">
        <v>14</v>
      </c>
      <c r="B20" s="17" t="s">
        <v>98</v>
      </c>
      <c r="C20" s="44">
        <v>2</v>
      </c>
      <c r="D20" s="41" t="s">
        <v>317</v>
      </c>
      <c r="E20" s="17" t="s">
        <v>323</v>
      </c>
      <c r="F20" s="17" t="s">
        <v>316</v>
      </c>
      <c r="G20" s="17">
        <v>15810</v>
      </c>
      <c r="H20" s="41" t="s">
        <v>318</v>
      </c>
      <c r="I20" s="17" t="s">
        <v>319</v>
      </c>
    </row>
    <row r="21" spans="1:9" x14ac:dyDescent="0.35">
      <c r="A21" s="44">
        <v>15</v>
      </c>
      <c r="B21" s="17" t="s">
        <v>117</v>
      </c>
      <c r="C21" s="44">
        <v>2</v>
      </c>
      <c r="D21" s="41" t="s">
        <v>317</v>
      </c>
      <c r="E21" s="17" t="s">
        <v>323</v>
      </c>
      <c r="F21" s="17" t="s">
        <v>316</v>
      </c>
      <c r="G21" s="17">
        <v>15810</v>
      </c>
      <c r="H21" s="41" t="s">
        <v>318</v>
      </c>
      <c r="I21" s="17" t="s">
        <v>319</v>
      </c>
    </row>
    <row r="22" spans="1:9" x14ac:dyDescent="0.35">
      <c r="A22" s="44">
        <v>16</v>
      </c>
      <c r="B22" s="17" t="s">
        <v>79</v>
      </c>
      <c r="C22" s="44">
        <v>2</v>
      </c>
      <c r="D22" s="41" t="s">
        <v>317</v>
      </c>
      <c r="E22" s="17" t="s">
        <v>323</v>
      </c>
      <c r="F22" s="17" t="s">
        <v>316</v>
      </c>
      <c r="G22" s="17">
        <v>15810</v>
      </c>
      <c r="H22" s="41" t="s">
        <v>318</v>
      </c>
      <c r="I22" s="17" t="s">
        <v>319</v>
      </c>
    </row>
    <row r="23" spans="1:9" x14ac:dyDescent="0.35">
      <c r="A23" s="44">
        <v>17</v>
      </c>
      <c r="B23" s="17" t="s">
        <v>108</v>
      </c>
      <c r="C23" s="44">
        <v>2</v>
      </c>
      <c r="D23" s="41" t="s">
        <v>317</v>
      </c>
      <c r="E23" s="17" t="s">
        <v>323</v>
      </c>
      <c r="F23" s="17" t="s">
        <v>316</v>
      </c>
      <c r="G23" s="17">
        <v>15810</v>
      </c>
      <c r="H23" s="41" t="s">
        <v>318</v>
      </c>
      <c r="I23" s="17" t="s">
        <v>319</v>
      </c>
    </row>
    <row r="24" spans="1:9" x14ac:dyDescent="0.35">
      <c r="A24" s="44">
        <v>18</v>
      </c>
      <c r="B24" s="17" t="s">
        <v>96</v>
      </c>
      <c r="C24" s="44">
        <v>2</v>
      </c>
      <c r="D24" s="41" t="s">
        <v>317</v>
      </c>
      <c r="E24" s="17" t="s">
        <v>323</v>
      </c>
      <c r="F24" s="17" t="s">
        <v>316</v>
      </c>
      <c r="G24" s="17">
        <v>15810</v>
      </c>
      <c r="H24" s="41" t="s">
        <v>318</v>
      </c>
      <c r="I24" s="17" t="s">
        <v>319</v>
      </c>
    </row>
    <row r="25" spans="1:9" x14ac:dyDescent="0.35">
      <c r="A25" s="44">
        <v>19</v>
      </c>
      <c r="B25" s="17" t="s">
        <v>175</v>
      </c>
      <c r="C25" s="44">
        <v>2</v>
      </c>
      <c r="D25" s="41" t="s">
        <v>317</v>
      </c>
      <c r="E25" s="17" t="s">
        <v>323</v>
      </c>
      <c r="F25" s="17" t="s">
        <v>316</v>
      </c>
      <c r="G25" s="17">
        <v>15810</v>
      </c>
      <c r="H25" s="41" t="s">
        <v>318</v>
      </c>
      <c r="I25" s="17" t="s">
        <v>319</v>
      </c>
    </row>
    <row r="26" spans="1:9" x14ac:dyDescent="0.35">
      <c r="A26" s="44">
        <v>20</v>
      </c>
      <c r="B26" s="43" t="s">
        <v>262</v>
      </c>
      <c r="C26" s="44">
        <v>2</v>
      </c>
      <c r="D26" s="41" t="s">
        <v>317</v>
      </c>
      <c r="E26" s="17" t="s">
        <v>323</v>
      </c>
      <c r="F26" s="17" t="s">
        <v>316</v>
      </c>
      <c r="G26" s="17">
        <v>15810</v>
      </c>
      <c r="H26" s="41" t="s">
        <v>318</v>
      </c>
      <c r="I26" s="17" t="s">
        <v>319</v>
      </c>
    </row>
    <row r="27" spans="1:9" x14ac:dyDescent="0.35">
      <c r="A27" s="44">
        <v>21</v>
      </c>
      <c r="B27" s="17" t="s">
        <v>284</v>
      </c>
      <c r="C27" s="44">
        <v>2</v>
      </c>
      <c r="D27" s="41" t="s">
        <v>317</v>
      </c>
      <c r="E27" s="17" t="s">
        <v>323</v>
      </c>
      <c r="F27" s="17" t="s">
        <v>316</v>
      </c>
      <c r="G27" s="17">
        <v>15810</v>
      </c>
      <c r="H27" s="41" t="s">
        <v>318</v>
      </c>
      <c r="I27" s="17" t="s">
        <v>319</v>
      </c>
    </row>
    <row r="28" spans="1:9" x14ac:dyDescent="0.35">
      <c r="A28" s="44">
        <v>22</v>
      </c>
      <c r="B28" s="17" t="s">
        <v>99</v>
      </c>
      <c r="C28" s="44">
        <v>2</v>
      </c>
      <c r="D28" s="41" t="s">
        <v>317</v>
      </c>
      <c r="E28" s="17" t="s">
        <v>323</v>
      </c>
      <c r="F28" s="17" t="s">
        <v>316</v>
      </c>
      <c r="G28" s="17">
        <v>15810</v>
      </c>
      <c r="H28" s="41" t="s">
        <v>318</v>
      </c>
      <c r="I28" s="17" t="s">
        <v>319</v>
      </c>
    </row>
    <row r="29" spans="1:9" x14ac:dyDescent="0.35">
      <c r="A29" s="44">
        <v>23</v>
      </c>
      <c r="B29" s="17" t="s">
        <v>181</v>
      </c>
      <c r="C29" s="44">
        <v>2</v>
      </c>
      <c r="D29" s="41" t="s">
        <v>317</v>
      </c>
      <c r="E29" s="17" t="s">
        <v>323</v>
      </c>
      <c r="F29" s="17" t="s">
        <v>316</v>
      </c>
      <c r="G29" s="17">
        <v>15810</v>
      </c>
      <c r="H29" s="41" t="s">
        <v>318</v>
      </c>
      <c r="I29" s="17" t="s">
        <v>319</v>
      </c>
    </row>
    <row r="30" spans="1:9" x14ac:dyDescent="0.35">
      <c r="A30" s="44">
        <v>24</v>
      </c>
      <c r="B30" s="17" t="s">
        <v>260</v>
      </c>
      <c r="C30" s="44">
        <v>2</v>
      </c>
      <c r="D30" s="41" t="s">
        <v>317</v>
      </c>
      <c r="E30" s="17" t="s">
        <v>323</v>
      </c>
      <c r="F30" s="17" t="s">
        <v>316</v>
      </c>
      <c r="G30" s="17">
        <v>15810</v>
      </c>
      <c r="H30" s="41" t="s">
        <v>318</v>
      </c>
      <c r="I30" s="17" t="s">
        <v>319</v>
      </c>
    </row>
    <row r="31" spans="1:9" x14ac:dyDescent="0.35">
      <c r="A31" s="44">
        <v>25</v>
      </c>
      <c r="B31" s="17" t="s">
        <v>78</v>
      </c>
      <c r="C31" s="44">
        <v>2</v>
      </c>
      <c r="D31" s="41" t="s">
        <v>317</v>
      </c>
      <c r="E31" s="17" t="s">
        <v>323</v>
      </c>
      <c r="F31" s="17" t="s">
        <v>316</v>
      </c>
      <c r="G31" s="17">
        <v>15810</v>
      </c>
      <c r="H31" s="41" t="s">
        <v>318</v>
      </c>
      <c r="I31" s="17" t="s">
        <v>319</v>
      </c>
    </row>
    <row r="32" spans="1:9" x14ac:dyDescent="0.35">
      <c r="A32" s="44">
        <v>26</v>
      </c>
      <c r="B32" s="17" t="s">
        <v>216</v>
      </c>
      <c r="C32" s="44">
        <v>2</v>
      </c>
      <c r="D32" s="41" t="s">
        <v>317</v>
      </c>
      <c r="E32" s="17" t="s">
        <v>323</v>
      </c>
      <c r="F32" s="17" t="s">
        <v>316</v>
      </c>
      <c r="G32" s="17">
        <v>15810</v>
      </c>
      <c r="H32" s="41" t="s">
        <v>318</v>
      </c>
      <c r="I32" s="17" t="s">
        <v>319</v>
      </c>
    </row>
    <row r="33" spans="1:9" x14ac:dyDescent="0.35">
      <c r="A33" s="44">
        <v>27</v>
      </c>
      <c r="B33" s="17" t="s">
        <v>127</v>
      </c>
      <c r="C33" s="44">
        <v>2</v>
      </c>
      <c r="D33" s="41" t="s">
        <v>317</v>
      </c>
      <c r="E33" s="17" t="s">
        <v>323</v>
      </c>
      <c r="F33" s="17" t="s">
        <v>316</v>
      </c>
      <c r="G33" s="17">
        <v>15810</v>
      </c>
      <c r="H33" s="41" t="s">
        <v>318</v>
      </c>
      <c r="I33" s="17" t="s">
        <v>319</v>
      </c>
    </row>
    <row r="34" spans="1:9" x14ac:dyDescent="0.35">
      <c r="A34" s="44">
        <v>28</v>
      </c>
      <c r="B34" s="17" t="s">
        <v>190</v>
      </c>
      <c r="C34" s="44">
        <v>2</v>
      </c>
      <c r="D34" s="41" t="s">
        <v>317</v>
      </c>
      <c r="E34" s="17" t="s">
        <v>323</v>
      </c>
      <c r="F34" s="17" t="s">
        <v>316</v>
      </c>
      <c r="G34" s="17">
        <v>15810</v>
      </c>
      <c r="H34" s="41" t="s">
        <v>318</v>
      </c>
      <c r="I34" s="17" t="s">
        <v>319</v>
      </c>
    </row>
    <row r="35" spans="1:9" x14ac:dyDescent="0.35">
      <c r="A35" s="44">
        <v>29</v>
      </c>
      <c r="B35" s="17" t="s">
        <v>283</v>
      </c>
      <c r="C35" s="44">
        <v>2</v>
      </c>
      <c r="D35" s="41" t="s">
        <v>317</v>
      </c>
      <c r="E35" s="17" t="s">
        <v>323</v>
      </c>
      <c r="F35" s="17" t="s">
        <v>316</v>
      </c>
      <c r="G35" s="17">
        <v>15810</v>
      </c>
      <c r="H35" s="41" t="s">
        <v>318</v>
      </c>
      <c r="I35" s="17" t="s">
        <v>319</v>
      </c>
    </row>
    <row r="36" spans="1:9" x14ac:dyDescent="0.35">
      <c r="A36" s="44">
        <v>30</v>
      </c>
      <c r="B36" s="17" t="s">
        <v>244</v>
      </c>
      <c r="C36" s="44">
        <v>2</v>
      </c>
      <c r="D36" s="41" t="s">
        <v>317</v>
      </c>
      <c r="E36" s="17" t="s">
        <v>323</v>
      </c>
      <c r="F36" s="17" t="s">
        <v>316</v>
      </c>
      <c r="G36" s="17">
        <v>15810</v>
      </c>
      <c r="H36" s="41" t="s">
        <v>318</v>
      </c>
      <c r="I36" s="17" t="s">
        <v>319</v>
      </c>
    </row>
    <row r="37" spans="1:9" x14ac:dyDescent="0.35">
      <c r="A37" s="44">
        <v>31</v>
      </c>
      <c r="B37" s="17" t="s">
        <v>115</v>
      </c>
      <c r="C37" s="44">
        <v>2</v>
      </c>
      <c r="D37" s="41" t="s">
        <v>317</v>
      </c>
      <c r="E37" s="17" t="s">
        <v>323</v>
      </c>
      <c r="F37" s="17" t="s">
        <v>316</v>
      </c>
      <c r="G37" s="17">
        <v>15810</v>
      </c>
      <c r="H37" s="41" t="s">
        <v>318</v>
      </c>
      <c r="I37" s="17" t="s">
        <v>319</v>
      </c>
    </row>
    <row r="38" spans="1:9" x14ac:dyDescent="0.35">
      <c r="A38" s="44">
        <v>32</v>
      </c>
      <c r="B38" s="17" t="s">
        <v>116</v>
      </c>
      <c r="C38" s="44">
        <v>2</v>
      </c>
      <c r="D38" s="41" t="s">
        <v>317</v>
      </c>
      <c r="E38" s="17" t="s">
        <v>323</v>
      </c>
      <c r="F38" s="17" t="s">
        <v>316</v>
      </c>
      <c r="G38" s="17">
        <v>15810</v>
      </c>
      <c r="H38" s="41" t="s">
        <v>318</v>
      </c>
      <c r="I38" s="17" t="s">
        <v>319</v>
      </c>
    </row>
    <row r="39" spans="1:9" x14ac:dyDescent="0.35">
      <c r="A39" s="44">
        <v>33</v>
      </c>
      <c r="B39" s="17" t="s">
        <v>261</v>
      </c>
      <c r="C39" s="44">
        <v>2</v>
      </c>
      <c r="D39" s="41" t="s">
        <v>317</v>
      </c>
      <c r="E39" s="17" t="s">
        <v>323</v>
      </c>
      <c r="F39" s="17" t="s">
        <v>316</v>
      </c>
      <c r="G39" s="17">
        <v>15810</v>
      </c>
      <c r="H39" s="41" t="s">
        <v>318</v>
      </c>
      <c r="I39" s="17" t="s">
        <v>319</v>
      </c>
    </row>
    <row r="40" spans="1:9" x14ac:dyDescent="0.35">
      <c r="A40" s="44">
        <v>34</v>
      </c>
      <c r="B40" s="17" t="s">
        <v>5</v>
      </c>
      <c r="C40" s="44">
        <v>2</v>
      </c>
      <c r="D40" s="41" t="s">
        <v>317</v>
      </c>
      <c r="E40" s="17" t="s">
        <v>323</v>
      </c>
      <c r="F40" s="17" t="s">
        <v>316</v>
      </c>
      <c r="G40" s="17">
        <v>15810</v>
      </c>
      <c r="H40" s="41" t="s">
        <v>318</v>
      </c>
      <c r="I40" s="17" t="s">
        <v>319</v>
      </c>
    </row>
    <row r="41" spans="1:9" x14ac:dyDescent="0.35">
      <c r="A41" s="44">
        <v>35</v>
      </c>
      <c r="B41" s="17" t="s">
        <v>186</v>
      </c>
      <c r="C41" s="44">
        <v>3</v>
      </c>
      <c r="D41" s="41" t="s">
        <v>317</v>
      </c>
      <c r="E41" s="17" t="s">
        <v>323</v>
      </c>
      <c r="F41" s="17" t="s">
        <v>316</v>
      </c>
      <c r="G41" s="17">
        <v>15810</v>
      </c>
      <c r="H41" s="41" t="s">
        <v>318</v>
      </c>
      <c r="I41" s="17" t="s">
        <v>319</v>
      </c>
    </row>
    <row r="42" spans="1:9" x14ac:dyDescent="0.35">
      <c r="A42" s="44">
        <v>36</v>
      </c>
      <c r="B42" s="17" t="s">
        <v>90</v>
      </c>
      <c r="C42" s="44">
        <v>3</v>
      </c>
      <c r="D42" s="41" t="s">
        <v>317</v>
      </c>
      <c r="E42" s="17" t="s">
        <v>323</v>
      </c>
      <c r="F42" s="17" t="s">
        <v>316</v>
      </c>
      <c r="G42" s="17">
        <v>15810</v>
      </c>
      <c r="H42" s="41" t="s">
        <v>318</v>
      </c>
      <c r="I42" s="17" t="s">
        <v>319</v>
      </c>
    </row>
    <row r="43" spans="1:9" x14ac:dyDescent="0.35">
      <c r="A43" s="44">
        <v>37</v>
      </c>
      <c r="B43" s="17" t="s">
        <v>164</v>
      </c>
      <c r="C43" s="44">
        <v>3</v>
      </c>
      <c r="D43" s="41" t="s">
        <v>317</v>
      </c>
      <c r="E43" s="17" t="s">
        <v>323</v>
      </c>
      <c r="F43" s="17" t="s">
        <v>316</v>
      </c>
      <c r="G43" s="17">
        <v>15810</v>
      </c>
      <c r="H43" s="41" t="s">
        <v>318</v>
      </c>
      <c r="I43" s="17" t="s">
        <v>319</v>
      </c>
    </row>
    <row r="44" spans="1:9" x14ac:dyDescent="0.35">
      <c r="A44" s="44">
        <v>38</v>
      </c>
      <c r="B44" s="17" t="s">
        <v>259</v>
      </c>
      <c r="C44" s="44">
        <v>3</v>
      </c>
      <c r="D44" s="41" t="s">
        <v>317</v>
      </c>
      <c r="E44" s="17" t="s">
        <v>323</v>
      </c>
      <c r="F44" s="17" t="s">
        <v>316</v>
      </c>
      <c r="G44" s="17">
        <v>15810</v>
      </c>
      <c r="H44" s="41" t="s">
        <v>318</v>
      </c>
      <c r="I44" s="17" t="s">
        <v>319</v>
      </c>
    </row>
    <row r="45" spans="1:9" x14ac:dyDescent="0.35">
      <c r="A45" s="44">
        <v>39</v>
      </c>
      <c r="B45" s="17" t="s">
        <v>178</v>
      </c>
      <c r="C45" s="44">
        <v>3</v>
      </c>
      <c r="D45" s="41" t="s">
        <v>317</v>
      </c>
      <c r="E45" s="17" t="s">
        <v>323</v>
      </c>
      <c r="F45" s="17" t="s">
        <v>316</v>
      </c>
      <c r="G45" s="17">
        <v>15810</v>
      </c>
      <c r="H45" s="41" t="s">
        <v>318</v>
      </c>
      <c r="I45" s="17" t="s">
        <v>319</v>
      </c>
    </row>
    <row r="46" spans="1:9" x14ac:dyDescent="0.35">
      <c r="A46" s="44">
        <v>40</v>
      </c>
      <c r="B46" s="17" t="s">
        <v>147</v>
      </c>
      <c r="C46" s="44">
        <v>3</v>
      </c>
      <c r="D46" s="41" t="s">
        <v>317</v>
      </c>
      <c r="E46" s="17" t="s">
        <v>323</v>
      </c>
      <c r="F46" s="17" t="s">
        <v>316</v>
      </c>
      <c r="G46" s="17">
        <v>15810</v>
      </c>
      <c r="H46" s="41" t="s">
        <v>318</v>
      </c>
      <c r="I46" s="17" t="s">
        <v>319</v>
      </c>
    </row>
    <row r="47" spans="1:9" x14ac:dyDescent="0.35">
      <c r="A47" s="44">
        <v>41</v>
      </c>
      <c r="B47" s="17" t="s">
        <v>242</v>
      </c>
      <c r="C47" s="44">
        <v>3</v>
      </c>
      <c r="D47" s="41" t="s">
        <v>317</v>
      </c>
      <c r="E47" s="17" t="s">
        <v>323</v>
      </c>
      <c r="F47" s="17" t="s">
        <v>316</v>
      </c>
      <c r="G47" s="17">
        <v>15810</v>
      </c>
      <c r="H47" s="41" t="s">
        <v>318</v>
      </c>
      <c r="I47" s="17" t="s">
        <v>319</v>
      </c>
    </row>
    <row r="48" spans="1:9" x14ac:dyDescent="0.35">
      <c r="A48" s="44">
        <v>42</v>
      </c>
      <c r="B48" s="17" t="s">
        <v>141</v>
      </c>
      <c r="C48" s="44">
        <v>3</v>
      </c>
      <c r="D48" s="41" t="s">
        <v>317</v>
      </c>
      <c r="E48" s="17" t="s">
        <v>323</v>
      </c>
      <c r="F48" s="17" t="s">
        <v>316</v>
      </c>
      <c r="G48" s="17">
        <v>15810</v>
      </c>
      <c r="H48" s="41" t="s">
        <v>318</v>
      </c>
      <c r="I48" s="17" t="s">
        <v>319</v>
      </c>
    </row>
    <row r="49" spans="1:9" x14ac:dyDescent="0.35">
      <c r="A49" s="44">
        <v>43</v>
      </c>
      <c r="B49" s="17" t="s">
        <v>76</v>
      </c>
      <c r="C49" s="44">
        <v>3</v>
      </c>
      <c r="D49" s="41" t="s">
        <v>317</v>
      </c>
      <c r="E49" s="17" t="s">
        <v>323</v>
      </c>
      <c r="F49" s="17" t="s">
        <v>316</v>
      </c>
      <c r="G49" s="17">
        <v>15810</v>
      </c>
      <c r="H49" s="41" t="s">
        <v>318</v>
      </c>
      <c r="I49" s="17" t="s">
        <v>319</v>
      </c>
    </row>
    <row r="50" spans="1:9" x14ac:dyDescent="0.35">
      <c r="A50" s="44">
        <v>44</v>
      </c>
      <c r="B50" s="17" t="s">
        <v>145</v>
      </c>
      <c r="C50" s="44">
        <v>4</v>
      </c>
      <c r="D50" s="41" t="s">
        <v>317</v>
      </c>
      <c r="E50" s="17" t="s">
        <v>323</v>
      </c>
      <c r="F50" s="17" t="s">
        <v>316</v>
      </c>
      <c r="G50" s="17">
        <v>15810</v>
      </c>
      <c r="H50" s="41" t="s">
        <v>318</v>
      </c>
      <c r="I50" s="17" t="s">
        <v>319</v>
      </c>
    </row>
    <row r="51" spans="1:9" x14ac:dyDescent="0.35">
      <c r="A51" s="44">
        <v>45</v>
      </c>
      <c r="B51" s="17" t="s">
        <v>85</v>
      </c>
      <c r="C51" s="44">
        <v>4</v>
      </c>
      <c r="D51" s="41" t="s">
        <v>317</v>
      </c>
      <c r="E51" s="17" t="s">
        <v>323</v>
      </c>
      <c r="F51" s="17" t="s">
        <v>316</v>
      </c>
      <c r="G51" s="17">
        <v>15810</v>
      </c>
      <c r="H51" s="41" t="s">
        <v>318</v>
      </c>
      <c r="I51" s="17" t="s">
        <v>319</v>
      </c>
    </row>
    <row r="52" spans="1:9" x14ac:dyDescent="0.35">
      <c r="A52" s="44">
        <v>46</v>
      </c>
      <c r="B52" s="17" t="s">
        <v>185</v>
      </c>
      <c r="C52" s="44">
        <v>4</v>
      </c>
      <c r="D52" s="41" t="s">
        <v>317</v>
      </c>
      <c r="E52" s="17" t="s">
        <v>323</v>
      </c>
      <c r="F52" s="17" t="s">
        <v>316</v>
      </c>
      <c r="G52" s="17">
        <v>15810</v>
      </c>
      <c r="H52" s="41" t="s">
        <v>318</v>
      </c>
      <c r="I52" s="17" t="s">
        <v>319</v>
      </c>
    </row>
    <row r="53" spans="1:9" x14ac:dyDescent="0.35">
      <c r="A53" s="44">
        <v>47</v>
      </c>
      <c r="B53" s="17" t="s">
        <v>89</v>
      </c>
      <c r="C53" s="44">
        <v>4</v>
      </c>
      <c r="D53" s="41" t="s">
        <v>317</v>
      </c>
      <c r="E53" s="17" t="s">
        <v>323</v>
      </c>
      <c r="F53" s="17" t="s">
        <v>316</v>
      </c>
      <c r="G53" s="17">
        <v>15810</v>
      </c>
      <c r="H53" s="41" t="s">
        <v>318</v>
      </c>
      <c r="I53" s="17" t="s">
        <v>319</v>
      </c>
    </row>
    <row r="54" spans="1:9" x14ac:dyDescent="0.35">
      <c r="A54" s="44">
        <v>48</v>
      </c>
      <c r="B54" s="17" t="s">
        <v>152</v>
      </c>
      <c r="C54" s="44">
        <v>4</v>
      </c>
      <c r="D54" s="41" t="s">
        <v>317</v>
      </c>
      <c r="E54" s="17" t="s">
        <v>323</v>
      </c>
      <c r="F54" s="17" t="s">
        <v>316</v>
      </c>
      <c r="G54" s="17">
        <v>15810</v>
      </c>
      <c r="H54" s="41" t="s">
        <v>318</v>
      </c>
      <c r="I54" s="17" t="s">
        <v>319</v>
      </c>
    </row>
    <row r="55" spans="1:9" x14ac:dyDescent="0.35">
      <c r="A55" s="44">
        <v>49</v>
      </c>
      <c r="B55" s="17" t="s">
        <v>87</v>
      </c>
      <c r="C55" s="44">
        <v>4</v>
      </c>
      <c r="D55" s="41" t="s">
        <v>317</v>
      </c>
      <c r="E55" s="17" t="s">
        <v>323</v>
      </c>
      <c r="F55" s="17" t="s">
        <v>316</v>
      </c>
      <c r="G55" s="17">
        <v>15810</v>
      </c>
      <c r="H55" s="41" t="s">
        <v>318</v>
      </c>
      <c r="I55" s="17" t="s">
        <v>319</v>
      </c>
    </row>
    <row r="56" spans="1:9" x14ac:dyDescent="0.35">
      <c r="A56" s="44">
        <v>50</v>
      </c>
      <c r="B56" s="17" t="s">
        <v>140</v>
      </c>
      <c r="C56" s="44">
        <v>4</v>
      </c>
      <c r="D56" s="41" t="s">
        <v>317</v>
      </c>
      <c r="E56" s="17" t="s">
        <v>323</v>
      </c>
      <c r="F56" s="17" t="s">
        <v>316</v>
      </c>
      <c r="G56" s="17">
        <v>15810</v>
      </c>
      <c r="H56" s="41" t="s">
        <v>318</v>
      </c>
      <c r="I56" s="17" t="s">
        <v>319</v>
      </c>
    </row>
    <row r="57" spans="1:9" x14ac:dyDescent="0.35">
      <c r="A57" s="44">
        <v>51</v>
      </c>
      <c r="B57" s="17" t="s">
        <v>135</v>
      </c>
      <c r="C57" s="44">
        <v>4</v>
      </c>
      <c r="D57" s="41" t="s">
        <v>317</v>
      </c>
      <c r="E57" s="17" t="s">
        <v>323</v>
      </c>
      <c r="F57" s="17" t="s">
        <v>316</v>
      </c>
      <c r="G57" s="17">
        <v>15810</v>
      </c>
      <c r="H57" s="41" t="s">
        <v>318</v>
      </c>
      <c r="I57" s="17" t="s">
        <v>319</v>
      </c>
    </row>
    <row r="58" spans="1:9" x14ac:dyDescent="0.35">
      <c r="A58" s="44">
        <v>52</v>
      </c>
      <c r="B58" s="17" t="s">
        <v>134</v>
      </c>
      <c r="C58" s="44">
        <v>4</v>
      </c>
      <c r="D58" s="41" t="s">
        <v>317</v>
      </c>
      <c r="E58" s="17" t="s">
        <v>323</v>
      </c>
      <c r="F58" s="17" t="s">
        <v>316</v>
      </c>
      <c r="G58" s="17">
        <v>15810</v>
      </c>
      <c r="H58" s="41" t="s">
        <v>318</v>
      </c>
      <c r="I58" s="17" t="s">
        <v>319</v>
      </c>
    </row>
    <row r="59" spans="1:9" x14ac:dyDescent="0.35">
      <c r="A59" s="44">
        <v>53</v>
      </c>
      <c r="B59" s="17" t="s">
        <v>112</v>
      </c>
      <c r="C59" s="44">
        <v>4</v>
      </c>
      <c r="D59" s="41" t="s">
        <v>317</v>
      </c>
      <c r="E59" s="17" t="s">
        <v>323</v>
      </c>
      <c r="F59" s="17" t="s">
        <v>316</v>
      </c>
      <c r="G59" s="17">
        <v>15810</v>
      </c>
      <c r="H59" s="41" t="s">
        <v>318</v>
      </c>
      <c r="I59" s="17" t="s">
        <v>319</v>
      </c>
    </row>
    <row r="60" spans="1:9" x14ac:dyDescent="0.35">
      <c r="A60" s="44">
        <v>54</v>
      </c>
      <c r="B60" s="17" t="s">
        <v>187</v>
      </c>
      <c r="C60" s="44">
        <v>4</v>
      </c>
      <c r="D60" s="41" t="s">
        <v>317</v>
      </c>
      <c r="E60" s="17" t="s">
        <v>323</v>
      </c>
      <c r="F60" s="17" t="s">
        <v>316</v>
      </c>
      <c r="G60" s="17">
        <v>15810</v>
      </c>
      <c r="H60" s="41" t="s">
        <v>318</v>
      </c>
      <c r="I60" s="17" t="s">
        <v>319</v>
      </c>
    </row>
    <row r="61" spans="1:9" x14ac:dyDescent="0.35">
      <c r="A61" s="44">
        <v>55</v>
      </c>
      <c r="B61" s="17" t="s">
        <v>245</v>
      </c>
      <c r="C61" s="44">
        <v>4</v>
      </c>
      <c r="D61" s="41" t="s">
        <v>317</v>
      </c>
      <c r="E61" s="17" t="s">
        <v>323</v>
      </c>
      <c r="F61" s="17" t="s">
        <v>316</v>
      </c>
      <c r="G61" s="17">
        <v>15810</v>
      </c>
      <c r="H61" s="41" t="s">
        <v>318</v>
      </c>
      <c r="I61" s="17" t="s">
        <v>319</v>
      </c>
    </row>
    <row r="62" spans="1:9" x14ac:dyDescent="0.35">
      <c r="A62" s="44">
        <v>56</v>
      </c>
      <c r="B62" s="17" t="s">
        <v>148</v>
      </c>
      <c r="C62" s="44">
        <v>4</v>
      </c>
      <c r="D62" s="41" t="s">
        <v>317</v>
      </c>
      <c r="E62" s="17" t="s">
        <v>323</v>
      </c>
      <c r="F62" s="17" t="s">
        <v>316</v>
      </c>
      <c r="G62" s="17">
        <v>15810</v>
      </c>
      <c r="H62" s="41" t="s">
        <v>318</v>
      </c>
      <c r="I62" s="17" t="s">
        <v>319</v>
      </c>
    </row>
    <row r="63" spans="1:9" x14ac:dyDescent="0.35">
      <c r="A63" s="44">
        <v>57</v>
      </c>
      <c r="B63" s="17" t="s">
        <v>86</v>
      </c>
      <c r="C63" s="44">
        <v>4</v>
      </c>
      <c r="D63" s="41" t="s">
        <v>317</v>
      </c>
      <c r="E63" s="17" t="s">
        <v>323</v>
      </c>
      <c r="F63" s="17" t="s">
        <v>316</v>
      </c>
      <c r="G63" s="17">
        <v>15810</v>
      </c>
      <c r="H63" s="41" t="s">
        <v>318</v>
      </c>
      <c r="I63" s="17" t="s">
        <v>319</v>
      </c>
    </row>
    <row r="64" spans="1:9" x14ac:dyDescent="0.35">
      <c r="A64" s="44">
        <v>58</v>
      </c>
      <c r="B64" s="17" t="s">
        <v>142</v>
      </c>
      <c r="C64" s="44">
        <v>4</v>
      </c>
      <c r="D64" s="41" t="s">
        <v>317</v>
      </c>
      <c r="E64" s="17" t="s">
        <v>323</v>
      </c>
      <c r="F64" s="17" t="s">
        <v>316</v>
      </c>
      <c r="G64" s="17">
        <v>15810</v>
      </c>
      <c r="H64" s="41" t="s">
        <v>318</v>
      </c>
      <c r="I64" s="17" t="s">
        <v>319</v>
      </c>
    </row>
    <row r="65" spans="1:9" x14ac:dyDescent="0.35">
      <c r="A65" s="44">
        <v>59</v>
      </c>
      <c r="B65" s="17" t="s">
        <v>144</v>
      </c>
      <c r="C65" s="44">
        <v>4</v>
      </c>
      <c r="D65" s="41" t="s">
        <v>317</v>
      </c>
      <c r="E65" s="17" t="s">
        <v>323</v>
      </c>
      <c r="F65" s="17" t="s">
        <v>316</v>
      </c>
      <c r="G65" s="17">
        <v>15810</v>
      </c>
      <c r="H65" s="41" t="s">
        <v>318</v>
      </c>
      <c r="I65" s="17" t="s">
        <v>319</v>
      </c>
    </row>
    <row r="66" spans="1:9" x14ac:dyDescent="0.35">
      <c r="A66" s="44">
        <v>60</v>
      </c>
      <c r="B66" s="17" t="s">
        <v>109</v>
      </c>
      <c r="C66" s="44">
        <v>4</v>
      </c>
      <c r="D66" s="41" t="s">
        <v>317</v>
      </c>
      <c r="E66" s="17" t="s">
        <v>323</v>
      </c>
      <c r="F66" s="17" t="s">
        <v>316</v>
      </c>
      <c r="G66" s="17">
        <v>15810</v>
      </c>
      <c r="H66" s="41" t="s">
        <v>318</v>
      </c>
      <c r="I66" s="17" t="s">
        <v>319</v>
      </c>
    </row>
    <row r="67" spans="1:9" x14ac:dyDescent="0.35">
      <c r="A67" s="44">
        <v>61</v>
      </c>
      <c r="B67" s="17" t="s">
        <v>151</v>
      </c>
      <c r="C67" s="44">
        <v>4</v>
      </c>
      <c r="D67" s="41" t="s">
        <v>317</v>
      </c>
      <c r="E67" s="17" t="s">
        <v>323</v>
      </c>
      <c r="F67" s="17" t="s">
        <v>316</v>
      </c>
      <c r="G67" s="17">
        <v>15810</v>
      </c>
      <c r="H67" s="41" t="s">
        <v>318</v>
      </c>
      <c r="I67" s="17" t="s">
        <v>319</v>
      </c>
    </row>
    <row r="68" spans="1:9" x14ac:dyDescent="0.35">
      <c r="A68" s="44">
        <v>62</v>
      </c>
      <c r="B68" s="17" t="s">
        <v>100</v>
      </c>
      <c r="C68" s="44">
        <v>4</v>
      </c>
      <c r="D68" s="41" t="s">
        <v>317</v>
      </c>
      <c r="E68" s="17" t="s">
        <v>323</v>
      </c>
      <c r="F68" s="17" t="s">
        <v>316</v>
      </c>
      <c r="G68" s="17">
        <v>15810</v>
      </c>
      <c r="H68" s="41" t="s">
        <v>318</v>
      </c>
      <c r="I68" s="17" t="s">
        <v>319</v>
      </c>
    </row>
    <row r="69" spans="1:9" x14ac:dyDescent="0.35">
      <c r="A69" s="44">
        <v>63</v>
      </c>
      <c r="B69" s="17" t="s">
        <v>133</v>
      </c>
      <c r="C69" s="44">
        <v>4</v>
      </c>
      <c r="D69" s="41" t="s">
        <v>317</v>
      </c>
      <c r="E69" s="17" t="s">
        <v>323</v>
      </c>
      <c r="F69" s="17" t="s">
        <v>316</v>
      </c>
      <c r="G69" s="17">
        <v>15810</v>
      </c>
      <c r="H69" s="41" t="s">
        <v>318</v>
      </c>
      <c r="I69" s="17" t="s">
        <v>319</v>
      </c>
    </row>
    <row r="70" spans="1:9" x14ac:dyDescent="0.35">
      <c r="A70" s="44">
        <v>64</v>
      </c>
      <c r="B70" s="17" t="s">
        <v>94</v>
      </c>
      <c r="C70" s="44">
        <v>4</v>
      </c>
      <c r="D70" s="41" t="s">
        <v>317</v>
      </c>
      <c r="E70" s="17" t="s">
        <v>323</v>
      </c>
      <c r="F70" s="17" t="s">
        <v>316</v>
      </c>
      <c r="G70" s="17">
        <v>15810</v>
      </c>
      <c r="H70" s="41" t="s">
        <v>318</v>
      </c>
      <c r="I70" s="17" t="s">
        <v>319</v>
      </c>
    </row>
    <row r="71" spans="1:9" x14ac:dyDescent="0.35">
      <c r="A71" s="44">
        <v>65</v>
      </c>
      <c r="B71" s="17" t="s">
        <v>192</v>
      </c>
      <c r="C71" s="44">
        <v>4</v>
      </c>
      <c r="D71" s="41" t="s">
        <v>317</v>
      </c>
      <c r="E71" s="17" t="s">
        <v>323</v>
      </c>
      <c r="F71" s="17" t="s">
        <v>316</v>
      </c>
      <c r="G71" s="17">
        <v>15810</v>
      </c>
      <c r="H71" s="41" t="s">
        <v>318</v>
      </c>
      <c r="I71" s="17" t="s">
        <v>319</v>
      </c>
    </row>
    <row r="72" spans="1:9" x14ac:dyDescent="0.35">
      <c r="A72" s="44">
        <v>66</v>
      </c>
      <c r="B72" s="17" t="s">
        <v>105</v>
      </c>
      <c r="C72" s="44">
        <v>4</v>
      </c>
      <c r="D72" s="41" t="s">
        <v>317</v>
      </c>
      <c r="E72" s="17" t="s">
        <v>323</v>
      </c>
      <c r="F72" s="17" t="s">
        <v>316</v>
      </c>
      <c r="G72" s="17">
        <v>15810</v>
      </c>
      <c r="H72" s="41" t="s">
        <v>318</v>
      </c>
      <c r="I72" s="17" t="s">
        <v>319</v>
      </c>
    </row>
    <row r="73" spans="1:9" x14ac:dyDescent="0.35">
      <c r="A73" s="44">
        <v>67</v>
      </c>
      <c r="B73" s="17" t="s">
        <v>106</v>
      </c>
      <c r="C73" s="44">
        <v>4</v>
      </c>
      <c r="D73" s="41" t="s">
        <v>317</v>
      </c>
      <c r="E73" s="17" t="s">
        <v>323</v>
      </c>
      <c r="F73" s="17" t="s">
        <v>316</v>
      </c>
      <c r="G73" s="17">
        <v>15810</v>
      </c>
      <c r="H73" s="41" t="s">
        <v>318</v>
      </c>
      <c r="I73" s="17" t="s">
        <v>319</v>
      </c>
    </row>
    <row r="74" spans="1:9" x14ac:dyDescent="0.35">
      <c r="A74" s="44">
        <v>68</v>
      </c>
      <c r="B74" s="17" t="s">
        <v>132</v>
      </c>
      <c r="C74" s="44">
        <v>4</v>
      </c>
      <c r="D74" s="41" t="s">
        <v>317</v>
      </c>
      <c r="E74" s="17" t="s">
        <v>323</v>
      </c>
      <c r="F74" s="17" t="s">
        <v>316</v>
      </c>
      <c r="G74" s="17">
        <v>15810</v>
      </c>
      <c r="H74" s="41" t="s">
        <v>318</v>
      </c>
      <c r="I74" s="17" t="s">
        <v>319</v>
      </c>
    </row>
    <row r="75" spans="1:9" x14ac:dyDescent="0.35">
      <c r="A75" s="44">
        <v>69</v>
      </c>
      <c r="B75" s="17" t="s">
        <v>114</v>
      </c>
      <c r="C75" s="44">
        <v>4</v>
      </c>
      <c r="D75" s="41" t="s">
        <v>317</v>
      </c>
      <c r="E75" s="17" t="s">
        <v>323</v>
      </c>
      <c r="F75" s="17" t="s">
        <v>316</v>
      </c>
      <c r="G75" s="17">
        <v>15810</v>
      </c>
      <c r="H75" s="41" t="s">
        <v>318</v>
      </c>
      <c r="I75" s="17" t="s">
        <v>319</v>
      </c>
    </row>
    <row r="76" spans="1:9" x14ac:dyDescent="0.35">
      <c r="A76" s="44">
        <v>70</v>
      </c>
      <c r="B76" s="17" t="s">
        <v>137</v>
      </c>
      <c r="C76" s="44">
        <v>4</v>
      </c>
      <c r="D76" s="41" t="s">
        <v>317</v>
      </c>
      <c r="E76" s="17" t="s">
        <v>323</v>
      </c>
      <c r="F76" s="17" t="s">
        <v>316</v>
      </c>
      <c r="G76" s="17">
        <v>15810</v>
      </c>
      <c r="H76" s="41" t="s">
        <v>318</v>
      </c>
      <c r="I76" s="17" t="s">
        <v>319</v>
      </c>
    </row>
    <row r="77" spans="1:9" x14ac:dyDescent="0.35">
      <c r="A77" s="44">
        <v>71</v>
      </c>
      <c r="B77" s="17" t="s">
        <v>118</v>
      </c>
      <c r="C77" s="44">
        <v>4</v>
      </c>
      <c r="D77" s="41" t="s">
        <v>317</v>
      </c>
      <c r="E77" s="17" t="s">
        <v>323</v>
      </c>
      <c r="F77" s="17" t="s">
        <v>316</v>
      </c>
      <c r="G77" s="17">
        <v>15810</v>
      </c>
      <c r="H77" s="41" t="s">
        <v>318</v>
      </c>
      <c r="I77" s="17" t="s">
        <v>319</v>
      </c>
    </row>
    <row r="78" spans="1:9" x14ac:dyDescent="0.35">
      <c r="A78" s="44">
        <v>72</v>
      </c>
      <c r="B78" s="17" t="s">
        <v>97</v>
      </c>
      <c r="C78" s="44">
        <v>4</v>
      </c>
      <c r="D78" s="41" t="s">
        <v>317</v>
      </c>
      <c r="E78" s="17" t="s">
        <v>323</v>
      </c>
      <c r="F78" s="17" t="s">
        <v>316</v>
      </c>
      <c r="G78" s="17">
        <v>15810</v>
      </c>
      <c r="H78" s="41" t="s">
        <v>318</v>
      </c>
      <c r="I78" s="17" t="s">
        <v>319</v>
      </c>
    </row>
    <row r="79" spans="1:9" x14ac:dyDescent="0.35">
      <c r="A79" s="44">
        <v>73</v>
      </c>
      <c r="B79" s="17" t="s">
        <v>250</v>
      </c>
      <c r="C79" s="44">
        <v>4</v>
      </c>
      <c r="D79" s="41" t="s">
        <v>317</v>
      </c>
      <c r="E79" s="17" t="s">
        <v>323</v>
      </c>
      <c r="F79" s="17" t="s">
        <v>316</v>
      </c>
      <c r="G79" s="17">
        <v>15810</v>
      </c>
      <c r="H79" s="41" t="s">
        <v>318</v>
      </c>
      <c r="I79" s="17" t="s">
        <v>319</v>
      </c>
    </row>
    <row r="80" spans="1:9" x14ac:dyDescent="0.35">
      <c r="A80" s="44">
        <v>74</v>
      </c>
      <c r="B80" s="17" t="s">
        <v>102</v>
      </c>
      <c r="C80" s="44">
        <v>4</v>
      </c>
      <c r="D80" s="41" t="s">
        <v>317</v>
      </c>
      <c r="E80" s="17" t="s">
        <v>323</v>
      </c>
      <c r="F80" s="17" t="s">
        <v>316</v>
      </c>
      <c r="G80" s="17">
        <v>15810</v>
      </c>
      <c r="H80" s="41" t="s">
        <v>318</v>
      </c>
      <c r="I80" s="17" t="s">
        <v>319</v>
      </c>
    </row>
    <row r="81" spans="1:9" x14ac:dyDescent="0.35">
      <c r="A81" s="44">
        <v>75</v>
      </c>
      <c r="B81" s="17" t="s">
        <v>182</v>
      </c>
      <c r="C81" s="44">
        <v>4</v>
      </c>
      <c r="D81" s="41" t="s">
        <v>317</v>
      </c>
      <c r="E81" s="17" t="s">
        <v>323</v>
      </c>
      <c r="F81" s="17" t="s">
        <v>316</v>
      </c>
      <c r="G81" s="17">
        <v>15810</v>
      </c>
      <c r="H81" s="41" t="s">
        <v>318</v>
      </c>
      <c r="I81" s="17" t="s">
        <v>319</v>
      </c>
    </row>
    <row r="82" spans="1:9" x14ac:dyDescent="0.35">
      <c r="A82" s="44">
        <v>76</v>
      </c>
      <c r="B82" s="17" t="s">
        <v>180</v>
      </c>
      <c r="C82" s="44">
        <v>4</v>
      </c>
      <c r="D82" s="41" t="s">
        <v>317</v>
      </c>
      <c r="E82" s="17" t="s">
        <v>323</v>
      </c>
      <c r="F82" s="17" t="s">
        <v>316</v>
      </c>
      <c r="G82" s="17">
        <v>15810</v>
      </c>
      <c r="H82" s="41" t="s">
        <v>318</v>
      </c>
      <c r="I82" s="17" t="s">
        <v>319</v>
      </c>
    </row>
    <row r="83" spans="1:9" x14ac:dyDescent="0.35">
      <c r="A83" s="44">
        <v>77</v>
      </c>
      <c r="B83" s="17" t="s">
        <v>84</v>
      </c>
      <c r="C83" s="44">
        <v>4</v>
      </c>
      <c r="D83" s="41" t="s">
        <v>317</v>
      </c>
      <c r="E83" s="17" t="s">
        <v>323</v>
      </c>
      <c r="F83" s="17" t="s">
        <v>316</v>
      </c>
      <c r="G83" s="17">
        <v>15810</v>
      </c>
      <c r="H83" s="41" t="s">
        <v>318</v>
      </c>
      <c r="I83" s="17" t="s">
        <v>319</v>
      </c>
    </row>
    <row r="84" spans="1:9" x14ac:dyDescent="0.35">
      <c r="A84" s="44">
        <v>78</v>
      </c>
      <c r="B84" s="17" t="s">
        <v>136</v>
      </c>
      <c r="C84" s="44">
        <v>4</v>
      </c>
      <c r="D84" s="41" t="s">
        <v>317</v>
      </c>
      <c r="E84" s="17" t="s">
        <v>323</v>
      </c>
      <c r="F84" s="17" t="s">
        <v>316</v>
      </c>
      <c r="G84" s="17">
        <v>15810</v>
      </c>
      <c r="H84" s="41" t="s">
        <v>318</v>
      </c>
      <c r="I84" s="17" t="s">
        <v>319</v>
      </c>
    </row>
    <row r="85" spans="1:9" x14ac:dyDescent="0.35">
      <c r="A85" s="44">
        <v>79</v>
      </c>
      <c r="B85" s="17" t="s">
        <v>191</v>
      </c>
      <c r="C85" s="44">
        <v>5</v>
      </c>
      <c r="D85" s="41" t="s">
        <v>317</v>
      </c>
      <c r="E85" s="17" t="s">
        <v>323</v>
      </c>
      <c r="F85" s="17" t="s">
        <v>316</v>
      </c>
      <c r="G85" s="17">
        <v>15810</v>
      </c>
      <c r="H85" s="41" t="s">
        <v>318</v>
      </c>
      <c r="I85" s="17" t="s">
        <v>319</v>
      </c>
    </row>
    <row r="86" spans="1:9" x14ac:dyDescent="0.35">
      <c r="A86" s="44">
        <v>80</v>
      </c>
      <c r="B86" s="17" t="s">
        <v>243</v>
      </c>
      <c r="C86" s="44">
        <v>5</v>
      </c>
      <c r="D86" s="41" t="s">
        <v>317</v>
      </c>
      <c r="E86" s="17" t="s">
        <v>323</v>
      </c>
      <c r="F86" s="17" t="s">
        <v>316</v>
      </c>
      <c r="G86" s="17">
        <v>15810</v>
      </c>
      <c r="H86" s="41" t="s">
        <v>318</v>
      </c>
      <c r="I86" s="17" t="s">
        <v>319</v>
      </c>
    </row>
    <row r="87" spans="1:9" x14ac:dyDescent="0.35">
      <c r="A87" s="44">
        <v>81</v>
      </c>
      <c r="B87" s="17" t="s">
        <v>95</v>
      </c>
      <c r="C87" s="44">
        <v>5</v>
      </c>
      <c r="D87" s="41" t="s">
        <v>317</v>
      </c>
      <c r="E87" s="17" t="s">
        <v>323</v>
      </c>
      <c r="F87" s="17" t="s">
        <v>316</v>
      </c>
      <c r="G87" s="17">
        <v>15810</v>
      </c>
      <c r="H87" s="41" t="s">
        <v>318</v>
      </c>
      <c r="I87" s="17" t="s">
        <v>319</v>
      </c>
    </row>
    <row r="88" spans="1:9" x14ac:dyDescent="0.35">
      <c r="A88" s="44">
        <v>82</v>
      </c>
      <c r="B88" s="17" t="s">
        <v>189</v>
      </c>
      <c r="C88" s="44">
        <v>5</v>
      </c>
      <c r="D88" s="41" t="s">
        <v>317</v>
      </c>
      <c r="E88" s="17" t="s">
        <v>323</v>
      </c>
      <c r="F88" s="17" t="s">
        <v>316</v>
      </c>
      <c r="G88" s="17">
        <v>15810</v>
      </c>
      <c r="H88" s="41" t="s">
        <v>318</v>
      </c>
      <c r="I88" s="17" t="s">
        <v>319</v>
      </c>
    </row>
    <row r="89" spans="1:9" x14ac:dyDescent="0.35">
      <c r="A89" s="44">
        <v>83</v>
      </c>
      <c r="B89" s="17" t="s">
        <v>93</v>
      </c>
      <c r="C89" s="44">
        <v>5</v>
      </c>
      <c r="D89" s="41" t="s">
        <v>317</v>
      </c>
      <c r="E89" s="17" t="s">
        <v>323</v>
      </c>
      <c r="F89" s="17" t="s">
        <v>316</v>
      </c>
      <c r="G89" s="17">
        <v>15810</v>
      </c>
      <c r="H89" s="41" t="s">
        <v>318</v>
      </c>
      <c r="I89" s="17" t="s">
        <v>319</v>
      </c>
    </row>
    <row r="90" spans="1:9" x14ac:dyDescent="0.35">
      <c r="A90" s="44">
        <v>84</v>
      </c>
      <c r="B90" s="17" t="s">
        <v>120</v>
      </c>
      <c r="C90" s="44">
        <v>5</v>
      </c>
      <c r="D90" s="41" t="s">
        <v>317</v>
      </c>
      <c r="E90" s="17" t="s">
        <v>323</v>
      </c>
      <c r="F90" s="17" t="s">
        <v>316</v>
      </c>
      <c r="G90" s="17">
        <v>15810</v>
      </c>
      <c r="H90" s="41" t="s">
        <v>318</v>
      </c>
      <c r="I90" s="17" t="s">
        <v>319</v>
      </c>
    </row>
    <row r="91" spans="1:9" x14ac:dyDescent="0.35">
      <c r="A91" s="44">
        <v>85</v>
      </c>
      <c r="B91" s="17" t="s">
        <v>107</v>
      </c>
      <c r="C91" s="44">
        <v>5</v>
      </c>
      <c r="D91" s="41" t="s">
        <v>317</v>
      </c>
      <c r="E91" s="17" t="s">
        <v>323</v>
      </c>
      <c r="F91" s="17" t="s">
        <v>316</v>
      </c>
      <c r="G91" s="17">
        <v>15810</v>
      </c>
      <c r="H91" s="41" t="s">
        <v>318</v>
      </c>
      <c r="I91" s="17" t="s">
        <v>319</v>
      </c>
    </row>
    <row r="92" spans="1:9" x14ac:dyDescent="0.35">
      <c r="A92" s="44">
        <v>86</v>
      </c>
      <c r="B92" s="17" t="s">
        <v>110</v>
      </c>
      <c r="C92" s="44">
        <v>5</v>
      </c>
      <c r="D92" s="41" t="s">
        <v>317</v>
      </c>
      <c r="E92" s="17" t="s">
        <v>323</v>
      </c>
      <c r="F92" s="17" t="s">
        <v>316</v>
      </c>
      <c r="G92" s="17">
        <v>15810</v>
      </c>
      <c r="H92" s="41" t="s">
        <v>318</v>
      </c>
      <c r="I92" s="17" t="s">
        <v>319</v>
      </c>
    </row>
    <row r="93" spans="1:9" x14ac:dyDescent="0.35">
      <c r="A93" s="44">
        <v>87</v>
      </c>
      <c r="B93" s="17" t="s">
        <v>111</v>
      </c>
      <c r="C93" s="44">
        <v>5</v>
      </c>
      <c r="D93" s="41" t="s">
        <v>317</v>
      </c>
      <c r="E93" s="17" t="s">
        <v>323</v>
      </c>
      <c r="F93" s="17" t="s">
        <v>316</v>
      </c>
      <c r="G93" s="17">
        <v>15810</v>
      </c>
      <c r="H93" s="41" t="s">
        <v>318</v>
      </c>
      <c r="I93" s="17" t="s">
        <v>319</v>
      </c>
    </row>
    <row r="94" spans="1:9" x14ac:dyDescent="0.35">
      <c r="A94" s="44">
        <v>88</v>
      </c>
      <c r="B94" s="17" t="s">
        <v>113</v>
      </c>
      <c r="C94" s="44">
        <v>5</v>
      </c>
      <c r="D94" s="41" t="s">
        <v>317</v>
      </c>
      <c r="E94" s="17" t="s">
        <v>323</v>
      </c>
      <c r="F94" s="17" t="s">
        <v>316</v>
      </c>
      <c r="G94" s="17">
        <v>15810</v>
      </c>
      <c r="H94" s="41" t="s">
        <v>318</v>
      </c>
      <c r="I94" s="17" t="s">
        <v>319</v>
      </c>
    </row>
    <row r="95" spans="1:9" x14ac:dyDescent="0.35">
      <c r="A95" s="44">
        <v>89</v>
      </c>
      <c r="B95" s="17" t="s">
        <v>174</v>
      </c>
      <c r="C95" s="44">
        <v>5</v>
      </c>
      <c r="D95" s="41" t="s">
        <v>317</v>
      </c>
      <c r="E95" s="17" t="s">
        <v>323</v>
      </c>
      <c r="F95" s="17" t="s">
        <v>316</v>
      </c>
      <c r="G95" s="17">
        <v>15810</v>
      </c>
      <c r="H95" s="41" t="s">
        <v>318</v>
      </c>
      <c r="I95" s="17" t="s">
        <v>319</v>
      </c>
    </row>
    <row r="96" spans="1:9" x14ac:dyDescent="0.35">
      <c r="A96" s="44">
        <v>90</v>
      </c>
      <c r="B96" s="17" t="s">
        <v>149</v>
      </c>
      <c r="C96" s="44">
        <v>5</v>
      </c>
      <c r="D96" s="41" t="s">
        <v>317</v>
      </c>
      <c r="E96" s="17" t="s">
        <v>323</v>
      </c>
      <c r="F96" s="17" t="s">
        <v>316</v>
      </c>
      <c r="G96" s="17">
        <v>15810</v>
      </c>
      <c r="H96" s="41" t="s">
        <v>318</v>
      </c>
      <c r="I96" s="17" t="s">
        <v>319</v>
      </c>
    </row>
    <row r="97" spans="1:9" x14ac:dyDescent="0.35">
      <c r="A97" s="44">
        <v>91</v>
      </c>
      <c r="B97" s="17" t="s">
        <v>297</v>
      </c>
      <c r="C97" s="44">
        <v>5</v>
      </c>
      <c r="D97" s="41" t="s">
        <v>317</v>
      </c>
      <c r="E97" s="17" t="s">
        <v>323</v>
      </c>
      <c r="F97" s="17" t="s">
        <v>316</v>
      </c>
      <c r="G97" s="17">
        <v>15810</v>
      </c>
      <c r="H97" s="41" t="s">
        <v>318</v>
      </c>
      <c r="I97" s="17" t="s">
        <v>319</v>
      </c>
    </row>
    <row r="98" spans="1:9" x14ac:dyDescent="0.35">
      <c r="A98" s="44">
        <v>92</v>
      </c>
      <c r="B98" s="17" t="s">
        <v>263</v>
      </c>
      <c r="C98" s="44">
        <v>6</v>
      </c>
      <c r="D98" s="41" t="s">
        <v>317</v>
      </c>
      <c r="E98" s="17" t="s">
        <v>323</v>
      </c>
      <c r="F98" s="17" t="s">
        <v>316</v>
      </c>
      <c r="G98" s="17">
        <v>15810</v>
      </c>
      <c r="H98" s="41" t="s">
        <v>318</v>
      </c>
      <c r="I98" s="17" t="s">
        <v>319</v>
      </c>
    </row>
    <row r="99" spans="1:9" x14ac:dyDescent="0.35">
      <c r="A99" s="44">
        <v>93</v>
      </c>
      <c r="B99" s="17" t="s">
        <v>285</v>
      </c>
      <c r="C99" s="44">
        <v>6</v>
      </c>
      <c r="D99" s="41" t="s">
        <v>317</v>
      </c>
      <c r="E99" s="17" t="s">
        <v>323</v>
      </c>
      <c r="F99" s="17" t="s">
        <v>316</v>
      </c>
      <c r="G99" s="17">
        <v>15810</v>
      </c>
      <c r="H99" s="41" t="s">
        <v>318</v>
      </c>
      <c r="I99" s="17" t="s">
        <v>319</v>
      </c>
    </row>
    <row r="100" spans="1:9" x14ac:dyDescent="0.35">
      <c r="A100" s="44">
        <v>94</v>
      </c>
      <c r="B100" s="43" t="s">
        <v>299</v>
      </c>
      <c r="C100" s="44">
        <v>6</v>
      </c>
      <c r="D100" s="41" t="s">
        <v>317</v>
      </c>
      <c r="E100" s="17" t="s">
        <v>323</v>
      </c>
      <c r="F100" s="17" t="s">
        <v>316</v>
      </c>
      <c r="G100" s="17">
        <v>15810</v>
      </c>
      <c r="H100" s="41" t="s">
        <v>318</v>
      </c>
      <c r="I100" s="17" t="s">
        <v>319</v>
      </c>
    </row>
    <row r="101" spans="1:9" x14ac:dyDescent="0.35">
      <c r="A101" s="44">
        <v>95</v>
      </c>
      <c r="B101" s="17" t="s">
        <v>294</v>
      </c>
      <c r="C101" s="44">
        <v>7</v>
      </c>
      <c r="D101" s="41" t="s">
        <v>317</v>
      </c>
      <c r="E101" s="17" t="s">
        <v>323</v>
      </c>
      <c r="F101" s="17" t="s">
        <v>316</v>
      </c>
      <c r="G101" s="17">
        <v>15810</v>
      </c>
      <c r="H101" s="41" t="s">
        <v>318</v>
      </c>
      <c r="I101" s="17" t="s">
        <v>319</v>
      </c>
    </row>
    <row r="102" spans="1:9" x14ac:dyDescent="0.35">
      <c r="A102" s="44">
        <v>96</v>
      </c>
      <c r="B102" s="17" t="s">
        <v>184</v>
      </c>
      <c r="C102" s="44">
        <v>7</v>
      </c>
      <c r="D102" s="41" t="s">
        <v>317</v>
      </c>
      <c r="E102" s="17" t="s">
        <v>323</v>
      </c>
      <c r="F102" s="17" t="s">
        <v>316</v>
      </c>
      <c r="G102" s="17">
        <v>15810</v>
      </c>
      <c r="H102" s="41" t="s">
        <v>318</v>
      </c>
      <c r="I102" s="17" t="s">
        <v>319</v>
      </c>
    </row>
    <row r="103" spans="1:9" x14ac:dyDescent="0.35">
      <c r="A103" s="44">
        <v>97</v>
      </c>
      <c r="B103" s="17" t="s">
        <v>196</v>
      </c>
      <c r="C103" s="44">
        <v>7</v>
      </c>
      <c r="D103" s="41" t="s">
        <v>317</v>
      </c>
      <c r="E103" s="17" t="s">
        <v>323</v>
      </c>
      <c r="F103" s="17" t="s">
        <v>316</v>
      </c>
      <c r="G103" s="17">
        <v>15810</v>
      </c>
      <c r="H103" s="41" t="s">
        <v>318</v>
      </c>
      <c r="I103" s="17" t="s">
        <v>319</v>
      </c>
    </row>
    <row r="104" spans="1:9" x14ac:dyDescent="0.35">
      <c r="A104" s="44">
        <v>98</v>
      </c>
      <c r="B104" s="17" t="s">
        <v>188</v>
      </c>
      <c r="C104" s="44">
        <v>7</v>
      </c>
      <c r="D104" s="41" t="s">
        <v>317</v>
      </c>
      <c r="E104" s="17" t="s">
        <v>323</v>
      </c>
      <c r="F104" s="17" t="s">
        <v>316</v>
      </c>
      <c r="G104" s="17">
        <v>15810</v>
      </c>
      <c r="H104" s="41" t="s">
        <v>318</v>
      </c>
      <c r="I104" s="17" t="s">
        <v>319</v>
      </c>
    </row>
    <row r="105" spans="1:9" x14ac:dyDescent="0.35">
      <c r="A105" s="44">
        <v>99</v>
      </c>
      <c r="B105" s="17" t="s">
        <v>236</v>
      </c>
      <c r="C105" s="44">
        <v>7</v>
      </c>
      <c r="D105" s="41" t="s">
        <v>317</v>
      </c>
      <c r="E105" s="17" t="s">
        <v>323</v>
      </c>
      <c r="F105" s="17" t="s">
        <v>316</v>
      </c>
      <c r="G105" s="17">
        <v>15810</v>
      </c>
      <c r="H105" s="41" t="s">
        <v>318</v>
      </c>
      <c r="I105" s="17" t="s">
        <v>319</v>
      </c>
    </row>
    <row r="106" spans="1:9" x14ac:dyDescent="0.35">
      <c r="A106" s="44">
        <v>100</v>
      </c>
      <c r="B106" s="17" t="s">
        <v>183</v>
      </c>
      <c r="C106" s="44">
        <v>7</v>
      </c>
      <c r="D106" s="41" t="s">
        <v>317</v>
      </c>
      <c r="E106" s="17" t="s">
        <v>323</v>
      </c>
      <c r="F106" s="17" t="s">
        <v>316</v>
      </c>
      <c r="G106" s="17">
        <v>15810</v>
      </c>
      <c r="H106" s="41" t="s">
        <v>318</v>
      </c>
      <c r="I106" s="17" t="s">
        <v>319</v>
      </c>
    </row>
    <row r="107" spans="1:9" x14ac:dyDescent="0.35">
      <c r="A107" s="44">
        <v>101</v>
      </c>
      <c r="B107" s="17" t="s">
        <v>241</v>
      </c>
      <c r="C107" s="44">
        <v>7</v>
      </c>
      <c r="D107" s="41" t="s">
        <v>317</v>
      </c>
      <c r="E107" s="17" t="s">
        <v>323</v>
      </c>
      <c r="F107" s="17" t="s">
        <v>316</v>
      </c>
      <c r="G107" s="17">
        <v>15810</v>
      </c>
      <c r="H107" s="41" t="s">
        <v>318</v>
      </c>
      <c r="I107" s="17" t="s">
        <v>319</v>
      </c>
    </row>
    <row r="108" spans="1:9" x14ac:dyDescent="0.35">
      <c r="A108" s="44">
        <v>102</v>
      </c>
      <c r="B108" s="17" t="s">
        <v>295</v>
      </c>
      <c r="C108" s="44">
        <v>7</v>
      </c>
      <c r="D108" s="41" t="s">
        <v>317</v>
      </c>
      <c r="E108" s="17" t="s">
        <v>323</v>
      </c>
      <c r="F108" s="17" t="s">
        <v>316</v>
      </c>
      <c r="G108" s="17">
        <v>15810</v>
      </c>
      <c r="H108" s="41" t="s">
        <v>318</v>
      </c>
      <c r="I108" s="17" t="s">
        <v>319</v>
      </c>
    </row>
    <row r="109" spans="1:9" x14ac:dyDescent="0.35">
      <c r="A109" s="44">
        <v>103</v>
      </c>
      <c r="B109" s="17" t="s">
        <v>91</v>
      </c>
      <c r="C109" s="44" t="s">
        <v>240</v>
      </c>
      <c r="D109" s="41" t="s">
        <v>317</v>
      </c>
      <c r="E109" s="17" t="s">
        <v>323</v>
      </c>
      <c r="F109" s="17" t="s">
        <v>316</v>
      </c>
      <c r="G109" s="17">
        <v>15810</v>
      </c>
      <c r="H109" s="41" t="s">
        <v>318</v>
      </c>
      <c r="I109" s="17" t="s">
        <v>319</v>
      </c>
    </row>
    <row r="110" spans="1:9" x14ac:dyDescent="0.35">
      <c r="A110" s="44">
        <v>104</v>
      </c>
      <c r="B110" s="17" t="s">
        <v>104</v>
      </c>
      <c r="C110" s="44" t="s">
        <v>240</v>
      </c>
      <c r="D110" s="41" t="s">
        <v>317</v>
      </c>
      <c r="E110" s="17" t="s">
        <v>323</v>
      </c>
      <c r="F110" s="17" t="s">
        <v>316</v>
      </c>
      <c r="G110" s="17">
        <v>15810</v>
      </c>
      <c r="H110" s="41" t="s">
        <v>318</v>
      </c>
      <c r="I110" s="17" t="s">
        <v>319</v>
      </c>
    </row>
    <row r="111" spans="1:9" x14ac:dyDescent="0.35">
      <c r="A111" s="44">
        <v>105</v>
      </c>
      <c r="B111" s="43" t="s">
        <v>219</v>
      </c>
      <c r="C111" s="44" t="s">
        <v>201</v>
      </c>
      <c r="D111" s="41" t="s">
        <v>317</v>
      </c>
      <c r="E111" s="17" t="s">
        <v>323</v>
      </c>
      <c r="F111" s="17" t="s">
        <v>316</v>
      </c>
      <c r="G111" s="17">
        <v>15810</v>
      </c>
      <c r="H111" s="41" t="s">
        <v>318</v>
      </c>
      <c r="I111" s="17" t="s">
        <v>319</v>
      </c>
    </row>
    <row r="112" spans="1:9" x14ac:dyDescent="0.35">
      <c r="A112" s="44">
        <v>106</v>
      </c>
      <c r="B112" s="17" t="s">
        <v>200</v>
      </c>
      <c r="C112" s="44" t="s">
        <v>201</v>
      </c>
      <c r="D112" s="41" t="s">
        <v>317</v>
      </c>
      <c r="E112" s="17" t="s">
        <v>323</v>
      </c>
      <c r="F112" s="17" t="s">
        <v>316</v>
      </c>
      <c r="G112" s="17">
        <v>15810</v>
      </c>
      <c r="H112" s="41" t="s">
        <v>318</v>
      </c>
      <c r="I112" s="17" t="s">
        <v>319</v>
      </c>
    </row>
    <row r="113" spans="1:9" x14ac:dyDescent="0.35">
      <c r="A113" s="44">
        <v>107</v>
      </c>
      <c r="B113" s="17" t="s">
        <v>198</v>
      </c>
      <c r="C113" s="44" t="s">
        <v>239</v>
      </c>
      <c r="D113" s="41" t="s">
        <v>317</v>
      </c>
      <c r="E113" s="17" t="s">
        <v>323</v>
      </c>
      <c r="F113" s="17" t="s">
        <v>316</v>
      </c>
      <c r="G113" s="17">
        <v>15810</v>
      </c>
      <c r="H113" s="41" t="s">
        <v>318</v>
      </c>
      <c r="I113" s="17" t="s">
        <v>319</v>
      </c>
    </row>
    <row r="114" spans="1:9" x14ac:dyDescent="0.35">
      <c r="A114" s="44">
        <v>108</v>
      </c>
      <c r="B114" s="17" t="s">
        <v>237</v>
      </c>
      <c r="C114" s="44" t="s">
        <v>238</v>
      </c>
      <c r="D114" s="41" t="s">
        <v>317</v>
      </c>
      <c r="E114" s="17" t="s">
        <v>323</v>
      </c>
      <c r="F114" s="17" t="s">
        <v>316</v>
      </c>
      <c r="G114" s="17">
        <v>15810</v>
      </c>
      <c r="H114" s="41" t="s">
        <v>318</v>
      </c>
      <c r="I114" s="17" t="s">
        <v>319</v>
      </c>
    </row>
  </sheetData>
  <mergeCells count="3">
    <mergeCell ref="A3:I3"/>
    <mergeCell ref="A4:I4"/>
    <mergeCell ref="A5:I5"/>
  </mergeCells>
  <pageMargins left="0.7" right="0.7" top="0.75" bottom="0.75" header="0.3" footer="0.3"/>
  <pageSetup paperSize="9" scale="78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C4B5-ABF9-4649-8AE4-8195A3EE9BE9}">
  <sheetPr filterMode="1">
    <tabColor rgb="FF92D050"/>
  </sheetPr>
  <dimension ref="B2:N66"/>
  <sheetViews>
    <sheetView zoomScale="74" workbookViewId="0">
      <selection activeCell="G73" sqref="G73"/>
    </sheetView>
  </sheetViews>
  <sheetFormatPr defaultRowHeight="14.5" x14ac:dyDescent="0.35"/>
  <cols>
    <col min="2" max="2" width="5.90625" customWidth="1"/>
    <col min="3" max="3" width="26.1796875" customWidth="1"/>
    <col min="5" max="5" width="14.81640625" hidden="1" customWidth="1"/>
    <col min="6" max="6" width="12.26953125" bestFit="1" customWidth="1"/>
    <col min="8" max="8" width="10.1796875" bestFit="1" customWidth="1"/>
    <col min="13" max="13" width="11.08984375" customWidth="1"/>
    <col min="14" max="14" width="13.6328125" customWidth="1"/>
  </cols>
  <sheetData>
    <row r="2" spans="2:12" x14ac:dyDescent="0.35">
      <c r="B2" s="1" t="s">
        <v>8</v>
      </c>
      <c r="C2" s="1" t="s">
        <v>9</v>
      </c>
      <c r="D2" s="1" t="s">
        <v>10</v>
      </c>
      <c r="E2" s="2" t="s">
        <v>121</v>
      </c>
      <c r="F2" s="2" t="s">
        <v>122</v>
      </c>
      <c r="G2" s="1" t="s">
        <v>11</v>
      </c>
      <c r="H2" s="1" t="s">
        <v>234</v>
      </c>
    </row>
    <row r="3" spans="2:12" hidden="1" x14ac:dyDescent="0.35">
      <c r="B3" s="1">
        <v>1</v>
      </c>
      <c r="C3" t="s">
        <v>13</v>
      </c>
      <c r="E3" s="3"/>
      <c r="F3" s="3"/>
      <c r="G3" s="1" t="s">
        <v>73</v>
      </c>
    </row>
    <row r="4" spans="2:12" hidden="1" x14ac:dyDescent="0.35">
      <c r="B4" s="1">
        <v>2</v>
      </c>
      <c r="C4" t="s">
        <v>14</v>
      </c>
      <c r="E4" s="3"/>
      <c r="F4" s="3"/>
      <c r="G4" s="1" t="s">
        <v>74</v>
      </c>
    </row>
    <row r="5" spans="2:12" x14ac:dyDescent="0.35">
      <c r="B5" s="1">
        <v>3</v>
      </c>
      <c r="C5" t="s">
        <v>15</v>
      </c>
      <c r="E5" s="3"/>
      <c r="F5" s="3">
        <v>250000</v>
      </c>
      <c r="G5" s="1" t="s">
        <v>74</v>
      </c>
      <c r="H5" s="3"/>
    </row>
    <row r="6" spans="2:12" x14ac:dyDescent="0.35">
      <c r="B6" s="1">
        <v>4</v>
      </c>
      <c r="C6" t="s">
        <v>16</v>
      </c>
      <c r="E6" s="3"/>
      <c r="F6" s="3">
        <v>12000</v>
      </c>
      <c r="G6" s="1" t="s">
        <v>73</v>
      </c>
    </row>
    <row r="7" spans="2:12" x14ac:dyDescent="0.35">
      <c r="B7" s="1">
        <v>5</v>
      </c>
      <c r="C7" t="s">
        <v>17</v>
      </c>
      <c r="E7" s="3"/>
      <c r="F7" s="3">
        <v>15000</v>
      </c>
      <c r="G7" s="1" t="s">
        <v>73</v>
      </c>
      <c r="H7" s="3"/>
    </row>
    <row r="8" spans="2:12" hidden="1" x14ac:dyDescent="0.35">
      <c r="B8" s="1">
        <v>6</v>
      </c>
      <c r="C8" t="s">
        <v>18</v>
      </c>
      <c r="E8" s="3"/>
      <c r="F8" s="3"/>
      <c r="G8" s="1" t="s">
        <v>73</v>
      </c>
    </row>
    <row r="9" spans="2:12" hidden="1" x14ac:dyDescent="0.35">
      <c r="B9" s="1">
        <v>7</v>
      </c>
      <c r="C9" t="s">
        <v>19</v>
      </c>
      <c r="E9" s="3"/>
      <c r="F9" s="3"/>
      <c r="G9" s="1" t="s">
        <v>73</v>
      </c>
    </row>
    <row r="10" spans="2:12" hidden="1" x14ac:dyDescent="0.35">
      <c r="B10" s="1">
        <v>8</v>
      </c>
      <c r="C10" t="s">
        <v>20</v>
      </c>
      <c r="E10" s="3"/>
      <c r="F10" s="3"/>
      <c r="G10" s="1" t="s">
        <v>73</v>
      </c>
    </row>
    <row r="11" spans="2:12" hidden="1" x14ac:dyDescent="0.35">
      <c r="B11" s="1">
        <v>9</v>
      </c>
      <c r="C11" t="s">
        <v>21</v>
      </c>
      <c r="E11" s="3"/>
      <c r="F11" s="3"/>
      <c r="G11" s="1" t="s">
        <v>73</v>
      </c>
    </row>
    <row r="12" spans="2:12" x14ac:dyDescent="0.35">
      <c r="B12" s="1">
        <v>10</v>
      </c>
      <c r="C12" t="s">
        <v>22</v>
      </c>
      <c r="E12" s="3"/>
      <c r="F12" s="3">
        <v>4000</v>
      </c>
      <c r="G12" s="1" t="s">
        <v>73</v>
      </c>
      <c r="H12" s="3">
        <v>4500</v>
      </c>
      <c r="I12" s="4"/>
      <c r="J12" s="4"/>
      <c r="K12" s="4"/>
      <c r="L12" s="4"/>
    </row>
    <row r="13" spans="2:12" hidden="1" x14ac:dyDescent="0.35">
      <c r="B13" s="1">
        <v>11</v>
      </c>
      <c r="C13" t="s">
        <v>23</v>
      </c>
      <c r="E13" s="3"/>
      <c r="F13" s="3"/>
      <c r="G13" s="1" t="s">
        <v>73</v>
      </c>
    </row>
    <row r="14" spans="2:12" hidden="1" x14ac:dyDescent="0.35">
      <c r="B14" s="1">
        <v>12</v>
      </c>
      <c r="C14" t="s">
        <v>25</v>
      </c>
      <c r="E14" s="3"/>
      <c r="F14" s="3"/>
      <c r="G14" s="1" t="s">
        <v>73</v>
      </c>
    </row>
    <row r="15" spans="2:12" hidden="1" x14ac:dyDescent="0.35">
      <c r="B15" s="1">
        <v>13</v>
      </c>
      <c r="C15" t="s">
        <v>24</v>
      </c>
      <c r="E15" s="3"/>
      <c r="F15" s="3"/>
      <c r="G15" s="1" t="s">
        <v>73</v>
      </c>
    </row>
    <row r="16" spans="2:12" hidden="1" x14ac:dyDescent="0.35">
      <c r="B16" s="1">
        <v>14</v>
      </c>
      <c r="C16" t="s">
        <v>26</v>
      </c>
      <c r="E16" s="3"/>
      <c r="F16" s="3"/>
      <c r="G16" s="1" t="s">
        <v>73</v>
      </c>
    </row>
    <row r="17" spans="2:14" x14ac:dyDescent="0.35">
      <c r="B17" s="1">
        <v>15</v>
      </c>
      <c r="C17" t="s">
        <v>27</v>
      </c>
      <c r="E17" s="3"/>
      <c r="F17" s="70">
        <v>6000</v>
      </c>
      <c r="G17" s="1" t="s">
        <v>73</v>
      </c>
      <c r="H17" s="3">
        <v>4000</v>
      </c>
      <c r="M17" s="17" t="s">
        <v>125</v>
      </c>
      <c r="N17" s="17"/>
    </row>
    <row r="18" spans="2:14" x14ac:dyDescent="0.35">
      <c r="B18" s="1">
        <v>16</v>
      </c>
      <c r="C18" t="s">
        <v>28</v>
      </c>
      <c r="E18" s="3"/>
      <c r="F18" s="3">
        <v>1200</v>
      </c>
      <c r="G18" s="1" t="s">
        <v>73</v>
      </c>
      <c r="H18" s="3"/>
      <c r="M18" s="17" t="s">
        <v>124</v>
      </c>
      <c r="N18" s="41" t="s">
        <v>123</v>
      </c>
    </row>
    <row r="19" spans="2:14" hidden="1" x14ac:dyDescent="0.35">
      <c r="B19" s="1">
        <v>17</v>
      </c>
      <c r="C19" t="s">
        <v>29</v>
      </c>
      <c r="E19" s="3"/>
      <c r="F19" s="3"/>
      <c r="G19" s="1" t="s">
        <v>73</v>
      </c>
    </row>
    <row r="20" spans="2:14" hidden="1" x14ac:dyDescent="0.35">
      <c r="B20" s="1">
        <v>18</v>
      </c>
      <c r="C20" t="s">
        <v>30</v>
      </c>
      <c r="E20" s="3"/>
      <c r="F20" s="3"/>
      <c r="G20" s="1" t="s">
        <v>74</v>
      </c>
    </row>
    <row r="21" spans="2:14" x14ac:dyDescent="0.35">
      <c r="B21" s="1">
        <v>19</v>
      </c>
      <c r="C21" t="s">
        <v>7</v>
      </c>
      <c r="E21" s="3"/>
      <c r="F21" s="3">
        <v>1500</v>
      </c>
      <c r="G21" s="1" t="s">
        <v>73</v>
      </c>
      <c r="H21" s="3"/>
    </row>
    <row r="22" spans="2:14" hidden="1" x14ac:dyDescent="0.35">
      <c r="B22" s="1">
        <v>20</v>
      </c>
      <c r="C22" t="s">
        <v>31</v>
      </c>
      <c r="E22" s="3"/>
      <c r="F22" s="3"/>
      <c r="G22" s="1" t="s">
        <v>73</v>
      </c>
    </row>
    <row r="23" spans="2:14" x14ac:dyDescent="0.35">
      <c r="B23" s="1">
        <v>21</v>
      </c>
      <c r="C23" t="s">
        <v>32</v>
      </c>
      <c r="E23" s="3"/>
      <c r="F23" s="3">
        <v>1000</v>
      </c>
      <c r="G23" s="1" t="s">
        <v>74</v>
      </c>
      <c r="H23" s="3">
        <v>700</v>
      </c>
    </row>
    <row r="24" spans="2:14" hidden="1" x14ac:dyDescent="0.35">
      <c r="B24" s="1">
        <v>22</v>
      </c>
      <c r="C24" t="s">
        <v>33</v>
      </c>
      <c r="E24" s="3"/>
      <c r="F24" s="3"/>
      <c r="G24" s="1" t="s">
        <v>73</v>
      </c>
    </row>
    <row r="25" spans="2:14" x14ac:dyDescent="0.35">
      <c r="B25" s="1">
        <v>23</v>
      </c>
      <c r="C25" t="s">
        <v>34</v>
      </c>
      <c r="E25" s="3"/>
      <c r="F25" s="3">
        <v>4000</v>
      </c>
      <c r="G25" s="1" t="s">
        <v>73</v>
      </c>
      <c r="H25" s="3">
        <v>4000</v>
      </c>
    </row>
    <row r="26" spans="2:14" hidden="1" x14ac:dyDescent="0.35">
      <c r="B26" s="1">
        <v>24</v>
      </c>
      <c r="C26" t="s">
        <v>35</v>
      </c>
      <c r="E26" s="3"/>
      <c r="F26" s="3"/>
      <c r="G26" s="1" t="s">
        <v>74</v>
      </c>
    </row>
    <row r="27" spans="2:14" hidden="1" x14ac:dyDescent="0.35">
      <c r="B27" s="1">
        <v>25</v>
      </c>
      <c r="C27" t="s">
        <v>36</v>
      </c>
      <c r="E27" s="3"/>
      <c r="F27" s="3"/>
      <c r="G27" s="1" t="s">
        <v>73</v>
      </c>
    </row>
    <row r="28" spans="2:14" hidden="1" x14ac:dyDescent="0.35">
      <c r="B28" s="1">
        <v>26</v>
      </c>
      <c r="C28" t="s">
        <v>37</v>
      </c>
      <c r="E28" s="3"/>
      <c r="F28" s="3"/>
      <c r="G28" s="1" t="s">
        <v>73</v>
      </c>
    </row>
    <row r="29" spans="2:14" hidden="1" x14ac:dyDescent="0.35">
      <c r="B29" s="1">
        <v>27</v>
      </c>
      <c r="C29" t="s">
        <v>38</v>
      </c>
      <c r="E29" s="3"/>
      <c r="F29" s="3"/>
      <c r="G29" s="1" t="s">
        <v>73</v>
      </c>
    </row>
    <row r="30" spans="2:14" hidden="1" x14ac:dyDescent="0.35">
      <c r="B30" s="1">
        <v>28</v>
      </c>
      <c r="C30" t="s">
        <v>39</v>
      </c>
      <c r="E30" s="3"/>
      <c r="F30" s="3"/>
      <c r="G30" s="1" t="s">
        <v>73</v>
      </c>
    </row>
    <row r="31" spans="2:14" hidden="1" x14ac:dyDescent="0.35">
      <c r="B31" s="1">
        <v>29</v>
      </c>
      <c r="C31" t="s">
        <v>77</v>
      </c>
      <c r="E31" s="3"/>
      <c r="F31" s="3"/>
      <c r="G31" s="1" t="s">
        <v>73</v>
      </c>
    </row>
    <row r="32" spans="2:14" hidden="1" x14ac:dyDescent="0.35">
      <c r="B32" s="1">
        <v>30</v>
      </c>
      <c r="C32" t="s">
        <v>40</v>
      </c>
      <c r="E32" s="3"/>
      <c r="F32" s="3"/>
      <c r="G32" s="1" t="s">
        <v>73</v>
      </c>
    </row>
    <row r="33" spans="2:8" x14ac:dyDescent="0.35">
      <c r="B33" s="1">
        <v>31</v>
      </c>
      <c r="C33" t="s">
        <v>41</v>
      </c>
      <c r="E33" s="3"/>
      <c r="F33" s="3">
        <v>2000</v>
      </c>
      <c r="G33" s="1" t="s">
        <v>73</v>
      </c>
      <c r="H33" s="3"/>
    </row>
    <row r="34" spans="2:8" x14ac:dyDescent="0.35">
      <c r="B34" s="1">
        <v>32</v>
      </c>
      <c r="C34" t="s">
        <v>42</v>
      </c>
      <c r="E34" s="3"/>
      <c r="F34" s="3">
        <v>1600</v>
      </c>
      <c r="G34" s="1" t="s">
        <v>73</v>
      </c>
      <c r="H34" s="3"/>
    </row>
    <row r="35" spans="2:8" hidden="1" x14ac:dyDescent="0.35">
      <c r="B35" s="1">
        <v>33</v>
      </c>
      <c r="C35" t="s">
        <v>43</v>
      </c>
      <c r="E35" s="3"/>
      <c r="F35" s="3"/>
      <c r="G35" s="1" t="s">
        <v>73</v>
      </c>
    </row>
    <row r="36" spans="2:8" hidden="1" x14ac:dyDescent="0.35">
      <c r="B36" s="1">
        <v>34</v>
      </c>
      <c r="C36" t="s">
        <v>44</v>
      </c>
      <c r="E36" s="3"/>
      <c r="F36" s="3"/>
      <c r="G36" s="1" t="s">
        <v>73</v>
      </c>
    </row>
    <row r="37" spans="2:8" hidden="1" x14ac:dyDescent="0.35">
      <c r="B37" s="1">
        <v>35</v>
      </c>
      <c r="C37" t="s">
        <v>45</v>
      </c>
      <c r="E37" s="3"/>
      <c r="F37" s="3"/>
      <c r="G37" s="1" t="s">
        <v>73</v>
      </c>
    </row>
    <row r="38" spans="2:8" hidden="1" x14ac:dyDescent="0.35">
      <c r="B38" s="1">
        <v>36</v>
      </c>
      <c r="C38" t="s">
        <v>46</v>
      </c>
      <c r="E38" s="3"/>
      <c r="F38" s="3"/>
      <c r="G38" s="1" t="s">
        <v>73</v>
      </c>
    </row>
    <row r="39" spans="2:8" hidden="1" x14ac:dyDescent="0.35">
      <c r="B39" s="1">
        <v>37</v>
      </c>
      <c r="C39" t="s">
        <v>47</v>
      </c>
      <c r="E39" s="3"/>
      <c r="F39" s="3"/>
      <c r="G39" s="1" t="s">
        <v>73</v>
      </c>
    </row>
    <row r="40" spans="2:8" hidden="1" x14ac:dyDescent="0.35">
      <c r="B40" s="1">
        <v>38</v>
      </c>
      <c r="C40" t="s">
        <v>48</v>
      </c>
      <c r="E40" s="3"/>
      <c r="F40" s="3"/>
      <c r="G40" s="1" t="s">
        <v>74</v>
      </c>
    </row>
    <row r="41" spans="2:8" hidden="1" x14ac:dyDescent="0.35">
      <c r="B41" s="1">
        <v>39</v>
      </c>
      <c r="C41" t="s">
        <v>49</v>
      </c>
      <c r="E41" s="3"/>
      <c r="F41" s="3"/>
      <c r="G41" s="1" t="s">
        <v>73</v>
      </c>
    </row>
    <row r="42" spans="2:8" x14ac:dyDescent="0.35">
      <c r="B42" s="1">
        <v>40</v>
      </c>
      <c r="C42" t="s">
        <v>50</v>
      </c>
      <c r="E42" s="3"/>
      <c r="F42" s="3">
        <v>70000</v>
      </c>
      <c r="G42" s="1" t="s">
        <v>74</v>
      </c>
      <c r="H42" s="3"/>
    </row>
    <row r="43" spans="2:8" x14ac:dyDescent="0.35">
      <c r="B43" s="1">
        <v>41</v>
      </c>
      <c r="C43" t="s">
        <v>51</v>
      </c>
      <c r="E43" s="3"/>
      <c r="F43" s="3">
        <v>120000</v>
      </c>
      <c r="G43" s="1" t="s">
        <v>74</v>
      </c>
      <c r="H43" s="3"/>
    </row>
    <row r="44" spans="2:8" hidden="1" x14ac:dyDescent="0.35">
      <c r="B44" s="1">
        <v>42</v>
      </c>
      <c r="C44" t="s">
        <v>52</v>
      </c>
      <c r="E44" s="3"/>
      <c r="F44" s="3"/>
      <c r="G44" s="1" t="s">
        <v>73</v>
      </c>
    </row>
    <row r="45" spans="2:8" hidden="1" x14ac:dyDescent="0.35">
      <c r="B45" s="1">
        <v>43</v>
      </c>
      <c r="C45" t="s">
        <v>53</v>
      </c>
      <c r="E45" s="3"/>
      <c r="F45" s="3"/>
      <c r="G45" s="1" t="s">
        <v>74</v>
      </c>
    </row>
    <row r="46" spans="2:8" hidden="1" x14ac:dyDescent="0.35">
      <c r="B46" s="1">
        <v>44</v>
      </c>
      <c r="C46" t="s">
        <v>54</v>
      </c>
      <c r="E46" s="3"/>
      <c r="F46" s="3"/>
      <c r="G46" s="1" t="s">
        <v>73</v>
      </c>
    </row>
    <row r="47" spans="2:8" x14ac:dyDescent="0.35">
      <c r="B47" s="1">
        <v>45</v>
      </c>
      <c r="C47" t="s">
        <v>55</v>
      </c>
      <c r="E47" s="3"/>
      <c r="F47" s="3">
        <v>70000</v>
      </c>
      <c r="G47" s="1" t="s">
        <v>74</v>
      </c>
      <c r="H47" s="3"/>
    </row>
    <row r="48" spans="2:8" hidden="1" x14ac:dyDescent="0.35">
      <c r="B48" s="1">
        <v>46</v>
      </c>
      <c r="C48" t="s">
        <v>56</v>
      </c>
      <c r="E48" s="3"/>
      <c r="F48" s="3"/>
      <c r="G48" s="1" t="s">
        <v>75</v>
      </c>
    </row>
    <row r="49" spans="2:7" hidden="1" x14ac:dyDescent="0.35">
      <c r="B49" s="1">
        <v>47</v>
      </c>
      <c r="C49" t="s">
        <v>88</v>
      </c>
      <c r="E49" s="3"/>
      <c r="F49" s="3"/>
      <c r="G49" s="1" t="s">
        <v>73</v>
      </c>
    </row>
    <row r="50" spans="2:7" hidden="1" x14ac:dyDescent="0.35">
      <c r="B50" s="1">
        <v>48</v>
      </c>
      <c r="C50" t="s">
        <v>57</v>
      </c>
      <c r="E50" s="3"/>
      <c r="F50" s="3"/>
      <c r="G50" s="1" t="s">
        <v>74</v>
      </c>
    </row>
    <row r="51" spans="2:7" hidden="1" x14ac:dyDescent="0.35">
      <c r="B51" s="1">
        <v>49</v>
      </c>
      <c r="C51" t="s">
        <v>58</v>
      </c>
      <c r="E51" s="3"/>
      <c r="F51" s="3"/>
      <c r="G51" s="1" t="s">
        <v>74</v>
      </c>
    </row>
    <row r="52" spans="2:7" hidden="1" x14ac:dyDescent="0.35">
      <c r="B52" s="1">
        <v>50</v>
      </c>
      <c r="C52" t="s">
        <v>6</v>
      </c>
      <c r="E52" s="3"/>
      <c r="F52" s="3"/>
      <c r="G52" s="1" t="s">
        <v>73</v>
      </c>
    </row>
    <row r="53" spans="2:7" hidden="1" x14ac:dyDescent="0.35">
      <c r="B53" s="1">
        <v>51</v>
      </c>
      <c r="C53" t="s">
        <v>59</v>
      </c>
      <c r="E53" s="3"/>
      <c r="F53" s="3"/>
      <c r="G53" s="1" t="s">
        <v>75</v>
      </c>
    </row>
    <row r="54" spans="2:7" hidden="1" x14ac:dyDescent="0.35">
      <c r="B54" s="1">
        <v>52</v>
      </c>
      <c r="C54" t="s">
        <v>60</v>
      </c>
      <c r="E54" s="3"/>
      <c r="F54" s="3"/>
      <c r="G54" s="1" t="s">
        <v>73</v>
      </c>
    </row>
    <row r="55" spans="2:7" hidden="1" x14ac:dyDescent="0.35">
      <c r="B55" s="1">
        <v>53</v>
      </c>
      <c r="C55" t="s">
        <v>61</v>
      </c>
      <c r="E55" s="3"/>
      <c r="F55" s="3"/>
      <c r="G55" s="1" t="s">
        <v>73</v>
      </c>
    </row>
    <row r="56" spans="2:7" hidden="1" x14ac:dyDescent="0.35">
      <c r="B56" s="1">
        <v>54</v>
      </c>
      <c r="C56" t="s">
        <v>62</v>
      </c>
      <c r="E56" s="3"/>
      <c r="F56" s="3"/>
      <c r="G56" s="1" t="s">
        <v>73</v>
      </c>
    </row>
    <row r="57" spans="2:7" hidden="1" x14ac:dyDescent="0.35">
      <c r="B57" s="1">
        <v>55</v>
      </c>
      <c r="C57" t="s">
        <v>63</v>
      </c>
      <c r="E57" s="3"/>
      <c r="F57" s="3"/>
      <c r="G57" s="1" t="s">
        <v>73</v>
      </c>
    </row>
    <row r="58" spans="2:7" hidden="1" x14ac:dyDescent="0.35">
      <c r="B58" s="1">
        <v>56</v>
      </c>
      <c r="C58" t="s">
        <v>64</v>
      </c>
      <c r="E58" s="3"/>
      <c r="F58" s="3"/>
      <c r="G58" s="1" t="s">
        <v>73</v>
      </c>
    </row>
    <row r="59" spans="2:7" hidden="1" x14ac:dyDescent="0.35">
      <c r="B59" s="1">
        <v>57</v>
      </c>
      <c r="C59" t="s">
        <v>65</v>
      </c>
      <c r="E59" s="3"/>
      <c r="F59" s="3"/>
      <c r="G59" s="1" t="s">
        <v>73</v>
      </c>
    </row>
    <row r="60" spans="2:7" hidden="1" x14ac:dyDescent="0.35">
      <c r="B60" s="1">
        <v>58</v>
      </c>
      <c r="C60" t="s">
        <v>66</v>
      </c>
      <c r="E60" s="3"/>
      <c r="F60" s="3"/>
      <c r="G60" s="1" t="s">
        <v>73</v>
      </c>
    </row>
    <row r="61" spans="2:7" hidden="1" x14ac:dyDescent="0.35">
      <c r="B61" s="1">
        <v>59</v>
      </c>
      <c r="C61" t="s">
        <v>67</v>
      </c>
      <c r="E61" s="3"/>
      <c r="F61" s="3"/>
      <c r="G61" s="1" t="s">
        <v>73</v>
      </c>
    </row>
    <row r="62" spans="2:7" hidden="1" x14ac:dyDescent="0.35">
      <c r="B62" s="1">
        <v>60</v>
      </c>
      <c r="C62" t="s">
        <v>68</v>
      </c>
      <c r="E62" s="3"/>
      <c r="F62" s="3"/>
      <c r="G62" s="1" t="s">
        <v>73</v>
      </c>
    </row>
    <row r="63" spans="2:7" hidden="1" x14ac:dyDescent="0.35">
      <c r="B63" s="1">
        <v>61</v>
      </c>
      <c r="C63" t="s">
        <v>69</v>
      </c>
      <c r="E63" s="3"/>
      <c r="F63" s="3"/>
      <c r="G63" s="1" t="s">
        <v>73</v>
      </c>
    </row>
    <row r="64" spans="2:7" hidden="1" x14ac:dyDescent="0.35">
      <c r="B64" s="1">
        <v>62</v>
      </c>
      <c r="C64" t="s">
        <v>70</v>
      </c>
      <c r="E64" s="3"/>
      <c r="F64" s="3"/>
      <c r="G64" s="1" t="s">
        <v>73</v>
      </c>
    </row>
    <row r="65" spans="2:8" x14ac:dyDescent="0.35">
      <c r="B65" s="1">
        <v>63</v>
      </c>
      <c r="C65" t="s">
        <v>71</v>
      </c>
      <c r="E65" s="3"/>
      <c r="F65" s="3">
        <v>20000</v>
      </c>
      <c r="G65" s="1" t="s">
        <v>74</v>
      </c>
      <c r="H65" s="3"/>
    </row>
    <row r="66" spans="2:8" x14ac:dyDescent="0.35">
      <c r="B66" s="1">
        <v>64</v>
      </c>
      <c r="C66" t="s">
        <v>72</v>
      </c>
      <c r="E66" s="3"/>
      <c r="F66" s="3">
        <v>20000</v>
      </c>
      <c r="G66" s="1" t="s">
        <v>74</v>
      </c>
      <c r="H66" s="3">
        <v>25000</v>
      </c>
    </row>
  </sheetData>
  <autoFilter ref="B2:G66" xr:uid="{A03BC4B5-ABF9-4649-8AE4-8195A3EE9BE9}">
    <filterColumn colId="4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0FFE-8F49-43A5-8628-C5BB96ED26C5}">
  <dimension ref="A2:I134"/>
  <sheetViews>
    <sheetView topLeftCell="A55" zoomScale="78" workbookViewId="0">
      <selection activeCell="H66" sqref="H66"/>
    </sheetView>
  </sheetViews>
  <sheetFormatPr defaultRowHeight="14.5" x14ac:dyDescent="0.35"/>
  <cols>
    <col min="1" max="1" width="11.453125" style="61" customWidth="1"/>
    <col min="2" max="2" width="43.90625" customWidth="1"/>
    <col min="3" max="5" width="11.81640625" style="3" customWidth="1"/>
    <col min="6" max="6" width="24.08984375" customWidth="1"/>
    <col min="9" max="9" width="11.08984375" bestFit="1" customWidth="1"/>
  </cols>
  <sheetData>
    <row r="2" spans="1:9" x14ac:dyDescent="0.35">
      <c r="A2" s="62" t="s">
        <v>160</v>
      </c>
      <c r="B2" s="63" t="s">
        <v>159</v>
      </c>
      <c r="C2" s="64" t="s">
        <v>156</v>
      </c>
      <c r="D2" s="64" t="s">
        <v>157</v>
      </c>
      <c r="E2" s="64" t="s">
        <v>12</v>
      </c>
      <c r="F2" s="64" t="s">
        <v>155</v>
      </c>
    </row>
    <row r="3" spans="1:9" x14ac:dyDescent="0.35">
      <c r="A3" s="60"/>
      <c r="B3" t="s">
        <v>158</v>
      </c>
      <c r="C3" s="59"/>
      <c r="D3" s="59"/>
      <c r="E3" s="59">
        <v>0</v>
      </c>
    </row>
    <row r="4" spans="1:9" x14ac:dyDescent="0.35">
      <c r="A4" s="61">
        <v>45850</v>
      </c>
      <c r="B4" t="s">
        <v>228</v>
      </c>
      <c r="C4" s="70">
        <f>'12-7-2025'!N61</f>
        <v>115091.5</v>
      </c>
      <c r="E4" s="3">
        <f>IF(AND(C4="",D4=""),"",E3+C4-D4)</f>
        <v>115091.5</v>
      </c>
    </row>
    <row r="5" spans="1:9" x14ac:dyDescent="0.35">
      <c r="A5" s="61">
        <v>45864</v>
      </c>
      <c r="B5" t="s">
        <v>304</v>
      </c>
      <c r="D5" s="3">
        <v>74000</v>
      </c>
      <c r="E5" s="3">
        <f t="shared" ref="E5:E68" si="0">IF(AND(C5="",D5=""),"",E4+C5-D5)</f>
        <v>41091.5</v>
      </c>
      <c r="F5" t="s">
        <v>161</v>
      </c>
    </row>
    <row r="6" spans="1:9" x14ac:dyDescent="0.35">
      <c r="A6" s="61">
        <v>45864</v>
      </c>
      <c r="B6" t="s">
        <v>228</v>
      </c>
      <c r="C6" s="70">
        <f>'26-7-2025'!N57</f>
        <v>102905.5</v>
      </c>
      <c r="E6" s="3">
        <f t="shared" si="0"/>
        <v>143997</v>
      </c>
    </row>
    <row r="7" spans="1:9" x14ac:dyDescent="0.35">
      <c r="A7" s="61">
        <v>45864</v>
      </c>
      <c r="B7" t="s">
        <v>173</v>
      </c>
      <c r="D7" s="3">
        <v>10000</v>
      </c>
      <c r="E7" s="3">
        <f t="shared" si="0"/>
        <v>133997</v>
      </c>
      <c r="F7" t="s">
        <v>209</v>
      </c>
      <c r="I7" s="3">
        <f>337000+450000+110000+1157446</f>
        <v>2054446</v>
      </c>
    </row>
    <row r="8" spans="1:9" x14ac:dyDescent="0.35">
      <c r="A8" s="61">
        <v>45864</v>
      </c>
      <c r="B8" t="s">
        <v>231</v>
      </c>
      <c r="D8" s="3">
        <v>58082</v>
      </c>
      <c r="E8" s="3">
        <f t="shared" si="0"/>
        <v>75915</v>
      </c>
    </row>
    <row r="9" spans="1:9" x14ac:dyDescent="0.35">
      <c r="A9" s="61">
        <v>45878</v>
      </c>
      <c r="B9" t="s">
        <v>228</v>
      </c>
      <c r="C9" s="70">
        <f>'9-8-2025'!L65</f>
        <v>259992.5</v>
      </c>
      <c r="E9" s="3">
        <f t="shared" si="0"/>
        <v>335907.5</v>
      </c>
    </row>
    <row r="10" spans="1:9" x14ac:dyDescent="0.35">
      <c r="A10" s="61">
        <v>45878</v>
      </c>
      <c r="B10" t="s">
        <v>304</v>
      </c>
      <c r="D10" s="3">
        <v>92000</v>
      </c>
      <c r="E10" s="3">
        <f t="shared" si="0"/>
        <v>243907.5</v>
      </c>
      <c r="F10" t="s">
        <v>210</v>
      </c>
    </row>
    <row r="11" spans="1:9" x14ac:dyDescent="0.35">
      <c r="A11" s="61">
        <v>45878</v>
      </c>
      <c r="B11" t="s">
        <v>276</v>
      </c>
      <c r="C11" s="3">
        <v>28245</v>
      </c>
      <c r="E11" s="3">
        <f t="shared" si="0"/>
        <v>272152.5</v>
      </c>
      <c r="F11" t="s">
        <v>277</v>
      </c>
    </row>
    <row r="12" spans="1:9" x14ac:dyDescent="0.35">
      <c r="A12" s="61">
        <v>45892</v>
      </c>
      <c r="B12" t="s">
        <v>228</v>
      </c>
      <c r="C12" s="70">
        <f>'23-8-2025'!L63</f>
        <v>129162.5</v>
      </c>
      <c r="E12" s="3">
        <f t="shared" si="0"/>
        <v>401315</v>
      </c>
    </row>
    <row r="13" spans="1:9" x14ac:dyDescent="0.35">
      <c r="A13" s="61">
        <v>45892</v>
      </c>
      <c r="B13" t="s">
        <v>304</v>
      </c>
      <c r="D13" s="3">
        <v>43000</v>
      </c>
      <c r="E13" s="3">
        <f t="shared" si="0"/>
        <v>358315</v>
      </c>
      <c r="F13" t="s">
        <v>222</v>
      </c>
    </row>
    <row r="14" spans="1:9" x14ac:dyDescent="0.35">
      <c r="A14" s="61">
        <v>45892</v>
      </c>
      <c r="B14" t="s">
        <v>304</v>
      </c>
      <c r="D14" s="3">
        <v>4000</v>
      </c>
      <c r="E14" s="3">
        <f t="shared" si="0"/>
        <v>354315</v>
      </c>
      <c r="F14" t="s">
        <v>223</v>
      </c>
      <c r="I14" s="3"/>
    </row>
    <row r="15" spans="1:9" x14ac:dyDescent="0.35">
      <c r="A15" s="61">
        <v>45892</v>
      </c>
      <c r="B15" t="s">
        <v>276</v>
      </c>
      <c r="C15" s="3">
        <v>13000</v>
      </c>
      <c r="E15" s="3">
        <f t="shared" si="0"/>
        <v>367315</v>
      </c>
      <c r="F15" t="s">
        <v>278</v>
      </c>
      <c r="I15" s="3"/>
    </row>
    <row r="16" spans="1:9" x14ac:dyDescent="0.35">
      <c r="A16" s="61">
        <v>45893</v>
      </c>
      <c r="B16" t="s">
        <v>230</v>
      </c>
      <c r="C16" s="3">
        <v>100000</v>
      </c>
      <c r="E16" s="3">
        <f t="shared" si="0"/>
        <v>467315</v>
      </c>
      <c r="I16" s="3"/>
    </row>
    <row r="17" spans="1:9" x14ac:dyDescent="0.35">
      <c r="A17" s="61">
        <v>45907</v>
      </c>
      <c r="B17" t="s">
        <v>304</v>
      </c>
      <c r="D17" s="3">
        <f>35000</f>
        <v>35000</v>
      </c>
      <c r="E17" s="3">
        <f t="shared" si="0"/>
        <v>432315</v>
      </c>
      <c r="F17" t="s">
        <v>246</v>
      </c>
      <c r="I17" s="3"/>
    </row>
    <row r="18" spans="1:9" x14ac:dyDescent="0.35">
      <c r="A18" s="61">
        <v>45907</v>
      </c>
      <c r="B18" t="s">
        <v>256</v>
      </c>
      <c r="D18" s="3">
        <v>54000</v>
      </c>
      <c r="E18" s="3">
        <f t="shared" si="0"/>
        <v>378315</v>
      </c>
      <c r="I18" s="3"/>
    </row>
    <row r="19" spans="1:9" x14ac:dyDescent="0.35">
      <c r="A19" s="61">
        <v>45907</v>
      </c>
      <c r="B19" t="s">
        <v>228</v>
      </c>
      <c r="C19" s="70">
        <f>'7-9-2025'!L62</f>
        <v>100317.5</v>
      </c>
      <c r="E19" s="3">
        <f t="shared" si="0"/>
        <v>478632.5</v>
      </c>
    </row>
    <row r="20" spans="1:9" x14ac:dyDescent="0.35">
      <c r="A20" s="61">
        <v>45907</v>
      </c>
      <c r="B20" t="s">
        <v>276</v>
      </c>
      <c r="C20" s="3">
        <v>15940</v>
      </c>
      <c r="E20" s="3">
        <f t="shared" si="0"/>
        <v>494572.5</v>
      </c>
      <c r="F20" t="s">
        <v>279</v>
      </c>
    </row>
    <row r="21" spans="1:9" x14ac:dyDescent="0.35">
      <c r="A21" s="61">
        <v>45921</v>
      </c>
      <c r="B21" t="s">
        <v>304</v>
      </c>
      <c r="D21" s="3">
        <v>30000</v>
      </c>
      <c r="E21" s="3">
        <f t="shared" si="0"/>
        <v>464572.5</v>
      </c>
      <c r="F21" t="s">
        <v>267</v>
      </c>
    </row>
    <row r="22" spans="1:9" x14ac:dyDescent="0.35">
      <c r="A22" s="61">
        <v>45921</v>
      </c>
      <c r="B22" t="s">
        <v>304</v>
      </c>
      <c r="D22" s="3">
        <v>60000</v>
      </c>
      <c r="E22" s="3">
        <f t="shared" si="0"/>
        <v>404572.5</v>
      </c>
      <c r="F22" t="s">
        <v>268</v>
      </c>
    </row>
    <row r="23" spans="1:9" x14ac:dyDescent="0.35">
      <c r="A23" s="61">
        <v>45921</v>
      </c>
      <c r="B23" t="s">
        <v>228</v>
      </c>
      <c r="C23" s="70">
        <f>'21-9-2025'!L61</f>
        <v>83075.5</v>
      </c>
      <c r="E23" s="3">
        <f t="shared" si="0"/>
        <v>487648</v>
      </c>
    </row>
    <row r="24" spans="1:9" x14ac:dyDescent="0.35">
      <c r="A24" s="61">
        <v>45921</v>
      </c>
      <c r="B24" t="s">
        <v>276</v>
      </c>
      <c r="C24" s="3">
        <v>45602.5</v>
      </c>
      <c r="E24" s="3">
        <f t="shared" si="0"/>
        <v>533250.5</v>
      </c>
      <c r="F24" t="s">
        <v>280</v>
      </c>
    </row>
    <row r="25" spans="1:9" x14ac:dyDescent="0.35">
      <c r="A25" s="61">
        <v>45937</v>
      </c>
      <c r="B25" t="s">
        <v>272</v>
      </c>
      <c r="C25" s="3">
        <v>200000</v>
      </c>
      <c r="E25" s="3">
        <f t="shared" si="0"/>
        <v>733250.5</v>
      </c>
    </row>
    <row r="26" spans="1:9" x14ac:dyDescent="0.35">
      <c r="A26" s="61">
        <v>45949</v>
      </c>
      <c r="B26" t="s">
        <v>282</v>
      </c>
      <c r="D26" s="3">
        <v>12000</v>
      </c>
      <c r="E26" s="3">
        <f t="shared" si="0"/>
        <v>721250.5</v>
      </c>
    </row>
    <row r="27" spans="1:9" x14ac:dyDescent="0.35">
      <c r="A27" s="61">
        <v>45949</v>
      </c>
      <c r="B27" t="s">
        <v>228</v>
      </c>
      <c r="C27" s="70">
        <f>'19-10-25'!L73</f>
        <v>89048</v>
      </c>
      <c r="E27" s="3">
        <f t="shared" si="0"/>
        <v>810298.5</v>
      </c>
    </row>
    <row r="28" spans="1:9" x14ac:dyDescent="0.35">
      <c r="A28" s="61">
        <v>45953</v>
      </c>
      <c r="B28" t="s">
        <v>292</v>
      </c>
      <c r="D28" s="3">
        <v>44600</v>
      </c>
      <c r="E28" s="3">
        <f t="shared" si="0"/>
        <v>765698.5</v>
      </c>
    </row>
    <row r="29" spans="1:9" x14ac:dyDescent="0.35">
      <c r="A29" s="61">
        <v>45962</v>
      </c>
      <c r="B29" t="s">
        <v>300</v>
      </c>
      <c r="D29" s="3">
        <v>20000</v>
      </c>
      <c r="E29" s="3">
        <f t="shared" si="0"/>
        <v>745698.5</v>
      </c>
    </row>
    <row r="30" spans="1:9" x14ac:dyDescent="0.35">
      <c r="A30" s="61">
        <v>45962</v>
      </c>
      <c r="B30" t="s">
        <v>304</v>
      </c>
      <c r="D30" s="3">
        <f>75000+25000</f>
        <v>100000</v>
      </c>
      <c r="E30" s="3">
        <f t="shared" si="0"/>
        <v>645698.5</v>
      </c>
      <c r="F30" t="s">
        <v>324</v>
      </c>
    </row>
    <row r="31" spans="1:9" x14ac:dyDescent="0.35">
      <c r="A31" s="61">
        <v>45962</v>
      </c>
      <c r="B31" t="s">
        <v>303</v>
      </c>
      <c r="D31" s="3">
        <v>3000</v>
      </c>
      <c r="E31" s="3">
        <f t="shared" si="0"/>
        <v>642698.5</v>
      </c>
    </row>
    <row r="32" spans="1:9" x14ac:dyDescent="0.35">
      <c r="A32" s="61">
        <v>45962</v>
      </c>
      <c r="B32" t="s">
        <v>228</v>
      </c>
      <c r="C32" s="70">
        <f>'1-11-25'!J55</f>
        <v>354225</v>
      </c>
      <c r="E32" s="3">
        <f t="shared" si="0"/>
        <v>996923.5</v>
      </c>
    </row>
    <row r="33" spans="1:6" x14ac:dyDescent="0.35">
      <c r="A33" s="61">
        <v>45962</v>
      </c>
      <c r="B33" t="s">
        <v>305</v>
      </c>
      <c r="C33" s="80">
        <f>(43*3000)-1000</f>
        <v>128000</v>
      </c>
      <c r="E33" s="3">
        <f t="shared" si="0"/>
        <v>1124923.5</v>
      </c>
    </row>
    <row r="34" spans="1:6" x14ac:dyDescent="0.35">
      <c r="A34" s="61">
        <v>45976</v>
      </c>
      <c r="B34" t="s">
        <v>304</v>
      </c>
      <c r="C34" s="80"/>
      <c r="D34" s="3">
        <v>30000</v>
      </c>
      <c r="E34" s="3">
        <f t="shared" si="0"/>
        <v>1094923.5</v>
      </c>
      <c r="F34" t="s">
        <v>267</v>
      </c>
    </row>
    <row r="35" spans="1:6" x14ac:dyDescent="0.35">
      <c r="A35" s="61">
        <v>45976</v>
      </c>
      <c r="B35" t="s">
        <v>304</v>
      </c>
      <c r="C35" s="80"/>
      <c r="D35" s="3">
        <f>13000*2</f>
        <v>26000</v>
      </c>
      <c r="E35" s="3">
        <f t="shared" si="0"/>
        <v>1068923.5</v>
      </c>
      <c r="F35" t="s">
        <v>331</v>
      </c>
    </row>
    <row r="36" spans="1:6" x14ac:dyDescent="0.35">
      <c r="A36" s="61">
        <v>45976</v>
      </c>
      <c r="B36" t="s">
        <v>228</v>
      </c>
      <c r="C36" s="70">
        <f>'15-11-25'!J51</f>
        <v>313736</v>
      </c>
      <c r="E36" s="3">
        <f t="shared" si="0"/>
        <v>1382659.5</v>
      </c>
    </row>
    <row r="37" spans="1:6" x14ac:dyDescent="0.35">
      <c r="A37" s="61">
        <v>45976</v>
      </c>
      <c r="B37" t="s">
        <v>304</v>
      </c>
      <c r="D37" s="3">
        <v>60000</v>
      </c>
      <c r="E37" s="3">
        <f t="shared" si="0"/>
        <v>1322659.5</v>
      </c>
      <c r="F37" t="s">
        <v>332</v>
      </c>
    </row>
    <row r="38" spans="1:6" x14ac:dyDescent="0.35">
      <c r="A38" s="61">
        <v>45977</v>
      </c>
      <c r="B38" t="s">
        <v>333</v>
      </c>
      <c r="D38" s="3">
        <v>25000</v>
      </c>
      <c r="E38" s="3">
        <f t="shared" si="0"/>
        <v>1297659.5</v>
      </c>
    </row>
    <row r="39" spans="1:6" x14ac:dyDescent="0.35">
      <c r="A39" s="61">
        <v>46004</v>
      </c>
      <c r="B39" t="s">
        <v>304</v>
      </c>
      <c r="D39" s="3">
        <f>226000-33000</f>
        <v>193000</v>
      </c>
      <c r="E39" s="3">
        <f t="shared" si="0"/>
        <v>1104659.5</v>
      </c>
      <c r="F39" t="s">
        <v>336</v>
      </c>
    </row>
    <row r="40" spans="1:6" x14ac:dyDescent="0.35">
      <c r="A40" s="61">
        <v>46004</v>
      </c>
      <c r="B40" t="s">
        <v>339</v>
      </c>
      <c r="D40" s="3">
        <v>24000</v>
      </c>
      <c r="E40" s="3">
        <f t="shared" si="0"/>
        <v>1080659.5</v>
      </c>
      <c r="F40" t="s">
        <v>340</v>
      </c>
    </row>
    <row r="41" spans="1:6" x14ac:dyDescent="0.35">
      <c r="A41" s="61">
        <v>46004</v>
      </c>
      <c r="B41" t="s">
        <v>341</v>
      </c>
      <c r="D41" s="3">
        <v>5000</v>
      </c>
      <c r="E41" s="3">
        <f t="shared" si="0"/>
        <v>1075659.5</v>
      </c>
    </row>
    <row r="42" spans="1:6" x14ac:dyDescent="0.35">
      <c r="A42" s="61">
        <v>46004</v>
      </c>
      <c r="B42" t="s">
        <v>343</v>
      </c>
      <c r="C42" s="102">
        <v>110000</v>
      </c>
      <c r="E42" s="3">
        <f t="shared" si="0"/>
        <v>1185659.5</v>
      </c>
    </row>
    <row r="43" spans="1:6" x14ac:dyDescent="0.35">
      <c r="A43" s="61">
        <v>46004</v>
      </c>
      <c r="B43" t="s">
        <v>228</v>
      </c>
      <c r="C43" s="70">
        <f>'13-12-25'!J69</f>
        <v>156462.5</v>
      </c>
      <c r="E43" s="3">
        <f t="shared" si="0"/>
        <v>1342122</v>
      </c>
    </row>
    <row r="44" spans="1:6" x14ac:dyDescent="0.35">
      <c r="A44" s="61">
        <v>46009</v>
      </c>
      <c r="B44" t="s">
        <v>343</v>
      </c>
      <c r="C44" s="102">
        <v>60000</v>
      </c>
      <c r="E44" s="3">
        <f t="shared" si="0"/>
        <v>1402122</v>
      </c>
    </row>
    <row r="45" spans="1:6" x14ac:dyDescent="0.35">
      <c r="A45" s="61">
        <v>46017</v>
      </c>
      <c r="B45" t="s">
        <v>343</v>
      </c>
      <c r="C45" s="102">
        <v>30000</v>
      </c>
      <c r="E45" s="3">
        <f t="shared" si="0"/>
        <v>1432122</v>
      </c>
    </row>
    <row r="46" spans="1:6" x14ac:dyDescent="0.35">
      <c r="A46" s="61">
        <v>46022</v>
      </c>
      <c r="B46" t="s">
        <v>374</v>
      </c>
      <c r="D46" s="3">
        <f>15000*5</f>
        <v>75000</v>
      </c>
      <c r="E46" s="3">
        <f t="shared" si="0"/>
        <v>1357122</v>
      </c>
      <c r="F46" t="s">
        <v>375</v>
      </c>
    </row>
    <row r="47" spans="1:6" x14ac:dyDescent="0.35">
      <c r="A47" s="61">
        <v>46025</v>
      </c>
      <c r="B47" t="s">
        <v>304</v>
      </c>
      <c r="D47" s="3">
        <v>230000</v>
      </c>
      <c r="E47" s="3">
        <f t="shared" si="0"/>
        <v>1127122</v>
      </c>
      <c r="F47" t="s">
        <v>350</v>
      </c>
    </row>
    <row r="48" spans="1:6" x14ac:dyDescent="0.35">
      <c r="A48" s="61">
        <v>46025</v>
      </c>
      <c r="B48" t="s">
        <v>304</v>
      </c>
      <c r="D48" s="3">
        <v>20000</v>
      </c>
      <c r="E48" s="3">
        <f t="shared" si="0"/>
        <v>1107122</v>
      </c>
      <c r="F48" t="s">
        <v>351</v>
      </c>
    </row>
    <row r="49" spans="1:6" x14ac:dyDescent="0.35">
      <c r="A49" s="61">
        <v>46025</v>
      </c>
      <c r="B49" t="s">
        <v>349</v>
      </c>
      <c r="D49" s="3">
        <v>11000</v>
      </c>
      <c r="E49" s="3">
        <f t="shared" si="0"/>
        <v>1096122</v>
      </c>
    </row>
    <row r="50" spans="1:6" x14ac:dyDescent="0.35">
      <c r="A50" s="61">
        <v>46025</v>
      </c>
      <c r="B50" t="s">
        <v>354</v>
      </c>
      <c r="D50" s="3">
        <v>35000</v>
      </c>
      <c r="E50" s="3">
        <f t="shared" si="0"/>
        <v>1061122</v>
      </c>
    </row>
    <row r="51" spans="1:6" x14ac:dyDescent="0.35">
      <c r="A51" s="61">
        <v>46025</v>
      </c>
      <c r="B51" t="s">
        <v>228</v>
      </c>
      <c r="C51" s="70">
        <f>'3-1-26'!J52</f>
        <v>47427.5</v>
      </c>
      <c r="E51" s="3">
        <f t="shared" si="0"/>
        <v>1108549.5</v>
      </c>
    </row>
    <row r="52" spans="1:6" x14ac:dyDescent="0.35">
      <c r="A52" s="61">
        <v>46039</v>
      </c>
      <c r="B52" t="s">
        <v>353</v>
      </c>
      <c r="D52" s="3">
        <v>20000</v>
      </c>
      <c r="E52" s="3">
        <f t="shared" si="0"/>
        <v>1088549.5</v>
      </c>
      <c r="F52" t="s">
        <v>352</v>
      </c>
    </row>
    <row r="53" spans="1:6" x14ac:dyDescent="0.35">
      <c r="A53" s="61">
        <v>46039</v>
      </c>
      <c r="B53" t="s">
        <v>355</v>
      </c>
      <c r="D53" s="3">
        <v>154000</v>
      </c>
      <c r="E53" s="3">
        <f t="shared" si="0"/>
        <v>934549.5</v>
      </c>
      <c r="F53" t="s">
        <v>369</v>
      </c>
    </row>
    <row r="54" spans="1:6" x14ac:dyDescent="0.35">
      <c r="A54" s="61">
        <v>46047</v>
      </c>
      <c r="B54" t="s">
        <v>356</v>
      </c>
      <c r="D54" s="3">
        <v>61000</v>
      </c>
      <c r="E54" s="3">
        <f t="shared" si="0"/>
        <v>873549.5</v>
      </c>
    </row>
    <row r="55" spans="1:6" x14ac:dyDescent="0.35">
      <c r="A55" s="61">
        <v>46053</v>
      </c>
      <c r="B55" t="s">
        <v>339</v>
      </c>
      <c r="D55" s="3">
        <v>240000</v>
      </c>
      <c r="E55" s="3">
        <f t="shared" si="0"/>
        <v>633549.5</v>
      </c>
      <c r="F55" t="s">
        <v>367</v>
      </c>
    </row>
    <row r="56" spans="1:6" x14ac:dyDescent="0.35">
      <c r="A56" s="61">
        <v>46053</v>
      </c>
      <c r="B56" t="s">
        <v>339</v>
      </c>
      <c r="D56" s="3">
        <v>15000</v>
      </c>
      <c r="E56" s="3">
        <f t="shared" si="0"/>
        <v>618549.5</v>
      </c>
      <c r="F56" t="s">
        <v>340</v>
      </c>
    </row>
    <row r="57" spans="1:6" x14ac:dyDescent="0.35">
      <c r="A57" s="61">
        <v>46053</v>
      </c>
      <c r="B57" t="s">
        <v>228</v>
      </c>
      <c r="C57" s="70">
        <f>'31-1-26'!J57</f>
        <v>81369</v>
      </c>
      <c r="E57" s="3">
        <f t="shared" si="0"/>
        <v>699918.5</v>
      </c>
    </row>
    <row r="58" spans="1:6" x14ac:dyDescent="0.35">
      <c r="A58" s="61">
        <v>46009</v>
      </c>
      <c r="B58" t="s">
        <v>343</v>
      </c>
      <c r="C58" s="102">
        <v>60000</v>
      </c>
      <c r="E58" s="3">
        <f t="shared" si="0"/>
        <v>759918.5</v>
      </c>
    </row>
    <row r="59" spans="1:6" x14ac:dyDescent="0.35">
      <c r="A59" s="61">
        <v>46057</v>
      </c>
      <c r="B59" t="s">
        <v>372</v>
      </c>
      <c r="D59" s="3">
        <v>50000</v>
      </c>
      <c r="E59" s="3">
        <f t="shared" si="0"/>
        <v>709918.5</v>
      </c>
      <c r="F59" t="s">
        <v>373</v>
      </c>
    </row>
    <row r="60" spans="1:6" x14ac:dyDescent="0.35">
      <c r="A60" s="61">
        <v>46057</v>
      </c>
      <c r="B60" t="s">
        <v>366</v>
      </c>
      <c r="D60" s="3">
        <v>93500</v>
      </c>
      <c r="E60" s="3">
        <f t="shared" si="0"/>
        <v>616418.5</v>
      </c>
      <c r="F60" t="s">
        <v>45</v>
      </c>
    </row>
    <row r="61" spans="1:6" x14ac:dyDescent="0.35">
      <c r="A61" s="61">
        <v>46058</v>
      </c>
      <c r="B61" t="s">
        <v>366</v>
      </c>
      <c r="D61" s="3">
        <v>500000</v>
      </c>
      <c r="E61" s="3">
        <f t="shared" si="0"/>
        <v>116418.5</v>
      </c>
      <c r="F61" t="s">
        <v>368</v>
      </c>
    </row>
    <row r="62" spans="1:6" x14ac:dyDescent="0.35">
      <c r="A62" s="61">
        <v>46061</v>
      </c>
      <c r="B62" t="s">
        <v>429</v>
      </c>
      <c r="C62" s="3">
        <v>150000</v>
      </c>
      <c r="E62" s="3">
        <f t="shared" si="0"/>
        <v>266418.5</v>
      </c>
      <c r="F62" t="s">
        <v>429</v>
      </c>
    </row>
    <row r="63" spans="1:6" x14ac:dyDescent="0.35">
      <c r="A63" s="61">
        <v>46063</v>
      </c>
      <c r="B63" t="s">
        <v>366</v>
      </c>
      <c r="D63" s="3">
        <v>60000</v>
      </c>
      <c r="E63" s="3">
        <f t="shared" si="0"/>
        <v>206418.5</v>
      </c>
      <c r="F63" t="s">
        <v>376</v>
      </c>
    </row>
    <row r="64" spans="1:6" x14ac:dyDescent="0.35">
      <c r="A64" s="61">
        <v>46070</v>
      </c>
      <c r="B64" t="s">
        <v>343</v>
      </c>
      <c r="C64" s="102">
        <v>60000</v>
      </c>
      <c r="E64" s="3">
        <f t="shared" si="0"/>
        <v>266418.5</v>
      </c>
    </row>
    <row r="65" spans="1:6" x14ac:dyDescent="0.35">
      <c r="A65" s="61">
        <v>46070</v>
      </c>
      <c r="B65" t="s">
        <v>417</v>
      </c>
      <c r="D65" s="3">
        <v>10000</v>
      </c>
      <c r="E65" s="3">
        <f t="shared" si="0"/>
        <v>256418.5</v>
      </c>
      <c r="F65" t="s">
        <v>418</v>
      </c>
    </row>
    <row r="66" spans="1:6" x14ac:dyDescent="0.35">
      <c r="A66" s="61">
        <v>46091</v>
      </c>
      <c r="B66" t="s">
        <v>343</v>
      </c>
      <c r="C66" s="102">
        <f>60000+60000+30000</f>
        <v>150000</v>
      </c>
      <c r="E66" s="3">
        <f t="shared" si="0"/>
        <v>406418.5</v>
      </c>
    </row>
    <row r="67" spans="1:6" x14ac:dyDescent="0.35">
      <c r="A67" s="61">
        <v>46108</v>
      </c>
      <c r="B67" t="s">
        <v>343</v>
      </c>
      <c r="C67" s="102">
        <f>30000+30000+30000+30000+20000</f>
        <v>140000</v>
      </c>
      <c r="E67" s="3">
        <f t="shared" si="0"/>
        <v>546418.5</v>
      </c>
    </row>
    <row r="68" spans="1:6" x14ac:dyDescent="0.35">
      <c r="A68" s="61">
        <v>46117</v>
      </c>
      <c r="B68" t="s">
        <v>304</v>
      </c>
      <c r="C68" s="80"/>
      <c r="D68" s="3">
        <v>61000</v>
      </c>
      <c r="E68" s="3">
        <f t="shared" si="0"/>
        <v>485418.5</v>
      </c>
      <c r="F68" t="s">
        <v>436</v>
      </c>
    </row>
    <row r="69" spans="1:6" x14ac:dyDescent="0.35">
      <c r="A69" s="61">
        <v>46117</v>
      </c>
      <c r="B69" t="s">
        <v>304</v>
      </c>
      <c r="C69" s="80"/>
      <c r="D69" s="3">
        <v>264000</v>
      </c>
      <c r="E69" s="3">
        <f t="shared" ref="E69:E132" si="1">IF(AND(C69="",D69=""),"",E68+C69-D69)</f>
        <v>221418.5</v>
      </c>
      <c r="F69" t="s">
        <v>336</v>
      </c>
    </row>
    <row r="70" spans="1:6" x14ac:dyDescent="0.35">
      <c r="A70" s="61">
        <v>46117</v>
      </c>
      <c r="B70" t="s">
        <v>304</v>
      </c>
      <c r="C70" s="80"/>
      <c r="D70" s="3">
        <v>72000</v>
      </c>
      <c r="E70" s="3">
        <f t="shared" si="1"/>
        <v>149418.5</v>
      </c>
      <c r="F70" t="s">
        <v>268</v>
      </c>
    </row>
    <row r="71" spans="1:6" x14ac:dyDescent="0.35">
      <c r="A71" s="61">
        <v>46118</v>
      </c>
      <c r="B71" t="s">
        <v>343</v>
      </c>
      <c r="C71" s="102">
        <f>60000+30000</f>
        <v>90000</v>
      </c>
      <c r="E71" s="3">
        <f t="shared" si="1"/>
        <v>239418.5</v>
      </c>
    </row>
    <row r="72" spans="1:6" x14ac:dyDescent="0.35">
      <c r="A72" s="61">
        <v>46118</v>
      </c>
      <c r="B72" t="s">
        <v>432</v>
      </c>
      <c r="D72" s="3">
        <v>100000</v>
      </c>
      <c r="E72" s="3">
        <f t="shared" si="1"/>
        <v>139418.5</v>
      </c>
      <c r="F72" t="s">
        <v>433</v>
      </c>
    </row>
    <row r="73" spans="1:6" x14ac:dyDescent="0.35">
      <c r="A73" s="61">
        <v>46118</v>
      </c>
      <c r="B73" t="s">
        <v>435</v>
      </c>
      <c r="D73" s="3">
        <v>80000</v>
      </c>
      <c r="E73" s="3">
        <f t="shared" si="1"/>
        <v>59418.5</v>
      </c>
      <c r="F73" t="s">
        <v>434</v>
      </c>
    </row>
    <row r="74" spans="1:6" x14ac:dyDescent="0.35">
      <c r="E74" s="3" t="str">
        <f t="shared" si="1"/>
        <v/>
      </c>
    </row>
    <row r="75" spans="1:6" x14ac:dyDescent="0.35">
      <c r="E75" s="3" t="str">
        <f t="shared" si="1"/>
        <v/>
      </c>
    </row>
    <row r="76" spans="1:6" x14ac:dyDescent="0.35">
      <c r="E76" s="3" t="str">
        <f t="shared" si="1"/>
        <v/>
      </c>
    </row>
    <row r="77" spans="1:6" x14ac:dyDescent="0.35">
      <c r="E77" s="3" t="str">
        <f t="shared" si="1"/>
        <v/>
      </c>
    </row>
    <row r="78" spans="1:6" x14ac:dyDescent="0.35">
      <c r="E78" s="3" t="str">
        <f t="shared" si="1"/>
        <v/>
      </c>
    </row>
    <row r="79" spans="1:6" x14ac:dyDescent="0.35">
      <c r="E79" s="3" t="str">
        <f t="shared" si="1"/>
        <v/>
      </c>
    </row>
    <row r="80" spans="1:6" x14ac:dyDescent="0.35">
      <c r="E80" s="3" t="str">
        <f t="shared" si="1"/>
        <v/>
      </c>
    </row>
    <row r="81" spans="5:5" x14ac:dyDescent="0.35">
      <c r="E81" s="3" t="str">
        <f t="shared" si="1"/>
        <v/>
      </c>
    </row>
    <row r="82" spans="5:5" x14ac:dyDescent="0.35">
      <c r="E82" s="3" t="str">
        <f t="shared" si="1"/>
        <v/>
      </c>
    </row>
    <row r="83" spans="5:5" x14ac:dyDescent="0.35">
      <c r="E83" s="3" t="str">
        <f t="shared" si="1"/>
        <v/>
      </c>
    </row>
    <row r="84" spans="5:5" x14ac:dyDescent="0.35">
      <c r="E84" s="3" t="str">
        <f t="shared" si="1"/>
        <v/>
      </c>
    </row>
    <row r="85" spans="5:5" x14ac:dyDescent="0.35">
      <c r="E85" s="3" t="str">
        <f t="shared" si="1"/>
        <v/>
      </c>
    </row>
    <row r="86" spans="5:5" x14ac:dyDescent="0.35">
      <c r="E86" s="3" t="str">
        <f t="shared" si="1"/>
        <v/>
      </c>
    </row>
    <row r="87" spans="5:5" x14ac:dyDescent="0.35">
      <c r="E87" s="3" t="str">
        <f t="shared" si="1"/>
        <v/>
      </c>
    </row>
    <row r="88" spans="5:5" x14ac:dyDescent="0.35">
      <c r="E88" s="3" t="str">
        <f t="shared" si="1"/>
        <v/>
      </c>
    </row>
    <row r="89" spans="5:5" x14ac:dyDescent="0.35">
      <c r="E89" s="3" t="str">
        <f t="shared" si="1"/>
        <v/>
      </c>
    </row>
    <row r="90" spans="5:5" x14ac:dyDescent="0.35">
      <c r="E90" s="3" t="str">
        <f t="shared" si="1"/>
        <v/>
      </c>
    </row>
    <row r="91" spans="5:5" x14ac:dyDescent="0.35">
      <c r="E91" s="3" t="str">
        <f t="shared" si="1"/>
        <v/>
      </c>
    </row>
    <row r="92" spans="5:5" x14ac:dyDescent="0.35">
      <c r="E92" s="3" t="str">
        <f t="shared" si="1"/>
        <v/>
      </c>
    </row>
    <row r="93" spans="5:5" x14ac:dyDescent="0.35">
      <c r="E93" s="3" t="str">
        <f t="shared" si="1"/>
        <v/>
      </c>
    </row>
    <row r="94" spans="5:5" x14ac:dyDescent="0.35">
      <c r="E94" s="3" t="str">
        <f t="shared" si="1"/>
        <v/>
      </c>
    </row>
    <row r="95" spans="5:5" x14ac:dyDescent="0.35">
      <c r="E95" s="3" t="str">
        <f t="shared" si="1"/>
        <v/>
      </c>
    </row>
    <row r="96" spans="5:5" x14ac:dyDescent="0.35">
      <c r="E96" s="3" t="str">
        <f t="shared" si="1"/>
        <v/>
      </c>
    </row>
    <row r="97" spans="5:5" x14ac:dyDescent="0.35">
      <c r="E97" s="3" t="str">
        <f t="shared" si="1"/>
        <v/>
      </c>
    </row>
    <row r="98" spans="5:5" x14ac:dyDescent="0.35">
      <c r="E98" s="3" t="str">
        <f t="shared" si="1"/>
        <v/>
      </c>
    </row>
    <row r="99" spans="5:5" x14ac:dyDescent="0.35">
      <c r="E99" s="3" t="str">
        <f t="shared" si="1"/>
        <v/>
      </c>
    </row>
    <row r="100" spans="5:5" x14ac:dyDescent="0.35">
      <c r="E100" s="3" t="str">
        <f t="shared" si="1"/>
        <v/>
      </c>
    </row>
    <row r="101" spans="5:5" x14ac:dyDescent="0.35">
      <c r="E101" s="3" t="str">
        <f t="shared" si="1"/>
        <v/>
      </c>
    </row>
    <row r="102" spans="5:5" x14ac:dyDescent="0.35">
      <c r="E102" s="3" t="str">
        <f t="shared" si="1"/>
        <v/>
      </c>
    </row>
    <row r="103" spans="5:5" x14ac:dyDescent="0.35">
      <c r="E103" s="3" t="str">
        <f t="shared" si="1"/>
        <v/>
      </c>
    </row>
    <row r="104" spans="5:5" x14ac:dyDescent="0.35">
      <c r="E104" s="3" t="str">
        <f t="shared" si="1"/>
        <v/>
      </c>
    </row>
    <row r="105" spans="5:5" x14ac:dyDescent="0.35">
      <c r="E105" s="3" t="str">
        <f t="shared" si="1"/>
        <v/>
      </c>
    </row>
    <row r="106" spans="5:5" x14ac:dyDescent="0.35">
      <c r="E106" s="3" t="str">
        <f t="shared" si="1"/>
        <v/>
      </c>
    </row>
    <row r="107" spans="5:5" x14ac:dyDescent="0.35">
      <c r="E107" s="3" t="str">
        <f t="shared" si="1"/>
        <v/>
      </c>
    </row>
    <row r="108" spans="5:5" x14ac:dyDescent="0.35">
      <c r="E108" s="3" t="str">
        <f t="shared" si="1"/>
        <v/>
      </c>
    </row>
    <row r="109" spans="5:5" x14ac:dyDescent="0.35">
      <c r="E109" s="3" t="str">
        <f t="shared" si="1"/>
        <v/>
      </c>
    </row>
    <row r="110" spans="5:5" x14ac:dyDescent="0.35">
      <c r="E110" s="3" t="str">
        <f t="shared" si="1"/>
        <v/>
      </c>
    </row>
    <row r="111" spans="5:5" x14ac:dyDescent="0.35">
      <c r="E111" s="3" t="str">
        <f t="shared" si="1"/>
        <v/>
      </c>
    </row>
    <row r="112" spans="5:5" x14ac:dyDescent="0.35">
      <c r="E112" s="3" t="str">
        <f t="shared" si="1"/>
        <v/>
      </c>
    </row>
    <row r="113" spans="5:5" x14ac:dyDescent="0.35">
      <c r="E113" s="3" t="str">
        <f t="shared" si="1"/>
        <v/>
      </c>
    </row>
    <row r="114" spans="5:5" x14ac:dyDescent="0.35">
      <c r="E114" s="3" t="str">
        <f t="shared" si="1"/>
        <v/>
      </c>
    </row>
    <row r="115" spans="5:5" x14ac:dyDescent="0.35">
      <c r="E115" s="3" t="str">
        <f t="shared" si="1"/>
        <v/>
      </c>
    </row>
    <row r="116" spans="5:5" x14ac:dyDescent="0.35">
      <c r="E116" s="3" t="str">
        <f t="shared" si="1"/>
        <v/>
      </c>
    </row>
    <row r="117" spans="5:5" x14ac:dyDescent="0.35">
      <c r="E117" s="3" t="str">
        <f t="shared" si="1"/>
        <v/>
      </c>
    </row>
    <row r="118" spans="5:5" x14ac:dyDescent="0.35">
      <c r="E118" s="3" t="str">
        <f t="shared" si="1"/>
        <v/>
      </c>
    </row>
    <row r="119" spans="5:5" x14ac:dyDescent="0.35">
      <c r="E119" s="3" t="str">
        <f t="shared" si="1"/>
        <v/>
      </c>
    </row>
    <row r="120" spans="5:5" x14ac:dyDescent="0.35">
      <c r="E120" s="3" t="str">
        <f t="shared" si="1"/>
        <v/>
      </c>
    </row>
    <row r="121" spans="5:5" x14ac:dyDescent="0.35">
      <c r="E121" s="3" t="str">
        <f t="shared" si="1"/>
        <v/>
      </c>
    </row>
    <row r="122" spans="5:5" x14ac:dyDescent="0.35">
      <c r="E122" s="3" t="str">
        <f t="shared" si="1"/>
        <v/>
      </c>
    </row>
    <row r="123" spans="5:5" x14ac:dyDescent="0.35">
      <c r="E123" s="3" t="str">
        <f t="shared" si="1"/>
        <v/>
      </c>
    </row>
    <row r="124" spans="5:5" x14ac:dyDescent="0.35">
      <c r="E124" s="3" t="str">
        <f t="shared" si="1"/>
        <v/>
      </c>
    </row>
    <row r="125" spans="5:5" x14ac:dyDescent="0.35">
      <c r="E125" s="3" t="str">
        <f t="shared" si="1"/>
        <v/>
      </c>
    </row>
    <row r="126" spans="5:5" x14ac:dyDescent="0.35">
      <c r="E126" s="3" t="str">
        <f t="shared" si="1"/>
        <v/>
      </c>
    </row>
    <row r="127" spans="5:5" x14ac:dyDescent="0.35">
      <c r="E127" s="3" t="str">
        <f t="shared" si="1"/>
        <v/>
      </c>
    </row>
    <row r="128" spans="5:5" x14ac:dyDescent="0.35">
      <c r="E128" s="3" t="str">
        <f t="shared" si="1"/>
        <v/>
      </c>
    </row>
    <row r="129" spans="5:5" x14ac:dyDescent="0.35">
      <c r="E129" s="3" t="str">
        <f t="shared" si="1"/>
        <v/>
      </c>
    </row>
    <row r="130" spans="5:5" x14ac:dyDescent="0.35">
      <c r="E130" s="3" t="str">
        <f t="shared" si="1"/>
        <v/>
      </c>
    </row>
    <row r="131" spans="5:5" x14ac:dyDescent="0.35">
      <c r="E131" s="3" t="str">
        <f t="shared" si="1"/>
        <v/>
      </c>
    </row>
    <row r="132" spans="5:5" x14ac:dyDescent="0.35">
      <c r="E132" s="3" t="str">
        <f t="shared" si="1"/>
        <v/>
      </c>
    </row>
    <row r="133" spans="5:5" x14ac:dyDescent="0.35">
      <c r="E133" s="3" t="str">
        <f t="shared" ref="E133:E134" si="2">IF(AND(C133="",D133=""),"",E132+C133-D133)</f>
        <v/>
      </c>
    </row>
    <row r="134" spans="5:5" x14ac:dyDescent="0.35">
      <c r="E134" s="3" t="str">
        <f t="shared" si="2"/>
        <v/>
      </c>
    </row>
  </sheetData>
  <autoFilter ref="A2:F134" xr:uid="{E0DF0FFE-8F49-43A5-8628-C5BB96ED26C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DA94-F86A-438E-B2AA-81AEDBB95520}">
  <dimension ref="A2:H77"/>
  <sheetViews>
    <sheetView zoomScale="67" zoomScaleNormal="80" workbookViewId="0">
      <selection activeCell="G47" sqref="G47"/>
    </sheetView>
  </sheetViews>
  <sheetFormatPr defaultRowHeight="14.5" x14ac:dyDescent="0.35"/>
  <cols>
    <col min="1" max="1" width="11.453125" style="61" customWidth="1"/>
    <col min="2" max="2" width="43.90625" customWidth="1"/>
    <col min="3" max="5" width="11.81640625" style="3" customWidth="1"/>
    <col min="6" max="6" width="24.08984375" customWidth="1"/>
    <col min="7" max="7" width="10.36328125" style="3" bestFit="1" customWidth="1"/>
  </cols>
  <sheetData>
    <row r="2" spans="1:7" x14ac:dyDescent="0.35">
      <c r="A2" s="62" t="s">
        <v>160</v>
      </c>
      <c r="B2" s="63" t="s">
        <v>159</v>
      </c>
      <c r="C2" s="64" t="s">
        <v>156</v>
      </c>
      <c r="D2" s="64" t="s">
        <v>157</v>
      </c>
      <c r="E2" s="64" t="s">
        <v>12</v>
      </c>
      <c r="F2" s="64" t="s">
        <v>155</v>
      </c>
    </row>
    <row r="3" spans="1:7" x14ac:dyDescent="0.35">
      <c r="A3" s="61">
        <v>45864</v>
      </c>
      <c r="B3" t="s">
        <v>165</v>
      </c>
      <c r="C3" s="59">
        <f>GETPIVOTDATA("Sum of Total Harga",'12-7-2025'!$J$2)</f>
        <v>633711</v>
      </c>
      <c r="D3" s="59"/>
      <c r="E3" s="59">
        <f>C3</f>
        <v>633711</v>
      </c>
      <c r="F3" s="88" t="s">
        <v>167</v>
      </c>
    </row>
    <row r="4" spans="1:7" x14ac:dyDescent="0.35">
      <c r="A4" s="61">
        <v>45871</v>
      </c>
      <c r="B4" t="s">
        <v>211</v>
      </c>
      <c r="D4" s="70">
        <v>17000</v>
      </c>
      <c r="E4" s="3">
        <f>IF(AND(C4="",D4=""),"",E3+C4-D4)</f>
        <v>616711</v>
      </c>
      <c r="F4" t="s">
        <v>96</v>
      </c>
      <c r="G4" s="3" t="s">
        <v>253</v>
      </c>
    </row>
    <row r="5" spans="1:7" x14ac:dyDescent="0.35">
      <c r="A5" s="61">
        <v>45878</v>
      </c>
      <c r="B5" t="s">
        <v>211</v>
      </c>
      <c r="D5" s="70">
        <v>41000</v>
      </c>
      <c r="E5" s="3">
        <f t="shared" ref="E5:E77" si="0">IF(AND(C5="",D5=""),"",E4+C5-D5)</f>
        <v>575711</v>
      </c>
      <c r="F5" t="s">
        <v>191</v>
      </c>
      <c r="G5" s="3" t="s">
        <v>253</v>
      </c>
    </row>
    <row r="6" spans="1:7" x14ac:dyDescent="0.35">
      <c r="A6" s="61">
        <v>45878</v>
      </c>
      <c r="B6" t="s">
        <v>211</v>
      </c>
      <c r="D6" s="70">
        <f>'Tabungan Nasabah'!G114</f>
        <v>28245</v>
      </c>
      <c r="E6" s="3">
        <f t="shared" si="0"/>
        <v>547466</v>
      </c>
      <c r="F6" t="s">
        <v>200</v>
      </c>
    </row>
    <row r="7" spans="1:7" x14ac:dyDescent="0.35">
      <c r="A7" s="61">
        <v>45878</v>
      </c>
      <c r="B7" t="s">
        <v>165</v>
      </c>
      <c r="C7" s="3">
        <f>GETPIVOTDATA("Sum of Total Harga",'26-7-2025'!$J$2)</f>
        <v>620721</v>
      </c>
      <c r="E7" s="3">
        <f t="shared" si="0"/>
        <v>1168187</v>
      </c>
      <c r="F7" s="88" t="s">
        <v>287</v>
      </c>
    </row>
    <row r="8" spans="1:7" x14ac:dyDescent="0.35">
      <c r="A8" s="61">
        <v>45892</v>
      </c>
      <c r="B8" t="s">
        <v>165</v>
      </c>
      <c r="C8" s="3">
        <f>GETPIVOTDATA("Sum of Total Harga",'9-8-2025'!$J$2)</f>
        <v>644175</v>
      </c>
      <c r="E8" s="3">
        <f t="shared" si="0"/>
        <v>1812362</v>
      </c>
      <c r="F8" t="s">
        <v>275</v>
      </c>
    </row>
    <row r="9" spans="1:7" x14ac:dyDescent="0.35">
      <c r="A9" s="61">
        <v>45892</v>
      </c>
      <c r="B9" t="s">
        <v>165</v>
      </c>
      <c r="C9" s="3">
        <f>GETPIVOTDATA("Sum of Total Harga",'23-8-2025'!$J$2)</f>
        <v>615287.5</v>
      </c>
      <c r="E9" s="3">
        <f t="shared" si="0"/>
        <v>2427649.5</v>
      </c>
      <c r="F9" t="s">
        <v>288</v>
      </c>
    </row>
    <row r="10" spans="1:7" x14ac:dyDescent="0.35">
      <c r="A10" s="61">
        <v>45892</v>
      </c>
      <c r="B10" t="s">
        <v>211</v>
      </c>
      <c r="D10" s="70">
        <f>'Tabungan Nasabah'!H114</f>
        <v>13000</v>
      </c>
      <c r="E10" s="3">
        <f t="shared" si="0"/>
        <v>2414649.5</v>
      </c>
      <c r="F10" t="s">
        <v>200</v>
      </c>
    </row>
    <row r="11" spans="1:7" x14ac:dyDescent="0.35">
      <c r="A11" s="61">
        <v>45893</v>
      </c>
      <c r="B11" t="s">
        <v>229</v>
      </c>
      <c r="D11" s="3">
        <v>2000000</v>
      </c>
      <c r="E11" s="3">
        <f t="shared" si="0"/>
        <v>414649.5</v>
      </c>
      <c r="G11" s="3" t="s">
        <v>253</v>
      </c>
    </row>
    <row r="12" spans="1:7" x14ac:dyDescent="0.35">
      <c r="A12" s="61">
        <v>45871</v>
      </c>
      <c r="B12" t="s">
        <v>211</v>
      </c>
      <c r="D12" s="70">
        <v>72000</v>
      </c>
      <c r="E12" s="3">
        <f t="shared" si="0"/>
        <v>342649.5</v>
      </c>
      <c r="F12" t="s">
        <v>91</v>
      </c>
    </row>
    <row r="13" spans="1:7" x14ac:dyDescent="0.35">
      <c r="A13" s="61">
        <v>45907</v>
      </c>
      <c r="B13" t="s">
        <v>165</v>
      </c>
      <c r="C13" s="3">
        <f>GETPIVOTDATA("Sum of Total Harga",'7-9-2025'!$J$2)</f>
        <v>606410</v>
      </c>
      <c r="E13" s="3">
        <f t="shared" si="0"/>
        <v>949059.5</v>
      </c>
      <c r="F13" t="s">
        <v>289</v>
      </c>
      <c r="G13" s="3" t="s">
        <v>274</v>
      </c>
    </row>
    <row r="14" spans="1:7" x14ac:dyDescent="0.35">
      <c r="A14" s="61">
        <v>45907</v>
      </c>
      <c r="B14" t="s">
        <v>211</v>
      </c>
      <c r="D14" s="70">
        <f>'Tabungan Nasabah'!I114</f>
        <v>15940</v>
      </c>
      <c r="E14" s="3">
        <f t="shared" si="0"/>
        <v>933119.5</v>
      </c>
      <c r="F14" t="s">
        <v>200</v>
      </c>
    </row>
    <row r="15" spans="1:7" x14ac:dyDescent="0.35">
      <c r="A15" s="61">
        <v>45909</v>
      </c>
      <c r="B15" t="s">
        <v>211</v>
      </c>
      <c r="D15" s="70">
        <v>80000</v>
      </c>
      <c r="E15" s="3">
        <f t="shared" si="0"/>
        <v>853119.5</v>
      </c>
      <c r="F15" t="s">
        <v>255</v>
      </c>
    </row>
    <row r="16" spans="1:7" x14ac:dyDescent="0.35">
      <c r="A16" s="61">
        <v>45921</v>
      </c>
      <c r="B16" t="s">
        <v>165</v>
      </c>
      <c r="C16" s="3">
        <f>GETPIVOTDATA("Sum of Total Harga",'21-9-2025'!$J$2)</f>
        <v>639949.5</v>
      </c>
      <c r="E16" s="3">
        <f t="shared" si="0"/>
        <v>1493069</v>
      </c>
      <c r="F16" t="s">
        <v>290</v>
      </c>
      <c r="G16" s="3" t="s">
        <v>274</v>
      </c>
    </row>
    <row r="17" spans="1:7" x14ac:dyDescent="0.35">
      <c r="A17" s="61">
        <v>45931</v>
      </c>
      <c r="B17" t="s">
        <v>211</v>
      </c>
      <c r="D17" s="70">
        <v>63000</v>
      </c>
      <c r="E17" s="3">
        <f t="shared" si="0"/>
        <v>1430069</v>
      </c>
      <c r="F17" t="s">
        <v>262</v>
      </c>
    </row>
    <row r="18" spans="1:7" x14ac:dyDescent="0.35">
      <c r="A18" s="61">
        <v>45949</v>
      </c>
      <c r="B18" t="s">
        <v>165</v>
      </c>
      <c r="C18" s="3">
        <f>GETPIVOTDATA("Sum of Total Harga",'19-10-25'!$J$2)</f>
        <v>765996</v>
      </c>
      <c r="E18" s="3">
        <f t="shared" si="0"/>
        <v>2196065</v>
      </c>
      <c r="F18" t="s">
        <v>291</v>
      </c>
    </row>
    <row r="19" spans="1:7" x14ac:dyDescent="0.35">
      <c r="A19" s="61">
        <v>45949</v>
      </c>
      <c r="B19" t="s">
        <v>211</v>
      </c>
      <c r="D19" s="70">
        <v>20000</v>
      </c>
      <c r="E19" s="3">
        <f t="shared" si="0"/>
        <v>2176065</v>
      </c>
      <c r="F19" t="s">
        <v>194</v>
      </c>
      <c r="G19" s="3" t="s">
        <v>274</v>
      </c>
    </row>
    <row r="20" spans="1:7" x14ac:dyDescent="0.35">
      <c r="A20" s="61">
        <v>45921</v>
      </c>
      <c r="B20" t="s">
        <v>211</v>
      </c>
      <c r="D20" s="70">
        <f>'Tabungan Nasabah'!J114</f>
        <v>45602.5</v>
      </c>
      <c r="E20" s="3">
        <f t="shared" si="0"/>
        <v>2130462.5</v>
      </c>
      <c r="F20" t="s">
        <v>200</v>
      </c>
    </row>
    <row r="21" spans="1:7" x14ac:dyDescent="0.35">
      <c r="A21" s="61">
        <v>45953</v>
      </c>
      <c r="B21" t="s">
        <v>211</v>
      </c>
      <c r="D21" s="70">
        <v>44000</v>
      </c>
      <c r="E21" s="3">
        <f t="shared" si="0"/>
        <v>2086462.5</v>
      </c>
      <c r="F21" t="s">
        <v>79</v>
      </c>
      <c r="G21" s="3" t="s">
        <v>274</v>
      </c>
    </row>
    <row r="22" spans="1:7" x14ac:dyDescent="0.35">
      <c r="A22" s="61">
        <v>45953</v>
      </c>
      <c r="B22" t="s">
        <v>211</v>
      </c>
      <c r="D22" s="70">
        <v>25000</v>
      </c>
      <c r="E22" s="3">
        <f t="shared" si="0"/>
        <v>2061462.5</v>
      </c>
      <c r="F22" t="s">
        <v>284</v>
      </c>
      <c r="G22" s="3" t="s">
        <v>274</v>
      </c>
    </row>
    <row r="23" spans="1:7" x14ac:dyDescent="0.35">
      <c r="A23" s="61">
        <v>45954</v>
      </c>
      <c r="B23" t="s">
        <v>211</v>
      </c>
      <c r="D23" s="70">
        <v>30000</v>
      </c>
      <c r="E23" s="3">
        <f t="shared" si="0"/>
        <v>2031462.5</v>
      </c>
      <c r="F23" t="s">
        <v>255</v>
      </c>
      <c r="G23" s="3" t="s">
        <v>274</v>
      </c>
    </row>
    <row r="24" spans="1:7" x14ac:dyDescent="0.35">
      <c r="A24" s="61">
        <v>45962</v>
      </c>
      <c r="B24" t="s">
        <v>211</v>
      </c>
      <c r="D24" s="70">
        <v>29000</v>
      </c>
      <c r="E24" s="3">
        <f t="shared" si="0"/>
        <v>2002462.5</v>
      </c>
      <c r="F24" t="s">
        <v>244</v>
      </c>
      <c r="G24" s="3" t="s">
        <v>253</v>
      </c>
    </row>
    <row r="25" spans="1:7" x14ac:dyDescent="0.35">
      <c r="A25" s="61">
        <v>45962</v>
      </c>
      <c r="B25" t="s">
        <v>165</v>
      </c>
      <c r="C25" s="3">
        <f>GETPIVOTDATA("Sum of Total Harga",'1-11-25'!$J$2)</f>
        <v>560888.5</v>
      </c>
      <c r="E25" s="3">
        <f t="shared" si="0"/>
        <v>2563351</v>
      </c>
      <c r="F25" t="s">
        <v>325</v>
      </c>
    </row>
    <row r="26" spans="1:7" x14ac:dyDescent="0.35">
      <c r="A26" s="61">
        <v>45965</v>
      </c>
      <c r="B26" t="s">
        <v>211</v>
      </c>
      <c r="D26" s="70">
        <v>43000</v>
      </c>
      <c r="E26" s="3">
        <f t="shared" si="0"/>
        <v>2520351</v>
      </c>
      <c r="F26" t="s">
        <v>178</v>
      </c>
      <c r="G26" s="3" t="s">
        <v>274</v>
      </c>
    </row>
    <row r="27" spans="1:7" x14ac:dyDescent="0.35">
      <c r="A27" s="61">
        <v>45976</v>
      </c>
      <c r="B27" t="s">
        <v>165</v>
      </c>
      <c r="C27" s="3">
        <f>GETPIVOTDATA("Sum of Total Harga",'15-11-25'!$J$2)</f>
        <v>507306.5</v>
      </c>
      <c r="E27" s="3">
        <f t="shared" si="0"/>
        <v>3027657.5</v>
      </c>
      <c r="F27" t="s">
        <v>424</v>
      </c>
    </row>
    <row r="28" spans="1:7" x14ac:dyDescent="0.35">
      <c r="A28" s="61">
        <v>45976</v>
      </c>
      <c r="B28" t="s">
        <v>211</v>
      </c>
      <c r="D28" s="70">
        <v>50000</v>
      </c>
      <c r="E28" s="3">
        <f t="shared" si="0"/>
        <v>2977657.5</v>
      </c>
      <c r="F28" t="s">
        <v>89</v>
      </c>
      <c r="G28" s="3" t="s">
        <v>253</v>
      </c>
    </row>
    <row r="29" spans="1:7" x14ac:dyDescent="0.35">
      <c r="A29" s="61">
        <v>46004</v>
      </c>
      <c r="B29" t="s">
        <v>165</v>
      </c>
      <c r="C29" s="3">
        <f>GETPIVOTDATA("Sum of Total Harga",'13-12-25'!$J$2)</f>
        <v>866252.5</v>
      </c>
      <c r="E29" s="3">
        <f t="shared" si="0"/>
        <v>3843910</v>
      </c>
      <c r="F29" t="s">
        <v>425</v>
      </c>
    </row>
    <row r="30" spans="1:7" x14ac:dyDescent="0.35">
      <c r="A30" s="61">
        <v>46014</v>
      </c>
      <c r="B30" t="s">
        <v>211</v>
      </c>
      <c r="D30" s="70">
        <v>100000</v>
      </c>
      <c r="E30" s="3">
        <f t="shared" si="0"/>
        <v>3743910</v>
      </c>
      <c r="F30" t="s">
        <v>189</v>
      </c>
      <c r="G30" s="3" t="s">
        <v>274</v>
      </c>
    </row>
    <row r="31" spans="1:7" x14ac:dyDescent="0.35">
      <c r="A31" s="61">
        <v>46023</v>
      </c>
      <c r="B31" t="s">
        <v>165</v>
      </c>
      <c r="C31" s="3">
        <f>GETPIVOTDATA("Sum of Total Harga",'3-1-26'!$J$2)</f>
        <v>755582.5</v>
      </c>
      <c r="E31" s="3">
        <f t="shared" si="0"/>
        <v>4499492.5</v>
      </c>
      <c r="F31" t="s">
        <v>426</v>
      </c>
    </row>
    <row r="32" spans="1:7" x14ac:dyDescent="0.35">
      <c r="A32" s="61">
        <v>46047</v>
      </c>
      <c r="B32" t="s">
        <v>211</v>
      </c>
      <c r="D32" s="70">
        <v>140000</v>
      </c>
      <c r="E32" s="3">
        <f t="shared" si="0"/>
        <v>4359492.5</v>
      </c>
      <c r="F32" t="s">
        <v>78</v>
      </c>
      <c r="G32" s="3" t="s">
        <v>253</v>
      </c>
    </row>
    <row r="33" spans="1:8" x14ac:dyDescent="0.35">
      <c r="A33" s="61">
        <v>46053</v>
      </c>
      <c r="B33" t="s">
        <v>165</v>
      </c>
      <c r="C33" s="3">
        <f>GETPIVOTDATA("Sum of Total Harga",'31-1-26'!$J$4)</f>
        <v>709346.5</v>
      </c>
      <c r="E33" s="3">
        <f t="shared" si="0"/>
        <v>5068839</v>
      </c>
      <c r="F33" t="s">
        <v>427</v>
      </c>
    </row>
    <row r="34" spans="1:8" x14ac:dyDescent="0.35">
      <c r="A34" s="61">
        <v>46053</v>
      </c>
      <c r="B34" t="s">
        <v>211</v>
      </c>
      <c r="D34" s="70">
        <v>3000</v>
      </c>
      <c r="E34" s="3">
        <f t="shared" si="0"/>
        <v>5065839</v>
      </c>
      <c r="F34" t="s">
        <v>178</v>
      </c>
      <c r="G34" s="3" t="s">
        <v>253</v>
      </c>
    </row>
    <row r="35" spans="1:8" x14ac:dyDescent="0.35">
      <c r="A35" s="61">
        <v>46053</v>
      </c>
      <c r="B35" t="s">
        <v>211</v>
      </c>
      <c r="D35" s="70">
        <v>41000</v>
      </c>
      <c r="E35" s="3">
        <f t="shared" si="0"/>
        <v>5024839</v>
      </c>
      <c r="F35" t="s">
        <v>91</v>
      </c>
      <c r="G35" s="3" t="s">
        <v>253</v>
      </c>
      <c r="H35" t="s">
        <v>357</v>
      </c>
    </row>
    <row r="36" spans="1:8" x14ac:dyDescent="0.35">
      <c r="A36" s="61">
        <v>46054</v>
      </c>
      <c r="B36" t="s">
        <v>211</v>
      </c>
      <c r="D36" s="70">
        <v>80000</v>
      </c>
      <c r="E36" s="3">
        <f t="shared" si="0"/>
        <v>4944839</v>
      </c>
      <c r="F36" t="s">
        <v>255</v>
      </c>
      <c r="G36" s="3" t="s">
        <v>253</v>
      </c>
    </row>
    <row r="37" spans="1:8" x14ac:dyDescent="0.35">
      <c r="A37" s="61">
        <v>46062</v>
      </c>
      <c r="B37" t="s">
        <v>211</v>
      </c>
      <c r="D37" s="70">
        <v>200000</v>
      </c>
      <c r="E37" s="3">
        <f t="shared" si="0"/>
        <v>4744839</v>
      </c>
      <c r="F37" t="s">
        <v>86</v>
      </c>
      <c r="G37" s="3" t="s">
        <v>253</v>
      </c>
    </row>
    <row r="38" spans="1:8" x14ac:dyDescent="0.35">
      <c r="A38" s="61">
        <v>46062</v>
      </c>
      <c r="B38" t="s">
        <v>211</v>
      </c>
      <c r="D38" s="70">
        <v>19572.5</v>
      </c>
      <c r="E38" s="3">
        <f t="shared" si="0"/>
        <v>4725266.5</v>
      </c>
      <c r="F38" t="s">
        <v>141</v>
      </c>
      <c r="G38" s="3" t="s">
        <v>274</v>
      </c>
    </row>
    <row r="39" spans="1:8" x14ac:dyDescent="0.35">
      <c r="A39" s="61">
        <v>46068</v>
      </c>
      <c r="B39" t="s">
        <v>165</v>
      </c>
      <c r="C39" s="70">
        <f>GETPIVOTDATA("Sum of Total Harga",'15-02-26'!$J$2)</f>
        <v>543322.5</v>
      </c>
      <c r="E39" s="3">
        <f t="shared" si="0"/>
        <v>5268589</v>
      </c>
      <c r="F39" t="s">
        <v>428</v>
      </c>
    </row>
    <row r="40" spans="1:8" x14ac:dyDescent="0.35">
      <c r="A40" s="61">
        <v>46068</v>
      </c>
      <c r="B40" t="s">
        <v>211</v>
      </c>
      <c r="D40" s="70">
        <v>110000</v>
      </c>
      <c r="E40" s="3">
        <f t="shared" si="0"/>
        <v>5158589</v>
      </c>
      <c r="F40" t="s">
        <v>107</v>
      </c>
      <c r="G40" s="3" t="s">
        <v>253</v>
      </c>
    </row>
    <row r="41" spans="1:8" x14ac:dyDescent="0.35">
      <c r="A41" s="61">
        <v>46068</v>
      </c>
      <c r="B41" t="s">
        <v>211</v>
      </c>
      <c r="D41" s="70">
        <v>150000</v>
      </c>
      <c r="E41" s="3">
        <f t="shared" si="0"/>
        <v>5008589</v>
      </c>
      <c r="F41" t="s">
        <v>76</v>
      </c>
      <c r="G41" s="3" t="s">
        <v>274</v>
      </c>
    </row>
    <row r="42" spans="1:8" x14ac:dyDescent="0.35">
      <c r="A42" s="61">
        <v>46070</v>
      </c>
      <c r="B42" t="s">
        <v>211</v>
      </c>
      <c r="D42" s="70">
        <v>50000</v>
      </c>
      <c r="E42" s="3">
        <f t="shared" si="0"/>
        <v>4958589</v>
      </c>
      <c r="F42" t="s">
        <v>178</v>
      </c>
      <c r="G42" s="3" t="s">
        <v>253</v>
      </c>
    </row>
    <row r="43" spans="1:8" x14ac:dyDescent="0.35">
      <c r="A43" s="61">
        <v>46070</v>
      </c>
      <c r="B43" t="s">
        <v>211</v>
      </c>
      <c r="D43" s="70">
        <v>100000</v>
      </c>
      <c r="E43" s="3">
        <f t="shared" si="0"/>
        <v>4858589</v>
      </c>
      <c r="F43" t="s">
        <v>5</v>
      </c>
      <c r="G43" s="3" t="s">
        <v>253</v>
      </c>
    </row>
    <row r="44" spans="1:8" x14ac:dyDescent="0.35">
      <c r="A44" s="61">
        <v>46074</v>
      </c>
      <c r="B44" t="s">
        <v>211</v>
      </c>
      <c r="D44" s="70">
        <v>200000</v>
      </c>
      <c r="E44" s="3">
        <f t="shared" si="0"/>
        <v>4658589</v>
      </c>
      <c r="F44" t="s">
        <v>108</v>
      </c>
      <c r="G44" s="3" t="s">
        <v>253</v>
      </c>
    </row>
    <row r="45" spans="1:8" x14ac:dyDescent="0.35">
      <c r="A45" s="61">
        <v>46078</v>
      </c>
      <c r="B45" t="s">
        <v>211</v>
      </c>
      <c r="D45" s="3">
        <v>100000</v>
      </c>
      <c r="E45" s="3">
        <f t="shared" si="0"/>
        <v>4558589</v>
      </c>
      <c r="F45" t="s">
        <v>245</v>
      </c>
      <c r="G45" s="3" t="s">
        <v>253</v>
      </c>
    </row>
    <row r="46" spans="1:8" x14ac:dyDescent="0.35">
      <c r="A46" s="61">
        <v>46115</v>
      </c>
      <c r="B46" t="s">
        <v>211</v>
      </c>
      <c r="D46" s="3">
        <v>131000</v>
      </c>
      <c r="E46" s="3">
        <f t="shared" si="0"/>
        <v>4427589</v>
      </c>
      <c r="F46" t="s">
        <v>136</v>
      </c>
      <c r="G46" s="3" t="s">
        <v>274</v>
      </c>
    </row>
    <row r="47" spans="1:8" x14ac:dyDescent="0.35">
      <c r="E47" s="3" t="str">
        <f t="shared" si="0"/>
        <v/>
      </c>
    </row>
    <row r="48" spans="1:8" x14ac:dyDescent="0.35">
      <c r="E48" s="3" t="str">
        <f t="shared" si="0"/>
        <v/>
      </c>
    </row>
    <row r="49" spans="5:5" x14ac:dyDescent="0.35">
      <c r="E49" s="3" t="str">
        <f t="shared" si="0"/>
        <v/>
      </c>
    </row>
    <row r="50" spans="5:5" x14ac:dyDescent="0.35">
      <c r="E50" s="3" t="str">
        <f t="shared" si="0"/>
        <v/>
      </c>
    </row>
    <row r="51" spans="5:5" x14ac:dyDescent="0.35">
      <c r="E51" s="3" t="str">
        <f t="shared" si="0"/>
        <v/>
      </c>
    </row>
    <row r="52" spans="5:5" x14ac:dyDescent="0.35">
      <c r="E52" s="3" t="str">
        <f t="shared" si="0"/>
        <v/>
      </c>
    </row>
    <row r="53" spans="5:5" x14ac:dyDescent="0.35">
      <c r="E53" s="3" t="str">
        <f t="shared" si="0"/>
        <v/>
      </c>
    </row>
    <row r="54" spans="5:5" x14ac:dyDescent="0.35">
      <c r="E54" s="3" t="str">
        <f t="shared" si="0"/>
        <v/>
      </c>
    </row>
    <row r="55" spans="5:5" x14ac:dyDescent="0.35">
      <c r="E55" s="3" t="str">
        <f t="shared" si="0"/>
        <v/>
      </c>
    </row>
    <row r="56" spans="5:5" x14ac:dyDescent="0.35">
      <c r="E56" s="3" t="str">
        <f t="shared" si="0"/>
        <v/>
      </c>
    </row>
    <row r="57" spans="5:5" x14ac:dyDescent="0.35">
      <c r="E57" s="3" t="str">
        <f t="shared" si="0"/>
        <v/>
      </c>
    </row>
    <row r="58" spans="5:5" x14ac:dyDescent="0.35">
      <c r="E58" s="3" t="str">
        <f t="shared" si="0"/>
        <v/>
      </c>
    </row>
    <row r="59" spans="5:5" x14ac:dyDescent="0.35">
      <c r="E59" s="3" t="str">
        <f t="shared" si="0"/>
        <v/>
      </c>
    </row>
    <row r="60" spans="5:5" x14ac:dyDescent="0.35">
      <c r="E60" s="3" t="str">
        <f t="shared" si="0"/>
        <v/>
      </c>
    </row>
    <row r="61" spans="5:5" x14ac:dyDescent="0.35">
      <c r="E61" s="3" t="str">
        <f t="shared" si="0"/>
        <v/>
      </c>
    </row>
    <row r="62" spans="5:5" x14ac:dyDescent="0.35">
      <c r="E62" s="3" t="str">
        <f t="shared" si="0"/>
        <v/>
      </c>
    </row>
    <row r="63" spans="5:5" x14ac:dyDescent="0.35">
      <c r="E63" s="3" t="str">
        <f t="shared" si="0"/>
        <v/>
      </c>
    </row>
    <row r="64" spans="5:5" x14ac:dyDescent="0.35">
      <c r="E64" s="3" t="str">
        <f t="shared" si="0"/>
        <v/>
      </c>
    </row>
    <row r="65" spans="5:5" x14ac:dyDescent="0.35">
      <c r="E65" s="3" t="str">
        <f t="shared" si="0"/>
        <v/>
      </c>
    </row>
    <row r="66" spans="5:5" x14ac:dyDescent="0.35">
      <c r="E66" s="3" t="str">
        <f t="shared" si="0"/>
        <v/>
      </c>
    </row>
    <row r="67" spans="5:5" x14ac:dyDescent="0.35">
      <c r="E67" s="3" t="str">
        <f t="shared" si="0"/>
        <v/>
      </c>
    </row>
    <row r="68" spans="5:5" x14ac:dyDescent="0.35">
      <c r="E68" s="3" t="str">
        <f t="shared" si="0"/>
        <v/>
      </c>
    </row>
    <row r="69" spans="5:5" x14ac:dyDescent="0.35">
      <c r="E69" s="3" t="str">
        <f t="shared" si="0"/>
        <v/>
      </c>
    </row>
    <row r="70" spans="5:5" x14ac:dyDescent="0.35">
      <c r="E70" s="3" t="str">
        <f t="shared" si="0"/>
        <v/>
      </c>
    </row>
    <row r="71" spans="5:5" x14ac:dyDescent="0.35">
      <c r="E71" s="3" t="str">
        <f t="shared" si="0"/>
        <v/>
      </c>
    </row>
    <row r="72" spans="5:5" x14ac:dyDescent="0.35">
      <c r="E72" s="3" t="str">
        <f t="shared" si="0"/>
        <v/>
      </c>
    </row>
    <row r="73" spans="5:5" x14ac:dyDescent="0.35">
      <c r="E73" s="3" t="str">
        <f t="shared" si="0"/>
        <v/>
      </c>
    </row>
    <row r="74" spans="5:5" x14ac:dyDescent="0.35">
      <c r="E74" s="3" t="str">
        <f t="shared" si="0"/>
        <v/>
      </c>
    </row>
    <row r="75" spans="5:5" x14ac:dyDescent="0.35">
      <c r="E75" s="3" t="str">
        <f t="shared" si="0"/>
        <v/>
      </c>
    </row>
    <row r="76" spans="5:5" x14ac:dyDescent="0.35">
      <c r="E76" s="3" t="str">
        <f t="shared" si="0"/>
        <v/>
      </c>
    </row>
    <row r="77" spans="5:5" x14ac:dyDescent="0.35">
      <c r="E77" s="3" t="str">
        <f t="shared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C7D2-F0F0-401C-AC4C-56DE5B1922BB}">
  <sheetPr>
    <tabColor rgb="FF92D050"/>
  </sheetPr>
  <dimension ref="B2:H66"/>
  <sheetViews>
    <sheetView zoomScale="81" zoomScaleNormal="100" workbookViewId="0">
      <selection activeCell="C20" sqref="C20"/>
    </sheetView>
  </sheetViews>
  <sheetFormatPr defaultRowHeight="14.5" x14ac:dyDescent="0.35"/>
  <cols>
    <col min="3" max="3" width="27.453125" bestFit="1" customWidth="1"/>
    <col min="5" max="5" width="14.81640625" style="3" bestFit="1" customWidth="1"/>
    <col min="6" max="6" width="12.1796875" style="3" bestFit="1" customWidth="1"/>
    <col min="7" max="7" width="8.90625" style="1"/>
    <col min="8" max="8" width="8.90625" style="3"/>
  </cols>
  <sheetData>
    <row r="2" spans="2:8" x14ac:dyDescent="0.35">
      <c r="B2" s="1" t="s">
        <v>8</v>
      </c>
      <c r="C2" s="1" t="s">
        <v>9</v>
      </c>
      <c r="D2" s="1" t="s">
        <v>10</v>
      </c>
      <c r="E2" s="2" t="s">
        <v>121</v>
      </c>
      <c r="F2" s="2" t="s">
        <v>122</v>
      </c>
      <c r="G2" s="1" t="s">
        <v>11</v>
      </c>
      <c r="H2" s="2" t="s">
        <v>12</v>
      </c>
    </row>
    <row r="3" spans="2:8" x14ac:dyDescent="0.35">
      <c r="B3" s="1">
        <v>1</v>
      </c>
      <c r="C3" t="s">
        <v>13</v>
      </c>
      <c r="E3" s="3">
        <v>1200</v>
      </c>
      <c r="F3" s="3">
        <v>1500</v>
      </c>
      <c r="G3" s="1" t="s">
        <v>73</v>
      </c>
    </row>
    <row r="4" spans="2:8" x14ac:dyDescent="0.35">
      <c r="B4" s="1">
        <v>2</v>
      </c>
      <c r="C4" t="s">
        <v>14</v>
      </c>
      <c r="E4" s="3">
        <v>90000</v>
      </c>
      <c r="F4" s="3">
        <v>100000</v>
      </c>
      <c r="G4" s="1" t="s">
        <v>74</v>
      </c>
    </row>
    <row r="5" spans="2:8" x14ac:dyDescent="0.35">
      <c r="B5" s="1">
        <v>3</v>
      </c>
      <c r="C5" t="s">
        <v>15</v>
      </c>
      <c r="E5" s="3">
        <v>35000</v>
      </c>
      <c r="F5" s="3">
        <v>40000</v>
      </c>
      <c r="G5" s="1" t="s">
        <v>74</v>
      </c>
    </row>
    <row r="6" spans="2:8" x14ac:dyDescent="0.35">
      <c r="B6" s="1">
        <v>4</v>
      </c>
      <c r="C6" t="s">
        <v>215</v>
      </c>
      <c r="E6" s="3">
        <v>6000</v>
      </c>
      <c r="F6" s="3">
        <v>6500</v>
      </c>
      <c r="G6" s="1" t="s">
        <v>73</v>
      </c>
    </row>
    <row r="7" spans="2:8" x14ac:dyDescent="0.35">
      <c r="B7" s="1">
        <v>5</v>
      </c>
      <c r="C7" t="s">
        <v>17</v>
      </c>
      <c r="E7" s="3">
        <v>8000</v>
      </c>
      <c r="F7" s="3">
        <v>8500</v>
      </c>
      <c r="G7" s="1" t="s">
        <v>73</v>
      </c>
    </row>
    <row r="8" spans="2:8" x14ac:dyDescent="0.35">
      <c r="B8" s="1">
        <v>6</v>
      </c>
      <c r="C8" t="s">
        <v>18</v>
      </c>
      <c r="E8" s="3">
        <v>3500</v>
      </c>
      <c r="F8" s="3">
        <v>4000</v>
      </c>
      <c r="G8" s="1" t="s">
        <v>73</v>
      </c>
    </row>
    <row r="9" spans="2:8" x14ac:dyDescent="0.35">
      <c r="B9" s="1">
        <v>7</v>
      </c>
      <c r="C9" t="s">
        <v>19</v>
      </c>
      <c r="E9" s="3">
        <v>200</v>
      </c>
      <c r="F9" s="3">
        <v>300</v>
      </c>
      <c r="G9" s="1" t="s">
        <v>73</v>
      </c>
    </row>
    <row r="10" spans="2:8" x14ac:dyDescent="0.35">
      <c r="B10" s="1">
        <v>8</v>
      </c>
      <c r="C10" t="s">
        <v>20</v>
      </c>
      <c r="E10" s="3">
        <v>7500</v>
      </c>
      <c r="F10" s="3">
        <v>8000</v>
      </c>
      <c r="G10" s="1" t="s">
        <v>73</v>
      </c>
    </row>
    <row r="11" spans="2:8" x14ac:dyDescent="0.35">
      <c r="B11" s="1">
        <v>9</v>
      </c>
      <c r="C11" t="s">
        <v>21</v>
      </c>
      <c r="E11" s="3">
        <v>150</v>
      </c>
      <c r="F11" s="3">
        <v>200</v>
      </c>
      <c r="G11" s="1" t="s">
        <v>73</v>
      </c>
    </row>
    <row r="12" spans="2:8" x14ac:dyDescent="0.35">
      <c r="B12" s="1">
        <v>10</v>
      </c>
      <c r="C12" t="s">
        <v>22</v>
      </c>
      <c r="E12" s="3">
        <v>2500</v>
      </c>
      <c r="F12" s="3">
        <v>3000</v>
      </c>
      <c r="G12" s="1" t="s">
        <v>73</v>
      </c>
    </row>
    <row r="13" spans="2:8" x14ac:dyDescent="0.35">
      <c r="B13" s="1">
        <v>11</v>
      </c>
      <c r="C13" t="s">
        <v>23</v>
      </c>
      <c r="E13" s="3">
        <v>300</v>
      </c>
      <c r="F13" s="3">
        <v>400</v>
      </c>
      <c r="G13" s="1" t="s">
        <v>73</v>
      </c>
    </row>
    <row r="14" spans="2:8" x14ac:dyDescent="0.35">
      <c r="B14" s="1">
        <v>12</v>
      </c>
      <c r="C14" t="s">
        <v>25</v>
      </c>
      <c r="E14" s="3">
        <v>1600</v>
      </c>
      <c r="F14" s="3">
        <v>1700</v>
      </c>
      <c r="G14" s="1" t="s">
        <v>73</v>
      </c>
    </row>
    <row r="15" spans="2:8" x14ac:dyDescent="0.35">
      <c r="B15" s="1">
        <v>13</v>
      </c>
      <c r="C15" t="s">
        <v>24</v>
      </c>
      <c r="E15" s="3">
        <v>150</v>
      </c>
      <c r="F15" s="3">
        <v>200</v>
      </c>
      <c r="G15" s="1" t="s">
        <v>73</v>
      </c>
    </row>
    <row r="16" spans="2:8" x14ac:dyDescent="0.35">
      <c r="B16" s="1">
        <v>14</v>
      </c>
      <c r="C16" t="s">
        <v>26</v>
      </c>
      <c r="E16" s="3">
        <v>800</v>
      </c>
      <c r="F16" s="3">
        <v>1000</v>
      </c>
      <c r="G16" s="1" t="s">
        <v>73</v>
      </c>
    </row>
    <row r="17" spans="2:7" x14ac:dyDescent="0.35">
      <c r="B17" s="1">
        <v>15</v>
      </c>
      <c r="C17" t="s">
        <v>27</v>
      </c>
      <c r="E17" s="3">
        <v>2800</v>
      </c>
      <c r="F17" s="3">
        <v>3100</v>
      </c>
      <c r="G17" s="1" t="s">
        <v>73</v>
      </c>
    </row>
    <row r="18" spans="2:7" x14ac:dyDescent="0.35">
      <c r="B18" s="1">
        <v>16</v>
      </c>
      <c r="C18" t="s">
        <v>28</v>
      </c>
      <c r="E18" s="3">
        <v>1200</v>
      </c>
      <c r="F18" s="3">
        <v>1300</v>
      </c>
      <c r="G18" s="1" t="s">
        <v>73</v>
      </c>
    </row>
    <row r="19" spans="2:7" x14ac:dyDescent="0.35">
      <c r="B19" s="1">
        <v>17</v>
      </c>
      <c r="C19" t="s">
        <v>29</v>
      </c>
      <c r="E19" s="3">
        <v>5000</v>
      </c>
      <c r="F19" s="3">
        <v>6000</v>
      </c>
      <c r="G19" s="1" t="s">
        <v>73</v>
      </c>
    </row>
    <row r="20" spans="2:7" x14ac:dyDescent="0.35">
      <c r="B20" s="1">
        <v>18</v>
      </c>
      <c r="C20" t="s">
        <v>30</v>
      </c>
      <c r="E20" s="3">
        <v>14000</v>
      </c>
      <c r="F20" s="3">
        <v>15000</v>
      </c>
      <c r="G20" s="1" t="s">
        <v>74</v>
      </c>
    </row>
    <row r="21" spans="2:7" x14ac:dyDescent="0.35">
      <c r="B21" s="1">
        <v>19</v>
      </c>
      <c r="C21" t="s">
        <v>7</v>
      </c>
      <c r="E21" s="3">
        <v>1400</v>
      </c>
      <c r="F21" s="3">
        <v>1600</v>
      </c>
      <c r="G21" s="1" t="s">
        <v>73</v>
      </c>
    </row>
    <row r="22" spans="2:7" x14ac:dyDescent="0.35">
      <c r="B22" s="1">
        <v>20</v>
      </c>
      <c r="C22" t="s">
        <v>31</v>
      </c>
      <c r="E22" s="3">
        <v>1000</v>
      </c>
      <c r="F22" s="3">
        <v>1100</v>
      </c>
      <c r="G22" s="1" t="s">
        <v>73</v>
      </c>
    </row>
    <row r="23" spans="2:7" x14ac:dyDescent="0.35">
      <c r="B23" s="1">
        <v>21</v>
      </c>
      <c r="C23" t="s">
        <v>32</v>
      </c>
      <c r="E23" s="3">
        <v>4000</v>
      </c>
      <c r="F23" s="3">
        <v>5000</v>
      </c>
      <c r="G23" s="1" t="s">
        <v>74</v>
      </c>
    </row>
    <row r="24" spans="2:7" x14ac:dyDescent="0.35">
      <c r="B24" s="1">
        <v>22</v>
      </c>
      <c r="C24" t="s">
        <v>33</v>
      </c>
      <c r="E24" s="3">
        <v>1300</v>
      </c>
      <c r="F24" s="3">
        <v>1400</v>
      </c>
      <c r="G24" s="1" t="s">
        <v>73</v>
      </c>
    </row>
    <row r="25" spans="2:7" x14ac:dyDescent="0.35">
      <c r="B25" s="1">
        <v>23</v>
      </c>
      <c r="C25" t="s">
        <v>34</v>
      </c>
      <c r="E25" s="3">
        <v>3500</v>
      </c>
      <c r="F25" s="3">
        <v>3600</v>
      </c>
      <c r="G25" s="1" t="s">
        <v>73</v>
      </c>
    </row>
    <row r="26" spans="2:7" x14ac:dyDescent="0.35">
      <c r="B26" s="1">
        <v>24</v>
      </c>
      <c r="C26" t="s">
        <v>35</v>
      </c>
      <c r="E26" s="3">
        <v>1800</v>
      </c>
      <c r="F26" s="3">
        <v>2000</v>
      </c>
      <c r="G26" s="1" t="s">
        <v>74</v>
      </c>
    </row>
    <row r="27" spans="2:7" x14ac:dyDescent="0.35">
      <c r="B27" s="1">
        <v>25</v>
      </c>
      <c r="C27" t="s">
        <v>36</v>
      </c>
      <c r="E27" s="3">
        <v>600</v>
      </c>
      <c r="F27" s="3">
        <v>650</v>
      </c>
      <c r="G27" s="1" t="s">
        <v>73</v>
      </c>
    </row>
    <row r="28" spans="2:7" x14ac:dyDescent="0.35">
      <c r="B28" s="1">
        <v>26</v>
      </c>
      <c r="C28" t="s">
        <v>37</v>
      </c>
      <c r="E28" s="3">
        <v>1600</v>
      </c>
      <c r="F28" s="3">
        <v>2000</v>
      </c>
      <c r="G28" s="1" t="s">
        <v>73</v>
      </c>
    </row>
    <row r="29" spans="2:7" x14ac:dyDescent="0.35">
      <c r="B29" s="1">
        <v>27</v>
      </c>
      <c r="C29" t="s">
        <v>38</v>
      </c>
      <c r="E29" s="3">
        <v>1400</v>
      </c>
      <c r="F29" s="3">
        <v>1600</v>
      </c>
      <c r="G29" s="1" t="s">
        <v>73</v>
      </c>
    </row>
    <row r="30" spans="2:7" x14ac:dyDescent="0.35">
      <c r="B30" s="1">
        <v>28</v>
      </c>
      <c r="C30" t="s">
        <v>39</v>
      </c>
      <c r="E30" s="3">
        <v>150</v>
      </c>
      <c r="F30" s="3">
        <v>200</v>
      </c>
      <c r="G30" s="1" t="s">
        <v>73</v>
      </c>
    </row>
    <row r="31" spans="2:7" x14ac:dyDescent="0.35">
      <c r="B31" s="1">
        <v>29</v>
      </c>
      <c r="C31" t="s">
        <v>77</v>
      </c>
      <c r="E31" s="3">
        <v>700</v>
      </c>
      <c r="F31" s="3">
        <v>800</v>
      </c>
      <c r="G31" s="1" t="s">
        <v>73</v>
      </c>
    </row>
    <row r="32" spans="2:7" x14ac:dyDescent="0.35">
      <c r="B32" s="1">
        <v>30</v>
      </c>
      <c r="C32" t="s">
        <v>40</v>
      </c>
      <c r="E32" s="3">
        <v>1800</v>
      </c>
      <c r="F32" s="3">
        <v>2000</v>
      </c>
      <c r="G32" s="1" t="s">
        <v>73</v>
      </c>
    </row>
    <row r="33" spans="2:7" x14ac:dyDescent="0.35">
      <c r="B33" s="1">
        <v>31</v>
      </c>
      <c r="C33" t="s">
        <v>41</v>
      </c>
      <c r="E33" s="3">
        <v>1500</v>
      </c>
      <c r="F33" s="3">
        <v>2000</v>
      </c>
      <c r="G33" s="1" t="s">
        <v>73</v>
      </c>
    </row>
    <row r="34" spans="2:7" x14ac:dyDescent="0.35">
      <c r="B34" s="1">
        <v>32</v>
      </c>
      <c r="C34" t="s">
        <v>42</v>
      </c>
      <c r="E34" s="3">
        <v>1000</v>
      </c>
      <c r="F34" s="3">
        <v>1200</v>
      </c>
      <c r="G34" s="1" t="s">
        <v>73</v>
      </c>
    </row>
    <row r="35" spans="2:7" x14ac:dyDescent="0.35">
      <c r="B35" s="1">
        <v>33</v>
      </c>
      <c r="C35" t="s">
        <v>43</v>
      </c>
      <c r="E35" s="3">
        <v>400</v>
      </c>
      <c r="F35" s="3">
        <v>500</v>
      </c>
      <c r="G35" s="1" t="s">
        <v>73</v>
      </c>
    </row>
    <row r="36" spans="2:7" x14ac:dyDescent="0.35">
      <c r="B36" s="1">
        <v>34</v>
      </c>
      <c r="C36" t="s">
        <v>44</v>
      </c>
      <c r="E36" s="3">
        <v>400</v>
      </c>
      <c r="F36" s="3">
        <v>500</v>
      </c>
      <c r="G36" s="1" t="s">
        <v>73</v>
      </c>
    </row>
    <row r="37" spans="2:7" x14ac:dyDescent="0.35">
      <c r="B37" s="1">
        <v>35</v>
      </c>
      <c r="C37" t="s">
        <v>45</v>
      </c>
      <c r="E37" s="3">
        <v>700</v>
      </c>
      <c r="F37" s="3">
        <v>800</v>
      </c>
      <c r="G37" s="1" t="s">
        <v>73</v>
      </c>
    </row>
    <row r="38" spans="2:7" x14ac:dyDescent="0.35">
      <c r="B38" s="1">
        <v>36</v>
      </c>
      <c r="C38" t="s">
        <v>46</v>
      </c>
      <c r="E38" s="3">
        <v>1400</v>
      </c>
      <c r="F38" s="3">
        <v>1500</v>
      </c>
      <c r="G38" s="1" t="s">
        <v>73</v>
      </c>
    </row>
    <row r="39" spans="2:7" x14ac:dyDescent="0.35">
      <c r="B39" s="1">
        <v>37</v>
      </c>
      <c r="C39" t="s">
        <v>47</v>
      </c>
      <c r="E39" s="3">
        <v>1300</v>
      </c>
      <c r="F39" s="3">
        <v>1500</v>
      </c>
      <c r="G39" s="1" t="s">
        <v>73</v>
      </c>
    </row>
    <row r="40" spans="2:7" x14ac:dyDescent="0.35">
      <c r="B40" s="1">
        <v>38</v>
      </c>
      <c r="C40" t="s">
        <v>48</v>
      </c>
      <c r="E40" s="3">
        <v>13000</v>
      </c>
      <c r="F40" s="3">
        <v>15000</v>
      </c>
      <c r="G40" s="1" t="s">
        <v>74</v>
      </c>
    </row>
    <row r="41" spans="2:7" x14ac:dyDescent="0.35">
      <c r="B41" s="1">
        <v>39</v>
      </c>
      <c r="C41" t="s">
        <v>49</v>
      </c>
      <c r="E41" s="3">
        <v>800</v>
      </c>
      <c r="F41" s="3">
        <v>900</v>
      </c>
      <c r="G41" s="1" t="s">
        <v>73</v>
      </c>
    </row>
    <row r="42" spans="2:7" x14ac:dyDescent="0.35">
      <c r="B42" s="1">
        <v>40</v>
      </c>
      <c r="C42" t="s">
        <v>50</v>
      </c>
      <c r="E42" s="3">
        <v>40000</v>
      </c>
      <c r="F42" s="3">
        <v>45000</v>
      </c>
      <c r="G42" s="1" t="s">
        <v>74</v>
      </c>
    </row>
    <row r="43" spans="2:7" x14ac:dyDescent="0.35">
      <c r="B43" s="1">
        <v>41</v>
      </c>
      <c r="C43" t="s">
        <v>51</v>
      </c>
      <c r="E43" s="3">
        <v>50000</v>
      </c>
      <c r="F43" s="3">
        <v>55000</v>
      </c>
      <c r="G43" s="1" t="s">
        <v>74</v>
      </c>
    </row>
    <row r="44" spans="2:7" x14ac:dyDescent="0.35">
      <c r="B44" s="1">
        <v>42</v>
      </c>
      <c r="C44" t="s">
        <v>52</v>
      </c>
      <c r="E44" s="3">
        <v>25000</v>
      </c>
      <c r="F44" s="3">
        <v>30000</v>
      </c>
      <c r="G44" s="1" t="s">
        <v>73</v>
      </c>
    </row>
    <row r="45" spans="2:7" x14ac:dyDescent="0.35">
      <c r="B45" s="1">
        <v>43</v>
      </c>
      <c r="C45" t="s">
        <v>53</v>
      </c>
      <c r="E45" s="3">
        <v>10000</v>
      </c>
      <c r="F45" s="3">
        <v>12000</v>
      </c>
      <c r="G45" s="1" t="s">
        <v>74</v>
      </c>
    </row>
    <row r="46" spans="2:7" x14ac:dyDescent="0.35">
      <c r="B46" s="1">
        <v>44</v>
      </c>
      <c r="C46" t="s">
        <v>54</v>
      </c>
      <c r="E46" s="3">
        <v>600</v>
      </c>
      <c r="F46" s="3">
        <v>650</v>
      </c>
      <c r="G46" s="1" t="s">
        <v>73</v>
      </c>
    </row>
    <row r="47" spans="2:7" x14ac:dyDescent="0.35">
      <c r="B47" s="1">
        <v>45</v>
      </c>
      <c r="C47" t="s">
        <v>55</v>
      </c>
      <c r="E47" s="3">
        <v>35000</v>
      </c>
      <c r="F47" s="3">
        <v>40000</v>
      </c>
      <c r="G47" s="1" t="s">
        <v>74</v>
      </c>
    </row>
    <row r="48" spans="2:7" x14ac:dyDescent="0.35">
      <c r="B48" s="1">
        <v>46</v>
      </c>
      <c r="C48" t="s">
        <v>56</v>
      </c>
      <c r="E48" s="3">
        <v>4000</v>
      </c>
      <c r="F48" s="3">
        <v>5500</v>
      </c>
      <c r="G48" s="1" t="s">
        <v>75</v>
      </c>
    </row>
    <row r="49" spans="2:7" x14ac:dyDescent="0.35">
      <c r="B49" s="1">
        <v>47</v>
      </c>
      <c r="C49" t="s">
        <v>88</v>
      </c>
      <c r="E49" s="3">
        <v>300</v>
      </c>
      <c r="F49" s="3">
        <v>400</v>
      </c>
      <c r="G49" s="1" t="s">
        <v>73</v>
      </c>
    </row>
    <row r="50" spans="2:7" x14ac:dyDescent="0.35">
      <c r="B50" s="1">
        <v>48</v>
      </c>
      <c r="C50" t="s">
        <v>57</v>
      </c>
      <c r="E50" s="3">
        <v>8000</v>
      </c>
      <c r="F50" s="3">
        <v>10000</v>
      </c>
      <c r="G50" s="1" t="s">
        <v>74</v>
      </c>
    </row>
    <row r="51" spans="2:7" x14ac:dyDescent="0.35">
      <c r="B51" s="1">
        <v>49</v>
      </c>
      <c r="C51" t="s">
        <v>58</v>
      </c>
      <c r="E51" s="3">
        <v>13000</v>
      </c>
      <c r="F51" s="3">
        <v>15000</v>
      </c>
      <c r="G51" s="1" t="s">
        <v>74</v>
      </c>
    </row>
    <row r="52" spans="2:7" x14ac:dyDescent="0.35">
      <c r="B52" s="1">
        <v>50</v>
      </c>
      <c r="C52" t="s">
        <v>6</v>
      </c>
      <c r="E52" s="3">
        <v>2000</v>
      </c>
      <c r="F52" s="3">
        <v>2500</v>
      </c>
      <c r="G52" s="1" t="s">
        <v>73</v>
      </c>
    </row>
    <row r="53" spans="2:7" x14ac:dyDescent="0.35">
      <c r="B53" s="1">
        <v>51</v>
      </c>
      <c r="C53" t="s">
        <v>59</v>
      </c>
      <c r="E53" s="3">
        <v>500</v>
      </c>
      <c r="F53" s="3">
        <v>600</v>
      </c>
      <c r="G53" s="1" t="s">
        <v>75</v>
      </c>
    </row>
    <row r="54" spans="2:7" x14ac:dyDescent="0.35">
      <c r="B54" s="1">
        <v>52</v>
      </c>
      <c r="C54" t="s">
        <v>60</v>
      </c>
      <c r="E54" s="3">
        <v>1200</v>
      </c>
      <c r="F54" s="3">
        <v>1500</v>
      </c>
      <c r="G54" s="1" t="s">
        <v>73</v>
      </c>
    </row>
    <row r="55" spans="2:7" x14ac:dyDescent="0.35">
      <c r="B55" s="1">
        <v>53</v>
      </c>
      <c r="C55" t="s">
        <v>61</v>
      </c>
      <c r="E55" s="3">
        <v>800</v>
      </c>
      <c r="F55" s="3">
        <v>900</v>
      </c>
      <c r="G55" s="1" t="s">
        <v>73</v>
      </c>
    </row>
    <row r="56" spans="2:7" x14ac:dyDescent="0.35">
      <c r="B56" s="1">
        <v>54</v>
      </c>
      <c r="C56" t="s">
        <v>62</v>
      </c>
      <c r="E56" s="3">
        <v>400</v>
      </c>
      <c r="F56" s="3">
        <v>500</v>
      </c>
      <c r="G56" s="1" t="s">
        <v>73</v>
      </c>
    </row>
    <row r="57" spans="2:7" x14ac:dyDescent="0.35">
      <c r="B57" s="1">
        <v>55</v>
      </c>
      <c r="C57" t="s">
        <v>63</v>
      </c>
      <c r="E57" s="3">
        <v>800</v>
      </c>
      <c r="F57" s="3">
        <v>1000</v>
      </c>
      <c r="G57" s="1" t="s">
        <v>73</v>
      </c>
    </row>
    <row r="58" spans="2:7" x14ac:dyDescent="0.35">
      <c r="B58" s="1">
        <v>56</v>
      </c>
      <c r="C58" t="s">
        <v>64</v>
      </c>
      <c r="E58" s="3">
        <v>700</v>
      </c>
      <c r="F58" s="3">
        <v>900</v>
      </c>
      <c r="G58" s="1" t="s">
        <v>73</v>
      </c>
    </row>
    <row r="59" spans="2:7" x14ac:dyDescent="0.35">
      <c r="B59" s="1">
        <v>57</v>
      </c>
      <c r="C59" t="s">
        <v>65</v>
      </c>
      <c r="E59" s="3">
        <v>150</v>
      </c>
      <c r="F59" s="3">
        <v>200</v>
      </c>
      <c r="G59" s="1" t="s">
        <v>73</v>
      </c>
    </row>
    <row r="60" spans="2:7" x14ac:dyDescent="0.35">
      <c r="B60" s="1">
        <v>58</v>
      </c>
      <c r="C60" t="s">
        <v>66</v>
      </c>
      <c r="E60" s="3">
        <v>50000</v>
      </c>
      <c r="F60" s="3">
        <v>55000</v>
      </c>
      <c r="G60" s="1" t="s">
        <v>73</v>
      </c>
    </row>
    <row r="61" spans="2:7" x14ac:dyDescent="0.35">
      <c r="B61" s="1">
        <v>59</v>
      </c>
      <c r="C61" t="s">
        <v>67</v>
      </c>
      <c r="E61" s="3">
        <v>2700</v>
      </c>
      <c r="F61" s="3">
        <v>3000</v>
      </c>
      <c r="G61" s="1" t="s">
        <v>73</v>
      </c>
    </row>
    <row r="62" spans="2:7" x14ac:dyDescent="0.35">
      <c r="B62" s="1">
        <v>60</v>
      </c>
      <c r="C62" t="s">
        <v>68</v>
      </c>
      <c r="E62" s="3">
        <v>150</v>
      </c>
      <c r="F62" s="3">
        <v>200</v>
      </c>
      <c r="G62" s="1" t="s">
        <v>73</v>
      </c>
    </row>
    <row r="63" spans="2:7" x14ac:dyDescent="0.35">
      <c r="B63" s="1">
        <v>61</v>
      </c>
      <c r="C63" t="s">
        <v>69</v>
      </c>
      <c r="E63" s="3">
        <v>2500</v>
      </c>
      <c r="F63" s="3">
        <v>3000</v>
      </c>
      <c r="G63" s="1" t="s">
        <v>73</v>
      </c>
    </row>
    <row r="64" spans="2:7" x14ac:dyDescent="0.35">
      <c r="B64" s="1">
        <v>62</v>
      </c>
      <c r="C64" t="s">
        <v>70</v>
      </c>
      <c r="E64" s="3">
        <v>3500</v>
      </c>
      <c r="F64" s="3">
        <v>4000</v>
      </c>
      <c r="G64" s="1" t="s">
        <v>73</v>
      </c>
    </row>
    <row r="65" spans="2:7" x14ac:dyDescent="0.35">
      <c r="B65" s="1">
        <v>63</v>
      </c>
      <c r="C65" t="s">
        <v>71</v>
      </c>
      <c r="E65" s="3">
        <v>8000</v>
      </c>
      <c r="F65" s="3">
        <v>10000</v>
      </c>
      <c r="G65" s="1" t="s">
        <v>74</v>
      </c>
    </row>
    <row r="66" spans="2:7" x14ac:dyDescent="0.35">
      <c r="B66" s="1">
        <v>64</v>
      </c>
      <c r="C66" t="s">
        <v>72</v>
      </c>
      <c r="E66" s="3">
        <v>13000</v>
      </c>
      <c r="F66" s="3">
        <v>15000</v>
      </c>
      <c r="G66" s="1" t="s">
        <v>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45EE-8922-4F2E-A587-9A455D3445D5}">
  <sheetPr>
    <tabColor rgb="FF92D050"/>
  </sheetPr>
  <dimension ref="B2:H54"/>
  <sheetViews>
    <sheetView topLeftCell="A25" zoomScale="67" zoomScaleNormal="80" workbookViewId="0">
      <selection activeCell="C48" sqref="C48"/>
    </sheetView>
  </sheetViews>
  <sheetFormatPr defaultRowHeight="14.5" x14ac:dyDescent="0.35"/>
  <cols>
    <col min="3" max="3" width="27.81640625" bestFit="1" customWidth="1"/>
    <col min="5" max="5" width="14.81640625" bestFit="1" customWidth="1"/>
    <col min="6" max="6" width="12.26953125" bestFit="1" customWidth="1"/>
  </cols>
  <sheetData>
    <row r="2" spans="2:8" x14ac:dyDescent="0.35">
      <c r="B2" s="1" t="s">
        <v>8</v>
      </c>
      <c r="C2" s="1" t="s">
        <v>9</v>
      </c>
      <c r="D2" s="1" t="s">
        <v>10</v>
      </c>
      <c r="E2" s="2" t="s">
        <v>121</v>
      </c>
      <c r="F2" s="2" t="s">
        <v>122</v>
      </c>
      <c r="G2" s="1" t="s">
        <v>11</v>
      </c>
      <c r="H2" s="2" t="s">
        <v>12</v>
      </c>
    </row>
    <row r="3" spans="2:8" x14ac:dyDescent="0.35">
      <c r="C3" t="s">
        <v>406</v>
      </c>
      <c r="F3" s="3">
        <v>200000</v>
      </c>
      <c r="G3" t="s">
        <v>411</v>
      </c>
    </row>
    <row r="4" spans="2:8" x14ac:dyDescent="0.35">
      <c r="C4" t="s">
        <v>215</v>
      </c>
      <c r="F4" s="3">
        <v>9000</v>
      </c>
    </row>
    <row r="5" spans="2:8" x14ac:dyDescent="0.35">
      <c r="C5" t="s">
        <v>402</v>
      </c>
      <c r="F5" s="3">
        <v>10000</v>
      </c>
    </row>
    <row r="6" spans="2:8" x14ac:dyDescent="0.35">
      <c r="C6" t="s">
        <v>394</v>
      </c>
      <c r="F6" s="3">
        <v>1000</v>
      </c>
    </row>
    <row r="7" spans="2:8" x14ac:dyDescent="0.35">
      <c r="C7" s="97" t="s">
        <v>19</v>
      </c>
      <c r="F7" s="3" t="s">
        <v>382</v>
      </c>
    </row>
    <row r="8" spans="2:8" x14ac:dyDescent="0.35">
      <c r="C8" t="s">
        <v>22</v>
      </c>
      <c r="F8" s="3">
        <v>4000</v>
      </c>
    </row>
    <row r="9" spans="2:8" x14ac:dyDescent="0.35">
      <c r="C9" t="s">
        <v>398</v>
      </c>
      <c r="F9" s="3">
        <v>400</v>
      </c>
    </row>
    <row r="10" spans="2:8" x14ac:dyDescent="0.35">
      <c r="C10" t="s">
        <v>404</v>
      </c>
      <c r="F10" s="3">
        <v>100</v>
      </c>
    </row>
    <row r="11" spans="2:8" x14ac:dyDescent="0.35">
      <c r="C11" t="s">
        <v>414</v>
      </c>
      <c r="F11" s="3">
        <v>200</v>
      </c>
    </row>
    <row r="12" spans="2:8" x14ac:dyDescent="0.35">
      <c r="C12" t="s">
        <v>415</v>
      </c>
      <c r="F12" s="3">
        <v>100</v>
      </c>
    </row>
    <row r="13" spans="2:8" x14ac:dyDescent="0.35">
      <c r="C13" t="s">
        <v>416</v>
      </c>
      <c r="F13" s="3">
        <v>800</v>
      </c>
    </row>
    <row r="14" spans="2:8" x14ac:dyDescent="0.35">
      <c r="C14" t="s">
        <v>422</v>
      </c>
      <c r="F14" s="3">
        <v>4000</v>
      </c>
    </row>
    <row r="15" spans="2:8" x14ac:dyDescent="0.35">
      <c r="C15" t="s">
        <v>384</v>
      </c>
      <c r="F15" s="3">
        <v>2000</v>
      </c>
    </row>
    <row r="16" spans="2:8" x14ac:dyDescent="0.35">
      <c r="C16" t="s">
        <v>391</v>
      </c>
      <c r="F16" s="3">
        <v>1000</v>
      </c>
    </row>
    <row r="17" spans="3:7" x14ac:dyDescent="0.35">
      <c r="C17" t="s">
        <v>421</v>
      </c>
      <c r="F17" s="3">
        <v>1000</v>
      </c>
    </row>
    <row r="18" spans="3:7" x14ac:dyDescent="0.35">
      <c r="C18" t="s">
        <v>7</v>
      </c>
      <c r="F18" s="3">
        <v>1200</v>
      </c>
    </row>
    <row r="19" spans="3:7" x14ac:dyDescent="0.35">
      <c r="C19" t="s">
        <v>31</v>
      </c>
      <c r="F19" s="3">
        <v>1000</v>
      </c>
    </row>
    <row r="20" spans="3:7" x14ac:dyDescent="0.35">
      <c r="C20" t="s">
        <v>385</v>
      </c>
      <c r="F20" s="3">
        <v>3000</v>
      </c>
    </row>
    <row r="21" spans="3:7" x14ac:dyDescent="0.35">
      <c r="C21" t="s">
        <v>420</v>
      </c>
      <c r="F21" s="3">
        <v>3500</v>
      </c>
    </row>
    <row r="22" spans="3:7" x14ac:dyDescent="0.35">
      <c r="C22" t="s">
        <v>386</v>
      </c>
      <c r="F22" s="3">
        <v>2000</v>
      </c>
    </row>
    <row r="23" spans="3:7" x14ac:dyDescent="0.35">
      <c r="C23" t="s">
        <v>35</v>
      </c>
      <c r="F23" s="3">
        <v>5000</v>
      </c>
      <c r="G23" t="s">
        <v>412</v>
      </c>
    </row>
    <row r="24" spans="3:7" x14ac:dyDescent="0.35">
      <c r="C24" t="s">
        <v>419</v>
      </c>
      <c r="F24" s="3">
        <v>2000</v>
      </c>
    </row>
    <row r="25" spans="3:7" x14ac:dyDescent="0.35">
      <c r="C25" t="s">
        <v>36</v>
      </c>
      <c r="F25" s="3">
        <v>700</v>
      </c>
    </row>
    <row r="26" spans="3:7" x14ac:dyDescent="0.35">
      <c r="C26" t="s">
        <v>407</v>
      </c>
      <c r="F26" s="3">
        <v>7000</v>
      </c>
    </row>
    <row r="27" spans="3:7" x14ac:dyDescent="0.35">
      <c r="C27" t="s">
        <v>38</v>
      </c>
      <c r="F27" s="3">
        <v>1500</v>
      </c>
      <c r="G27" t="s">
        <v>73</v>
      </c>
    </row>
    <row r="28" spans="3:7" x14ac:dyDescent="0.35">
      <c r="C28" t="s">
        <v>40</v>
      </c>
      <c r="F28" s="3">
        <v>2000</v>
      </c>
    </row>
    <row r="29" spans="3:7" x14ac:dyDescent="0.35">
      <c r="C29" t="s">
        <v>405</v>
      </c>
      <c r="F29" s="3">
        <v>100</v>
      </c>
    </row>
    <row r="30" spans="3:7" x14ac:dyDescent="0.35">
      <c r="C30" t="s">
        <v>41</v>
      </c>
      <c r="F30" s="3">
        <v>2000</v>
      </c>
    </row>
    <row r="31" spans="3:7" x14ac:dyDescent="0.35">
      <c r="C31" t="s">
        <v>399</v>
      </c>
      <c r="F31" s="3">
        <v>1800</v>
      </c>
    </row>
    <row r="32" spans="3:7" x14ac:dyDescent="0.35">
      <c r="C32" t="s">
        <v>396</v>
      </c>
      <c r="F32" s="3">
        <v>1700</v>
      </c>
    </row>
    <row r="33" spans="3:7" x14ac:dyDescent="0.35">
      <c r="C33" t="s">
        <v>379</v>
      </c>
      <c r="F33" s="3">
        <v>4000</v>
      </c>
    </row>
    <row r="34" spans="3:7" x14ac:dyDescent="0.35">
      <c r="C34" t="s">
        <v>408</v>
      </c>
      <c r="F34" s="3">
        <v>60000</v>
      </c>
      <c r="G34" t="s">
        <v>411</v>
      </c>
    </row>
    <row r="35" spans="3:7" x14ac:dyDescent="0.35">
      <c r="C35" t="s">
        <v>400</v>
      </c>
      <c r="F35" s="3">
        <v>700</v>
      </c>
    </row>
    <row r="36" spans="3:7" x14ac:dyDescent="0.35">
      <c r="C36" t="s">
        <v>44</v>
      </c>
      <c r="F36" s="3">
        <v>1200</v>
      </c>
    </row>
    <row r="37" spans="3:7" x14ac:dyDescent="0.35">
      <c r="C37" t="s">
        <v>387</v>
      </c>
      <c r="F37" s="3">
        <v>4000</v>
      </c>
    </row>
    <row r="38" spans="3:7" x14ac:dyDescent="0.35">
      <c r="C38" t="s">
        <v>409</v>
      </c>
      <c r="F38" s="3">
        <v>50000</v>
      </c>
      <c r="G38" t="s">
        <v>411</v>
      </c>
    </row>
    <row r="39" spans="3:7" x14ac:dyDescent="0.35">
      <c r="C39" t="s">
        <v>52</v>
      </c>
      <c r="F39" s="3">
        <v>35000</v>
      </c>
    </row>
    <row r="40" spans="3:7" x14ac:dyDescent="0.35">
      <c r="C40" t="s">
        <v>55</v>
      </c>
      <c r="F40" s="3">
        <v>50000</v>
      </c>
      <c r="G40" t="s">
        <v>411</v>
      </c>
    </row>
    <row r="41" spans="3:7" x14ac:dyDescent="0.35">
      <c r="C41" s="97" t="s">
        <v>380</v>
      </c>
      <c r="F41" s="3" t="s">
        <v>382</v>
      </c>
    </row>
    <row r="42" spans="3:7" x14ac:dyDescent="0.35">
      <c r="C42" t="s">
        <v>397</v>
      </c>
      <c r="F42" s="3">
        <v>700</v>
      </c>
    </row>
    <row r="43" spans="3:7" x14ac:dyDescent="0.35">
      <c r="C43" t="s">
        <v>389</v>
      </c>
      <c r="F43" s="3" t="s">
        <v>413</v>
      </c>
    </row>
    <row r="44" spans="3:7" x14ac:dyDescent="0.35">
      <c r="C44" t="s">
        <v>393</v>
      </c>
      <c r="F44" s="3">
        <v>500</v>
      </c>
    </row>
    <row r="45" spans="3:7" x14ac:dyDescent="0.35">
      <c r="C45" t="s">
        <v>388</v>
      </c>
      <c r="F45" s="3">
        <v>1000</v>
      </c>
    </row>
    <row r="46" spans="3:7" x14ac:dyDescent="0.35">
      <c r="C46" t="s">
        <v>381</v>
      </c>
      <c r="F46" s="3">
        <v>900</v>
      </c>
    </row>
    <row r="47" spans="3:7" x14ac:dyDescent="0.35">
      <c r="C47" t="s">
        <v>403</v>
      </c>
      <c r="F47" s="3">
        <v>700</v>
      </c>
    </row>
    <row r="48" spans="3:7" x14ac:dyDescent="0.35">
      <c r="C48" t="s">
        <v>390</v>
      </c>
      <c r="F48" s="3">
        <v>400</v>
      </c>
    </row>
    <row r="49" spans="3:7" x14ac:dyDescent="0.35">
      <c r="C49" t="s">
        <v>66</v>
      </c>
      <c r="F49" s="3">
        <v>60000</v>
      </c>
    </row>
    <row r="50" spans="3:7" x14ac:dyDescent="0.35">
      <c r="C50" t="s">
        <v>401</v>
      </c>
      <c r="F50" s="3">
        <v>150</v>
      </c>
    </row>
    <row r="51" spans="3:7" x14ac:dyDescent="0.35">
      <c r="C51" t="s">
        <v>69</v>
      </c>
      <c r="F51" s="3">
        <v>3000</v>
      </c>
    </row>
    <row r="52" spans="3:7" x14ac:dyDescent="0.35">
      <c r="C52" t="s">
        <v>70</v>
      </c>
      <c r="F52" s="3">
        <v>4500</v>
      </c>
    </row>
    <row r="53" spans="3:7" x14ac:dyDescent="0.35">
      <c r="C53" t="s">
        <v>410</v>
      </c>
      <c r="F53" s="3">
        <v>20000</v>
      </c>
      <c r="G53" t="s">
        <v>412</v>
      </c>
    </row>
    <row r="54" spans="3:7" x14ac:dyDescent="0.35">
      <c r="C54" t="s">
        <v>392</v>
      </c>
      <c r="F54" s="3">
        <v>1000</v>
      </c>
    </row>
  </sheetData>
  <autoFilter ref="B2:H2" xr:uid="{241745EE-8922-4F2E-A587-9A455D3445D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DA36-EC54-4932-B82E-E19BB7EBE4AD}">
  <dimension ref="A2:H515"/>
  <sheetViews>
    <sheetView tabSelected="1" topLeftCell="A410" zoomScale="70" zoomScaleNormal="70" workbookViewId="0">
      <selection activeCell="D434" sqref="D434"/>
    </sheetView>
  </sheetViews>
  <sheetFormatPr defaultRowHeight="14.5" x14ac:dyDescent="0.35"/>
  <cols>
    <col min="1" max="1" width="8.7265625" style="1"/>
    <col min="2" max="2" width="25.36328125" customWidth="1"/>
    <col min="4" max="4" width="25.26953125" bestFit="1" customWidth="1"/>
    <col min="7" max="7" width="11.6328125" bestFit="1" customWidth="1"/>
  </cols>
  <sheetData>
    <row r="2" spans="1: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90" t="s">
        <v>1</v>
      </c>
      <c r="F2" s="44" t="s">
        <v>0</v>
      </c>
      <c r="G2" s="90" t="s">
        <v>3</v>
      </c>
    </row>
    <row r="3" spans="1:8" x14ac:dyDescent="0.35">
      <c r="A3" s="1">
        <v>1</v>
      </c>
      <c r="B3" t="s">
        <v>143</v>
      </c>
      <c r="C3" s="5">
        <v>1</v>
      </c>
      <c r="D3" t="s">
        <v>31</v>
      </c>
      <c r="E3" s="80">
        <f>VLOOKUP(D3,KamiBox!$C$2:$F$54,4,0)</f>
        <v>1000</v>
      </c>
      <c r="F3">
        <f>0.65+2.75</f>
        <v>3.4</v>
      </c>
      <c r="G3" s="80">
        <f>E3*F3</f>
        <v>3400</v>
      </c>
      <c r="H3" s="80">
        <f>VLOOKUP(D3,'Bu Erta'!$C$2:$F$66,4,0)*F3</f>
        <v>3740</v>
      </c>
    </row>
    <row r="4" spans="1:8" x14ac:dyDescent="0.35">
      <c r="B4" t="s">
        <v>143</v>
      </c>
      <c r="D4" t="s">
        <v>393</v>
      </c>
      <c r="E4" s="80">
        <f>VLOOKUP(D4,KamiBox!$C$2:$F$54,4,0)</f>
        <v>500</v>
      </c>
      <c r="F4">
        <f>0.95+0.6+0.35+1.5</f>
        <v>3.4</v>
      </c>
      <c r="G4" s="80">
        <f t="shared" ref="G4:G67" si="0">E4*F4</f>
        <v>1700</v>
      </c>
      <c r="H4" s="80" t="e">
        <f>VLOOKUP(D4,'Bu Erta'!$C$2:$F$66,4,0)*F4</f>
        <v>#N/A</v>
      </c>
    </row>
    <row r="5" spans="1:8" x14ac:dyDescent="0.35">
      <c r="B5" t="s">
        <v>143</v>
      </c>
      <c r="D5" t="s">
        <v>398</v>
      </c>
      <c r="E5" s="80">
        <f>VLOOKUP(D5,KamiBox!$C$2:$F$54,4,0)</f>
        <v>400</v>
      </c>
      <c r="F5">
        <v>0.75</v>
      </c>
      <c r="G5" s="80">
        <f t="shared" si="0"/>
        <v>300</v>
      </c>
      <c r="H5" s="80" t="e">
        <f>VLOOKUP(D5,'Bu Erta'!$C$2:$F$66,4,0)*F5</f>
        <v>#N/A</v>
      </c>
    </row>
    <row r="6" spans="1:8" x14ac:dyDescent="0.35">
      <c r="B6" t="s">
        <v>143</v>
      </c>
      <c r="D6" t="s">
        <v>388</v>
      </c>
      <c r="E6" s="80">
        <f>VLOOKUP(D6,KamiBox!$C$2:$F$54,4,0)</f>
        <v>1000</v>
      </c>
      <c r="F6">
        <v>0.3</v>
      </c>
      <c r="G6" s="80">
        <f t="shared" si="0"/>
        <v>300</v>
      </c>
      <c r="H6" s="80" t="e">
        <f>VLOOKUP(D6,'Bu Erta'!$C$2:$F$66,4,0)*F6</f>
        <v>#N/A</v>
      </c>
    </row>
    <row r="7" spans="1:8" x14ac:dyDescent="0.35">
      <c r="B7" t="s">
        <v>143</v>
      </c>
      <c r="D7" t="s">
        <v>396</v>
      </c>
      <c r="E7" s="80">
        <f>VLOOKUP(D7,KamiBox!$C$2:$F$54,4,0)</f>
        <v>1700</v>
      </c>
      <c r="F7">
        <f>7.05+11.4</f>
        <v>18.45</v>
      </c>
      <c r="G7" s="80">
        <f t="shared" si="0"/>
        <v>31365</v>
      </c>
      <c r="H7" s="80" t="e">
        <f>VLOOKUP(D7,'Bu Erta'!$C$2:$F$66,4,0)*F7</f>
        <v>#N/A</v>
      </c>
    </row>
    <row r="8" spans="1:8" x14ac:dyDescent="0.35">
      <c r="A8" s="1">
        <v>2</v>
      </c>
      <c r="B8" t="s">
        <v>97</v>
      </c>
      <c r="C8" s="5">
        <v>4</v>
      </c>
      <c r="D8" t="s">
        <v>396</v>
      </c>
      <c r="E8" s="80">
        <f>VLOOKUP(D8,KamiBox!$C$2:$F$54,4,0)</f>
        <v>1700</v>
      </c>
      <c r="F8">
        <v>2.09</v>
      </c>
      <c r="G8" s="80">
        <f t="shared" si="0"/>
        <v>3552.9999999999995</v>
      </c>
      <c r="H8" s="80" t="e">
        <f>VLOOKUP(D8,'Bu Erta'!$C$2:$F$66,4,0)*F8</f>
        <v>#N/A</v>
      </c>
    </row>
    <row r="9" spans="1:8" x14ac:dyDescent="0.35">
      <c r="B9" t="s">
        <v>97</v>
      </c>
      <c r="D9" t="s">
        <v>390</v>
      </c>
      <c r="E9" s="80">
        <f>VLOOKUP(D9,KamiBox!$C$2:$F$54,4,0)</f>
        <v>400</v>
      </c>
      <c r="F9">
        <v>0.1</v>
      </c>
      <c r="G9" s="80">
        <f t="shared" si="0"/>
        <v>40</v>
      </c>
      <c r="H9" s="80" t="e">
        <f>VLOOKUP(D9,'Bu Erta'!$C$2:$F$66,4,0)*F9</f>
        <v>#N/A</v>
      </c>
    </row>
    <row r="10" spans="1:8" x14ac:dyDescent="0.35">
      <c r="B10" t="s">
        <v>97</v>
      </c>
      <c r="D10" t="s">
        <v>393</v>
      </c>
      <c r="E10" s="80">
        <f>VLOOKUP(D10,KamiBox!$C$2:$F$54,4,0)</f>
        <v>500</v>
      </c>
      <c r="F10">
        <v>1.1000000000000001</v>
      </c>
      <c r="G10" s="80">
        <f t="shared" si="0"/>
        <v>550</v>
      </c>
      <c r="H10" s="80" t="e">
        <f>VLOOKUP(D10,'Bu Erta'!$C$2:$F$66,4,0)*F10</f>
        <v>#N/A</v>
      </c>
    </row>
    <row r="11" spans="1:8" x14ac:dyDescent="0.35">
      <c r="B11" t="s">
        <v>97</v>
      </c>
      <c r="D11" t="s">
        <v>70</v>
      </c>
      <c r="E11" s="80">
        <f>VLOOKUP(D11,KamiBox!$C$2:$F$54,4,0)</f>
        <v>4500</v>
      </c>
      <c r="F11">
        <v>0.3</v>
      </c>
      <c r="G11" s="80">
        <f t="shared" si="0"/>
        <v>1350</v>
      </c>
      <c r="H11" s="80">
        <f>VLOOKUP(D11,'Bu Erta'!$C$2:$F$66,4,0)*F11</f>
        <v>1200</v>
      </c>
    </row>
    <row r="12" spans="1:8" x14ac:dyDescent="0.35">
      <c r="B12" t="s">
        <v>97</v>
      </c>
      <c r="D12" t="s">
        <v>69</v>
      </c>
      <c r="E12" s="80">
        <f>VLOOKUP(D12,KamiBox!$C$2:$F$54,4,0)</f>
        <v>3000</v>
      </c>
      <c r="F12">
        <v>0.25</v>
      </c>
      <c r="G12" s="80">
        <f t="shared" si="0"/>
        <v>750</v>
      </c>
      <c r="H12" s="80">
        <f>VLOOKUP(D12,'Bu Erta'!$C$2:$F$66,4,0)*F12</f>
        <v>750</v>
      </c>
    </row>
    <row r="13" spans="1:8" x14ac:dyDescent="0.35">
      <c r="B13" t="s">
        <v>97</v>
      </c>
      <c r="D13" t="s">
        <v>422</v>
      </c>
      <c r="E13" s="80">
        <f>VLOOKUP(D13,KamiBox!$C$2:$F$54,4,0)</f>
        <v>4000</v>
      </c>
      <c r="F13">
        <v>1.8</v>
      </c>
      <c r="G13" s="80">
        <f t="shared" si="0"/>
        <v>7200</v>
      </c>
      <c r="H13" s="80" t="e">
        <f>VLOOKUP(D13,'Bu Erta'!$C$2:$F$66,4,0)*F13</f>
        <v>#N/A</v>
      </c>
    </row>
    <row r="14" spans="1:8" x14ac:dyDescent="0.35">
      <c r="B14" t="s">
        <v>97</v>
      </c>
      <c r="D14" t="s">
        <v>7</v>
      </c>
      <c r="E14" s="80">
        <f>VLOOKUP(D14,KamiBox!$C$2:$F$54,4,0)</f>
        <v>1200</v>
      </c>
      <c r="F14">
        <v>4.1500000000000004</v>
      </c>
      <c r="G14" s="80">
        <f t="shared" si="0"/>
        <v>4980</v>
      </c>
      <c r="H14" s="80">
        <f>VLOOKUP(D14,'Bu Erta'!$C$2:$F$66,4,0)*F14</f>
        <v>6640.0000000000009</v>
      </c>
    </row>
    <row r="15" spans="1:8" x14ac:dyDescent="0.35">
      <c r="B15" t="s">
        <v>97</v>
      </c>
      <c r="D15" t="s">
        <v>388</v>
      </c>
      <c r="E15" s="80">
        <f>VLOOKUP(D15,KamiBox!$C$2:$F$54,4,0)</f>
        <v>1000</v>
      </c>
      <c r="F15">
        <f>0.2+0.3</f>
        <v>0.5</v>
      </c>
      <c r="G15" s="80">
        <f t="shared" si="0"/>
        <v>500</v>
      </c>
      <c r="H15" s="80" t="e">
        <f>VLOOKUP(D15,'Bu Erta'!$C$2:$F$66,4,0)*F15</f>
        <v>#N/A</v>
      </c>
    </row>
    <row r="16" spans="1:8" x14ac:dyDescent="0.35">
      <c r="B16" t="s">
        <v>97</v>
      </c>
      <c r="D16" t="s">
        <v>6</v>
      </c>
      <c r="E16" s="70" t="e">
        <f>VLOOKUP(D16,KamiBox!$C$2:$F$54,4,0)</f>
        <v>#N/A</v>
      </c>
      <c r="F16">
        <v>0.25</v>
      </c>
      <c r="G16" s="80" t="e">
        <f t="shared" si="0"/>
        <v>#N/A</v>
      </c>
      <c r="H16" s="80">
        <f>VLOOKUP(D16,'Bu Erta'!$C$2:$F$66,4,0)*F16</f>
        <v>625</v>
      </c>
    </row>
    <row r="17" spans="1:8" x14ac:dyDescent="0.35">
      <c r="B17" t="s">
        <v>97</v>
      </c>
      <c r="D17" t="s">
        <v>36</v>
      </c>
      <c r="E17" s="80">
        <f>VLOOKUP(D17,KamiBox!$C$2:$F$54,4,0)</f>
        <v>700</v>
      </c>
      <c r="F17">
        <f>0.55+0.65</f>
        <v>1.2000000000000002</v>
      </c>
      <c r="G17" s="80">
        <f t="shared" si="0"/>
        <v>840.00000000000011</v>
      </c>
      <c r="H17" s="80">
        <f>VLOOKUP(D17,'Bu Erta'!$C$2:$F$66,4,0)*F17</f>
        <v>780.00000000000011</v>
      </c>
    </row>
    <row r="18" spans="1:8" x14ac:dyDescent="0.35">
      <c r="B18" t="s">
        <v>97</v>
      </c>
      <c r="D18" t="s">
        <v>420</v>
      </c>
      <c r="E18" s="80">
        <f>VLOOKUP(D18,KamiBox!$C$2:$F$54,4,0)</f>
        <v>3500</v>
      </c>
      <c r="F18">
        <v>0.1</v>
      </c>
      <c r="G18" s="80">
        <f t="shared" si="0"/>
        <v>350</v>
      </c>
      <c r="H18" s="80" t="e">
        <f>VLOOKUP(D18,'Bu Erta'!$C$2:$F$66,4,0)*F18</f>
        <v>#N/A</v>
      </c>
    </row>
    <row r="19" spans="1:8" x14ac:dyDescent="0.35">
      <c r="B19" t="s">
        <v>97</v>
      </c>
      <c r="D19" t="s">
        <v>405</v>
      </c>
      <c r="E19" s="80">
        <f>VLOOKUP(D19,KamiBox!$C$2:$F$54,4,0)</f>
        <v>100</v>
      </c>
      <c r="F19">
        <v>0.55000000000000004</v>
      </c>
      <c r="G19" s="80">
        <f t="shared" si="0"/>
        <v>55.000000000000007</v>
      </c>
      <c r="H19" s="80" t="e">
        <f>VLOOKUP(D19,'Bu Erta'!$C$2:$F$66,4,0)*F19</f>
        <v>#N/A</v>
      </c>
    </row>
    <row r="20" spans="1:8" x14ac:dyDescent="0.35">
      <c r="B20" t="s">
        <v>97</v>
      </c>
      <c r="D20" t="s">
        <v>40</v>
      </c>
      <c r="E20" s="80">
        <f>VLOOKUP(D20,KamiBox!$C$2:$F$54,4,0)</f>
        <v>2000</v>
      </c>
      <c r="F20">
        <v>0.1</v>
      </c>
      <c r="G20" s="80">
        <f t="shared" si="0"/>
        <v>200</v>
      </c>
      <c r="H20" s="80">
        <f>VLOOKUP(D20,'Bu Erta'!$C$2:$F$66,4,0)*F20</f>
        <v>200</v>
      </c>
    </row>
    <row r="21" spans="1:8" x14ac:dyDescent="0.35">
      <c r="B21" t="s">
        <v>97</v>
      </c>
      <c r="D21" t="s">
        <v>41</v>
      </c>
      <c r="E21" s="80">
        <f>VLOOKUP(D21,KamiBox!$C$2:$F$54,4,0)</f>
        <v>2000</v>
      </c>
      <c r="F21">
        <v>0.6</v>
      </c>
      <c r="G21" s="80">
        <f t="shared" si="0"/>
        <v>1200</v>
      </c>
      <c r="H21" s="80">
        <f>VLOOKUP(D21,'Bu Erta'!$C$2:$F$66,4,0)*F21</f>
        <v>1200</v>
      </c>
    </row>
    <row r="22" spans="1:8" x14ac:dyDescent="0.35">
      <c r="B22" t="s">
        <v>97</v>
      </c>
      <c r="D22" t="s">
        <v>387</v>
      </c>
      <c r="E22" s="80">
        <f>VLOOKUP(D22,KamiBox!$C$2:$F$54,4,0)</f>
        <v>4000</v>
      </c>
      <c r="F22">
        <v>0.2</v>
      </c>
      <c r="G22" s="80">
        <f t="shared" si="0"/>
        <v>800</v>
      </c>
      <c r="H22" s="80" t="e">
        <f>VLOOKUP(D22,'Bu Erta'!$C$2:$F$66,4,0)*F22</f>
        <v>#N/A</v>
      </c>
    </row>
    <row r="23" spans="1:8" x14ac:dyDescent="0.35">
      <c r="B23" t="s">
        <v>97</v>
      </c>
      <c r="D23" t="s">
        <v>398</v>
      </c>
      <c r="E23" s="80">
        <f>VLOOKUP(D23,KamiBox!$C$2:$F$54,4,0)</f>
        <v>400</v>
      </c>
      <c r="F23">
        <v>1.8</v>
      </c>
      <c r="G23" s="80">
        <f t="shared" si="0"/>
        <v>720</v>
      </c>
      <c r="H23" s="80" t="e">
        <f>VLOOKUP(D23,'Bu Erta'!$C$2:$F$66,4,0)*F23</f>
        <v>#N/A</v>
      </c>
    </row>
    <row r="24" spans="1:8" x14ac:dyDescent="0.35">
      <c r="A24" s="1">
        <v>3</v>
      </c>
      <c r="B24" t="s">
        <v>114</v>
      </c>
      <c r="C24" s="5">
        <v>4</v>
      </c>
      <c r="D24" t="s">
        <v>422</v>
      </c>
      <c r="E24" s="80">
        <f>VLOOKUP(D24,KamiBox!$C$2:$F$54,4,0)</f>
        <v>4000</v>
      </c>
      <c r="F24">
        <v>1.1000000000000001</v>
      </c>
      <c r="G24" s="80">
        <f t="shared" si="0"/>
        <v>4400</v>
      </c>
      <c r="H24" s="80" t="e">
        <f>VLOOKUP(D24,'Bu Erta'!$C$2:$F$66,4,0)*F24</f>
        <v>#N/A</v>
      </c>
    </row>
    <row r="25" spans="1:8" x14ac:dyDescent="0.35">
      <c r="B25" t="s">
        <v>114</v>
      </c>
      <c r="D25" t="s">
        <v>69</v>
      </c>
      <c r="E25" s="80">
        <f>VLOOKUP(D25,KamiBox!$C$2:$F$54,4,0)</f>
        <v>3000</v>
      </c>
      <c r="F25">
        <v>0.05</v>
      </c>
      <c r="G25" s="80">
        <f t="shared" si="0"/>
        <v>150</v>
      </c>
      <c r="H25" s="80">
        <f>VLOOKUP(D25,'Bu Erta'!$C$2:$F$66,4,0)*F25</f>
        <v>150</v>
      </c>
    </row>
    <row r="26" spans="1:8" x14ac:dyDescent="0.35">
      <c r="B26" t="s">
        <v>114</v>
      </c>
      <c r="D26" t="s">
        <v>7</v>
      </c>
      <c r="E26" s="80">
        <f>VLOOKUP(D26,KamiBox!$C$2:$F$54,4,0)</f>
        <v>1200</v>
      </c>
      <c r="F26">
        <f>0.7+1.95+4.2+4.8+3+1.55+0.2+0.6+2+1.85</f>
        <v>20.85</v>
      </c>
      <c r="G26" s="80">
        <f t="shared" si="0"/>
        <v>25020</v>
      </c>
      <c r="H26" s="80">
        <f>VLOOKUP(D26,'Bu Erta'!$C$2:$F$66,4,0)*F26</f>
        <v>33360</v>
      </c>
    </row>
    <row r="27" spans="1:8" x14ac:dyDescent="0.35">
      <c r="B27" t="s">
        <v>114</v>
      </c>
      <c r="D27" t="s">
        <v>405</v>
      </c>
      <c r="E27" s="80">
        <f>VLOOKUP(D27,KamiBox!$C$2:$F$54,4,0)</f>
        <v>100</v>
      </c>
      <c r="F27">
        <f>3.25+2+0.3+1.05+0.65</f>
        <v>7.25</v>
      </c>
      <c r="G27" s="80">
        <f t="shared" si="0"/>
        <v>725</v>
      </c>
      <c r="H27" s="80" t="e">
        <f>VLOOKUP(D27,'Bu Erta'!$C$2:$F$66,4,0)*F27</f>
        <v>#N/A</v>
      </c>
    </row>
    <row r="28" spans="1:8" x14ac:dyDescent="0.35">
      <c r="B28" t="s">
        <v>114</v>
      </c>
      <c r="D28" t="s">
        <v>41</v>
      </c>
      <c r="E28" s="80">
        <f>VLOOKUP(D28,KamiBox!$C$2:$F$54,4,0)</f>
        <v>2000</v>
      </c>
      <c r="F28">
        <f>0.8+1.8</f>
        <v>2.6</v>
      </c>
      <c r="G28" s="80">
        <f t="shared" si="0"/>
        <v>5200</v>
      </c>
      <c r="H28" s="80">
        <f>VLOOKUP(D28,'Bu Erta'!$C$2:$F$66,4,0)*F28</f>
        <v>5200</v>
      </c>
    </row>
    <row r="29" spans="1:8" x14ac:dyDescent="0.35">
      <c r="B29" t="s">
        <v>114</v>
      </c>
      <c r="D29" t="s">
        <v>40</v>
      </c>
      <c r="E29" s="80">
        <f>VLOOKUP(D29,KamiBox!$C$2:$F$54,4,0)</f>
        <v>2000</v>
      </c>
      <c r="F29">
        <f>1.15+1.9+1.15+2.35+3.75</f>
        <v>10.299999999999999</v>
      </c>
      <c r="G29" s="80">
        <f t="shared" si="0"/>
        <v>20599.999999999996</v>
      </c>
      <c r="H29" s="80">
        <f>VLOOKUP(D29,'Bu Erta'!$C$2:$F$66,4,0)*F29</f>
        <v>20599.999999999996</v>
      </c>
    </row>
    <row r="30" spans="1:8" x14ac:dyDescent="0.35">
      <c r="B30" t="s">
        <v>114</v>
      </c>
      <c r="D30" t="s">
        <v>390</v>
      </c>
      <c r="E30" s="80">
        <f>VLOOKUP(D30,KamiBox!$C$2:$F$54,4,0)</f>
        <v>400</v>
      </c>
      <c r="F30">
        <v>0.25</v>
      </c>
      <c r="G30" s="80">
        <f t="shared" si="0"/>
        <v>100</v>
      </c>
      <c r="H30" s="80" t="e">
        <f>VLOOKUP(D30,'Bu Erta'!$C$2:$F$66,4,0)*F30</f>
        <v>#N/A</v>
      </c>
    </row>
    <row r="31" spans="1:8" x14ac:dyDescent="0.35">
      <c r="B31" t="s">
        <v>114</v>
      </c>
      <c r="D31" t="s">
        <v>421</v>
      </c>
      <c r="E31" s="80">
        <f>VLOOKUP(D31,KamiBox!$C$2:$F$54,4,0)</f>
        <v>1000</v>
      </c>
      <c r="F31">
        <v>0.6</v>
      </c>
      <c r="G31" s="80">
        <f t="shared" si="0"/>
        <v>600</v>
      </c>
      <c r="H31" s="80" t="e">
        <f>VLOOKUP(D31,'Bu Erta'!$C$2:$F$66,4,0)*F31</f>
        <v>#N/A</v>
      </c>
    </row>
    <row r="32" spans="1:8" x14ac:dyDescent="0.35">
      <c r="B32" t="s">
        <v>114</v>
      </c>
      <c r="D32" t="s">
        <v>385</v>
      </c>
      <c r="E32" s="80">
        <f>VLOOKUP(D32,KamiBox!$C$2:$F$54,4,0)</f>
        <v>3000</v>
      </c>
      <c r="F32">
        <v>1</v>
      </c>
      <c r="G32" s="80">
        <f t="shared" si="0"/>
        <v>3000</v>
      </c>
      <c r="H32" s="80" t="e">
        <f>VLOOKUP(D32,'Bu Erta'!$C$2:$F$66,4,0)*F32</f>
        <v>#N/A</v>
      </c>
    </row>
    <row r="33" spans="1:8" x14ac:dyDescent="0.35">
      <c r="B33" t="s">
        <v>114</v>
      </c>
      <c r="D33" t="s">
        <v>37</v>
      </c>
      <c r="E33" s="70" t="e">
        <f>VLOOKUP(D33,KamiBox!$C$2:$F$54,4,0)</f>
        <v>#N/A</v>
      </c>
      <c r="F33">
        <v>0.2</v>
      </c>
      <c r="G33" s="80" t="e">
        <f t="shared" si="0"/>
        <v>#N/A</v>
      </c>
      <c r="H33" s="80">
        <f>VLOOKUP(D33,'Bu Erta'!$C$2:$F$66,4,0)*F33</f>
        <v>400</v>
      </c>
    </row>
    <row r="34" spans="1:8" x14ac:dyDescent="0.35">
      <c r="B34" t="s">
        <v>114</v>
      </c>
      <c r="D34" t="s">
        <v>387</v>
      </c>
      <c r="E34" s="80">
        <f>VLOOKUP(D34,KamiBox!$C$2:$F$54,4,0)</f>
        <v>4000</v>
      </c>
      <c r="F34">
        <v>0.25</v>
      </c>
      <c r="G34" s="80">
        <f t="shared" si="0"/>
        <v>1000</v>
      </c>
      <c r="H34" s="80" t="e">
        <f>VLOOKUP(D34,'Bu Erta'!$C$2:$F$66,4,0)*F34</f>
        <v>#N/A</v>
      </c>
    </row>
    <row r="35" spans="1:8" x14ac:dyDescent="0.35">
      <c r="B35" t="s">
        <v>114</v>
      </c>
      <c r="D35" t="s">
        <v>396</v>
      </c>
      <c r="E35" s="80">
        <f>VLOOKUP(D35,KamiBox!$C$2:$F$54,4,0)</f>
        <v>1700</v>
      </c>
      <c r="F35">
        <f>5.1+2.2</f>
        <v>7.3</v>
      </c>
      <c r="G35" s="80">
        <f t="shared" si="0"/>
        <v>12410</v>
      </c>
      <c r="H35" s="80" t="e">
        <f>VLOOKUP(D35,'Bu Erta'!$C$2:$F$66,4,0)*F35</f>
        <v>#N/A</v>
      </c>
    </row>
    <row r="36" spans="1:8" x14ac:dyDescent="0.35">
      <c r="B36" t="s">
        <v>114</v>
      </c>
      <c r="D36" t="s">
        <v>398</v>
      </c>
      <c r="E36" s="80">
        <f>VLOOKUP(D36,KamiBox!$C$2:$F$54,4,0)</f>
        <v>400</v>
      </c>
      <c r="F36">
        <v>0.6</v>
      </c>
      <c r="G36" s="80">
        <f t="shared" si="0"/>
        <v>240</v>
      </c>
      <c r="H36" s="80" t="e">
        <f>VLOOKUP(D36,'Bu Erta'!$C$2:$F$66,4,0)*F36</f>
        <v>#N/A</v>
      </c>
    </row>
    <row r="37" spans="1:8" x14ac:dyDescent="0.35">
      <c r="B37" t="s">
        <v>114</v>
      </c>
      <c r="D37" t="s">
        <v>22</v>
      </c>
      <c r="E37" s="80">
        <f>VLOOKUP(D37,KamiBox!$C$2:$F$54,4,0)</f>
        <v>4000</v>
      </c>
      <c r="F37">
        <f>1.95+6.6</f>
        <v>8.5499999999999989</v>
      </c>
      <c r="G37" s="80">
        <f t="shared" si="0"/>
        <v>34199.999999999993</v>
      </c>
      <c r="H37" s="80">
        <f>VLOOKUP(D37,'Bu Erta'!$C$2:$F$66,4,0)*F37</f>
        <v>25649.999999999996</v>
      </c>
    </row>
    <row r="38" spans="1:8" x14ac:dyDescent="0.35">
      <c r="B38" t="s">
        <v>114</v>
      </c>
      <c r="D38" t="s">
        <v>38</v>
      </c>
      <c r="E38" s="80">
        <f>VLOOKUP(D38,KamiBox!$C$2:$F$54,4,0)</f>
        <v>1500</v>
      </c>
      <c r="F38">
        <f>0.8+1.3</f>
        <v>2.1</v>
      </c>
      <c r="G38" s="80">
        <f t="shared" si="0"/>
        <v>3150</v>
      </c>
      <c r="H38" s="80">
        <f>VLOOKUP(D38,'Bu Erta'!$C$2:$F$66,4,0)*F38</f>
        <v>3360</v>
      </c>
    </row>
    <row r="39" spans="1:8" x14ac:dyDescent="0.35">
      <c r="B39" t="s">
        <v>114</v>
      </c>
      <c r="D39" t="s">
        <v>430</v>
      </c>
      <c r="E39" s="70" t="e">
        <f>VLOOKUP(D39,KamiBox!$C$2:$F$54,4,0)</f>
        <v>#N/A</v>
      </c>
      <c r="F39">
        <v>2.35</v>
      </c>
      <c r="G39" s="80" t="e">
        <f t="shared" si="0"/>
        <v>#N/A</v>
      </c>
      <c r="H39" s="80" t="e">
        <f>VLOOKUP(D39,'Bu Erta'!$C$2:$F$66,4,0)*F39</f>
        <v>#N/A</v>
      </c>
    </row>
    <row r="40" spans="1:8" x14ac:dyDescent="0.35">
      <c r="A40" s="1">
        <v>4</v>
      </c>
      <c r="B40" t="s">
        <v>189</v>
      </c>
      <c r="C40" s="5">
        <v>5</v>
      </c>
      <c r="D40" t="s">
        <v>396</v>
      </c>
      <c r="E40" s="80">
        <f>VLOOKUP(D40,KamiBox!$C$2:$F$54,4,0)</f>
        <v>1700</v>
      </c>
      <c r="F40">
        <v>3.85</v>
      </c>
      <c r="G40" s="80">
        <f t="shared" si="0"/>
        <v>6545</v>
      </c>
      <c r="H40" s="80" t="e">
        <f>VLOOKUP(D40,'Bu Erta'!$C$2:$F$66,4,0)*F40</f>
        <v>#N/A</v>
      </c>
    </row>
    <row r="41" spans="1:8" x14ac:dyDescent="0.35">
      <c r="B41" t="s">
        <v>189</v>
      </c>
      <c r="D41" t="s">
        <v>420</v>
      </c>
      <c r="E41" s="80">
        <f>VLOOKUP(D41,KamiBox!$C$2:$F$54,4,0)</f>
        <v>3500</v>
      </c>
      <c r="F41">
        <v>0.55000000000000004</v>
      </c>
      <c r="G41" s="80">
        <f t="shared" si="0"/>
        <v>1925.0000000000002</v>
      </c>
      <c r="H41" s="80" t="e">
        <f>VLOOKUP(D41,'Bu Erta'!$C$2:$F$66,4,0)*F41</f>
        <v>#N/A</v>
      </c>
    </row>
    <row r="42" spans="1:8" x14ac:dyDescent="0.35">
      <c r="B42" t="s">
        <v>189</v>
      </c>
      <c r="D42" t="s">
        <v>422</v>
      </c>
      <c r="E42" s="80">
        <f>VLOOKUP(D42,KamiBox!$C$2:$F$54,4,0)</f>
        <v>4000</v>
      </c>
      <c r="F42">
        <v>0.7</v>
      </c>
      <c r="G42" s="80">
        <f t="shared" si="0"/>
        <v>2800</v>
      </c>
      <c r="H42" s="80" t="e">
        <f>VLOOKUP(D42,'Bu Erta'!$C$2:$F$66,4,0)*F42</f>
        <v>#N/A</v>
      </c>
    </row>
    <row r="43" spans="1:8" x14ac:dyDescent="0.35">
      <c r="B43" t="s">
        <v>189</v>
      </c>
      <c r="D43" t="s">
        <v>393</v>
      </c>
      <c r="E43" s="80">
        <f>VLOOKUP(D43,KamiBox!$C$2:$F$54,4,0)</f>
        <v>500</v>
      </c>
      <c r="F43">
        <v>2.2999999999999998</v>
      </c>
      <c r="G43" s="80">
        <f t="shared" si="0"/>
        <v>1150</v>
      </c>
      <c r="H43" s="80" t="e">
        <f>VLOOKUP(D43,'Bu Erta'!$C$2:$F$66,4,0)*F43</f>
        <v>#N/A</v>
      </c>
    </row>
    <row r="44" spans="1:8" x14ac:dyDescent="0.35">
      <c r="B44" t="s">
        <v>189</v>
      </c>
      <c r="D44" t="s">
        <v>69</v>
      </c>
      <c r="E44" s="80">
        <f>VLOOKUP(D44,KamiBox!$C$2:$F$54,4,0)</f>
        <v>3000</v>
      </c>
      <c r="F44">
        <v>0.15</v>
      </c>
      <c r="G44" s="80">
        <f t="shared" si="0"/>
        <v>450</v>
      </c>
      <c r="H44" s="80">
        <f>VLOOKUP(D44,'Bu Erta'!$C$2:$F$66,4,0)*F44</f>
        <v>450</v>
      </c>
    </row>
    <row r="45" spans="1:8" x14ac:dyDescent="0.35">
      <c r="B45" t="s">
        <v>189</v>
      </c>
      <c r="D45" t="s">
        <v>31</v>
      </c>
      <c r="E45" s="80">
        <f>VLOOKUP(D45,KamiBox!$C$2:$F$54,4,0)</f>
        <v>1000</v>
      </c>
      <c r="F45">
        <v>1.1499999999999999</v>
      </c>
      <c r="G45" s="80">
        <f t="shared" si="0"/>
        <v>1150</v>
      </c>
      <c r="H45" s="80">
        <f>VLOOKUP(D45,'Bu Erta'!$C$2:$F$66,4,0)*F45</f>
        <v>1265</v>
      </c>
    </row>
    <row r="46" spans="1:8" x14ac:dyDescent="0.35">
      <c r="A46" s="1">
        <v>5</v>
      </c>
      <c r="B46" t="s">
        <v>327</v>
      </c>
      <c r="C46" s="5">
        <v>1</v>
      </c>
      <c r="D46" t="s">
        <v>396</v>
      </c>
      <c r="E46" s="80">
        <f>VLOOKUP(D46,KamiBox!$C$2:$F$54,4,0)</f>
        <v>1700</v>
      </c>
      <c r="F46">
        <v>2.2999999999999998</v>
      </c>
      <c r="G46" s="80">
        <f t="shared" si="0"/>
        <v>3909.9999999999995</v>
      </c>
      <c r="H46" s="80" t="e">
        <f>VLOOKUP(D46,'Bu Erta'!$C$2:$F$66,4,0)*F46</f>
        <v>#N/A</v>
      </c>
    </row>
    <row r="47" spans="1:8" x14ac:dyDescent="0.35">
      <c r="B47" t="s">
        <v>327</v>
      </c>
      <c r="D47" t="s">
        <v>7</v>
      </c>
      <c r="E47" s="80">
        <f>VLOOKUP(D47,KamiBox!$C$2:$F$54,4,0)</f>
        <v>1200</v>
      </c>
      <c r="F47">
        <f>1.8+0.4</f>
        <v>2.2000000000000002</v>
      </c>
      <c r="G47" s="80">
        <f t="shared" si="0"/>
        <v>2640</v>
      </c>
      <c r="H47" s="80">
        <f>VLOOKUP(D47,'Bu Erta'!$C$2:$F$66,4,0)*F47</f>
        <v>3520.0000000000005</v>
      </c>
    </row>
    <row r="48" spans="1:8" x14ac:dyDescent="0.35">
      <c r="B48" t="s">
        <v>327</v>
      </c>
      <c r="D48" t="s">
        <v>422</v>
      </c>
      <c r="E48" s="80">
        <f>VLOOKUP(D48,KamiBox!$C$2:$F$54,4,0)</f>
        <v>4000</v>
      </c>
      <c r="F48">
        <v>1.05</v>
      </c>
      <c r="G48" s="80">
        <f t="shared" si="0"/>
        <v>4200</v>
      </c>
      <c r="H48" s="80" t="e">
        <f>VLOOKUP(D48,'Bu Erta'!$C$2:$F$66,4,0)*F48</f>
        <v>#N/A</v>
      </c>
    </row>
    <row r="49" spans="1:8" x14ac:dyDescent="0.35">
      <c r="B49" t="s">
        <v>327</v>
      </c>
      <c r="D49" s="77" t="s">
        <v>431</v>
      </c>
      <c r="E49" s="80" t="e">
        <f>VLOOKUP(D49,KamiBox!$C$2:$F$54,4,0)</f>
        <v>#N/A</v>
      </c>
      <c r="F49">
        <v>0.15</v>
      </c>
      <c r="G49" s="80" t="e">
        <f t="shared" si="0"/>
        <v>#N/A</v>
      </c>
      <c r="H49" s="80" t="e">
        <f>VLOOKUP(D49,'Bu Erta'!$C$2:$F$66,4,0)*F49</f>
        <v>#N/A</v>
      </c>
    </row>
    <row r="50" spans="1:8" x14ac:dyDescent="0.35">
      <c r="B50" t="s">
        <v>327</v>
      </c>
      <c r="D50" t="s">
        <v>405</v>
      </c>
      <c r="E50" s="80">
        <f>VLOOKUP(D50,KamiBox!$C$2:$F$54,4,0)</f>
        <v>100</v>
      </c>
      <c r="F50">
        <v>2.75</v>
      </c>
      <c r="G50" s="80">
        <f t="shared" si="0"/>
        <v>275</v>
      </c>
      <c r="H50" s="80" t="e">
        <f>VLOOKUP(D50,'Bu Erta'!$C$2:$F$66,4,0)*F50</f>
        <v>#N/A</v>
      </c>
    </row>
    <row r="51" spans="1:8" x14ac:dyDescent="0.35">
      <c r="B51" t="s">
        <v>327</v>
      </c>
      <c r="D51" t="s">
        <v>41</v>
      </c>
      <c r="E51" s="80">
        <f>VLOOKUP(D51,KamiBox!$C$2:$F$54,4,0)</f>
        <v>2000</v>
      </c>
      <c r="F51">
        <v>0.9</v>
      </c>
      <c r="G51" s="80">
        <f t="shared" si="0"/>
        <v>1800</v>
      </c>
      <c r="H51" s="80">
        <f>VLOOKUP(D51,'Bu Erta'!$C$2:$F$66,4,0)*F51</f>
        <v>1800</v>
      </c>
    </row>
    <row r="52" spans="1:8" x14ac:dyDescent="0.35">
      <c r="A52" s="1">
        <v>6</v>
      </c>
      <c r="B52" t="s">
        <v>328</v>
      </c>
      <c r="C52" s="1">
        <v>4</v>
      </c>
      <c r="D52" t="s">
        <v>6</v>
      </c>
      <c r="E52" s="70" t="e">
        <f>VLOOKUP(D52,KamiBox!$C$2:$F$54,4,0)</f>
        <v>#N/A</v>
      </c>
      <c r="F52">
        <v>0.4</v>
      </c>
      <c r="G52" s="80" t="e">
        <f t="shared" si="0"/>
        <v>#N/A</v>
      </c>
      <c r="H52" s="80">
        <f>VLOOKUP(D52,'Bu Erta'!$C$2:$F$66,4,0)*F52</f>
        <v>1000</v>
      </c>
    </row>
    <row r="53" spans="1:8" x14ac:dyDescent="0.35">
      <c r="B53" t="s">
        <v>328</v>
      </c>
      <c r="D53" s="77" t="s">
        <v>431</v>
      </c>
      <c r="E53" s="80" t="e">
        <f>VLOOKUP(D53,KamiBox!$C$2:$F$54,4,0)</f>
        <v>#N/A</v>
      </c>
      <c r="F53">
        <v>1.3</v>
      </c>
      <c r="G53" s="80" t="e">
        <f t="shared" si="0"/>
        <v>#N/A</v>
      </c>
      <c r="H53" s="80" t="e">
        <f>VLOOKUP(D53,'Bu Erta'!$C$2:$F$66,4,0)*F53</f>
        <v>#N/A</v>
      </c>
    </row>
    <row r="54" spans="1:8" x14ac:dyDescent="0.35">
      <c r="B54" t="s">
        <v>328</v>
      </c>
      <c r="D54" t="s">
        <v>40</v>
      </c>
      <c r="E54" s="80">
        <f>VLOOKUP(D54,KamiBox!$C$2:$F$54,4,0)</f>
        <v>2000</v>
      </c>
      <c r="F54">
        <v>0.2</v>
      </c>
      <c r="G54" s="80">
        <f t="shared" si="0"/>
        <v>400</v>
      </c>
      <c r="H54" s="80">
        <f>VLOOKUP(D54,'Bu Erta'!$C$2:$F$66,4,0)*F54</f>
        <v>400</v>
      </c>
    </row>
    <row r="55" spans="1:8" x14ac:dyDescent="0.35">
      <c r="B55" t="s">
        <v>328</v>
      </c>
      <c r="D55" t="s">
        <v>396</v>
      </c>
      <c r="E55" s="80">
        <f>VLOOKUP(D55,KamiBox!$C$2:$F$54,4,0)</f>
        <v>1700</v>
      </c>
      <c r="F55">
        <v>3.9</v>
      </c>
      <c r="G55" s="80">
        <f t="shared" si="0"/>
        <v>6630</v>
      </c>
      <c r="H55" s="80" t="e">
        <f>VLOOKUP(D55,'Bu Erta'!$C$2:$F$66,4,0)*F55</f>
        <v>#N/A</v>
      </c>
    </row>
    <row r="56" spans="1:8" x14ac:dyDescent="0.35">
      <c r="B56" t="s">
        <v>328</v>
      </c>
      <c r="D56" t="s">
        <v>388</v>
      </c>
      <c r="E56" s="80">
        <f>VLOOKUP(D56,KamiBox!$C$2:$F$54,4,0)</f>
        <v>1000</v>
      </c>
      <c r="F56">
        <v>1.2</v>
      </c>
      <c r="G56" s="80">
        <f t="shared" si="0"/>
        <v>1200</v>
      </c>
      <c r="H56" s="80" t="e">
        <f>VLOOKUP(D56,'Bu Erta'!$C$2:$F$66,4,0)*F56</f>
        <v>#N/A</v>
      </c>
    </row>
    <row r="57" spans="1:8" x14ac:dyDescent="0.35">
      <c r="B57" t="s">
        <v>328</v>
      </c>
      <c r="D57" t="s">
        <v>393</v>
      </c>
      <c r="E57" s="80">
        <f>VLOOKUP(D57,KamiBox!$C$2:$F$54,4,0)</f>
        <v>500</v>
      </c>
      <c r="F57">
        <v>0.2</v>
      </c>
      <c r="G57" s="80">
        <f t="shared" si="0"/>
        <v>100</v>
      </c>
      <c r="H57" s="80" t="e">
        <f>VLOOKUP(D57,'Bu Erta'!$C$2:$F$66,4,0)*F57</f>
        <v>#N/A</v>
      </c>
    </row>
    <row r="58" spans="1:8" x14ac:dyDescent="0.35">
      <c r="A58" s="1">
        <v>7</v>
      </c>
      <c r="B58" t="s">
        <v>90</v>
      </c>
      <c r="C58" s="5">
        <v>3</v>
      </c>
      <c r="D58" t="s">
        <v>407</v>
      </c>
      <c r="E58" s="80">
        <f>VLOOKUP(D58,KamiBox!$C$2:$F$54,4,0)</f>
        <v>7000</v>
      </c>
      <c r="F58">
        <v>0.75</v>
      </c>
      <c r="G58" s="80">
        <f t="shared" si="0"/>
        <v>5250</v>
      </c>
      <c r="H58" s="80" t="e">
        <f>VLOOKUP(D58,'Bu Erta'!$C$2:$F$66,4,0)*F58</f>
        <v>#N/A</v>
      </c>
    </row>
    <row r="59" spans="1:8" x14ac:dyDescent="0.35">
      <c r="B59" t="s">
        <v>90</v>
      </c>
      <c r="D59" s="77" t="s">
        <v>431</v>
      </c>
      <c r="E59" s="80" t="e">
        <f>VLOOKUP(D59,KamiBox!$C$2:$F$54,4,0)</f>
        <v>#N/A</v>
      </c>
      <c r="F59">
        <v>0.1</v>
      </c>
      <c r="G59" s="80" t="e">
        <f t="shared" si="0"/>
        <v>#N/A</v>
      </c>
      <c r="H59" s="80" t="e">
        <f>VLOOKUP(D59,'Bu Erta'!$C$2:$F$66,4,0)*F59</f>
        <v>#N/A</v>
      </c>
    </row>
    <row r="60" spans="1:8" x14ac:dyDescent="0.35">
      <c r="B60" t="s">
        <v>90</v>
      </c>
      <c r="D60" t="s">
        <v>7</v>
      </c>
      <c r="E60" s="80">
        <f>VLOOKUP(D60,KamiBox!$C$2:$F$54,4,0)</f>
        <v>1200</v>
      </c>
      <c r="F60">
        <v>0.05</v>
      </c>
      <c r="G60" s="80">
        <f t="shared" si="0"/>
        <v>60</v>
      </c>
      <c r="H60" s="80">
        <f>VLOOKUP(D60,'Bu Erta'!$C$2:$F$66,4,0)*F60</f>
        <v>80</v>
      </c>
    </row>
    <row r="61" spans="1:8" x14ac:dyDescent="0.35">
      <c r="B61" t="s">
        <v>90</v>
      </c>
      <c r="D61" t="s">
        <v>36</v>
      </c>
      <c r="E61" s="80">
        <f>VLOOKUP(D61,KamiBox!$C$2:$F$54,4,0)</f>
        <v>700</v>
      </c>
      <c r="F61">
        <v>0.3</v>
      </c>
      <c r="G61" s="80">
        <f t="shared" si="0"/>
        <v>210</v>
      </c>
      <c r="H61" s="80">
        <f>VLOOKUP(D61,'Bu Erta'!$C$2:$F$66,4,0)*F61</f>
        <v>195</v>
      </c>
    </row>
    <row r="62" spans="1:8" x14ac:dyDescent="0.35">
      <c r="A62" s="1">
        <v>8</v>
      </c>
      <c r="B62" t="s">
        <v>242</v>
      </c>
      <c r="C62" s="5">
        <v>3</v>
      </c>
      <c r="D62" t="s">
        <v>379</v>
      </c>
      <c r="E62" s="80">
        <f>VLOOKUP(D62,KamiBox!$C$2:$F$54,4,0)</f>
        <v>4000</v>
      </c>
      <c r="F62">
        <v>3.85</v>
      </c>
      <c r="G62" s="80">
        <f t="shared" si="0"/>
        <v>15400</v>
      </c>
      <c r="H62" s="80" t="e">
        <f>VLOOKUP(D62,'Bu Erta'!$C$2:$F$66,4,0)*F62</f>
        <v>#N/A</v>
      </c>
    </row>
    <row r="63" spans="1:8" x14ac:dyDescent="0.35">
      <c r="B63" t="s">
        <v>242</v>
      </c>
      <c r="D63" t="s">
        <v>398</v>
      </c>
      <c r="E63" s="80">
        <f>VLOOKUP(D63,KamiBox!$C$2:$F$54,4,0)</f>
        <v>400</v>
      </c>
      <c r="F63">
        <v>0.15</v>
      </c>
      <c r="G63" s="80">
        <f t="shared" si="0"/>
        <v>60</v>
      </c>
      <c r="H63" s="80" t="e">
        <f>VLOOKUP(D63,'Bu Erta'!$C$2:$F$66,4,0)*F63</f>
        <v>#N/A</v>
      </c>
    </row>
    <row r="64" spans="1:8" x14ac:dyDescent="0.35">
      <c r="B64" t="s">
        <v>242</v>
      </c>
      <c r="D64" s="77" t="s">
        <v>431</v>
      </c>
      <c r="E64" s="80" t="e">
        <f>VLOOKUP(D64,KamiBox!$C$2:$F$54,4,0)</f>
        <v>#N/A</v>
      </c>
      <c r="F64">
        <v>0.25</v>
      </c>
      <c r="G64" s="80" t="e">
        <f t="shared" si="0"/>
        <v>#N/A</v>
      </c>
      <c r="H64" s="80" t="e">
        <f>VLOOKUP(D64,'Bu Erta'!$C$2:$F$66,4,0)*F64</f>
        <v>#N/A</v>
      </c>
    </row>
    <row r="65" spans="1:8" x14ac:dyDescent="0.35">
      <c r="B65" t="s">
        <v>242</v>
      </c>
      <c r="D65" t="s">
        <v>384</v>
      </c>
      <c r="E65" s="80">
        <f>VLOOKUP(D65,KamiBox!$C$2:$F$54,4,0)</f>
        <v>2000</v>
      </c>
      <c r="F65">
        <v>0.2</v>
      </c>
      <c r="G65" s="80">
        <f t="shared" si="0"/>
        <v>400</v>
      </c>
      <c r="H65" s="80" t="e">
        <f>VLOOKUP(D65,'Bu Erta'!$C$2:$F$66,4,0)*F65</f>
        <v>#N/A</v>
      </c>
    </row>
    <row r="66" spans="1:8" x14ac:dyDescent="0.35">
      <c r="B66" t="s">
        <v>242</v>
      </c>
      <c r="D66" t="s">
        <v>393</v>
      </c>
      <c r="E66" s="80">
        <f>VLOOKUP(D66,KamiBox!$C$2:$F$54,4,0)</f>
        <v>500</v>
      </c>
      <c r="F66">
        <f>0.3+0.25</f>
        <v>0.55000000000000004</v>
      </c>
      <c r="G66" s="80">
        <f t="shared" si="0"/>
        <v>275</v>
      </c>
      <c r="H66" s="80" t="e">
        <f>VLOOKUP(D66,'Bu Erta'!$C$2:$F$66,4,0)*F66</f>
        <v>#N/A</v>
      </c>
    </row>
    <row r="67" spans="1:8" x14ac:dyDescent="0.35">
      <c r="B67" t="s">
        <v>242</v>
      </c>
      <c r="D67" t="s">
        <v>7</v>
      </c>
      <c r="E67" s="80">
        <f>VLOOKUP(D67,KamiBox!$C$2:$F$54,4,0)</f>
        <v>1200</v>
      </c>
      <c r="F67">
        <f>1.5+1.9</f>
        <v>3.4</v>
      </c>
      <c r="G67" s="80">
        <f t="shared" si="0"/>
        <v>4080</v>
      </c>
      <c r="H67" s="80">
        <f>VLOOKUP(D67,'Bu Erta'!$C$2:$F$66,4,0)*F67</f>
        <v>5440</v>
      </c>
    </row>
    <row r="68" spans="1:8" x14ac:dyDescent="0.35">
      <c r="B68" t="s">
        <v>242</v>
      </c>
      <c r="D68" t="s">
        <v>396</v>
      </c>
      <c r="E68" s="80">
        <f>VLOOKUP(D68,KamiBox!$C$2:$F$54,4,0)</f>
        <v>1700</v>
      </c>
      <c r="F68">
        <v>0.9</v>
      </c>
      <c r="G68" s="80">
        <f t="shared" ref="G68:G131" si="1">E68*F68</f>
        <v>1530</v>
      </c>
      <c r="H68" s="80" t="e">
        <f>VLOOKUP(D68,'Bu Erta'!$C$2:$F$66,4,0)*F68</f>
        <v>#N/A</v>
      </c>
    </row>
    <row r="69" spans="1:8" x14ac:dyDescent="0.35">
      <c r="B69" t="s">
        <v>242</v>
      </c>
      <c r="D69" t="s">
        <v>22</v>
      </c>
      <c r="E69" s="80">
        <f>VLOOKUP(D69,KamiBox!$C$2:$F$54,4,0)</f>
        <v>4000</v>
      </c>
      <c r="F69">
        <v>0.15</v>
      </c>
      <c r="G69" s="80">
        <f t="shared" si="1"/>
        <v>600</v>
      </c>
      <c r="H69" s="80">
        <f>VLOOKUP(D69,'Bu Erta'!$C$2:$F$66,4,0)*F69</f>
        <v>450</v>
      </c>
    </row>
    <row r="70" spans="1:8" x14ac:dyDescent="0.35">
      <c r="A70" s="1">
        <v>9</v>
      </c>
      <c r="B70" t="s">
        <v>78</v>
      </c>
      <c r="C70" s="5">
        <v>2</v>
      </c>
      <c r="D70" t="s">
        <v>422</v>
      </c>
      <c r="E70" s="80">
        <f>VLOOKUP(D70,KamiBox!$C$2:$F$54,4,0)</f>
        <v>4000</v>
      </c>
      <c r="F70">
        <f>1+1.1+1.65+0.95+1.2+0.75</f>
        <v>6.65</v>
      </c>
      <c r="G70" s="80">
        <f t="shared" si="1"/>
        <v>26600</v>
      </c>
      <c r="H70" s="80" t="e">
        <f>VLOOKUP(D70,'Bu Erta'!$C$2:$F$66,4,0)*F70</f>
        <v>#N/A</v>
      </c>
    </row>
    <row r="71" spans="1:8" x14ac:dyDescent="0.35">
      <c r="B71" t="s">
        <v>78</v>
      </c>
      <c r="D71" t="s">
        <v>420</v>
      </c>
      <c r="E71" s="80">
        <f>VLOOKUP(D71,KamiBox!$C$2:$F$54,4,0)</f>
        <v>3500</v>
      </c>
      <c r="F71">
        <f>0.55+0.55</f>
        <v>1.1000000000000001</v>
      </c>
      <c r="G71" s="80">
        <f t="shared" si="1"/>
        <v>3850.0000000000005</v>
      </c>
      <c r="H71" s="80" t="e">
        <f>VLOOKUP(D71,'Bu Erta'!$C$2:$F$66,4,0)*F71</f>
        <v>#N/A</v>
      </c>
    </row>
    <row r="72" spans="1:8" x14ac:dyDescent="0.35">
      <c r="B72" t="s">
        <v>78</v>
      </c>
      <c r="D72" s="77" t="s">
        <v>431</v>
      </c>
      <c r="E72" s="80" t="e">
        <f>VLOOKUP(D72,KamiBox!$C$2:$F$54,4,0)</f>
        <v>#N/A</v>
      </c>
      <c r="F72">
        <v>0.15</v>
      </c>
      <c r="G72" s="80" t="e">
        <f t="shared" si="1"/>
        <v>#N/A</v>
      </c>
      <c r="H72" s="80" t="e">
        <f>VLOOKUP(D72,'Bu Erta'!$C$2:$F$66,4,0)*F72</f>
        <v>#N/A</v>
      </c>
    </row>
    <row r="73" spans="1:8" x14ac:dyDescent="0.35">
      <c r="B73" t="s">
        <v>78</v>
      </c>
      <c r="D73" t="s">
        <v>7</v>
      </c>
      <c r="E73" s="80">
        <f>VLOOKUP(D73,KamiBox!$C$2:$F$54,4,0)</f>
        <v>1200</v>
      </c>
      <c r="F73">
        <f>0.3+0.05</f>
        <v>0.35</v>
      </c>
      <c r="G73" s="80">
        <f t="shared" si="1"/>
        <v>420</v>
      </c>
      <c r="H73" s="80">
        <f>VLOOKUP(D73,'Bu Erta'!$C$2:$F$66,4,0)*F73</f>
        <v>560</v>
      </c>
    </row>
    <row r="74" spans="1:8" x14ac:dyDescent="0.35">
      <c r="B74" t="s">
        <v>78</v>
      </c>
      <c r="D74" t="s">
        <v>69</v>
      </c>
      <c r="E74" s="80">
        <f>VLOOKUP(D74,KamiBox!$C$2:$F$54,4,0)</f>
        <v>3000</v>
      </c>
      <c r="F74">
        <v>1.45</v>
      </c>
      <c r="G74" s="80">
        <f t="shared" si="1"/>
        <v>4350</v>
      </c>
      <c r="H74" s="80">
        <f>VLOOKUP(D74,'Bu Erta'!$C$2:$F$66,4,0)*F74</f>
        <v>4350</v>
      </c>
    </row>
    <row r="75" spans="1:8" x14ac:dyDescent="0.35">
      <c r="B75" t="s">
        <v>78</v>
      </c>
      <c r="D75" t="s">
        <v>393</v>
      </c>
      <c r="E75" s="80">
        <f>VLOOKUP(D75,KamiBox!$C$2:$F$54,4,0)</f>
        <v>500</v>
      </c>
      <c r="F75">
        <v>0.15</v>
      </c>
      <c r="G75" s="80">
        <f t="shared" si="1"/>
        <v>75</v>
      </c>
      <c r="H75" s="80" t="e">
        <f>VLOOKUP(D75,'Bu Erta'!$C$2:$F$66,4,0)*F75</f>
        <v>#N/A</v>
      </c>
    </row>
    <row r="76" spans="1:8" x14ac:dyDescent="0.35">
      <c r="B76" t="s">
        <v>78</v>
      </c>
      <c r="D76" t="s">
        <v>398</v>
      </c>
      <c r="E76" s="80">
        <f>VLOOKUP(D76,KamiBox!$C$2:$F$54,4,0)</f>
        <v>400</v>
      </c>
      <c r="F76">
        <v>0.2</v>
      </c>
      <c r="G76" s="80">
        <f t="shared" si="1"/>
        <v>80</v>
      </c>
      <c r="H76" s="80" t="e">
        <f>VLOOKUP(D76,'Bu Erta'!$C$2:$F$66,4,0)*F76</f>
        <v>#N/A</v>
      </c>
    </row>
    <row r="77" spans="1:8" x14ac:dyDescent="0.35">
      <c r="B77" t="s">
        <v>78</v>
      </c>
      <c r="D77" t="s">
        <v>407</v>
      </c>
      <c r="E77" s="80">
        <f>VLOOKUP(D77,KamiBox!$C$2:$F$54,4,0)</f>
        <v>7000</v>
      </c>
      <c r="F77">
        <v>0.55000000000000004</v>
      </c>
      <c r="G77" s="80">
        <f t="shared" si="1"/>
        <v>3850.0000000000005</v>
      </c>
      <c r="H77" s="80" t="e">
        <f>VLOOKUP(D77,'Bu Erta'!$C$2:$F$66,4,0)*F77</f>
        <v>#N/A</v>
      </c>
    </row>
    <row r="78" spans="1:8" x14ac:dyDescent="0.35">
      <c r="B78" t="s">
        <v>78</v>
      </c>
      <c r="D78" t="s">
        <v>22</v>
      </c>
      <c r="E78" s="80">
        <f>VLOOKUP(D78,KamiBox!$C$2:$F$54,4,0)</f>
        <v>4000</v>
      </c>
      <c r="F78">
        <f>1.1+0.65</f>
        <v>1.75</v>
      </c>
      <c r="G78" s="80">
        <f t="shared" si="1"/>
        <v>7000</v>
      </c>
      <c r="H78" s="80">
        <f>VLOOKUP(D78,'Bu Erta'!$C$2:$F$66,4,0)*F78</f>
        <v>5250</v>
      </c>
    </row>
    <row r="79" spans="1:8" x14ac:dyDescent="0.35">
      <c r="B79" t="s">
        <v>78</v>
      </c>
      <c r="D79" t="s">
        <v>396</v>
      </c>
      <c r="E79" s="80">
        <f>VLOOKUP(D79,KamiBox!$C$2:$F$54,4,0)</f>
        <v>1700</v>
      </c>
      <c r="F79" s="77">
        <v>12.12</v>
      </c>
      <c r="G79" s="80">
        <f t="shared" si="1"/>
        <v>20604</v>
      </c>
      <c r="H79" s="80" t="e">
        <f>VLOOKUP(D79,'Bu Erta'!$C$2:$F$66,4,0)*F79</f>
        <v>#N/A</v>
      </c>
    </row>
    <row r="80" spans="1:8" x14ac:dyDescent="0.35">
      <c r="A80" s="1">
        <v>10</v>
      </c>
      <c r="B80" t="s">
        <v>178</v>
      </c>
      <c r="C80" s="5">
        <v>3</v>
      </c>
      <c r="D80" t="s">
        <v>31</v>
      </c>
      <c r="E80" s="80">
        <f>VLOOKUP(D80,KamiBox!$C$2:$F$54,4,0)</f>
        <v>1000</v>
      </c>
      <c r="F80">
        <v>1</v>
      </c>
      <c r="G80" s="80">
        <f t="shared" si="1"/>
        <v>1000</v>
      </c>
      <c r="H80" s="80">
        <f>VLOOKUP(D80,'Bu Erta'!$C$2:$F$66,4,0)*F80</f>
        <v>1100</v>
      </c>
    </row>
    <row r="81" spans="1:8" x14ac:dyDescent="0.35">
      <c r="B81" t="s">
        <v>178</v>
      </c>
      <c r="D81" t="s">
        <v>7</v>
      </c>
      <c r="E81" s="80">
        <f>VLOOKUP(D81,KamiBox!$C$2:$F$54,4,0)</f>
        <v>1200</v>
      </c>
      <c r="F81">
        <v>0.2</v>
      </c>
      <c r="G81" s="80">
        <f t="shared" si="1"/>
        <v>240</v>
      </c>
      <c r="H81" s="80">
        <f>VLOOKUP(D81,'Bu Erta'!$C$2:$F$66,4,0)*F81</f>
        <v>320</v>
      </c>
    </row>
    <row r="82" spans="1:8" x14ac:dyDescent="0.35">
      <c r="B82" t="s">
        <v>178</v>
      </c>
      <c r="D82" t="s">
        <v>398</v>
      </c>
      <c r="E82" s="80">
        <f>VLOOKUP(D82,KamiBox!$C$2:$F$54,4,0)</f>
        <v>400</v>
      </c>
      <c r="F82">
        <v>2</v>
      </c>
      <c r="G82" s="80">
        <f t="shared" si="1"/>
        <v>800</v>
      </c>
      <c r="H82" s="80" t="e">
        <f>VLOOKUP(D82,'Bu Erta'!$C$2:$F$66,4,0)*F82</f>
        <v>#N/A</v>
      </c>
    </row>
    <row r="83" spans="1:8" x14ac:dyDescent="0.35">
      <c r="B83" t="s">
        <v>178</v>
      </c>
      <c r="D83" t="s">
        <v>393</v>
      </c>
      <c r="E83" s="80">
        <f>VLOOKUP(D83,KamiBox!$C$2:$F$54,4,0)</f>
        <v>500</v>
      </c>
      <c r="F83">
        <v>0.95</v>
      </c>
      <c r="G83" s="80">
        <f t="shared" si="1"/>
        <v>475</v>
      </c>
      <c r="H83" s="80" t="e">
        <f>VLOOKUP(D83,'Bu Erta'!$C$2:$F$66,4,0)*F83</f>
        <v>#N/A</v>
      </c>
    </row>
    <row r="84" spans="1:8" x14ac:dyDescent="0.35">
      <c r="B84" t="s">
        <v>178</v>
      </c>
      <c r="D84" t="s">
        <v>69</v>
      </c>
      <c r="E84" s="80">
        <f>VLOOKUP(D84,KamiBox!$C$2:$F$54,4,0)</f>
        <v>3000</v>
      </c>
      <c r="F84">
        <v>0.25</v>
      </c>
      <c r="G84" s="80">
        <f t="shared" si="1"/>
        <v>750</v>
      </c>
      <c r="H84" s="80">
        <f>VLOOKUP(D84,'Bu Erta'!$C$2:$F$66,4,0)*F84</f>
        <v>750</v>
      </c>
    </row>
    <row r="85" spans="1:8" x14ac:dyDescent="0.35">
      <c r="B85" t="s">
        <v>178</v>
      </c>
      <c r="D85" t="s">
        <v>396</v>
      </c>
      <c r="E85" s="80">
        <f>VLOOKUP(D85,KamiBox!$C$2:$F$54,4,0)</f>
        <v>1700</v>
      </c>
      <c r="F85">
        <v>8.25</v>
      </c>
      <c r="G85" s="80">
        <f t="shared" si="1"/>
        <v>14025</v>
      </c>
      <c r="H85" s="80" t="e">
        <f>VLOOKUP(D85,'Bu Erta'!$C$2:$F$66,4,0)*F85</f>
        <v>#N/A</v>
      </c>
    </row>
    <row r="86" spans="1:8" x14ac:dyDescent="0.35">
      <c r="B86" t="s">
        <v>178</v>
      </c>
      <c r="D86" t="s">
        <v>407</v>
      </c>
      <c r="E86" s="80">
        <f>VLOOKUP(D86,KamiBox!$C$2:$F$54,4,0)</f>
        <v>7000</v>
      </c>
      <c r="F86">
        <v>11.4</v>
      </c>
      <c r="G86" s="80">
        <f t="shared" si="1"/>
        <v>79800</v>
      </c>
      <c r="H86" s="80" t="e">
        <f>VLOOKUP(D86,'Bu Erta'!$C$2:$F$66,4,0)*F86</f>
        <v>#N/A</v>
      </c>
    </row>
    <row r="87" spans="1:8" x14ac:dyDescent="0.35">
      <c r="A87" s="1">
        <v>11</v>
      </c>
      <c r="B87" t="s">
        <v>86</v>
      </c>
      <c r="C87" s="5">
        <v>4</v>
      </c>
      <c r="D87" t="s">
        <v>7</v>
      </c>
      <c r="E87" s="80">
        <f>VLOOKUP(D87,KamiBox!$C$2:$F$54,4,0)</f>
        <v>1200</v>
      </c>
      <c r="F87">
        <f>0.2+0.45+1.2</f>
        <v>1.85</v>
      </c>
      <c r="G87" s="80">
        <f t="shared" si="1"/>
        <v>2220</v>
      </c>
      <c r="H87" s="80">
        <f>VLOOKUP(D87,'Bu Erta'!$C$2:$F$66,4,0)*F87</f>
        <v>2960</v>
      </c>
    </row>
    <row r="88" spans="1:8" x14ac:dyDescent="0.35">
      <c r="B88" t="s">
        <v>86</v>
      </c>
      <c r="D88" t="s">
        <v>405</v>
      </c>
      <c r="E88" s="80">
        <f>VLOOKUP(D88,KamiBox!$C$2:$F$54,4,0)</f>
        <v>100</v>
      </c>
      <c r="F88">
        <f>0.35+0.35</f>
        <v>0.7</v>
      </c>
      <c r="G88" s="80">
        <f t="shared" si="1"/>
        <v>70</v>
      </c>
      <c r="H88" s="80" t="e">
        <f>VLOOKUP(D88,'Bu Erta'!$C$2:$F$66,4,0)*F88</f>
        <v>#N/A</v>
      </c>
    </row>
    <row r="89" spans="1:8" x14ac:dyDescent="0.35">
      <c r="B89" t="s">
        <v>86</v>
      </c>
      <c r="D89" t="s">
        <v>396</v>
      </c>
      <c r="E89" s="80">
        <f>VLOOKUP(D89,KamiBox!$C$2:$F$54,4,0)</f>
        <v>1700</v>
      </c>
      <c r="F89">
        <v>4.05</v>
      </c>
      <c r="G89" s="80">
        <f t="shared" si="1"/>
        <v>6885</v>
      </c>
      <c r="H89" s="80" t="e">
        <f>VLOOKUP(D89,'Bu Erta'!$C$2:$F$66,4,0)*F89</f>
        <v>#N/A</v>
      </c>
    </row>
    <row r="90" spans="1:8" x14ac:dyDescent="0.35">
      <c r="B90" t="s">
        <v>86</v>
      </c>
      <c r="D90" t="s">
        <v>422</v>
      </c>
      <c r="E90" s="80">
        <f>VLOOKUP(D90,KamiBox!$C$2:$F$54,4,0)</f>
        <v>4000</v>
      </c>
      <c r="F90">
        <v>2.5499999999999998</v>
      </c>
      <c r="G90" s="80">
        <f t="shared" si="1"/>
        <v>10200</v>
      </c>
      <c r="H90" s="80" t="e">
        <f>VLOOKUP(D90,'Bu Erta'!$C$2:$F$66,4,0)*F90</f>
        <v>#N/A</v>
      </c>
    </row>
    <row r="91" spans="1:8" x14ac:dyDescent="0.35">
      <c r="B91" t="s">
        <v>86</v>
      </c>
      <c r="D91" t="s">
        <v>69</v>
      </c>
      <c r="E91" s="80">
        <f>VLOOKUP(D91,KamiBox!$C$2:$F$54,4,0)</f>
        <v>3000</v>
      </c>
      <c r="F91">
        <v>0.35</v>
      </c>
      <c r="G91" s="80">
        <f t="shared" si="1"/>
        <v>1050</v>
      </c>
      <c r="H91" s="80">
        <f>VLOOKUP(D91,'Bu Erta'!$C$2:$F$66,4,0)*F91</f>
        <v>1050</v>
      </c>
    </row>
    <row r="92" spans="1:8" x14ac:dyDescent="0.35">
      <c r="B92" t="s">
        <v>86</v>
      </c>
      <c r="D92" t="s">
        <v>393</v>
      </c>
      <c r="E92" s="80">
        <f>VLOOKUP(D92,KamiBox!$C$2:$F$54,4,0)</f>
        <v>500</v>
      </c>
      <c r="F92">
        <v>1.65</v>
      </c>
      <c r="G92" s="80">
        <f t="shared" si="1"/>
        <v>825</v>
      </c>
      <c r="H92" s="80" t="e">
        <f>VLOOKUP(D92,'Bu Erta'!$C$2:$F$66,4,0)*F92</f>
        <v>#N/A</v>
      </c>
    </row>
    <row r="93" spans="1:8" x14ac:dyDescent="0.35">
      <c r="B93" t="s">
        <v>86</v>
      </c>
      <c r="D93" t="s">
        <v>41</v>
      </c>
      <c r="E93" s="80">
        <f>VLOOKUP(D93,KamiBox!$C$2:$F$54,4,0)</f>
        <v>2000</v>
      </c>
      <c r="F93">
        <v>0.7</v>
      </c>
      <c r="G93" s="80">
        <f t="shared" si="1"/>
        <v>1400</v>
      </c>
      <c r="H93" s="80">
        <f>VLOOKUP(D93,'Bu Erta'!$C$2:$F$66,4,0)*F93</f>
        <v>1400</v>
      </c>
    </row>
    <row r="94" spans="1:8" x14ac:dyDescent="0.35">
      <c r="B94" t="s">
        <v>86</v>
      </c>
      <c r="D94" t="s">
        <v>421</v>
      </c>
      <c r="E94" s="80">
        <f>VLOOKUP(D94,KamiBox!$C$2:$F$54,4,0)</f>
        <v>1000</v>
      </c>
      <c r="F94">
        <v>4.45</v>
      </c>
      <c r="G94" s="80">
        <f t="shared" si="1"/>
        <v>4450</v>
      </c>
      <c r="H94" s="80" t="e">
        <f>VLOOKUP(D94,'Bu Erta'!$C$2:$F$66,4,0)*F94</f>
        <v>#N/A</v>
      </c>
    </row>
    <row r="95" spans="1:8" x14ac:dyDescent="0.35">
      <c r="B95" t="s">
        <v>86</v>
      </c>
      <c r="D95" t="s">
        <v>38</v>
      </c>
      <c r="E95" s="80">
        <f>VLOOKUP(D95,KamiBox!$C$2:$F$54,4,0)</f>
        <v>1500</v>
      </c>
      <c r="F95">
        <v>0.45</v>
      </c>
      <c r="G95" s="80">
        <f t="shared" si="1"/>
        <v>675</v>
      </c>
      <c r="H95" s="80">
        <f>VLOOKUP(D95,'Bu Erta'!$C$2:$F$66,4,0)*F95</f>
        <v>720</v>
      </c>
    </row>
    <row r="96" spans="1:8" x14ac:dyDescent="0.35">
      <c r="B96" t="s">
        <v>86</v>
      </c>
      <c r="D96" t="s">
        <v>41</v>
      </c>
      <c r="E96" s="80">
        <f>VLOOKUP(D96,KamiBox!$C$2:$F$54,4,0)</f>
        <v>2000</v>
      </c>
      <c r="F96">
        <v>0.1</v>
      </c>
      <c r="G96" s="80">
        <f t="shared" si="1"/>
        <v>200</v>
      </c>
      <c r="H96" s="80">
        <f>VLOOKUP(D96,'Bu Erta'!$C$2:$F$66,4,0)*F96</f>
        <v>200</v>
      </c>
    </row>
    <row r="97" spans="1:8" x14ac:dyDescent="0.35">
      <c r="B97" t="s">
        <v>86</v>
      </c>
      <c r="D97" t="s">
        <v>22</v>
      </c>
      <c r="E97" s="80">
        <f>VLOOKUP(D97,KamiBox!$C$2:$F$54,4,0)</f>
        <v>4000</v>
      </c>
      <c r="F97">
        <v>0.9</v>
      </c>
      <c r="G97" s="80">
        <f t="shared" si="1"/>
        <v>3600</v>
      </c>
      <c r="H97" s="80">
        <f>VLOOKUP(D97,'Bu Erta'!$C$2:$F$66,4,0)*F97</f>
        <v>2700</v>
      </c>
    </row>
    <row r="98" spans="1:8" x14ac:dyDescent="0.35">
      <c r="A98" s="1">
        <v>12</v>
      </c>
      <c r="B98" t="s">
        <v>148</v>
      </c>
      <c r="C98" s="5">
        <v>4</v>
      </c>
      <c r="D98" t="s">
        <v>7</v>
      </c>
      <c r="E98" s="80">
        <f>VLOOKUP(D98,KamiBox!$C$2:$F$54,4,0)</f>
        <v>1200</v>
      </c>
      <c r="F98">
        <f>4.05+0.35</f>
        <v>4.3999999999999995</v>
      </c>
      <c r="G98" s="80">
        <f t="shared" si="1"/>
        <v>5279.9999999999991</v>
      </c>
      <c r="H98" s="80">
        <f>VLOOKUP(D98,'Bu Erta'!$C$2:$F$66,4,0)*F98</f>
        <v>7039.9999999999991</v>
      </c>
    </row>
    <row r="99" spans="1:8" x14ac:dyDescent="0.35">
      <c r="B99" t="s">
        <v>148</v>
      </c>
      <c r="D99" t="s">
        <v>393</v>
      </c>
      <c r="E99" s="80">
        <f>VLOOKUP(D99,KamiBox!$C$2:$F$54,4,0)</f>
        <v>500</v>
      </c>
      <c r="F99">
        <v>0.15</v>
      </c>
      <c r="G99" s="80">
        <f t="shared" si="1"/>
        <v>75</v>
      </c>
      <c r="H99" s="80" t="e">
        <f>VLOOKUP(D99,'Bu Erta'!$C$2:$F$66,4,0)*F99</f>
        <v>#N/A</v>
      </c>
    </row>
    <row r="100" spans="1:8" x14ac:dyDescent="0.35">
      <c r="B100" t="s">
        <v>148</v>
      </c>
      <c r="D100" t="s">
        <v>69</v>
      </c>
      <c r="E100" s="80">
        <f>VLOOKUP(D100,KamiBox!$C$2:$F$54,4,0)</f>
        <v>3000</v>
      </c>
      <c r="F100">
        <v>0.05</v>
      </c>
      <c r="G100" s="80">
        <f t="shared" si="1"/>
        <v>150</v>
      </c>
      <c r="H100" s="80">
        <f>VLOOKUP(D100,'Bu Erta'!$C$2:$F$66,4,0)*F100</f>
        <v>150</v>
      </c>
    </row>
    <row r="101" spans="1:8" x14ac:dyDescent="0.35">
      <c r="B101" t="s">
        <v>148</v>
      </c>
      <c r="D101" t="s">
        <v>31</v>
      </c>
      <c r="E101" s="80">
        <f>VLOOKUP(D101,KamiBox!$C$2:$F$54,4,0)</f>
        <v>1000</v>
      </c>
      <c r="F101">
        <v>0.8</v>
      </c>
      <c r="G101" s="80">
        <f t="shared" si="1"/>
        <v>800</v>
      </c>
      <c r="H101" s="80">
        <f>VLOOKUP(D101,'Bu Erta'!$C$2:$F$66,4,0)*F101</f>
        <v>880</v>
      </c>
    </row>
    <row r="102" spans="1:8" x14ac:dyDescent="0.35">
      <c r="B102" t="s">
        <v>148</v>
      </c>
      <c r="D102" t="s">
        <v>38</v>
      </c>
      <c r="E102" s="80">
        <f>VLOOKUP(D102,KamiBox!$C$2:$F$54,4,0)</f>
        <v>1500</v>
      </c>
      <c r="F102">
        <v>0.25</v>
      </c>
      <c r="G102" s="80">
        <f t="shared" si="1"/>
        <v>375</v>
      </c>
      <c r="H102" s="80">
        <f>VLOOKUP(D102,'Bu Erta'!$C$2:$F$66,4,0)*F102</f>
        <v>400</v>
      </c>
    </row>
    <row r="103" spans="1:8" x14ac:dyDescent="0.35">
      <c r="B103" t="s">
        <v>148</v>
      </c>
      <c r="D103" t="s">
        <v>44</v>
      </c>
      <c r="E103" s="80">
        <f>VLOOKUP(D103,KamiBox!$C$2:$F$54,4,0)</f>
        <v>1200</v>
      </c>
      <c r="F103">
        <v>0.65</v>
      </c>
      <c r="G103" s="80">
        <f t="shared" si="1"/>
        <v>780</v>
      </c>
      <c r="H103" s="80">
        <f>VLOOKUP(D103,'Bu Erta'!$C$2:$F$66,4,0)*F103</f>
        <v>325</v>
      </c>
    </row>
    <row r="104" spans="1:8" x14ac:dyDescent="0.35">
      <c r="B104" t="s">
        <v>148</v>
      </c>
      <c r="D104" t="s">
        <v>396</v>
      </c>
      <c r="E104" s="80">
        <f>VLOOKUP(D104,KamiBox!$C$2:$F$54,4,0)</f>
        <v>1700</v>
      </c>
      <c r="F104">
        <v>6.9</v>
      </c>
      <c r="G104" s="80">
        <f t="shared" si="1"/>
        <v>11730</v>
      </c>
      <c r="H104" s="80" t="e">
        <f>VLOOKUP(D104,'Bu Erta'!$C$2:$F$66,4,0)*F104</f>
        <v>#N/A</v>
      </c>
    </row>
    <row r="105" spans="1:8" x14ac:dyDescent="0.35">
      <c r="A105" s="1">
        <v>13</v>
      </c>
      <c r="B105" t="s">
        <v>142</v>
      </c>
      <c r="C105" s="5">
        <v>4</v>
      </c>
      <c r="D105" t="s">
        <v>422</v>
      </c>
      <c r="E105" s="80">
        <f>VLOOKUP(D105,KamiBox!$C$2:$F$54,4,0)</f>
        <v>4000</v>
      </c>
      <c r="F105">
        <f>0.7+0.7+0.4</f>
        <v>1.7999999999999998</v>
      </c>
      <c r="G105" s="80">
        <f t="shared" si="1"/>
        <v>7199.9999999999991</v>
      </c>
      <c r="H105" s="80" t="e">
        <f>VLOOKUP(D105,'Bu Erta'!$C$2:$F$66,4,0)*F105</f>
        <v>#N/A</v>
      </c>
    </row>
    <row r="106" spans="1:8" x14ac:dyDescent="0.35">
      <c r="B106" t="s">
        <v>142</v>
      </c>
      <c r="D106" t="s">
        <v>407</v>
      </c>
      <c r="E106" s="80">
        <f>VLOOKUP(D106,KamiBox!$C$2:$F$54,4,0)</f>
        <v>7000</v>
      </c>
      <c r="F106">
        <v>3.45</v>
      </c>
      <c r="G106" s="80">
        <f t="shared" si="1"/>
        <v>24150</v>
      </c>
      <c r="H106" s="80" t="e">
        <f>VLOOKUP(D106,'Bu Erta'!$C$2:$F$66,4,0)*F106</f>
        <v>#N/A</v>
      </c>
    </row>
    <row r="107" spans="1:8" x14ac:dyDescent="0.35">
      <c r="B107" t="s">
        <v>142</v>
      </c>
      <c r="D107" t="s">
        <v>396</v>
      </c>
      <c r="E107" s="80">
        <f>VLOOKUP(D107,KamiBox!$C$2:$F$54,4,0)</f>
        <v>1700</v>
      </c>
      <c r="F107">
        <v>6</v>
      </c>
      <c r="G107" s="80">
        <f t="shared" si="1"/>
        <v>10200</v>
      </c>
      <c r="H107" s="80" t="e">
        <f>VLOOKUP(D107,'Bu Erta'!$C$2:$F$66,4,0)*F107</f>
        <v>#N/A</v>
      </c>
    </row>
    <row r="108" spans="1:8" x14ac:dyDescent="0.35">
      <c r="B108" t="s">
        <v>142</v>
      </c>
      <c r="D108" t="s">
        <v>393</v>
      </c>
      <c r="E108" s="80">
        <f>VLOOKUP(D108,KamiBox!$C$2:$F$54,4,0)</f>
        <v>500</v>
      </c>
      <c r="F108">
        <v>0.3</v>
      </c>
      <c r="G108" s="80">
        <f t="shared" si="1"/>
        <v>150</v>
      </c>
      <c r="H108" s="80" t="e">
        <f>VLOOKUP(D108,'Bu Erta'!$C$2:$F$66,4,0)*F108</f>
        <v>#N/A</v>
      </c>
    </row>
    <row r="109" spans="1:8" x14ac:dyDescent="0.35">
      <c r="B109" t="s">
        <v>142</v>
      </c>
      <c r="D109" t="s">
        <v>7</v>
      </c>
      <c r="E109" s="80">
        <f>VLOOKUP(D109,KamiBox!$C$2:$F$54,4,0)</f>
        <v>1200</v>
      </c>
      <c r="F109">
        <v>0.3</v>
      </c>
      <c r="G109" s="80">
        <f t="shared" si="1"/>
        <v>360</v>
      </c>
      <c r="H109" s="80">
        <f>VLOOKUP(D109,'Bu Erta'!$C$2:$F$66,4,0)*F109</f>
        <v>480</v>
      </c>
    </row>
    <row r="110" spans="1:8" x14ac:dyDescent="0.35">
      <c r="B110" t="s">
        <v>142</v>
      </c>
      <c r="D110" t="s">
        <v>69</v>
      </c>
      <c r="E110" s="80">
        <f>VLOOKUP(D110,KamiBox!$C$2:$F$54,4,0)</f>
        <v>3000</v>
      </c>
      <c r="F110">
        <v>0.15</v>
      </c>
      <c r="G110" s="80">
        <f t="shared" si="1"/>
        <v>450</v>
      </c>
      <c r="H110" s="80">
        <f>VLOOKUP(D110,'Bu Erta'!$C$2:$F$66,4,0)*F110</f>
        <v>450</v>
      </c>
    </row>
    <row r="111" spans="1:8" x14ac:dyDescent="0.35">
      <c r="B111" t="s">
        <v>142</v>
      </c>
      <c r="D111" t="s">
        <v>388</v>
      </c>
      <c r="E111" s="80">
        <f>VLOOKUP(D111,KamiBox!$C$2:$F$54,4,0)</f>
        <v>1000</v>
      </c>
      <c r="F111">
        <v>0.4</v>
      </c>
      <c r="G111" s="80">
        <f t="shared" si="1"/>
        <v>400</v>
      </c>
      <c r="H111" s="80" t="e">
        <f>VLOOKUP(D111,'Bu Erta'!$C$2:$F$66,4,0)*F111</f>
        <v>#N/A</v>
      </c>
    </row>
    <row r="112" spans="1:8" x14ac:dyDescent="0.35">
      <c r="B112" t="s">
        <v>142</v>
      </c>
      <c r="D112" t="s">
        <v>414</v>
      </c>
      <c r="E112" s="80">
        <f>VLOOKUP(D112,KamiBox!$C$2:$F$54,4,0)</f>
        <v>200</v>
      </c>
      <c r="F112">
        <v>0.75</v>
      </c>
      <c r="G112" s="80">
        <f t="shared" si="1"/>
        <v>150</v>
      </c>
      <c r="H112" s="80" t="e">
        <f>VLOOKUP(D112,'Bu Erta'!$C$2:$F$66,4,0)*F112</f>
        <v>#N/A</v>
      </c>
    </row>
    <row r="113" spans="1:8" x14ac:dyDescent="0.35">
      <c r="B113" t="s">
        <v>142</v>
      </c>
      <c r="D113" t="s">
        <v>31</v>
      </c>
      <c r="E113" s="80">
        <f>VLOOKUP(D113,KamiBox!$C$2:$F$54,4,0)</f>
        <v>1000</v>
      </c>
      <c r="F113">
        <v>0.6</v>
      </c>
      <c r="G113" s="80">
        <f t="shared" si="1"/>
        <v>600</v>
      </c>
      <c r="H113" s="80">
        <f>VLOOKUP(D113,'Bu Erta'!$C$2:$F$66,4,0)*F113</f>
        <v>660</v>
      </c>
    </row>
    <row r="114" spans="1:8" x14ac:dyDescent="0.35">
      <c r="B114" t="s">
        <v>142</v>
      </c>
      <c r="D114" t="s">
        <v>398</v>
      </c>
      <c r="E114" s="80">
        <f>VLOOKUP(D114,KamiBox!$C$2:$F$54,4,0)</f>
        <v>400</v>
      </c>
      <c r="F114">
        <v>0.8</v>
      </c>
      <c r="G114" s="80">
        <f t="shared" si="1"/>
        <v>320</v>
      </c>
      <c r="H114" s="80" t="e">
        <f>VLOOKUP(D114,'Bu Erta'!$C$2:$F$66,4,0)*F114</f>
        <v>#N/A</v>
      </c>
    </row>
    <row r="115" spans="1:8" x14ac:dyDescent="0.35">
      <c r="A115" s="1">
        <v>14</v>
      </c>
      <c r="B115" t="s">
        <v>136</v>
      </c>
      <c r="C115" s="5">
        <v>4</v>
      </c>
      <c r="D115" t="s">
        <v>422</v>
      </c>
      <c r="E115" s="80">
        <f>VLOOKUP(D115,KamiBox!$C$2:$F$54,4,0)</f>
        <v>4000</v>
      </c>
      <c r="F115">
        <f>1.35+1.75+0.45+0.05</f>
        <v>3.6</v>
      </c>
      <c r="G115" s="80">
        <f t="shared" si="1"/>
        <v>14400</v>
      </c>
      <c r="H115" s="80" t="e">
        <f>VLOOKUP(D115,'Bu Erta'!$C$2:$F$66,4,0)*F115</f>
        <v>#N/A</v>
      </c>
    </row>
    <row r="116" spans="1:8" x14ac:dyDescent="0.35">
      <c r="B116" t="s">
        <v>136</v>
      </c>
      <c r="D116" s="77" t="s">
        <v>431</v>
      </c>
      <c r="E116" s="80" t="e">
        <f>VLOOKUP(D116,KamiBox!$C$2:$F$54,4,0)</f>
        <v>#N/A</v>
      </c>
      <c r="F116">
        <v>0.5</v>
      </c>
      <c r="G116" s="80" t="e">
        <f t="shared" si="1"/>
        <v>#N/A</v>
      </c>
      <c r="H116" s="80" t="e">
        <f>VLOOKUP(D116,'Bu Erta'!$C$2:$F$66,4,0)*F116</f>
        <v>#N/A</v>
      </c>
    </row>
    <row r="117" spans="1:8" x14ac:dyDescent="0.35">
      <c r="B117" t="s">
        <v>136</v>
      </c>
      <c r="D117" t="s">
        <v>7</v>
      </c>
      <c r="E117" s="80">
        <f>VLOOKUP(D117,KamiBox!$C$2:$F$54,4,0)</f>
        <v>1200</v>
      </c>
      <c r="F117">
        <f>0.5+0.8+4.55+0.35</f>
        <v>6.1999999999999993</v>
      </c>
      <c r="G117" s="80">
        <f t="shared" si="1"/>
        <v>7439.9999999999991</v>
      </c>
      <c r="H117" s="80">
        <f>VLOOKUP(D117,'Bu Erta'!$C$2:$F$66,4,0)*F117</f>
        <v>9919.9999999999982</v>
      </c>
    </row>
    <row r="118" spans="1:8" x14ac:dyDescent="0.35">
      <c r="B118" t="s">
        <v>136</v>
      </c>
      <c r="D118" t="s">
        <v>41</v>
      </c>
      <c r="E118" s="80">
        <f>VLOOKUP(D118,KamiBox!$C$2:$F$54,4,0)</f>
        <v>2000</v>
      </c>
      <c r="F118">
        <f>0.2+0.8</f>
        <v>1</v>
      </c>
      <c r="G118" s="80">
        <f t="shared" si="1"/>
        <v>2000</v>
      </c>
      <c r="H118" s="80">
        <f>VLOOKUP(D118,'Bu Erta'!$C$2:$F$66,4,0)*F118</f>
        <v>2000</v>
      </c>
    </row>
    <row r="119" spans="1:8" x14ac:dyDescent="0.35">
      <c r="B119" t="s">
        <v>136</v>
      </c>
      <c r="D119" t="s">
        <v>6</v>
      </c>
      <c r="E119" s="70" t="e">
        <f>VLOOKUP(D119,KamiBox!$C$2:$F$54,4,0)</f>
        <v>#N/A</v>
      </c>
      <c r="F119">
        <v>0.2</v>
      </c>
      <c r="G119" s="80" t="e">
        <f t="shared" si="1"/>
        <v>#N/A</v>
      </c>
      <c r="H119" s="80">
        <f>VLOOKUP(D119,'Bu Erta'!$C$2:$F$66,4,0)*F119</f>
        <v>500</v>
      </c>
    </row>
    <row r="120" spans="1:8" x14ac:dyDescent="0.35">
      <c r="B120" t="s">
        <v>136</v>
      </c>
      <c r="D120" t="s">
        <v>393</v>
      </c>
      <c r="E120" s="80">
        <f>VLOOKUP(D120,KamiBox!$C$2:$F$54,4,0)</f>
        <v>500</v>
      </c>
      <c r="F120">
        <v>0.85</v>
      </c>
      <c r="G120" s="80">
        <f t="shared" si="1"/>
        <v>425</v>
      </c>
      <c r="H120" s="80" t="e">
        <f>VLOOKUP(D120,'Bu Erta'!$C$2:$F$66,4,0)*F120</f>
        <v>#N/A</v>
      </c>
    </row>
    <row r="121" spans="1:8" x14ac:dyDescent="0.35">
      <c r="B121" t="s">
        <v>136</v>
      </c>
      <c r="D121" t="s">
        <v>69</v>
      </c>
      <c r="E121" s="80">
        <f>VLOOKUP(D121,KamiBox!$C$2:$F$54,4,0)</f>
        <v>3000</v>
      </c>
      <c r="F121">
        <v>0.45</v>
      </c>
      <c r="G121" s="80">
        <f t="shared" si="1"/>
        <v>1350</v>
      </c>
      <c r="H121" s="80">
        <f>VLOOKUP(D121,'Bu Erta'!$C$2:$F$66,4,0)*F121</f>
        <v>1350</v>
      </c>
    </row>
    <row r="122" spans="1:8" x14ac:dyDescent="0.35">
      <c r="B122" t="s">
        <v>136</v>
      </c>
      <c r="D122" t="s">
        <v>70</v>
      </c>
      <c r="E122" s="80">
        <f>VLOOKUP(D122,KamiBox!$C$2:$F$54,4,0)</f>
        <v>4500</v>
      </c>
      <c r="F122">
        <v>0.25</v>
      </c>
      <c r="G122" s="80">
        <f t="shared" si="1"/>
        <v>1125</v>
      </c>
      <c r="H122" s="80">
        <f>VLOOKUP(D122,'Bu Erta'!$C$2:$F$66,4,0)*F122</f>
        <v>1000</v>
      </c>
    </row>
    <row r="123" spans="1:8" x14ac:dyDescent="0.35">
      <c r="B123" t="s">
        <v>136</v>
      </c>
      <c r="D123" t="s">
        <v>398</v>
      </c>
      <c r="E123" s="80">
        <f>VLOOKUP(D123,KamiBox!$C$2:$F$54,4,0)</f>
        <v>400</v>
      </c>
      <c r="F123">
        <f>0.15+1.3</f>
        <v>1.45</v>
      </c>
      <c r="G123" s="80">
        <f t="shared" si="1"/>
        <v>580</v>
      </c>
      <c r="H123" s="80" t="e">
        <f>VLOOKUP(D123,'Bu Erta'!$C$2:$F$66,4,0)*F123</f>
        <v>#N/A</v>
      </c>
    </row>
    <row r="124" spans="1:8" x14ac:dyDescent="0.35">
      <c r="B124" t="s">
        <v>136</v>
      </c>
      <c r="D124" t="s">
        <v>414</v>
      </c>
      <c r="E124" s="80">
        <f>VLOOKUP(D124,KamiBox!$C$2:$F$54,4,0)</f>
        <v>200</v>
      </c>
      <c r="F124">
        <v>2.0499999999999998</v>
      </c>
      <c r="G124" s="80">
        <f t="shared" si="1"/>
        <v>409.99999999999994</v>
      </c>
      <c r="H124" s="80" t="e">
        <f>VLOOKUP(D124,'Bu Erta'!$C$2:$F$66,4,0)*F124</f>
        <v>#N/A</v>
      </c>
    </row>
    <row r="125" spans="1:8" x14ac:dyDescent="0.35">
      <c r="A125" s="1">
        <v>15</v>
      </c>
      <c r="B125" t="s">
        <v>175</v>
      </c>
      <c r="C125" s="5">
        <v>2</v>
      </c>
      <c r="D125" t="s">
        <v>396</v>
      </c>
      <c r="E125" s="80">
        <f>VLOOKUP(D125,KamiBox!$C$2:$F$54,4,0)</f>
        <v>1700</v>
      </c>
      <c r="F125">
        <f>2.7+0.3</f>
        <v>3</v>
      </c>
      <c r="G125" s="80">
        <f t="shared" si="1"/>
        <v>5100</v>
      </c>
      <c r="H125" s="80" t="e">
        <f>VLOOKUP(D125,'Bu Erta'!$C$2:$F$66,4,0)*F125</f>
        <v>#N/A</v>
      </c>
    </row>
    <row r="126" spans="1:8" x14ac:dyDescent="0.35">
      <c r="B126" t="s">
        <v>175</v>
      </c>
      <c r="D126" t="s">
        <v>422</v>
      </c>
      <c r="E126" s="80">
        <f>VLOOKUP(D126,KamiBox!$C$2:$F$54,4,0)</f>
        <v>4000</v>
      </c>
      <c r="F126">
        <v>0.4</v>
      </c>
      <c r="G126" s="80">
        <f t="shared" si="1"/>
        <v>1600</v>
      </c>
      <c r="H126" s="80" t="e">
        <f>VLOOKUP(D126,'Bu Erta'!$C$2:$F$66,4,0)*F126</f>
        <v>#N/A</v>
      </c>
    </row>
    <row r="127" spans="1:8" x14ac:dyDescent="0.35">
      <c r="B127" t="s">
        <v>175</v>
      </c>
      <c r="D127" t="s">
        <v>393</v>
      </c>
      <c r="E127" s="80">
        <f>VLOOKUP(D127,KamiBox!$C$2:$F$54,4,0)</f>
        <v>500</v>
      </c>
      <c r="F127">
        <v>0.55000000000000004</v>
      </c>
      <c r="G127" s="80">
        <f t="shared" si="1"/>
        <v>275</v>
      </c>
      <c r="H127" s="80" t="e">
        <f>VLOOKUP(D127,'Bu Erta'!$C$2:$F$66,4,0)*F127</f>
        <v>#N/A</v>
      </c>
    </row>
    <row r="128" spans="1:8" x14ac:dyDescent="0.35">
      <c r="B128" t="s">
        <v>175</v>
      </c>
      <c r="D128" t="s">
        <v>398</v>
      </c>
      <c r="E128" s="80">
        <f>VLOOKUP(D128,KamiBox!$C$2:$F$54,4,0)</f>
        <v>400</v>
      </c>
      <c r="F128">
        <v>0.1</v>
      </c>
      <c r="G128" s="80">
        <f t="shared" si="1"/>
        <v>40</v>
      </c>
      <c r="H128" s="80" t="e">
        <f>VLOOKUP(D128,'Bu Erta'!$C$2:$F$66,4,0)*F128</f>
        <v>#N/A</v>
      </c>
    </row>
    <row r="129" spans="1:8" x14ac:dyDescent="0.35">
      <c r="A129" s="1">
        <v>16</v>
      </c>
      <c r="B129" t="s">
        <v>216</v>
      </c>
      <c r="C129" s="5">
        <v>2</v>
      </c>
      <c r="D129" t="s">
        <v>7</v>
      </c>
      <c r="E129" s="80">
        <f>VLOOKUP(D129,KamiBox!$C$2:$F$54,4,0)</f>
        <v>1200</v>
      </c>
      <c r="F129">
        <f>0.45+1.3+0.8</f>
        <v>2.5499999999999998</v>
      </c>
      <c r="G129" s="80">
        <f t="shared" si="1"/>
        <v>3060</v>
      </c>
      <c r="H129" s="80">
        <f>VLOOKUP(D129,'Bu Erta'!$C$2:$F$66,4,0)*F129</f>
        <v>4079.9999999999995</v>
      </c>
    </row>
    <row r="130" spans="1:8" x14ac:dyDescent="0.35">
      <c r="B130" t="s">
        <v>216</v>
      </c>
      <c r="D130" t="s">
        <v>31</v>
      </c>
      <c r="E130" s="80">
        <f>VLOOKUP(D130,KamiBox!$C$2:$F$54,4,0)</f>
        <v>1000</v>
      </c>
      <c r="F130">
        <v>0.6</v>
      </c>
      <c r="G130" s="80">
        <f t="shared" si="1"/>
        <v>600</v>
      </c>
      <c r="H130" s="80">
        <f>VLOOKUP(D130,'Bu Erta'!$C$2:$F$66,4,0)*F130</f>
        <v>660</v>
      </c>
    </row>
    <row r="131" spans="1:8" x14ac:dyDescent="0.35">
      <c r="B131" t="s">
        <v>216</v>
      </c>
      <c r="D131" t="s">
        <v>387</v>
      </c>
      <c r="E131" s="80">
        <f>VLOOKUP(D131,KamiBox!$C$2:$F$54,4,0)</f>
        <v>4000</v>
      </c>
      <c r="F131">
        <v>0.1</v>
      </c>
      <c r="G131" s="80">
        <f t="shared" si="1"/>
        <v>400</v>
      </c>
      <c r="H131" s="80" t="e">
        <f>VLOOKUP(D131,'Bu Erta'!$C$2:$F$66,4,0)*F131</f>
        <v>#N/A</v>
      </c>
    </row>
    <row r="132" spans="1:8" x14ac:dyDescent="0.35">
      <c r="B132" t="s">
        <v>216</v>
      </c>
      <c r="D132" t="s">
        <v>422</v>
      </c>
      <c r="E132" s="80">
        <f>VLOOKUP(D132,KamiBox!$C$2:$F$54,4,0)</f>
        <v>4000</v>
      </c>
      <c r="F132">
        <v>1.1000000000000001</v>
      </c>
      <c r="G132" s="80">
        <f t="shared" ref="G132:G180" si="2">E132*F132</f>
        <v>4400</v>
      </c>
      <c r="H132" s="80" t="e">
        <f>VLOOKUP(D132,'Bu Erta'!$C$2:$F$66,4,0)*F132</f>
        <v>#N/A</v>
      </c>
    </row>
    <row r="133" spans="1:8" x14ac:dyDescent="0.35">
      <c r="B133" t="s">
        <v>216</v>
      </c>
      <c r="D133" t="s">
        <v>398</v>
      </c>
      <c r="E133" s="80">
        <f>VLOOKUP(D133,KamiBox!$C$2:$F$54,4,0)</f>
        <v>400</v>
      </c>
      <c r="F133">
        <v>0.95</v>
      </c>
      <c r="G133" s="80">
        <f t="shared" si="2"/>
        <v>380</v>
      </c>
      <c r="H133" s="80" t="e">
        <f>VLOOKUP(D133,'Bu Erta'!$C$2:$F$66,4,0)*F133</f>
        <v>#N/A</v>
      </c>
    </row>
    <row r="134" spans="1:8" x14ac:dyDescent="0.35">
      <c r="B134" t="s">
        <v>216</v>
      </c>
      <c r="D134" t="s">
        <v>405</v>
      </c>
      <c r="E134" s="80">
        <f>VLOOKUP(D134,KamiBox!$C$2:$F$54,4,0)</f>
        <v>100</v>
      </c>
      <c r="F134">
        <f>0.95+3.7</f>
        <v>4.6500000000000004</v>
      </c>
      <c r="G134" s="80">
        <f t="shared" si="2"/>
        <v>465.00000000000006</v>
      </c>
      <c r="H134" s="80" t="e">
        <f>VLOOKUP(D134,'Bu Erta'!$C$2:$F$66,4,0)*F134</f>
        <v>#N/A</v>
      </c>
    </row>
    <row r="135" spans="1:8" x14ac:dyDescent="0.35">
      <c r="B135" t="s">
        <v>216</v>
      </c>
      <c r="D135" t="s">
        <v>393</v>
      </c>
      <c r="E135" s="80">
        <f>VLOOKUP(D135,KamiBox!$C$2:$F$54,4,0)</f>
        <v>500</v>
      </c>
      <c r="F135">
        <v>1.5</v>
      </c>
      <c r="G135" s="80">
        <f t="shared" si="2"/>
        <v>750</v>
      </c>
      <c r="H135" s="80" t="e">
        <f>VLOOKUP(D135,'Bu Erta'!$C$2:$F$66,4,0)*F135</f>
        <v>#N/A</v>
      </c>
    </row>
    <row r="136" spans="1:8" x14ac:dyDescent="0.35">
      <c r="B136" t="s">
        <v>216</v>
      </c>
      <c r="D136" t="s">
        <v>70</v>
      </c>
      <c r="E136" s="80">
        <f>VLOOKUP(D136,KamiBox!$C$2:$F$54,4,0)</f>
        <v>4500</v>
      </c>
      <c r="F136">
        <v>0.2</v>
      </c>
      <c r="G136" s="80">
        <f t="shared" si="2"/>
        <v>900</v>
      </c>
      <c r="H136" s="80">
        <f>VLOOKUP(D136,'Bu Erta'!$C$2:$F$66,4,0)*F136</f>
        <v>800</v>
      </c>
    </row>
    <row r="137" spans="1:8" x14ac:dyDescent="0.35">
      <c r="B137" t="s">
        <v>216</v>
      </c>
      <c r="D137" t="s">
        <v>69</v>
      </c>
      <c r="E137" s="80">
        <f>VLOOKUP(D137,KamiBox!$C$2:$F$54,4,0)</f>
        <v>3000</v>
      </c>
      <c r="F137">
        <v>0.1</v>
      </c>
      <c r="G137" s="80">
        <f t="shared" si="2"/>
        <v>300</v>
      </c>
      <c r="H137" s="80">
        <f>VLOOKUP(D137,'Bu Erta'!$C$2:$F$66,4,0)*F137</f>
        <v>300</v>
      </c>
    </row>
    <row r="138" spans="1:8" x14ac:dyDescent="0.35">
      <c r="B138" t="s">
        <v>216</v>
      </c>
      <c r="D138" t="s">
        <v>41</v>
      </c>
      <c r="E138" s="80">
        <f>VLOOKUP(D138,KamiBox!$C$2:$F$54,4,0)</f>
        <v>2000</v>
      </c>
      <c r="F138">
        <v>0.1</v>
      </c>
      <c r="G138" s="80">
        <f t="shared" si="2"/>
        <v>200</v>
      </c>
      <c r="H138" s="80">
        <f>VLOOKUP(D138,'Bu Erta'!$C$2:$F$66,4,0)*F138</f>
        <v>200</v>
      </c>
    </row>
    <row r="139" spans="1:8" x14ac:dyDescent="0.35">
      <c r="A139" s="1">
        <v>17</v>
      </c>
      <c r="B139" t="s">
        <v>85</v>
      </c>
      <c r="C139" s="5">
        <v>4</v>
      </c>
      <c r="D139" t="s">
        <v>69</v>
      </c>
      <c r="E139" s="80">
        <f>VLOOKUP(D139,KamiBox!$C$2:$F$54,4,0)</f>
        <v>3000</v>
      </c>
      <c r="F139">
        <v>0.2</v>
      </c>
      <c r="G139" s="80">
        <f t="shared" si="2"/>
        <v>600</v>
      </c>
      <c r="H139" s="80">
        <f>VLOOKUP(D139,'Bu Erta'!$C$2:$F$66,4,0)*F139</f>
        <v>600</v>
      </c>
    </row>
    <row r="140" spans="1:8" x14ac:dyDescent="0.35">
      <c r="B140" t="s">
        <v>85</v>
      </c>
      <c r="D140" t="s">
        <v>422</v>
      </c>
      <c r="E140" s="80">
        <f>VLOOKUP(D140,KamiBox!$C$2:$F$54,4,0)</f>
        <v>4000</v>
      </c>
      <c r="F140">
        <f>1.15+0.7</f>
        <v>1.8499999999999999</v>
      </c>
      <c r="G140" s="80">
        <f t="shared" si="2"/>
        <v>7399.9999999999991</v>
      </c>
      <c r="H140" s="80" t="e">
        <f>VLOOKUP(D140,'Bu Erta'!$C$2:$F$66,4,0)*F140</f>
        <v>#N/A</v>
      </c>
    </row>
    <row r="141" spans="1:8" x14ac:dyDescent="0.35">
      <c r="B141" t="s">
        <v>85</v>
      </c>
      <c r="D141" t="s">
        <v>7</v>
      </c>
      <c r="E141" s="80">
        <f>VLOOKUP(D141,KamiBox!$C$2:$F$54,4,0)</f>
        <v>1200</v>
      </c>
      <c r="F141">
        <v>0.4</v>
      </c>
      <c r="G141" s="80">
        <f t="shared" si="2"/>
        <v>480</v>
      </c>
      <c r="H141" s="80">
        <f>VLOOKUP(D141,'Bu Erta'!$C$2:$F$66,4,0)*F141</f>
        <v>640</v>
      </c>
    </row>
    <row r="142" spans="1:8" x14ac:dyDescent="0.35">
      <c r="B142" t="s">
        <v>85</v>
      </c>
      <c r="D142" t="s">
        <v>396</v>
      </c>
      <c r="E142" s="80">
        <f>VLOOKUP(D142,KamiBox!$C$2:$F$54,4,0)</f>
        <v>1700</v>
      </c>
      <c r="F142">
        <v>4.1500000000000004</v>
      </c>
      <c r="G142" s="80">
        <f t="shared" si="2"/>
        <v>7055.0000000000009</v>
      </c>
      <c r="H142" s="80" t="e">
        <f>VLOOKUP(D142,'Bu Erta'!$C$2:$F$66,4,0)*F142</f>
        <v>#N/A</v>
      </c>
    </row>
    <row r="143" spans="1:8" x14ac:dyDescent="0.35">
      <c r="A143" s="1">
        <v>18</v>
      </c>
      <c r="B143" s="69" t="s">
        <v>299</v>
      </c>
      <c r="C143" s="5">
        <v>6</v>
      </c>
      <c r="D143" t="s">
        <v>396</v>
      </c>
      <c r="E143" s="80">
        <f>VLOOKUP(D143,KamiBox!$C$2:$F$54,4,0)</f>
        <v>1700</v>
      </c>
      <c r="F143">
        <f>1.85+13.35</f>
        <v>15.2</v>
      </c>
      <c r="G143" s="80">
        <f t="shared" si="2"/>
        <v>25840</v>
      </c>
      <c r="H143" s="80" t="e">
        <f>VLOOKUP(D143,'Bu Erta'!$C$2:$F$66,4,0)*F143</f>
        <v>#N/A</v>
      </c>
    </row>
    <row r="144" spans="1:8" x14ac:dyDescent="0.35">
      <c r="B144" s="69" t="s">
        <v>299</v>
      </c>
      <c r="D144" t="s">
        <v>422</v>
      </c>
      <c r="E144" s="80">
        <f>VLOOKUP(D144,KamiBox!$C$2:$F$54,4,0)</f>
        <v>4000</v>
      </c>
      <c r="F144">
        <f>0.95+0.6+0.35+0.3+0.6+0.55+0.55+0.2+0.4+0.6</f>
        <v>5.0999999999999996</v>
      </c>
      <c r="G144" s="80">
        <f t="shared" si="2"/>
        <v>20400</v>
      </c>
      <c r="H144" s="80" t="e">
        <f>VLOOKUP(D144,'Bu Erta'!$C$2:$F$66,4,0)*F144</f>
        <v>#N/A</v>
      </c>
    </row>
    <row r="145" spans="1:8" x14ac:dyDescent="0.35">
      <c r="B145" s="69" t="s">
        <v>299</v>
      </c>
      <c r="D145" t="s">
        <v>431</v>
      </c>
      <c r="E145" s="70" t="e">
        <f>VLOOKUP(D145,KamiBox!$C$2:$F$54,4,0)</f>
        <v>#N/A</v>
      </c>
      <c r="F145">
        <v>0.15</v>
      </c>
      <c r="G145" s="80" t="e">
        <f t="shared" si="2"/>
        <v>#N/A</v>
      </c>
      <c r="H145" s="80" t="e">
        <f>VLOOKUP(D145,'Bu Erta'!$C$2:$F$66,4,0)*F145</f>
        <v>#N/A</v>
      </c>
    </row>
    <row r="146" spans="1:8" x14ac:dyDescent="0.35">
      <c r="B146" s="69" t="s">
        <v>299</v>
      </c>
      <c r="D146" t="s">
        <v>398</v>
      </c>
      <c r="E146" s="80">
        <f>VLOOKUP(D146,KamiBox!$C$2:$F$54,4,0)</f>
        <v>400</v>
      </c>
      <c r="F146">
        <f>0.25+1.5</f>
        <v>1.75</v>
      </c>
      <c r="G146" s="80">
        <f t="shared" si="2"/>
        <v>700</v>
      </c>
      <c r="H146" s="80" t="e">
        <f>VLOOKUP(D146,'Bu Erta'!$C$2:$F$66,4,0)*F146</f>
        <v>#N/A</v>
      </c>
    </row>
    <row r="147" spans="1:8" x14ac:dyDescent="0.35">
      <c r="B147" s="69" t="s">
        <v>299</v>
      </c>
      <c r="D147" t="s">
        <v>393</v>
      </c>
      <c r="E147" s="80">
        <f>VLOOKUP(D147,KamiBox!$C$2:$F$54,4,0)</f>
        <v>500</v>
      </c>
      <c r="F147">
        <f>0.7+0.3</f>
        <v>1</v>
      </c>
      <c r="G147" s="80">
        <f t="shared" si="2"/>
        <v>500</v>
      </c>
      <c r="H147" s="80" t="e">
        <f>VLOOKUP(D147,'Bu Erta'!$C$2:$F$66,4,0)*F147</f>
        <v>#N/A</v>
      </c>
    </row>
    <row r="148" spans="1:8" x14ac:dyDescent="0.35">
      <c r="B148" s="69" t="s">
        <v>299</v>
      </c>
      <c r="D148" t="s">
        <v>7</v>
      </c>
      <c r="E148" s="80">
        <f>VLOOKUP(D148,KamiBox!$C$2:$F$54,4,0)</f>
        <v>1200</v>
      </c>
      <c r="F148">
        <f>0.8+0.05</f>
        <v>0.85000000000000009</v>
      </c>
      <c r="G148" s="80">
        <f t="shared" si="2"/>
        <v>1020.0000000000001</v>
      </c>
      <c r="H148" s="80">
        <f>VLOOKUP(D148,'Bu Erta'!$C$2:$F$66,4,0)*F148</f>
        <v>1360.0000000000002</v>
      </c>
    </row>
    <row r="149" spans="1:8" x14ac:dyDescent="0.35">
      <c r="B149" s="69" t="s">
        <v>299</v>
      </c>
      <c r="D149" t="s">
        <v>69</v>
      </c>
      <c r="E149" s="80">
        <f>VLOOKUP(D149,KamiBox!$C$2:$F$54,4,0)</f>
        <v>3000</v>
      </c>
      <c r="F149">
        <v>0.55000000000000004</v>
      </c>
      <c r="G149" s="80">
        <f t="shared" si="2"/>
        <v>1650.0000000000002</v>
      </c>
      <c r="H149" s="80">
        <f>VLOOKUP(D149,'Bu Erta'!$C$2:$F$66,4,0)*F149</f>
        <v>1650.0000000000002</v>
      </c>
    </row>
    <row r="150" spans="1:8" x14ac:dyDescent="0.35">
      <c r="B150" s="69" t="s">
        <v>299</v>
      </c>
      <c r="D150" t="s">
        <v>31</v>
      </c>
      <c r="E150" s="80">
        <f>VLOOKUP(D150,KamiBox!$C$2:$F$54,4,0)</f>
        <v>1000</v>
      </c>
      <c r="F150">
        <f>1+0.65</f>
        <v>1.65</v>
      </c>
      <c r="G150" s="80">
        <f t="shared" si="2"/>
        <v>1650</v>
      </c>
      <c r="H150" s="80">
        <f>VLOOKUP(D150,'Bu Erta'!$C$2:$F$66,4,0)*F150</f>
        <v>1815</v>
      </c>
    </row>
    <row r="151" spans="1:8" x14ac:dyDescent="0.35">
      <c r="B151" s="69" t="s">
        <v>299</v>
      </c>
      <c r="D151" t="s">
        <v>37</v>
      </c>
      <c r="E151" s="70" t="e">
        <f>VLOOKUP(D151,KamiBox!$C$2:$F$54,4,0)</f>
        <v>#N/A</v>
      </c>
      <c r="F151">
        <v>0.3</v>
      </c>
      <c r="G151" s="80" t="e">
        <f t="shared" si="2"/>
        <v>#N/A</v>
      </c>
      <c r="H151" s="80">
        <f>VLOOKUP(D151,'Bu Erta'!$C$2:$F$66,4,0)*F151</f>
        <v>600</v>
      </c>
    </row>
    <row r="152" spans="1:8" x14ac:dyDescent="0.35">
      <c r="B152" s="69" t="s">
        <v>299</v>
      </c>
      <c r="D152" t="s">
        <v>388</v>
      </c>
      <c r="E152" s="80">
        <f>VLOOKUP(D152,KamiBox!$C$2:$F$54,4,0)</f>
        <v>1000</v>
      </c>
      <c r="F152">
        <f>0.85+0.3</f>
        <v>1.1499999999999999</v>
      </c>
      <c r="G152" s="80">
        <f t="shared" si="2"/>
        <v>1150</v>
      </c>
      <c r="H152" s="80" t="e">
        <f>VLOOKUP(D152,'Bu Erta'!$C$2:$F$66,4,0)*F152</f>
        <v>#N/A</v>
      </c>
    </row>
    <row r="153" spans="1:8" x14ac:dyDescent="0.35">
      <c r="A153" s="1">
        <v>19</v>
      </c>
      <c r="B153" t="s">
        <v>244</v>
      </c>
      <c r="C153" s="5">
        <v>2</v>
      </c>
      <c r="D153" t="s">
        <v>37</v>
      </c>
      <c r="E153" s="70" t="e">
        <f>VLOOKUP(D153,KamiBox!$C$2:$F$54,4,0)</f>
        <v>#N/A</v>
      </c>
      <c r="F153">
        <v>0.4</v>
      </c>
      <c r="G153" s="80" t="e">
        <f t="shared" si="2"/>
        <v>#N/A</v>
      </c>
      <c r="H153" s="80">
        <f>VLOOKUP(D153,'Bu Erta'!$C$2:$F$66,4,0)*F153</f>
        <v>800</v>
      </c>
    </row>
    <row r="154" spans="1:8" x14ac:dyDescent="0.35">
      <c r="B154" t="s">
        <v>244</v>
      </c>
      <c r="D154" t="s">
        <v>393</v>
      </c>
      <c r="E154" s="80">
        <f>VLOOKUP(D154,KamiBox!$C$2:$F$54,4,0)</f>
        <v>500</v>
      </c>
      <c r="F154">
        <v>0.15</v>
      </c>
      <c r="G154" s="80">
        <f t="shared" si="2"/>
        <v>75</v>
      </c>
      <c r="H154" s="80" t="e">
        <f>VLOOKUP(D154,'Bu Erta'!$C$2:$F$66,4,0)*F154</f>
        <v>#N/A</v>
      </c>
    </row>
    <row r="155" spans="1:8" x14ac:dyDescent="0.35">
      <c r="B155" t="s">
        <v>244</v>
      </c>
      <c r="D155" t="s">
        <v>31</v>
      </c>
      <c r="E155" s="80">
        <f>VLOOKUP(D155,KamiBox!$C$2:$F$54,4,0)</f>
        <v>1000</v>
      </c>
      <c r="F155">
        <v>1.2</v>
      </c>
      <c r="G155" s="80">
        <f t="shared" si="2"/>
        <v>1200</v>
      </c>
      <c r="H155" s="80">
        <f>VLOOKUP(D155,'Bu Erta'!$C$2:$F$66,4,0)*F155</f>
        <v>1320</v>
      </c>
    </row>
    <row r="156" spans="1:8" x14ac:dyDescent="0.35">
      <c r="B156" t="s">
        <v>244</v>
      </c>
      <c r="D156" t="s">
        <v>396</v>
      </c>
      <c r="E156" s="80">
        <f>VLOOKUP(D156,KamiBox!$C$2:$F$54,4,0)</f>
        <v>1700</v>
      </c>
      <c r="F156">
        <v>1.1000000000000001</v>
      </c>
      <c r="G156" s="80">
        <f t="shared" si="2"/>
        <v>1870.0000000000002</v>
      </c>
      <c r="H156" s="80" t="e">
        <f>VLOOKUP(D156,'Bu Erta'!$C$2:$F$66,4,0)*F156</f>
        <v>#N/A</v>
      </c>
    </row>
    <row r="157" spans="1:8" x14ac:dyDescent="0.35">
      <c r="B157" t="s">
        <v>244</v>
      </c>
      <c r="D157" t="s">
        <v>398</v>
      </c>
      <c r="E157" s="80">
        <f>VLOOKUP(D157,KamiBox!$C$2:$F$54,4,0)</f>
        <v>400</v>
      </c>
      <c r="F157">
        <v>0.45</v>
      </c>
      <c r="G157" s="80">
        <f t="shared" si="2"/>
        <v>180</v>
      </c>
      <c r="H157" s="80" t="e">
        <f>VLOOKUP(D157,'Bu Erta'!$C$2:$F$66,4,0)*F157</f>
        <v>#N/A</v>
      </c>
    </row>
    <row r="158" spans="1:8" x14ac:dyDescent="0.35">
      <c r="A158" s="1">
        <v>20</v>
      </c>
      <c r="B158" t="s">
        <v>87</v>
      </c>
      <c r="C158" s="5">
        <v>4</v>
      </c>
      <c r="D158" t="s">
        <v>69</v>
      </c>
      <c r="E158" s="80">
        <f>VLOOKUP(D158,KamiBox!$C$2:$F$54,4,0)</f>
        <v>3000</v>
      </c>
      <c r="F158">
        <v>0.3</v>
      </c>
      <c r="G158" s="80">
        <f t="shared" si="2"/>
        <v>900</v>
      </c>
      <c r="H158" s="80">
        <f>VLOOKUP(D158,'Bu Erta'!$C$2:$F$66,4,0)*F158</f>
        <v>900</v>
      </c>
    </row>
    <row r="159" spans="1:8" x14ac:dyDescent="0.35">
      <c r="B159" t="s">
        <v>87</v>
      </c>
      <c r="D159" t="s">
        <v>402</v>
      </c>
      <c r="E159" s="80">
        <f>VLOOKUP(D159,KamiBox!$C$2:$F$54,4,0)</f>
        <v>10000</v>
      </c>
      <c r="F159">
        <v>0.25</v>
      </c>
      <c r="G159" s="80">
        <f t="shared" si="2"/>
        <v>2500</v>
      </c>
      <c r="H159" s="80" t="e">
        <f>VLOOKUP(D159,'Bu Erta'!$C$2:$F$66,4,0)*F159</f>
        <v>#N/A</v>
      </c>
    </row>
    <row r="160" spans="1:8" x14ac:dyDescent="0.35">
      <c r="B160" t="s">
        <v>87</v>
      </c>
      <c r="D160" t="s">
        <v>396</v>
      </c>
      <c r="E160" s="80">
        <f>VLOOKUP(D160,KamiBox!$C$2:$F$54,4,0)</f>
        <v>1700</v>
      </c>
      <c r="F160">
        <v>5.9</v>
      </c>
      <c r="G160" s="80">
        <f t="shared" si="2"/>
        <v>10030</v>
      </c>
      <c r="H160" s="80" t="e">
        <f>VLOOKUP(D160,'Bu Erta'!$C$2:$F$66,4,0)*F160</f>
        <v>#N/A</v>
      </c>
    </row>
    <row r="161" spans="1:8" x14ac:dyDescent="0.35">
      <c r="B161" t="s">
        <v>87</v>
      </c>
      <c r="D161" t="s">
        <v>393</v>
      </c>
      <c r="E161" s="80">
        <f>VLOOKUP(D161,KamiBox!$C$2:$F$54,4,0)</f>
        <v>500</v>
      </c>
      <c r="F161">
        <v>0.4</v>
      </c>
      <c r="G161" s="80">
        <f t="shared" si="2"/>
        <v>200</v>
      </c>
      <c r="H161" s="80" t="e">
        <f>VLOOKUP(D161,'Bu Erta'!$C$2:$F$66,4,0)*F161</f>
        <v>#N/A</v>
      </c>
    </row>
    <row r="162" spans="1:8" x14ac:dyDescent="0.35">
      <c r="B162" t="s">
        <v>87</v>
      </c>
      <c r="D162" t="s">
        <v>6</v>
      </c>
      <c r="E162" s="70" t="e">
        <f>VLOOKUP(D162,KamiBox!$C$2:$F$54,4,0)</f>
        <v>#N/A</v>
      </c>
      <c r="F162">
        <v>0.25</v>
      </c>
      <c r="G162" s="80" t="e">
        <f t="shared" si="2"/>
        <v>#N/A</v>
      </c>
      <c r="H162" s="80">
        <f>VLOOKUP(D162,'Bu Erta'!$C$2:$F$66,4,0)*F162</f>
        <v>625</v>
      </c>
    </row>
    <row r="163" spans="1:8" x14ac:dyDescent="0.35">
      <c r="B163" t="s">
        <v>87</v>
      </c>
      <c r="D163" s="77" t="s">
        <v>431</v>
      </c>
      <c r="E163" s="80" t="e">
        <f>VLOOKUP(D163,KamiBox!$C$2:$F$54,4,0)</f>
        <v>#N/A</v>
      </c>
      <c r="F163">
        <v>0.25</v>
      </c>
      <c r="G163" s="80" t="e">
        <f t="shared" si="2"/>
        <v>#N/A</v>
      </c>
      <c r="H163" s="80" t="e">
        <f>VLOOKUP(D163,'Bu Erta'!$C$2:$F$66,4,0)*F163</f>
        <v>#N/A</v>
      </c>
    </row>
    <row r="164" spans="1:8" x14ac:dyDescent="0.35">
      <c r="B164" t="s">
        <v>87</v>
      </c>
      <c r="D164" t="s">
        <v>7</v>
      </c>
      <c r="E164" s="80">
        <f>VLOOKUP(D164,KamiBox!$C$2:$F$54,4,0)</f>
        <v>1200</v>
      </c>
      <c r="F164">
        <v>0.2</v>
      </c>
      <c r="G164" s="80">
        <f t="shared" si="2"/>
        <v>240</v>
      </c>
      <c r="H164" s="80">
        <f>VLOOKUP(D164,'Bu Erta'!$C$2:$F$66,4,0)*F164</f>
        <v>320</v>
      </c>
    </row>
    <row r="165" spans="1:8" x14ac:dyDescent="0.35">
      <c r="B165" t="s">
        <v>87</v>
      </c>
      <c r="D165" t="s">
        <v>41</v>
      </c>
      <c r="E165" s="80">
        <f>VLOOKUP(D165,KamiBox!$C$2:$F$54,4,0)</f>
        <v>2000</v>
      </c>
      <c r="F165">
        <v>0.2</v>
      </c>
      <c r="G165" s="80">
        <f t="shared" si="2"/>
        <v>400</v>
      </c>
      <c r="H165" s="80">
        <f>VLOOKUP(D165,'Bu Erta'!$C$2:$F$66,4,0)*F165</f>
        <v>400</v>
      </c>
    </row>
    <row r="166" spans="1:8" x14ac:dyDescent="0.35">
      <c r="B166" t="s">
        <v>87</v>
      </c>
      <c r="D166" t="s">
        <v>31</v>
      </c>
      <c r="E166" s="80">
        <f>VLOOKUP(D166,KamiBox!$C$2:$F$54,4,0)</f>
        <v>1000</v>
      </c>
      <c r="F166">
        <v>1.9</v>
      </c>
      <c r="G166" s="80">
        <f t="shared" si="2"/>
        <v>1900</v>
      </c>
      <c r="H166" s="80">
        <f>VLOOKUP(D166,'Bu Erta'!$C$2:$F$66,4,0)*F166</f>
        <v>2090</v>
      </c>
    </row>
    <row r="167" spans="1:8" x14ac:dyDescent="0.35">
      <c r="A167" s="1">
        <v>21</v>
      </c>
      <c r="B167" t="s">
        <v>147</v>
      </c>
      <c r="C167" s="5">
        <v>3</v>
      </c>
      <c r="D167" t="s">
        <v>422</v>
      </c>
      <c r="E167" s="80">
        <f>VLOOKUP(D167,KamiBox!$C$2:$F$54,4,0)</f>
        <v>4000</v>
      </c>
      <c r="F167">
        <f>1.6+0.3</f>
        <v>1.9000000000000001</v>
      </c>
      <c r="G167" s="80">
        <f t="shared" si="2"/>
        <v>7600.0000000000009</v>
      </c>
      <c r="H167" s="80" t="e">
        <f>VLOOKUP(D167,'Bu Erta'!$C$2:$F$66,4,0)*F167</f>
        <v>#N/A</v>
      </c>
    </row>
    <row r="168" spans="1:8" x14ac:dyDescent="0.35">
      <c r="B168" t="s">
        <v>147</v>
      </c>
      <c r="D168" t="s">
        <v>6</v>
      </c>
      <c r="E168" s="70" t="e">
        <f>VLOOKUP(D168,KamiBox!$C$2:$F$54,4,0)</f>
        <v>#N/A</v>
      </c>
      <c r="F168">
        <v>0.45</v>
      </c>
      <c r="G168" s="80" t="e">
        <f t="shared" si="2"/>
        <v>#N/A</v>
      </c>
      <c r="H168" s="80">
        <f>VLOOKUP(D168,'Bu Erta'!$C$2:$F$66,4,0)*F168</f>
        <v>1125</v>
      </c>
    </row>
    <row r="169" spans="1:8" x14ac:dyDescent="0.35">
      <c r="B169" t="s">
        <v>147</v>
      </c>
      <c r="D169" t="s">
        <v>414</v>
      </c>
      <c r="E169" s="80">
        <f>VLOOKUP(D169,KamiBox!$C$2:$F$54,4,0)</f>
        <v>200</v>
      </c>
      <c r="F169">
        <v>0.2</v>
      </c>
      <c r="G169" s="80">
        <f t="shared" si="2"/>
        <v>40</v>
      </c>
      <c r="H169" s="80" t="e">
        <f>VLOOKUP(D169,'Bu Erta'!$C$2:$F$66,4,0)*F169</f>
        <v>#N/A</v>
      </c>
    </row>
    <row r="170" spans="1:8" x14ac:dyDescent="0.35">
      <c r="B170" t="s">
        <v>147</v>
      </c>
      <c r="D170" t="s">
        <v>7</v>
      </c>
      <c r="E170" s="80">
        <f>VLOOKUP(D170,KamiBox!$C$2:$F$54,4,0)</f>
        <v>1200</v>
      </c>
      <c r="F170">
        <f>0.5+0.95</f>
        <v>1.45</v>
      </c>
      <c r="G170" s="80">
        <f t="shared" si="2"/>
        <v>1740</v>
      </c>
      <c r="H170" s="80">
        <f>VLOOKUP(D170,'Bu Erta'!$C$2:$F$66,4,0)*F170</f>
        <v>2320</v>
      </c>
    </row>
    <row r="171" spans="1:8" x14ac:dyDescent="0.35">
      <c r="B171" t="s">
        <v>147</v>
      </c>
      <c r="D171" t="s">
        <v>69</v>
      </c>
      <c r="E171" s="80">
        <f>VLOOKUP(D171,KamiBox!$C$2:$F$54,4,0)</f>
        <v>3000</v>
      </c>
      <c r="F171">
        <v>0.05</v>
      </c>
      <c r="G171" s="80">
        <f t="shared" si="2"/>
        <v>150</v>
      </c>
      <c r="H171" s="80">
        <f>VLOOKUP(D171,'Bu Erta'!$C$2:$F$66,4,0)*F171</f>
        <v>150</v>
      </c>
    </row>
    <row r="172" spans="1:8" x14ac:dyDescent="0.35">
      <c r="B172" t="s">
        <v>147</v>
      </c>
      <c r="D172" t="s">
        <v>41</v>
      </c>
      <c r="E172" s="80">
        <f>VLOOKUP(D172,KamiBox!$C$2:$F$54,4,0)</f>
        <v>2000</v>
      </c>
      <c r="F172">
        <v>0.15</v>
      </c>
      <c r="G172" s="80">
        <f t="shared" si="2"/>
        <v>300</v>
      </c>
      <c r="H172" s="80">
        <f>VLOOKUP(D172,'Bu Erta'!$C$2:$F$66,4,0)*F172</f>
        <v>300</v>
      </c>
    </row>
    <row r="173" spans="1:8" x14ac:dyDescent="0.35">
      <c r="B173" t="s">
        <v>147</v>
      </c>
      <c r="D173" t="s">
        <v>40</v>
      </c>
      <c r="E173" s="80">
        <f>VLOOKUP(D173,KamiBox!$C$2:$F$54,4,0)</f>
        <v>2000</v>
      </c>
      <c r="F173">
        <v>0.5</v>
      </c>
      <c r="G173" s="80">
        <f t="shared" si="2"/>
        <v>1000</v>
      </c>
      <c r="H173" s="80">
        <f>VLOOKUP(D173,'Bu Erta'!$C$2:$F$66,4,0)*F173</f>
        <v>1000</v>
      </c>
    </row>
    <row r="174" spans="1:8" x14ac:dyDescent="0.35">
      <c r="B174" t="s">
        <v>147</v>
      </c>
      <c r="D174" t="s">
        <v>393</v>
      </c>
      <c r="E174" s="80">
        <f>VLOOKUP(D174,KamiBox!$C$2:$F$54,4,0)</f>
        <v>500</v>
      </c>
      <c r="F174">
        <f>1.6+0.6</f>
        <v>2.2000000000000002</v>
      </c>
      <c r="G174" s="80">
        <f t="shared" si="2"/>
        <v>1100</v>
      </c>
      <c r="H174" s="80" t="e">
        <f>VLOOKUP(D174,'Bu Erta'!$C$2:$F$66,4,0)*F174</f>
        <v>#N/A</v>
      </c>
    </row>
    <row r="175" spans="1:8" x14ac:dyDescent="0.35">
      <c r="B175" t="s">
        <v>147</v>
      </c>
      <c r="D175" t="s">
        <v>396</v>
      </c>
      <c r="E175" s="80">
        <f>VLOOKUP(D175,KamiBox!$C$2:$F$54,4,0)</f>
        <v>1700</v>
      </c>
      <c r="F175">
        <v>3.2</v>
      </c>
      <c r="G175" s="80">
        <f t="shared" si="2"/>
        <v>5440</v>
      </c>
      <c r="H175" s="80" t="e">
        <f>VLOOKUP(D175,'Bu Erta'!$C$2:$F$66,4,0)*F175</f>
        <v>#N/A</v>
      </c>
    </row>
    <row r="176" spans="1:8" x14ac:dyDescent="0.35">
      <c r="A176" s="1">
        <v>22</v>
      </c>
      <c r="B176" t="s">
        <v>76</v>
      </c>
      <c r="C176" s="5">
        <v>3</v>
      </c>
      <c r="D176" t="s">
        <v>38</v>
      </c>
      <c r="E176" s="80">
        <f>VLOOKUP(D176,KamiBox!$C$2:$F$54,4,0)</f>
        <v>1500</v>
      </c>
      <c r="F176">
        <v>2</v>
      </c>
      <c r="G176" s="80">
        <f t="shared" si="2"/>
        <v>3000</v>
      </c>
      <c r="H176" s="80">
        <f>VLOOKUP(D176,'Bu Erta'!$C$2:$F$66,4,0)*F176</f>
        <v>3200</v>
      </c>
    </row>
    <row r="177" spans="1:8" x14ac:dyDescent="0.35">
      <c r="B177" t="s">
        <v>76</v>
      </c>
      <c r="D177" t="s">
        <v>7</v>
      </c>
      <c r="E177" s="80">
        <f>VLOOKUP(D177,KamiBox!$C$2:$F$54,4,0)</f>
        <v>1200</v>
      </c>
      <c r="F177">
        <f>0.1+0.7+2.8</f>
        <v>3.5999999999999996</v>
      </c>
      <c r="G177" s="80">
        <f t="shared" si="2"/>
        <v>4320</v>
      </c>
      <c r="H177" s="80">
        <f>VLOOKUP(D177,'Bu Erta'!$C$2:$F$66,4,0)*F177</f>
        <v>5759.9999999999991</v>
      </c>
    </row>
    <row r="178" spans="1:8" x14ac:dyDescent="0.35">
      <c r="B178" t="s">
        <v>76</v>
      </c>
      <c r="D178" t="s">
        <v>393</v>
      </c>
      <c r="E178" s="80">
        <f>VLOOKUP(D178,KamiBox!$C$2:$F$54,4,0)</f>
        <v>500</v>
      </c>
      <c r="F178">
        <v>2.5499999999999998</v>
      </c>
      <c r="G178" s="80">
        <f t="shared" si="2"/>
        <v>1275</v>
      </c>
      <c r="H178" s="80" t="e">
        <f>VLOOKUP(D178,'Bu Erta'!$C$2:$F$66,4,0)*F178</f>
        <v>#N/A</v>
      </c>
    </row>
    <row r="179" spans="1:8" x14ac:dyDescent="0.35">
      <c r="B179" t="s">
        <v>76</v>
      </c>
      <c r="D179" t="s">
        <v>396</v>
      </c>
      <c r="E179" s="80">
        <f>VLOOKUP(D179,KamiBox!$C$2:$F$54,4,0)</f>
        <v>1700</v>
      </c>
      <c r="F179">
        <f>1.15+1.95+6.65</f>
        <v>9.75</v>
      </c>
      <c r="G179" s="80">
        <f t="shared" si="2"/>
        <v>16575</v>
      </c>
      <c r="H179" s="80" t="e">
        <f>VLOOKUP(D179,'Bu Erta'!$C$2:$F$66,4,0)*F179</f>
        <v>#N/A</v>
      </c>
    </row>
    <row r="180" spans="1:8" x14ac:dyDescent="0.35">
      <c r="B180" t="s">
        <v>76</v>
      </c>
      <c r="D180" t="s">
        <v>398</v>
      </c>
      <c r="E180" s="80">
        <f>VLOOKUP(D180,KamiBox!$C$2:$F$54,4,0)</f>
        <v>400</v>
      </c>
      <c r="F180">
        <v>0.85</v>
      </c>
      <c r="G180" s="80">
        <f t="shared" si="2"/>
        <v>340</v>
      </c>
      <c r="H180" s="80" t="e">
        <f>VLOOKUP(D180,'Bu Erta'!$C$2:$F$66,4,0)*F180</f>
        <v>#N/A</v>
      </c>
    </row>
    <row r="181" spans="1:8" x14ac:dyDescent="0.35">
      <c r="B181" t="s">
        <v>76</v>
      </c>
      <c r="D181" t="s">
        <v>422</v>
      </c>
      <c r="E181" s="80">
        <f>VLOOKUP(D181,KamiBox!$C$2:$F$54,4,0)</f>
        <v>4000</v>
      </c>
      <c r="F181">
        <f>0.65+0.45+0.8+0.55</f>
        <v>2.4500000000000002</v>
      </c>
      <c r="G181" s="80">
        <f t="shared" ref="G181:G244" si="3">E181*F181</f>
        <v>9800</v>
      </c>
      <c r="H181" s="80" t="e">
        <f>VLOOKUP(D181,'Bu Erta'!$C$2:$F$66,4,0)*F181</f>
        <v>#N/A</v>
      </c>
    </row>
    <row r="182" spans="1:8" x14ac:dyDescent="0.35">
      <c r="B182" t="s">
        <v>76</v>
      </c>
      <c r="D182" t="s">
        <v>405</v>
      </c>
      <c r="E182" s="80">
        <f>VLOOKUP(D182,KamiBox!$C$2:$F$54,4,0)</f>
        <v>100</v>
      </c>
      <c r="F182">
        <v>1.5</v>
      </c>
      <c r="G182" s="80">
        <f t="shared" si="3"/>
        <v>150</v>
      </c>
      <c r="H182" s="80" t="e">
        <f>VLOOKUP(D182,'Bu Erta'!$C$2:$F$66,4,0)*F182</f>
        <v>#N/A</v>
      </c>
    </row>
    <row r="183" spans="1:8" x14ac:dyDescent="0.35">
      <c r="B183" t="s">
        <v>76</v>
      </c>
      <c r="D183" t="s">
        <v>41</v>
      </c>
      <c r="E183" s="80">
        <f>VLOOKUP(D183,KamiBox!$C$2:$F$54,4,0)</f>
        <v>2000</v>
      </c>
      <c r="F183">
        <v>0.2</v>
      </c>
      <c r="G183" s="80">
        <f t="shared" si="3"/>
        <v>400</v>
      </c>
      <c r="H183" s="80">
        <f>VLOOKUP(D183,'Bu Erta'!$C$2:$F$66,4,0)*F183</f>
        <v>400</v>
      </c>
    </row>
    <row r="184" spans="1:8" x14ac:dyDescent="0.35">
      <c r="B184" t="s">
        <v>76</v>
      </c>
      <c r="D184" t="s">
        <v>402</v>
      </c>
      <c r="E184" s="80">
        <f>VLOOKUP(D184,KamiBox!$C$2:$F$54,4,0)</f>
        <v>10000</v>
      </c>
      <c r="F184">
        <v>0.1</v>
      </c>
      <c r="G184" s="80">
        <f t="shared" si="3"/>
        <v>1000</v>
      </c>
      <c r="H184" s="80" t="e">
        <f>VLOOKUP(D184,'Bu Erta'!$C$2:$F$66,4,0)*F184</f>
        <v>#N/A</v>
      </c>
    </row>
    <row r="185" spans="1:8" x14ac:dyDescent="0.35">
      <c r="B185" t="s">
        <v>76</v>
      </c>
      <c r="D185" t="s">
        <v>22</v>
      </c>
      <c r="E185" s="80">
        <f>VLOOKUP(D185,KamiBox!$C$2:$F$54,4,0)</f>
        <v>4000</v>
      </c>
      <c r="F185">
        <f>0.5+0.6</f>
        <v>1.1000000000000001</v>
      </c>
      <c r="G185" s="80">
        <f t="shared" si="3"/>
        <v>4400</v>
      </c>
      <c r="H185" s="80">
        <f>VLOOKUP(D185,'Bu Erta'!$C$2:$F$66,4,0)*F185</f>
        <v>3300.0000000000005</v>
      </c>
    </row>
    <row r="186" spans="1:8" x14ac:dyDescent="0.35">
      <c r="B186" t="s">
        <v>76</v>
      </c>
      <c r="D186" s="77" t="s">
        <v>431</v>
      </c>
      <c r="E186" s="80" t="e">
        <f>VLOOKUP(D186,KamiBox!$C$2:$F$54,4,0)</f>
        <v>#N/A</v>
      </c>
      <c r="F186">
        <v>0.3</v>
      </c>
      <c r="G186" s="80" t="e">
        <f t="shared" si="3"/>
        <v>#N/A</v>
      </c>
      <c r="H186" s="80" t="e">
        <f>VLOOKUP(D186,'Bu Erta'!$C$2:$F$66,4,0)*F186</f>
        <v>#N/A</v>
      </c>
    </row>
    <row r="187" spans="1:8" x14ac:dyDescent="0.35">
      <c r="B187" t="s">
        <v>76</v>
      </c>
      <c r="D187" t="s">
        <v>69</v>
      </c>
      <c r="E187" s="80">
        <f>VLOOKUP(D187,KamiBox!$C$2:$F$54,4,0)</f>
        <v>3000</v>
      </c>
      <c r="F187">
        <v>0.35</v>
      </c>
      <c r="G187" s="80">
        <f t="shared" si="3"/>
        <v>1050</v>
      </c>
      <c r="H187" s="80">
        <f>VLOOKUP(D187,'Bu Erta'!$C$2:$F$66,4,0)*F187</f>
        <v>1050</v>
      </c>
    </row>
    <row r="188" spans="1:8" x14ac:dyDescent="0.35">
      <c r="A188" s="1">
        <v>23</v>
      </c>
      <c r="B188" t="s">
        <v>193</v>
      </c>
      <c r="C188" s="5">
        <v>1</v>
      </c>
      <c r="D188" t="s">
        <v>31</v>
      </c>
      <c r="E188" s="80">
        <f>VLOOKUP(D188,KamiBox!$C$2:$F$54,4,0)</f>
        <v>1000</v>
      </c>
      <c r="F188">
        <f>3.3+0.8+2.55</f>
        <v>6.6499999999999995</v>
      </c>
      <c r="G188" s="80">
        <f t="shared" si="3"/>
        <v>6649.9999999999991</v>
      </c>
      <c r="H188" s="80">
        <f>VLOOKUP(D188,'Bu Erta'!$C$2:$F$66,4,0)*F188</f>
        <v>7314.9999999999991</v>
      </c>
    </row>
    <row r="189" spans="1:8" x14ac:dyDescent="0.35">
      <c r="B189" t="s">
        <v>193</v>
      </c>
      <c r="D189" t="s">
        <v>414</v>
      </c>
      <c r="E189" s="80">
        <f>VLOOKUP(D189,KamiBox!$C$2:$F$54,4,0)</f>
        <v>200</v>
      </c>
      <c r="F189">
        <v>0.65</v>
      </c>
      <c r="G189" s="80">
        <f t="shared" si="3"/>
        <v>130</v>
      </c>
      <c r="H189" s="80" t="e">
        <f>VLOOKUP(D189,'Bu Erta'!$C$2:$F$66,4,0)*F189</f>
        <v>#N/A</v>
      </c>
    </row>
    <row r="190" spans="1:8" x14ac:dyDescent="0.35">
      <c r="B190" t="s">
        <v>193</v>
      </c>
      <c r="D190" t="s">
        <v>384</v>
      </c>
      <c r="E190" s="80">
        <f>VLOOKUP(D190,KamiBox!$C$2:$F$54,4,0)</f>
        <v>2000</v>
      </c>
      <c r="F190">
        <v>0.3</v>
      </c>
      <c r="G190" s="80">
        <f t="shared" si="3"/>
        <v>600</v>
      </c>
      <c r="H190" s="80" t="e">
        <f>VLOOKUP(D190,'Bu Erta'!$C$2:$F$66,4,0)*F190</f>
        <v>#N/A</v>
      </c>
    </row>
    <row r="191" spans="1:8" x14ac:dyDescent="0.35">
      <c r="A191" s="1">
        <v>24</v>
      </c>
      <c r="B191" t="s">
        <v>243</v>
      </c>
      <c r="C191" s="5">
        <v>5</v>
      </c>
      <c r="D191" t="s">
        <v>422</v>
      </c>
      <c r="E191" s="80">
        <f>VLOOKUP(D191,KamiBox!$C$2:$F$54,4,0)</f>
        <v>4000</v>
      </c>
      <c r="F191">
        <v>1.5</v>
      </c>
      <c r="G191" s="80">
        <f t="shared" si="3"/>
        <v>6000</v>
      </c>
      <c r="H191" s="80" t="e">
        <f>VLOOKUP(D191,'Bu Erta'!$C$2:$F$66,4,0)*F191</f>
        <v>#N/A</v>
      </c>
    </row>
    <row r="192" spans="1:8" x14ac:dyDescent="0.35">
      <c r="B192" t="s">
        <v>243</v>
      </c>
      <c r="D192" t="s">
        <v>7</v>
      </c>
      <c r="E192" s="80">
        <f>VLOOKUP(D192,KamiBox!$C$2:$F$54,4,0)</f>
        <v>1200</v>
      </c>
      <c r="F192">
        <f>4.35+3.9+0.5</f>
        <v>8.75</v>
      </c>
      <c r="G192" s="80">
        <f t="shared" si="3"/>
        <v>10500</v>
      </c>
      <c r="H192" s="80">
        <f>VLOOKUP(D192,'Bu Erta'!$C$2:$F$66,4,0)*F192</f>
        <v>14000</v>
      </c>
    </row>
    <row r="193" spans="1:8" x14ac:dyDescent="0.35">
      <c r="B193" t="s">
        <v>243</v>
      </c>
      <c r="D193" t="s">
        <v>69</v>
      </c>
      <c r="E193" s="80">
        <f>VLOOKUP(D193,KamiBox!$C$2:$F$54,4,0)</f>
        <v>3000</v>
      </c>
      <c r="F193">
        <v>0.15</v>
      </c>
      <c r="G193" s="80">
        <f t="shared" si="3"/>
        <v>450</v>
      </c>
      <c r="H193" s="80">
        <f>VLOOKUP(D193,'Bu Erta'!$C$2:$F$66,4,0)*F193</f>
        <v>450</v>
      </c>
    </row>
    <row r="194" spans="1:8" x14ac:dyDescent="0.35">
      <c r="B194" t="s">
        <v>243</v>
      </c>
      <c r="D194" t="s">
        <v>31</v>
      </c>
      <c r="E194" s="80">
        <f>VLOOKUP(D194,KamiBox!$C$2:$F$54,4,0)</f>
        <v>1000</v>
      </c>
      <c r="F194">
        <v>1.95</v>
      </c>
      <c r="G194" s="80">
        <f t="shared" si="3"/>
        <v>1950</v>
      </c>
      <c r="H194" s="80">
        <f>VLOOKUP(D194,'Bu Erta'!$C$2:$F$66,4,0)*F194</f>
        <v>2145</v>
      </c>
    </row>
    <row r="195" spans="1:8" x14ac:dyDescent="0.35">
      <c r="B195" t="s">
        <v>243</v>
      </c>
      <c r="D195" t="s">
        <v>393</v>
      </c>
      <c r="E195" s="80">
        <f>VLOOKUP(D195,KamiBox!$C$2:$F$54,4,0)</f>
        <v>500</v>
      </c>
      <c r="F195">
        <f>1.05+0.8</f>
        <v>1.85</v>
      </c>
      <c r="G195" s="80">
        <f t="shared" si="3"/>
        <v>925</v>
      </c>
      <c r="H195" s="80" t="e">
        <f>VLOOKUP(D195,'Bu Erta'!$C$2:$F$66,4,0)*F195</f>
        <v>#N/A</v>
      </c>
    </row>
    <row r="196" spans="1:8" x14ac:dyDescent="0.35">
      <c r="B196" t="s">
        <v>243</v>
      </c>
      <c r="D196" t="s">
        <v>398</v>
      </c>
      <c r="E196" s="80">
        <f>VLOOKUP(D196,KamiBox!$C$2:$F$54,4,0)</f>
        <v>400</v>
      </c>
      <c r="F196">
        <f>2.35+1.35</f>
        <v>3.7</v>
      </c>
      <c r="G196" s="80">
        <f t="shared" si="3"/>
        <v>1480</v>
      </c>
      <c r="H196" s="80" t="e">
        <f>VLOOKUP(D196,'Bu Erta'!$C$2:$F$66,4,0)*F196</f>
        <v>#N/A</v>
      </c>
    </row>
    <row r="197" spans="1:8" x14ac:dyDescent="0.35">
      <c r="B197" t="s">
        <v>243</v>
      </c>
      <c r="D197" t="s">
        <v>396</v>
      </c>
      <c r="E197" s="80">
        <f>VLOOKUP(D197,KamiBox!$C$2:$F$54,4,0)</f>
        <v>1700</v>
      </c>
      <c r="F197">
        <v>0.9</v>
      </c>
      <c r="G197" s="80">
        <f t="shared" si="3"/>
        <v>1530</v>
      </c>
      <c r="H197" s="80" t="e">
        <f>VLOOKUP(D197,'Bu Erta'!$C$2:$F$66,4,0)*F197</f>
        <v>#N/A</v>
      </c>
    </row>
    <row r="198" spans="1:8" x14ac:dyDescent="0.35">
      <c r="B198" t="s">
        <v>243</v>
      </c>
      <c r="D198" t="s">
        <v>419</v>
      </c>
      <c r="E198" s="80">
        <f>VLOOKUP(D198,KamiBox!$C$2:$F$54,4,0)</f>
        <v>2000</v>
      </c>
      <c r="F198">
        <v>1.6</v>
      </c>
      <c r="G198" s="80">
        <f t="shared" si="3"/>
        <v>3200</v>
      </c>
      <c r="H198" s="80" t="e">
        <f>VLOOKUP(D198,'Bu Erta'!$C$2:$F$66,4,0)*F198</f>
        <v>#N/A</v>
      </c>
    </row>
    <row r="199" spans="1:8" x14ac:dyDescent="0.35">
      <c r="B199" t="s">
        <v>243</v>
      </c>
      <c r="D199" t="s">
        <v>405</v>
      </c>
      <c r="E199" s="80">
        <f>VLOOKUP(D199,KamiBox!$C$2:$F$54,4,0)</f>
        <v>100</v>
      </c>
      <c r="F199">
        <v>4.7</v>
      </c>
      <c r="G199" s="80">
        <f t="shared" si="3"/>
        <v>470</v>
      </c>
      <c r="H199" s="80" t="e">
        <f>VLOOKUP(D199,'Bu Erta'!$C$2:$F$66,4,0)*F199</f>
        <v>#N/A</v>
      </c>
    </row>
    <row r="200" spans="1:8" x14ac:dyDescent="0.35">
      <c r="B200" t="s">
        <v>243</v>
      </c>
      <c r="D200" t="s">
        <v>40</v>
      </c>
      <c r="E200" s="80">
        <f>VLOOKUP(D200,KamiBox!$C$2:$F$54,4,0)</f>
        <v>2000</v>
      </c>
      <c r="F200">
        <v>0.3</v>
      </c>
      <c r="G200" s="80">
        <f t="shared" si="3"/>
        <v>600</v>
      </c>
      <c r="H200" s="80">
        <f>VLOOKUP(D200,'Bu Erta'!$C$2:$F$66,4,0)*F200</f>
        <v>600</v>
      </c>
    </row>
    <row r="201" spans="1:8" x14ac:dyDescent="0.35">
      <c r="B201" t="s">
        <v>243</v>
      </c>
      <c r="D201" t="s">
        <v>41</v>
      </c>
      <c r="E201" s="80">
        <f>VLOOKUP(D201,KamiBox!$C$2:$F$54,4,0)</f>
        <v>2000</v>
      </c>
      <c r="F201">
        <v>0.1</v>
      </c>
      <c r="G201" s="80">
        <f t="shared" si="3"/>
        <v>200</v>
      </c>
      <c r="H201" s="80">
        <f>VLOOKUP(D201,'Bu Erta'!$C$2:$F$66,4,0)*F201</f>
        <v>200</v>
      </c>
    </row>
    <row r="202" spans="1:8" x14ac:dyDescent="0.35">
      <c r="A202" s="1">
        <v>25</v>
      </c>
      <c r="B202" t="s">
        <v>195</v>
      </c>
      <c r="C202" s="5">
        <v>1</v>
      </c>
      <c r="D202" t="s">
        <v>31</v>
      </c>
      <c r="E202" s="80">
        <f>VLOOKUP(D202,KamiBox!$C$2:$F$54,4,0)</f>
        <v>1000</v>
      </c>
      <c r="F202">
        <f>1.85+2.7</f>
        <v>4.5500000000000007</v>
      </c>
      <c r="G202" s="80">
        <f t="shared" si="3"/>
        <v>4550.0000000000009</v>
      </c>
      <c r="H202" s="80">
        <f>VLOOKUP(D202,'Bu Erta'!$C$2:$F$66,4,0)*F202</f>
        <v>5005.0000000000009</v>
      </c>
    </row>
    <row r="203" spans="1:8" x14ac:dyDescent="0.35">
      <c r="B203" t="s">
        <v>195</v>
      </c>
      <c r="D203" t="s">
        <v>384</v>
      </c>
      <c r="E203" s="80">
        <f>VLOOKUP(D203,KamiBox!$C$2:$F$54,4,0)</f>
        <v>2000</v>
      </c>
      <c r="F203">
        <v>1.65</v>
      </c>
      <c r="G203" s="80">
        <f t="shared" si="3"/>
        <v>3300</v>
      </c>
      <c r="H203" s="80" t="e">
        <f>VLOOKUP(D203,'Bu Erta'!$C$2:$F$66,4,0)*F203</f>
        <v>#N/A</v>
      </c>
    </row>
    <row r="204" spans="1:8" x14ac:dyDescent="0.35">
      <c r="B204" t="s">
        <v>195</v>
      </c>
      <c r="D204" t="s">
        <v>6</v>
      </c>
      <c r="E204" s="70" t="e">
        <f>VLOOKUP(D204,KamiBox!$C$2:$F$54,4,0)</f>
        <v>#N/A</v>
      </c>
      <c r="F204">
        <v>0.1</v>
      </c>
      <c r="G204" s="80" t="e">
        <f t="shared" si="3"/>
        <v>#N/A</v>
      </c>
      <c r="H204" s="80">
        <f>VLOOKUP(D204,'Bu Erta'!$C$2:$F$66,4,0)*F204</f>
        <v>250</v>
      </c>
    </row>
    <row r="205" spans="1:8" x14ac:dyDescent="0.35">
      <c r="B205" t="s">
        <v>195</v>
      </c>
      <c r="D205" t="s">
        <v>396</v>
      </c>
      <c r="E205" s="80">
        <f>VLOOKUP(D205,KamiBox!$C$2:$F$54,4,0)</f>
        <v>1700</v>
      </c>
      <c r="F205">
        <v>2.4</v>
      </c>
      <c r="G205" s="80">
        <f t="shared" si="3"/>
        <v>4080</v>
      </c>
      <c r="H205" s="80" t="e">
        <f>VLOOKUP(D205,'Bu Erta'!$C$2:$F$66,4,0)*F205</f>
        <v>#N/A</v>
      </c>
    </row>
    <row r="206" spans="1:8" x14ac:dyDescent="0.35">
      <c r="A206" s="1">
        <v>26</v>
      </c>
      <c r="B206" t="s">
        <v>118</v>
      </c>
      <c r="C206" s="5">
        <v>4</v>
      </c>
      <c r="D206" t="s">
        <v>420</v>
      </c>
      <c r="E206" s="80">
        <f>VLOOKUP(D206,KamiBox!$C$2:$F$54,4,0)</f>
        <v>3500</v>
      </c>
      <c r="F206">
        <v>0.2</v>
      </c>
      <c r="G206" s="80">
        <f t="shared" si="3"/>
        <v>700</v>
      </c>
      <c r="H206" s="80" t="e">
        <f>VLOOKUP(D206,'Bu Erta'!$C$2:$F$66,4,0)*F206</f>
        <v>#N/A</v>
      </c>
    </row>
    <row r="207" spans="1:8" x14ac:dyDescent="0.35">
      <c r="B207" t="s">
        <v>118</v>
      </c>
      <c r="D207" t="s">
        <v>7</v>
      </c>
      <c r="E207" s="80">
        <f>VLOOKUP(D207,KamiBox!$C$2:$F$54,4,0)</f>
        <v>1200</v>
      </c>
      <c r="F207">
        <f>3+1.25</f>
        <v>4.25</v>
      </c>
      <c r="G207" s="80">
        <f t="shared" si="3"/>
        <v>5100</v>
      </c>
      <c r="H207" s="80">
        <f>VLOOKUP(D207,'Bu Erta'!$C$2:$F$66,4,0)*F207</f>
        <v>6800</v>
      </c>
    </row>
    <row r="208" spans="1:8" x14ac:dyDescent="0.35">
      <c r="B208" t="s">
        <v>118</v>
      </c>
      <c r="D208" t="s">
        <v>393</v>
      </c>
      <c r="E208" s="80">
        <f>VLOOKUP(D208,KamiBox!$C$2:$F$54,4,0)</f>
        <v>500</v>
      </c>
      <c r="F208">
        <v>1.65</v>
      </c>
      <c r="G208" s="80">
        <f t="shared" si="3"/>
        <v>825</v>
      </c>
      <c r="H208" s="80" t="e">
        <f>VLOOKUP(D208,'Bu Erta'!$C$2:$F$66,4,0)*F208</f>
        <v>#N/A</v>
      </c>
    </row>
    <row r="209" spans="1:8" x14ac:dyDescent="0.35">
      <c r="B209" t="s">
        <v>118</v>
      </c>
      <c r="D209" t="s">
        <v>388</v>
      </c>
      <c r="E209" s="80">
        <f>VLOOKUP(D209,KamiBox!$C$2:$F$54,4,0)</f>
        <v>1000</v>
      </c>
      <c r="F209">
        <v>0.95</v>
      </c>
      <c r="G209" s="80">
        <f t="shared" si="3"/>
        <v>950</v>
      </c>
      <c r="H209" s="80" t="e">
        <f>VLOOKUP(D209,'Bu Erta'!$C$2:$F$66,4,0)*F209</f>
        <v>#N/A</v>
      </c>
    </row>
    <row r="210" spans="1:8" x14ac:dyDescent="0.35">
      <c r="B210" t="s">
        <v>118</v>
      </c>
      <c r="D210" t="s">
        <v>422</v>
      </c>
      <c r="E210" s="80">
        <f>VLOOKUP(D210,KamiBox!$C$2:$F$54,4,0)</f>
        <v>4000</v>
      </c>
      <c r="F210">
        <v>1</v>
      </c>
      <c r="G210" s="80">
        <f t="shared" si="3"/>
        <v>4000</v>
      </c>
      <c r="H210" s="80" t="e">
        <f>VLOOKUP(D210,'Bu Erta'!$C$2:$F$66,4,0)*F210</f>
        <v>#N/A</v>
      </c>
    </row>
    <row r="211" spans="1:8" x14ac:dyDescent="0.35">
      <c r="B211" t="s">
        <v>118</v>
      </c>
      <c r="D211" t="s">
        <v>69</v>
      </c>
      <c r="E211" s="80">
        <f>VLOOKUP(D211,KamiBox!$C$2:$F$54,4,0)</f>
        <v>3000</v>
      </c>
      <c r="F211">
        <v>0.2</v>
      </c>
      <c r="G211" s="80">
        <f t="shared" si="3"/>
        <v>600</v>
      </c>
      <c r="H211" s="80">
        <f>VLOOKUP(D211,'Bu Erta'!$C$2:$F$66,4,0)*F211</f>
        <v>600</v>
      </c>
    </row>
    <row r="212" spans="1:8" x14ac:dyDescent="0.35">
      <c r="B212" t="s">
        <v>118</v>
      </c>
      <c r="D212" t="s">
        <v>398</v>
      </c>
      <c r="E212" s="80">
        <f>VLOOKUP(D212,KamiBox!$C$2:$F$54,4,0)</f>
        <v>400</v>
      </c>
      <c r="F212">
        <v>0.35</v>
      </c>
      <c r="G212" s="80">
        <f t="shared" si="3"/>
        <v>140</v>
      </c>
      <c r="H212" s="80" t="e">
        <f>VLOOKUP(D212,'Bu Erta'!$C$2:$F$66,4,0)*F212</f>
        <v>#N/A</v>
      </c>
    </row>
    <row r="213" spans="1:8" x14ac:dyDescent="0.35">
      <c r="B213" t="s">
        <v>118</v>
      </c>
      <c r="D213" t="s">
        <v>396</v>
      </c>
      <c r="E213" s="80">
        <f>VLOOKUP(D213,KamiBox!$C$2:$F$54,4,0)</f>
        <v>1700</v>
      </c>
      <c r="F213">
        <f>2.2+4+0.95</f>
        <v>7.15</v>
      </c>
      <c r="G213" s="80">
        <f t="shared" si="3"/>
        <v>12155</v>
      </c>
      <c r="H213" s="80" t="e">
        <f>VLOOKUP(D213,'Bu Erta'!$C$2:$F$66,4,0)*F213</f>
        <v>#N/A</v>
      </c>
    </row>
    <row r="214" spans="1:8" x14ac:dyDescent="0.35">
      <c r="A214" s="1">
        <v>27</v>
      </c>
      <c r="B214" t="s">
        <v>144</v>
      </c>
      <c r="C214" s="5">
        <v>4</v>
      </c>
      <c r="D214" t="s">
        <v>393</v>
      </c>
      <c r="E214" s="80">
        <f>VLOOKUP(D214,KamiBox!$C$2:$F$54,4,0)</f>
        <v>500</v>
      </c>
      <c r="F214">
        <f>1.1+0.75</f>
        <v>1.85</v>
      </c>
      <c r="G214" s="80">
        <f t="shared" si="3"/>
        <v>925</v>
      </c>
      <c r="H214" s="80" t="e">
        <f>VLOOKUP(D214,'Bu Erta'!$C$2:$F$66,4,0)*F214</f>
        <v>#N/A</v>
      </c>
    </row>
    <row r="215" spans="1:8" x14ac:dyDescent="0.35">
      <c r="B215" t="s">
        <v>144</v>
      </c>
      <c r="D215" t="s">
        <v>388</v>
      </c>
      <c r="E215" s="80">
        <f>VLOOKUP(D215,KamiBox!$C$2:$F$54,4,0)</f>
        <v>1000</v>
      </c>
      <c r="F215">
        <v>1.65</v>
      </c>
      <c r="G215" s="80">
        <f t="shared" si="3"/>
        <v>1650</v>
      </c>
      <c r="H215" s="80" t="e">
        <f>VLOOKUP(D215,'Bu Erta'!$C$2:$F$66,4,0)*F215</f>
        <v>#N/A</v>
      </c>
    </row>
    <row r="216" spans="1:8" x14ac:dyDescent="0.35">
      <c r="A216" s="1">
        <v>28</v>
      </c>
      <c r="B216" t="s">
        <v>127</v>
      </c>
      <c r="C216" s="5">
        <v>2</v>
      </c>
      <c r="D216" t="s">
        <v>384</v>
      </c>
      <c r="E216" s="80">
        <f>VLOOKUP(D216,KamiBox!$C$2:$F$54,4,0)</f>
        <v>2000</v>
      </c>
      <c r="F216">
        <f>1.75+0.15</f>
        <v>1.9</v>
      </c>
      <c r="G216" s="80">
        <f t="shared" si="3"/>
        <v>3800</v>
      </c>
      <c r="H216" s="80" t="e">
        <f>VLOOKUP(D216,'Bu Erta'!$C$2:$F$66,4,0)*F216</f>
        <v>#N/A</v>
      </c>
    </row>
    <row r="217" spans="1:8" x14ac:dyDescent="0.35">
      <c r="B217" t="s">
        <v>127</v>
      </c>
      <c r="D217" t="s">
        <v>393</v>
      </c>
      <c r="E217" s="80">
        <f>VLOOKUP(D217,KamiBox!$C$2:$F$54,4,0)</f>
        <v>500</v>
      </c>
      <c r="F217">
        <v>1.1000000000000001</v>
      </c>
      <c r="G217" s="80">
        <f t="shared" si="3"/>
        <v>550</v>
      </c>
      <c r="H217" s="80" t="e">
        <f>VLOOKUP(D217,'Bu Erta'!$C$2:$F$66,4,0)*F217</f>
        <v>#N/A</v>
      </c>
    </row>
    <row r="218" spans="1:8" x14ac:dyDescent="0.35">
      <c r="B218" t="s">
        <v>127</v>
      </c>
      <c r="D218" t="s">
        <v>396</v>
      </c>
      <c r="E218" s="80">
        <f>VLOOKUP(D218,KamiBox!$C$2:$F$54,4,0)</f>
        <v>1700</v>
      </c>
      <c r="F218">
        <f>3.25+2.2</f>
        <v>5.45</v>
      </c>
      <c r="G218" s="80">
        <f t="shared" si="3"/>
        <v>9265</v>
      </c>
      <c r="H218" s="80" t="e">
        <f>VLOOKUP(D218,'Bu Erta'!$C$2:$F$66,4,0)*F218</f>
        <v>#N/A</v>
      </c>
    </row>
    <row r="219" spans="1:8" x14ac:dyDescent="0.35">
      <c r="B219" t="s">
        <v>127</v>
      </c>
      <c r="D219" t="s">
        <v>7</v>
      </c>
      <c r="E219" s="80">
        <f>VLOOKUP(D219,KamiBox!$C$2:$F$54,4,0)</f>
        <v>1200</v>
      </c>
      <c r="F219">
        <v>1.1000000000000001</v>
      </c>
      <c r="G219" s="80">
        <f t="shared" si="3"/>
        <v>1320</v>
      </c>
      <c r="H219" s="80">
        <f>VLOOKUP(D219,'Bu Erta'!$C$2:$F$66,4,0)*F219</f>
        <v>1760.0000000000002</v>
      </c>
    </row>
    <row r="220" spans="1:8" x14ac:dyDescent="0.35">
      <c r="B220" t="s">
        <v>127</v>
      </c>
      <c r="D220" t="s">
        <v>6</v>
      </c>
      <c r="E220" s="70" t="e">
        <f>VLOOKUP(D220,KamiBox!$C$2:$F$54,4,0)</f>
        <v>#N/A</v>
      </c>
      <c r="F220">
        <v>0.15</v>
      </c>
      <c r="G220" s="80" t="e">
        <f t="shared" si="3"/>
        <v>#N/A</v>
      </c>
      <c r="H220" s="80">
        <f>VLOOKUP(D220,'Bu Erta'!$C$2:$F$66,4,0)*F220</f>
        <v>375</v>
      </c>
    </row>
    <row r="221" spans="1:8" x14ac:dyDescent="0.35">
      <c r="B221" t="s">
        <v>127</v>
      </c>
      <c r="D221" t="s">
        <v>388</v>
      </c>
      <c r="E221" s="80">
        <f>VLOOKUP(D221,KamiBox!$C$2:$F$54,4,0)</f>
        <v>1000</v>
      </c>
      <c r="F221">
        <f>0.2+0.35</f>
        <v>0.55000000000000004</v>
      </c>
      <c r="G221" s="80">
        <f t="shared" si="3"/>
        <v>550</v>
      </c>
      <c r="H221" s="80" t="e">
        <f>VLOOKUP(D221,'Bu Erta'!$C$2:$F$66,4,0)*F221</f>
        <v>#N/A</v>
      </c>
    </row>
    <row r="222" spans="1:8" x14ac:dyDescent="0.35">
      <c r="B222" t="s">
        <v>127</v>
      </c>
      <c r="D222" t="s">
        <v>41</v>
      </c>
      <c r="E222" s="80">
        <f>VLOOKUP(D222,KamiBox!$C$2:$F$54,4,0)</f>
        <v>2000</v>
      </c>
      <c r="F222">
        <v>0.35</v>
      </c>
      <c r="G222" s="80">
        <f t="shared" si="3"/>
        <v>700</v>
      </c>
      <c r="H222" s="80">
        <f>VLOOKUP(D222,'Bu Erta'!$C$2:$F$66,4,0)*F222</f>
        <v>700</v>
      </c>
    </row>
    <row r="223" spans="1:8" x14ac:dyDescent="0.35">
      <c r="B223" t="s">
        <v>127</v>
      </c>
      <c r="D223" t="s">
        <v>31</v>
      </c>
      <c r="E223" s="80">
        <f>VLOOKUP(D223,KamiBox!$C$2:$F$54,4,0)</f>
        <v>1000</v>
      </c>
      <c r="F223">
        <f>0.4+1.7</f>
        <v>2.1</v>
      </c>
      <c r="G223" s="80">
        <f t="shared" si="3"/>
        <v>2100</v>
      </c>
      <c r="H223" s="80">
        <f>VLOOKUP(D223,'Bu Erta'!$C$2:$F$66,4,0)*F223</f>
        <v>2310</v>
      </c>
    </row>
    <row r="224" spans="1:8" x14ac:dyDescent="0.35">
      <c r="B224" t="s">
        <v>127</v>
      </c>
      <c r="D224" t="s">
        <v>407</v>
      </c>
      <c r="E224" s="80">
        <f>VLOOKUP(D224,KamiBox!$C$2:$F$54,4,0)</f>
        <v>7000</v>
      </c>
      <c r="F224">
        <v>1.7</v>
      </c>
      <c r="G224" s="80">
        <f t="shared" si="3"/>
        <v>11900</v>
      </c>
      <c r="H224" s="80" t="e">
        <f>VLOOKUP(D224,'Bu Erta'!$C$2:$F$66,4,0)*F224</f>
        <v>#N/A</v>
      </c>
    </row>
    <row r="225" spans="1:8" x14ac:dyDescent="0.35">
      <c r="A225" s="1">
        <v>29</v>
      </c>
      <c r="B225" t="s">
        <v>98</v>
      </c>
      <c r="C225" s="5">
        <v>2</v>
      </c>
      <c r="D225" t="s">
        <v>396</v>
      </c>
      <c r="E225" s="80">
        <f>VLOOKUP(D225,KamiBox!$C$2:$F$54,4,0)</f>
        <v>1700</v>
      </c>
      <c r="F225">
        <f>6.65+1.4+1.05</f>
        <v>9.1000000000000014</v>
      </c>
      <c r="G225" s="80">
        <f t="shared" si="3"/>
        <v>15470.000000000002</v>
      </c>
      <c r="H225" s="80" t="e">
        <f>VLOOKUP(D225,'Bu Erta'!$C$2:$F$66,4,0)*F225</f>
        <v>#N/A</v>
      </c>
    </row>
    <row r="226" spans="1:8" x14ac:dyDescent="0.35">
      <c r="B226" t="s">
        <v>98</v>
      </c>
      <c r="D226" t="s">
        <v>22</v>
      </c>
      <c r="E226" s="80">
        <f>VLOOKUP(D226,KamiBox!$C$2:$F$54,4,0)</f>
        <v>4000</v>
      </c>
      <c r="F226">
        <v>14.1</v>
      </c>
      <c r="G226" s="80">
        <f t="shared" si="3"/>
        <v>56400</v>
      </c>
      <c r="H226" s="80">
        <f>VLOOKUP(D226,'Bu Erta'!$C$2:$F$66,4,0)*F226</f>
        <v>42300</v>
      </c>
    </row>
    <row r="227" spans="1:8" x14ac:dyDescent="0.35">
      <c r="B227" t="s">
        <v>98</v>
      </c>
      <c r="D227" t="s">
        <v>41</v>
      </c>
      <c r="E227" s="80">
        <f>VLOOKUP(D227,KamiBox!$C$2:$F$54,4,0)</f>
        <v>2000</v>
      </c>
      <c r="F227">
        <v>0.95</v>
      </c>
      <c r="G227" s="80">
        <f t="shared" si="3"/>
        <v>1900</v>
      </c>
      <c r="H227" s="80">
        <f>VLOOKUP(D227,'Bu Erta'!$C$2:$F$66,4,0)*F227</f>
        <v>1900</v>
      </c>
    </row>
    <row r="228" spans="1:8" x14ac:dyDescent="0.35">
      <c r="B228" t="s">
        <v>98</v>
      </c>
      <c r="D228" t="s">
        <v>7</v>
      </c>
      <c r="E228" s="80">
        <f>VLOOKUP(D228,KamiBox!$C$2:$F$54,4,0)</f>
        <v>1200</v>
      </c>
      <c r="F228">
        <v>2.25</v>
      </c>
      <c r="G228" s="80">
        <f t="shared" si="3"/>
        <v>2700</v>
      </c>
      <c r="H228" s="80">
        <f>VLOOKUP(D228,'Bu Erta'!$C$2:$F$66,4,0)*F228</f>
        <v>3600</v>
      </c>
    </row>
    <row r="229" spans="1:8" x14ac:dyDescent="0.35">
      <c r="B229" t="s">
        <v>98</v>
      </c>
      <c r="D229" t="s">
        <v>422</v>
      </c>
      <c r="E229" s="80">
        <f>VLOOKUP(D229,KamiBox!$C$2:$F$54,4,0)</f>
        <v>4000</v>
      </c>
      <c r="F229">
        <v>0.95</v>
      </c>
      <c r="G229" s="80">
        <f t="shared" si="3"/>
        <v>3800</v>
      </c>
      <c r="H229" s="80" t="e">
        <f>VLOOKUP(D229,'Bu Erta'!$C$2:$F$66,4,0)*F229</f>
        <v>#N/A</v>
      </c>
    </row>
    <row r="230" spans="1:8" x14ac:dyDescent="0.35">
      <c r="B230" t="s">
        <v>98</v>
      </c>
      <c r="D230" t="s">
        <v>69</v>
      </c>
      <c r="E230" s="80">
        <f>VLOOKUP(D230,KamiBox!$C$2:$F$54,4,0)</f>
        <v>3000</v>
      </c>
      <c r="F230">
        <v>0.15</v>
      </c>
      <c r="G230" s="80">
        <f t="shared" si="3"/>
        <v>450</v>
      </c>
      <c r="H230" s="80">
        <f>VLOOKUP(D230,'Bu Erta'!$C$2:$F$66,4,0)*F230</f>
        <v>450</v>
      </c>
    </row>
    <row r="231" spans="1:8" x14ac:dyDescent="0.35">
      <c r="B231" t="s">
        <v>98</v>
      </c>
      <c r="D231" t="s">
        <v>398</v>
      </c>
      <c r="E231" s="80">
        <f>VLOOKUP(D231,KamiBox!$C$2:$F$54,4,0)</f>
        <v>400</v>
      </c>
      <c r="F231">
        <v>1.65</v>
      </c>
      <c r="G231" s="80">
        <f t="shared" si="3"/>
        <v>660</v>
      </c>
      <c r="H231" s="80" t="e">
        <f>VLOOKUP(D231,'Bu Erta'!$C$2:$F$66,4,0)*F231</f>
        <v>#N/A</v>
      </c>
    </row>
    <row r="232" spans="1:8" x14ac:dyDescent="0.35">
      <c r="B232" t="s">
        <v>98</v>
      </c>
      <c r="D232" t="s">
        <v>431</v>
      </c>
      <c r="E232" s="70" t="e">
        <f>VLOOKUP(D232,KamiBox!$C$2:$F$54,4,0)</f>
        <v>#N/A</v>
      </c>
      <c r="F232">
        <v>0.35</v>
      </c>
      <c r="G232" s="80" t="e">
        <f t="shared" si="3"/>
        <v>#N/A</v>
      </c>
      <c r="H232" s="80" t="e">
        <f>VLOOKUP(D232,'Bu Erta'!$C$2:$F$66,4,0)*F232</f>
        <v>#N/A</v>
      </c>
    </row>
    <row r="233" spans="1:8" x14ac:dyDescent="0.35">
      <c r="B233" t="s">
        <v>98</v>
      </c>
      <c r="D233" t="s">
        <v>393</v>
      </c>
      <c r="E233" s="80">
        <f>VLOOKUP(D233,KamiBox!$C$2:$F$54,4,0)</f>
        <v>500</v>
      </c>
      <c r="F233">
        <v>1.65</v>
      </c>
      <c r="G233" s="80">
        <f t="shared" si="3"/>
        <v>825</v>
      </c>
      <c r="H233" s="80" t="e">
        <f>VLOOKUP(D233,'Bu Erta'!$C$2:$F$66,4,0)*F233</f>
        <v>#N/A</v>
      </c>
    </row>
    <row r="234" spans="1:8" x14ac:dyDescent="0.35">
      <c r="B234" t="s">
        <v>98</v>
      </c>
      <c r="D234" t="s">
        <v>414</v>
      </c>
      <c r="E234" s="80">
        <f>VLOOKUP(D234,KamiBox!$C$2:$F$54,4,0)</f>
        <v>200</v>
      </c>
      <c r="F234">
        <v>3.1</v>
      </c>
      <c r="G234" s="80">
        <f t="shared" si="3"/>
        <v>620</v>
      </c>
      <c r="H234" s="80" t="e">
        <f>VLOOKUP(D234,'Bu Erta'!$C$2:$F$66,4,0)*F234</f>
        <v>#N/A</v>
      </c>
    </row>
    <row r="235" spans="1:8" x14ac:dyDescent="0.35">
      <c r="A235" s="1">
        <v>30</v>
      </c>
      <c r="B235" t="s">
        <v>120</v>
      </c>
      <c r="C235" s="5">
        <v>5</v>
      </c>
      <c r="D235" t="s">
        <v>31</v>
      </c>
      <c r="E235" s="80">
        <f>VLOOKUP(D235,KamiBox!$C$2:$F$54,4,0)</f>
        <v>1000</v>
      </c>
      <c r="F235">
        <v>1.3</v>
      </c>
      <c r="G235" s="80">
        <f t="shared" si="3"/>
        <v>1300</v>
      </c>
      <c r="H235" s="80">
        <f>VLOOKUP(D235,'Bu Erta'!$C$2:$F$66,4,0)*F235</f>
        <v>1430</v>
      </c>
    </row>
    <row r="236" spans="1:8" x14ac:dyDescent="0.35">
      <c r="B236" t="s">
        <v>120</v>
      </c>
      <c r="D236" t="s">
        <v>422</v>
      </c>
      <c r="E236" s="80">
        <f>VLOOKUP(D236,KamiBox!$C$2:$F$54,4,0)</f>
        <v>4000</v>
      </c>
      <c r="F236">
        <f>1.8+1.4</f>
        <v>3.2</v>
      </c>
      <c r="G236" s="80">
        <f t="shared" si="3"/>
        <v>12800</v>
      </c>
      <c r="H236" s="80" t="e">
        <f>VLOOKUP(D236,'Bu Erta'!$C$2:$F$66,4,0)*F236</f>
        <v>#N/A</v>
      </c>
    </row>
    <row r="237" spans="1:8" x14ac:dyDescent="0.35">
      <c r="B237" t="s">
        <v>120</v>
      </c>
      <c r="D237" t="s">
        <v>69</v>
      </c>
      <c r="E237" s="80">
        <f>VLOOKUP(D237,KamiBox!$C$2:$F$54,4,0)</f>
        <v>3000</v>
      </c>
      <c r="F237">
        <v>0.45</v>
      </c>
      <c r="G237" s="80">
        <f t="shared" si="3"/>
        <v>1350</v>
      </c>
      <c r="H237" s="80">
        <f>VLOOKUP(D237,'Bu Erta'!$C$2:$F$66,4,0)*F237</f>
        <v>1350</v>
      </c>
    </row>
    <row r="238" spans="1:8" x14ac:dyDescent="0.35">
      <c r="B238" t="s">
        <v>120</v>
      </c>
      <c r="D238" t="s">
        <v>396</v>
      </c>
      <c r="E238" s="80">
        <f>VLOOKUP(D238,KamiBox!$C$2:$F$54,4,0)</f>
        <v>1700</v>
      </c>
      <c r="F238">
        <f>2.5+8.15</f>
        <v>10.65</v>
      </c>
      <c r="G238" s="80">
        <f t="shared" si="3"/>
        <v>18105</v>
      </c>
      <c r="H238" s="80" t="e">
        <f>VLOOKUP(D238,'Bu Erta'!$C$2:$F$66,4,0)*F238</f>
        <v>#N/A</v>
      </c>
    </row>
    <row r="239" spans="1:8" x14ac:dyDescent="0.35">
      <c r="B239" t="s">
        <v>120</v>
      </c>
      <c r="D239" t="s">
        <v>6</v>
      </c>
      <c r="E239" s="80" t="e">
        <f>VLOOKUP(D239,KamiBox!$C$2:$F$54,4,0)</f>
        <v>#N/A</v>
      </c>
      <c r="F239">
        <v>0.95</v>
      </c>
      <c r="G239" s="80" t="e">
        <f t="shared" si="3"/>
        <v>#N/A</v>
      </c>
      <c r="H239" s="80">
        <f>VLOOKUP(D239,'Bu Erta'!$C$2:$F$66,4,0)*F239</f>
        <v>2375</v>
      </c>
    </row>
    <row r="240" spans="1:8" x14ac:dyDescent="0.35">
      <c r="B240" t="s">
        <v>120</v>
      </c>
      <c r="D240" t="s">
        <v>407</v>
      </c>
      <c r="E240" s="80">
        <f>VLOOKUP(D240,KamiBox!$C$2:$F$54,4,0)</f>
        <v>7000</v>
      </c>
      <c r="F240">
        <v>1</v>
      </c>
      <c r="G240" s="80">
        <f t="shared" si="3"/>
        <v>7000</v>
      </c>
      <c r="H240" s="80" t="e">
        <f>VLOOKUP(D240,'Bu Erta'!$C$2:$F$66,4,0)*F240</f>
        <v>#N/A</v>
      </c>
    </row>
    <row r="241" spans="1:8" x14ac:dyDescent="0.35">
      <c r="B241" t="s">
        <v>120</v>
      </c>
      <c r="D241" t="s">
        <v>414</v>
      </c>
      <c r="E241" s="80">
        <f>VLOOKUP(D241,KamiBox!$C$2:$F$54,4,0)</f>
        <v>200</v>
      </c>
      <c r="F241">
        <v>2.0499999999999998</v>
      </c>
      <c r="G241" s="80">
        <f t="shared" si="3"/>
        <v>409.99999999999994</v>
      </c>
      <c r="H241" s="80" t="e">
        <f>VLOOKUP(D241,'Bu Erta'!$C$2:$F$66,4,0)*F241</f>
        <v>#N/A</v>
      </c>
    </row>
    <row r="242" spans="1:8" x14ac:dyDescent="0.35">
      <c r="B242" t="s">
        <v>120</v>
      </c>
      <c r="D242" t="s">
        <v>7</v>
      </c>
      <c r="E242" s="80">
        <f>VLOOKUP(D242,KamiBox!$C$2:$F$54,4,0)</f>
        <v>1200</v>
      </c>
      <c r="F242">
        <v>0.3</v>
      </c>
      <c r="G242" s="80">
        <f t="shared" si="3"/>
        <v>360</v>
      </c>
      <c r="H242" s="80">
        <f>VLOOKUP(D242,'Bu Erta'!$C$2:$F$66,4,0)*F242</f>
        <v>480</v>
      </c>
    </row>
    <row r="243" spans="1:8" x14ac:dyDescent="0.35">
      <c r="B243" t="s">
        <v>120</v>
      </c>
      <c r="D243" t="s">
        <v>388</v>
      </c>
      <c r="E243" s="80">
        <f>VLOOKUP(D243,KamiBox!$C$2:$F$54,4,0)</f>
        <v>1000</v>
      </c>
      <c r="F243">
        <v>0.15</v>
      </c>
      <c r="G243" s="80">
        <f t="shared" si="3"/>
        <v>150</v>
      </c>
      <c r="H243" s="80" t="e">
        <f>VLOOKUP(D243,'Bu Erta'!$C$2:$F$66,4,0)*F243</f>
        <v>#N/A</v>
      </c>
    </row>
    <row r="244" spans="1:8" x14ac:dyDescent="0.35">
      <c r="A244" s="1">
        <v>31</v>
      </c>
      <c r="B244" t="s">
        <v>297</v>
      </c>
      <c r="C244" s="5">
        <v>5</v>
      </c>
      <c r="D244" t="s">
        <v>69</v>
      </c>
      <c r="E244" s="80">
        <f>VLOOKUP(D244,KamiBox!$C$2:$F$54,4,0)</f>
        <v>3000</v>
      </c>
      <c r="F244">
        <v>1.4</v>
      </c>
      <c r="G244" s="80">
        <f t="shared" si="3"/>
        <v>4200</v>
      </c>
      <c r="H244" s="80">
        <f>VLOOKUP(D244,'Bu Erta'!$C$2:$F$66,4,0)*F244</f>
        <v>4200</v>
      </c>
    </row>
    <row r="245" spans="1:8" x14ac:dyDescent="0.35">
      <c r="B245" t="s">
        <v>297</v>
      </c>
      <c r="D245" t="s">
        <v>398</v>
      </c>
      <c r="E245" s="80">
        <f>VLOOKUP(D245,KamiBox!$C$2:$F$54,4,0)</f>
        <v>400</v>
      </c>
      <c r="F245">
        <f>2.4+0.35</f>
        <v>2.75</v>
      </c>
      <c r="G245" s="80">
        <f t="shared" ref="G245:G319" si="4">E245*F245</f>
        <v>1100</v>
      </c>
      <c r="H245" s="80" t="e">
        <f>VLOOKUP(D245,'Bu Erta'!$C$2:$F$66,4,0)*F245</f>
        <v>#N/A</v>
      </c>
    </row>
    <row r="246" spans="1:8" x14ac:dyDescent="0.35">
      <c r="B246" t="s">
        <v>297</v>
      </c>
      <c r="D246" t="s">
        <v>396</v>
      </c>
      <c r="E246" s="80">
        <f>VLOOKUP(D246,KamiBox!$C$2:$F$54,4,0)</f>
        <v>1700</v>
      </c>
      <c r="F246">
        <v>6.95</v>
      </c>
      <c r="G246" s="80">
        <f t="shared" si="4"/>
        <v>11815</v>
      </c>
      <c r="H246" s="80" t="e">
        <f>VLOOKUP(D246,'Bu Erta'!$C$2:$F$66,4,0)*F246</f>
        <v>#N/A</v>
      </c>
    </row>
    <row r="247" spans="1:8" x14ac:dyDescent="0.35">
      <c r="B247" t="s">
        <v>297</v>
      </c>
      <c r="D247" t="s">
        <v>41</v>
      </c>
      <c r="E247" s="80">
        <f>VLOOKUP(D247,KamiBox!$C$2:$F$54,4,0)</f>
        <v>2000</v>
      </c>
      <c r="F247">
        <f>1.7+0.45+0.75</f>
        <v>2.9</v>
      </c>
      <c r="G247" s="80">
        <f t="shared" si="4"/>
        <v>5800</v>
      </c>
      <c r="H247" s="80">
        <f>VLOOKUP(D247,'Bu Erta'!$C$2:$F$66,4,0)*F247</f>
        <v>5800</v>
      </c>
    </row>
    <row r="248" spans="1:8" x14ac:dyDescent="0.35">
      <c r="B248" t="s">
        <v>297</v>
      </c>
      <c r="D248" t="s">
        <v>419</v>
      </c>
      <c r="E248" s="80">
        <f>VLOOKUP(D248,KamiBox!$C$2:$F$54,4,0)</f>
        <v>2000</v>
      </c>
      <c r="F248">
        <f>5.6+4.15</f>
        <v>9.75</v>
      </c>
      <c r="G248" s="80">
        <f t="shared" si="4"/>
        <v>19500</v>
      </c>
      <c r="H248" s="80" t="e">
        <f>VLOOKUP(D248,'Bu Erta'!$C$2:$F$66,4,0)*F248</f>
        <v>#N/A</v>
      </c>
    </row>
    <row r="249" spans="1:8" x14ac:dyDescent="0.35">
      <c r="B249" t="s">
        <v>297</v>
      </c>
      <c r="D249" t="s">
        <v>414</v>
      </c>
      <c r="E249" s="80">
        <f>VLOOKUP(D249,KamiBox!$C$2:$F$54,4,0)</f>
        <v>200</v>
      </c>
      <c r="F249">
        <v>1</v>
      </c>
      <c r="G249" s="80">
        <f t="shared" si="4"/>
        <v>200</v>
      </c>
      <c r="H249" s="80" t="e">
        <f>VLOOKUP(D249,'Bu Erta'!$C$2:$F$66,4,0)*F249</f>
        <v>#N/A</v>
      </c>
    </row>
    <row r="250" spans="1:8" x14ac:dyDescent="0.35">
      <c r="B250" t="s">
        <v>297</v>
      </c>
      <c r="D250" t="s">
        <v>22</v>
      </c>
      <c r="E250" s="80">
        <f>VLOOKUP(D250,KamiBox!$C$2:$F$54,4,0)</f>
        <v>4000</v>
      </c>
      <c r="F250">
        <v>2.1</v>
      </c>
      <c r="G250" s="80">
        <f t="shared" si="4"/>
        <v>8400</v>
      </c>
      <c r="H250" s="80">
        <f>VLOOKUP(D250,'Bu Erta'!$C$2:$F$66,4,0)*F250</f>
        <v>6300</v>
      </c>
    </row>
    <row r="251" spans="1:8" x14ac:dyDescent="0.35">
      <c r="B251" t="s">
        <v>297</v>
      </c>
      <c r="D251" t="s">
        <v>422</v>
      </c>
      <c r="E251" s="80">
        <f>VLOOKUP(D251,KamiBox!$C$2:$F$54,4,0)</f>
        <v>4000</v>
      </c>
      <c r="F251">
        <f>3.35+3.2+2.65</f>
        <v>9.2000000000000011</v>
      </c>
      <c r="G251" s="80">
        <f t="shared" si="4"/>
        <v>36800.000000000007</v>
      </c>
      <c r="H251" s="80" t="e">
        <f>VLOOKUP(D251,'Bu Erta'!$C$2:$F$66,4,0)*F251</f>
        <v>#N/A</v>
      </c>
    </row>
    <row r="252" spans="1:8" x14ac:dyDescent="0.35">
      <c r="B252" t="s">
        <v>297</v>
      </c>
      <c r="D252" t="s">
        <v>7</v>
      </c>
      <c r="E252" s="80">
        <f>VLOOKUP(D252,KamiBox!$C$2:$F$54,4,0)</f>
        <v>1200</v>
      </c>
      <c r="F252">
        <f>3.2+4.05</f>
        <v>7.25</v>
      </c>
      <c r="G252" s="80">
        <f t="shared" si="4"/>
        <v>8700</v>
      </c>
      <c r="H252" s="80">
        <f>VLOOKUP(D252,'Bu Erta'!$C$2:$F$66,4,0)*F252</f>
        <v>11600</v>
      </c>
    </row>
    <row r="253" spans="1:8" x14ac:dyDescent="0.35">
      <c r="B253" t="s">
        <v>297</v>
      </c>
      <c r="D253" t="s">
        <v>388</v>
      </c>
      <c r="E253" s="80">
        <f>VLOOKUP(D253,KamiBox!$C$2:$F$54,4,0)</f>
        <v>1000</v>
      </c>
      <c r="F253">
        <v>0.5</v>
      </c>
      <c r="G253" s="80">
        <f t="shared" si="4"/>
        <v>500</v>
      </c>
      <c r="H253" s="80" t="e">
        <f>VLOOKUP(D253,'Bu Erta'!$C$2:$F$66,4,0)*F253</f>
        <v>#N/A</v>
      </c>
    </row>
    <row r="254" spans="1:8" x14ac:dyDescent="0.35">
      <c r="B254" t="s">
        <v>297</v>
      </c>
      <c r="D254" t="s">
        <v>393</v>
      </c>
      <c r="E254" s="80">
        <f>VLOOKUP(D254,KamiBox!$C$2:$F$54,4,0)</f>
        <v>500</v>
      </c>
      <c r="F254">
        <f>1.65+0.2</f>
        <v>1.8499999999999999</v>
      </c>
      <c r="G254" s="80">
        <f t="shared" si="4"/>
        <v>924.99999999999989</v>
      </c>
      <c r="H254" s="80" t="e">
        <f>VLOOKUP(D254,'Bu Erta'!$C$2:$F$66,4,0)*F254</f>
        <v>#N/A</v>
      </c>
    </row>
    <row r="255" spans="1:8" x14ac:dyDescent="0.35">
      <c r="A255" s="1">
        <v>32</v>
      </c>
      <c r="B255" t="s">
        <v>133</v>
      </c>
      <c r="C255" s="5">
        <v>4</v>
      </c>
      <c r="D255" t="s">
        <v>398</v>
      </c>
      <c r="E255" s="80">
        <f>VLOOKUP(D255,KamiBox!$C$2:$F$54,4,0)</f>
        <v>400</v>
      </c>
      <c r="F255">
        <v>2.1</v>
      </c>
      <c r="G255" s="80">
        <f t="shared" si="4"/>
        <v>840</v>
      </c>
      <c r="H255" s="80" t="e">
        <f>VLOOKUP(D255,'Bu Erta'!$C$2:$F$66,4,0)*F255</f>
        <v>#N/A</v>
      </c>
    </row>
    <row r="256" spans="1:8" x14ac:dyDescent="0.35">
      <c r="B256" t="s">
        <v>133</v>
      </c>
      <c r="D256" t="s">
        <v>396</v>
      </c>
      <c r="E256" s="80">
        <f>VLOOKUP(D256,KamiBox!$C$2:$F$54,4,0)</f>
        <v>1700</v>
      </c>
      <c r="F256">
        <v>5</v>
      </c>
      <c r="G256" s="80">
        <f t="shared" si="4"/>
        <v>8500</v>
      </c>
      <c r="H256" s="80" t="e">
        <f>VLOOKUP(D256,'Bu Erta'!$C$2:$F$66,4,0)*F256</f>
        <v>#N/A</v>
      </c>
    </row>
    <row r="257" spans="1:8" x14ac:dyDescent="0.35">
      <c r="B257" t="s">
        <v>133</v>
      </c>
      <c r="D257" t="s">
        <v>422</v>
      </c>
      <c r="E257" s="80">
        <f>VLOOKUP(D257,KamiBox!$C$2:$F$54,4,0)</f>
        <v>4000</v>
      </c>
      <c r="F257">
        <f>0.9+0.6</f>
        <v>1.5</v>
      </c>
      <c r="G257" s="80">
        <f t="shared" si="4"/>
        <v>6000</v>
      </c>
      <c r="H257" s="80" t="e">
        <f>VLOOKUP(D257,'Bu Erta'!$C$2:$F$66,4,0)*F257</f>
        <v>#N/A</v>
      </c>
    </row>
    <row r="258" spans="1:8" x14ac:dyDescent="0.35">
      <c r="B258" t="s">
        <v>133</v>
      </c>
      <c r="D258" t="s">
        <v>69</v>
      </c>
      <c r="E258" s="80">
        <f>VLOOKUP(D258,KamiBox!$C$2:$F$54,4,0)</f>
        <v>3000</v>
      </c>
      <c r="F258">
        <v>0.2</v>
      </c>
      <c r="G258" s="80">
        <f t="shared" si="4"/>
        <v>600</v>
      </c>
      <c r="H258" s="80">
        <f>VLOOKUP(D258,'Bu Erta'!$C$2:$F$66,4,0)*F258</f>
        <v>600</v>
      </c>
    </row>
    <row r="259" spans="1:8" x14ac:dyDescent="0.35">
      <c r="B259" t="s">
        <v>133</v>
      </c>
      <c r="D259" t="s">
        <v>431</v>
      </c>
      <c r="E259" s="80" t="e">
        <f>VLOOKUP(D259,KamiBox!$C$2:$F$54,4,0)</f>
        <v>#N/A</v>
      </c>
      <c r="F259">
        <v>0.2</v>
      </c>
      <c r="G259" s="80" t="e">
        <f t="shared" si="4"/>
        <v>#N/A</v>
      </c>
      <c r="H259" s="80" t="e">
        <f>VLOOKUP(D259,'Bu Erta'!$C$2:$F$66,4,0)*F259</f>
        <v>#N/A</v>
      </c>
    </row>
    <row r="260" spans="1:8" x14ac:dyDescent="0.35">
      <c r="B260" t="s">
        <v>133</v>
      </c>
      <c r="D260" t="s">
        <v>7</v>
      </c>
      <c r="E260" s="80">
        <f>VLOOKUP(D260,KamiBox!$C$2:$F$54,4,0)</f>
        <v>1200</v>
      </c>
      <c r="F260">
        <f>0.65+0.1</f>
        <v>0.75</v>
      </c>
      <c r="G260" s="80">
        <f t="shared" si="4"/>
        <v>900</v>
      </c>
      <c r="H260" s="80">
        <f>VLOOKUP(D260,'Bu Erta'!$C$2:$F$66,4,0)*F260</f>
        <v>1200</v>
      </c>
    </row>
    <row r="261" spans="1:8" x14ac:dyDescent="0.35">
      <c r="B261" t="s">
        <v>133</v>
      </c>
      <c r="D261" t="s">
        <v>31</v>
      </c>
      <c r="E261" s="80">
        <f>VLOOKUP(D261,KamiBox!$C$2:$F$54,4,0)</f>
        <v>1000</v>
      </c>
      <c r="F261">
        <v>0.9</v>
      </c>
      <c r="G261" s="80">
        <f t="shared" si="4"/>
        <v>900</v>
      </c>
      <c r="H261" s="80">
        <f>VLOOKUP(D261,'Bu Erta'!$C$2:$F$66,4,0)*F261</f>
        <v>990</v>
      </c>
    </row>
    <row r="262" spans="1:8" x14ac:dyDescent="0.35">
      <c r="B262" t="s">
        <v>133</v>
      </c>
      <c r="D262" t="s">
        <v>393</v>
      </c>
      <c r="E262" s="80">
        <f>VLOOKUP(D262,KamiBox!$C$2:$F$54,4,0)</f>
        <v>500</v>
      </c>
      <c r="F262">
        <f>0.25+1.3</f>
        <v>1.55</v>
      </c>
      <c r="G262" s="80">
        <f t="shared" si="4"/>
        <v>775</v>
      </c>
      <c r="H262" s="80" t="e">
        <f>VLOOKUP(D262,'Bu Erta'!$C$2:$F$66,4,0)*F262</f>
        <v>#N/A</v>
      </c>
    </row>
    <row r="263" spans="1:8" x14ac:dyDescent="0.35">
      <c r="B263" t="s">
        <v>133</v>
      </c>
      <c r="D263" t="s">
        <v>37</v>
      </c>
      <c r="E263" s="80" t="e">
        <f>VLOOKUP(D263,KamiBox!$C$2:$F$54,4,0)</f>
        <v>#N/A</v>
      </c>
      <c r="F263">
        <v>0.7</v>
      </c>
      <c r="G263" s="80" t="e">
        <f t="shared" si="4"/>
        <v>#N/A</v>
      </c>
      <c r="H263" s="80">
        <f>VLOOKUP(D263,'Bu Erta'!$C$2:$F$66,4,0)*F263</f>
        <v>1400</v>
      </c>
    </row>
    <row r="264" spans="1:8" x14ac:dyDescent="0.35">
      <c r="B264" t="s">
        <v>133</v>
      </c>
      <c r="D264" t="s">
        <v>388</v>
      </c>
      <c r="E264" s="80">
        <f>VLOOKUP(D264,KamiBox!$C$2:$F$54,4,0)</f>
        <v>1000</v>
      </c>
      <c r="F264">
        <v>0.9</v>
      </c>
      <c r="G264" s="80">
        <f t="shared" si="4"/>
        <v>900</v>
      </c>
      <c r="H264" s="80" t="e">
        <f>VLOOKUP(D264,'Bu Erta'!$C$2:$F$66,4,0)*F264</f>
        <v>#N/A</v>
      </c>
    </row>
    <row r="265" spans="1:8" x14ac:dyDescent="0.35">
      <c r="A265" s="1">
        <v>33</v>
      </c>
      <c r="B265" t="s">
        <v>105</v>
      </c>
      <c r="C265" s="5">
        <v>4</v>
      </c>
      <c r="D265" t="s">
        <v>396</v>
      </c>
      <c r="E265" s="80">
        <f>VLOOKUP(D265,KamiBox!$C$2:$F$54,4,0)</f>
        <v>1700</v>
      </c>
      <c r="F265">
        <v>2.2000000000000002</v>
      </c>
      <c r="G265" s="80">
        <f t="shared" si="4"/>
        <v>3740.0000000000005</v>
      </c>
      <c r="H265" s="80" t="e">
        <f>VLOOKUP(D265,'Bu Erta'!$C$2:$F$66,4,0)*F265</f>
        <v>#N/A</v>
      </c>
    </row>
    <row r="266" spans="1:8" x14ac:dyDescent="0.35">
      <c r="B266" t="s">
        <v>105</v>
      </c>
      <c r="D266" t="s">
        <v>422</v>
      </c>
      <c r="E266" s="80">
        <f>VLOOKUP(D266,KamiBox!$C$2:$F$54,4,0)</f>
        <v>4000</v>
      </c>
      <c r="F266">
        <v>0.5</v>
      </c>
      <c r="G266" s="80">
        <f t="shared" si="4"/>
        <v>2000</v>
      </c>
      <c r="H266" s="80" t="e">
        <f>VLOOKUP(D266,'Bu Erta'!$C$2:$F$66,4,0)*F266</f>
        <v>#N/A</v>
      </c>
    </row>
    <row r="267" spans="1:8" x14ac:dyDescent="0.35">
      <c r="B267" t="s">
        <v>105</v>
      </c>
      <c r="D267" t="s">
        <v>31</v>
      </c>
      <c r="E267" s="80">
        <f>VLOOKUP(D267,KamiBox!$C$2:$F$54,4,0)</f>
        <v>1000</v>
      </c>
      <c r="F267">
        <v>0.35</v>
      </c>
      <c r="G267" s="80">
        <f t="shared" si="4"/>
        <v>350</v>
      </c>
      <c r="H267" s="80">
        <f>VLOOKUP(D267,'Bu Erta'!$C$2:$F$66,4,0)*F267</f>
        <v>385</v>
      </c>
    </row>
    <row r="268" spans="1:8" x14ac:dyDescent="0.35">
      <c r="B268" t="s">
        <v>105</v>
      </c>
      <c r="D268" t="s">
        <v>393</v>
      </c>
      <c r="E268" s="80">
        <f>VLOOKUP(D268,KamiBox!$C$2:$F$54,4,0)</f>
        <v>500</v>
      </c>
      <c r="F268">
        <v>0.35</v>
      </c>
      <c r="G268" s="80">
        <f t="shared" si="4"/>
        <v>175</v>
      </c>
      <c r="H268" s="80" t="e">
        <f>VLOOKUP(D268,'Bu Erta'!$C$2:$F$66,4,0)*F268</f>
        <v>#N/A</v>
      </c>
    </row>
    <row r="269" spans="1:8" x14ac:dyDescent="0.35">
      <c r="B269" t="s">
        <v>105</v>
      </c>
      <c r="D269" t="s">
        <v>398</v>
      </c>
      <c r="E269" s="80">
        <f>VLOOKUP(D269,KamiBox!$C$2:$F$54,4,0)</f>
        <v>400</v>
      </c>
      <c r="F269">
        <v>0.3</v>
      </c>
      <c r="G269" s="80">
        <f t="shared" si="4"/>
        <v>120</v>
      </c>
      <c r="H269" s="80" t="e">
        <f>VLOOKUP(D269,'Bu Erta'!$C$2:$F$66,4,0)*F269</f>
        <v>#N/A</v>
      </c>
    </row>
    <row r="270" spans="1:8" x14ac:dyDescent="0.35">
      <c r="B270" t="s">
        <v>105</v>
      </c>
      <c r="D270" t="s">
        <v>69</v>
      </c>
      <c r="E270" s="80">
        <f>VLOOKUP(D270,KamiBox!$C$2:$F$54,4,0)</f>
        <v>3000</v>
      </c>
      <c r="F270">
        <v>0.15</v>
      </c>
      <c r="G270" s="80">
        <f t="shared" si="4"/>
        <v>450</v>
      </c>
      <c r="H270" s="80">
        <f>VLOOKUP(D270,'Bu Erta'!$C$2:$F$66,4,0)*F270</f>
        <v>450</v>
      </c>
    </row>
    <row r="271" spans="1:8" x14ac:dyDescent="0.35">
      <c r="B271" t="s">
        <v>105</v>
      </c>
      <c r="D271" t="s">
        <v>7</v>
      </c>
      <c r="E271" s="80">
        <f>VLOOKUP(D271,KamiBox!$C$2:$F$54,4,0)</f>
        <v>1200</v>
      </c>
      <c r="F271">
        <v>1</v>
      </c>
      <c r="G271" s="80">
        <f t="shared" si="4"/>
        <v>1200</v>
      </c>
      <c r="H271" s="80">
        <f>VLOOKUP(D271,'Bu Erta'!$C$2:$F$66,4,0)*F271</f>
        <v>1600</v>
      </c>
    </row>
    <row r="272" spans="1:8" x14ac:dyDescent="0.35">
      <c r="A272" s="1">
        <v>34</v>
      </c>
      <c r="B272" t="s">
        <v>108</v>
      </c>
      <c r="C272" s="5">
        <v>2</v>
      </c>
      <c r="D272" t="s">
        <v>384</v>
      </c>
      <c r="E272" s="80">
        <f>VLOOKUP(D272,KamiBox!$C$2:$F$54,4,0)</f>
        <v>2000</v>
      </c>
      <c r="F272">
        <v>1.4</v>
      </c>
      <c r="G272" s="80">
        <f t="shared" si="4"/>
        <v>2800</v>
      </c>
      <c r="H272" s="80" t="e">
        <f>VLOOKUP(D272,'Bu Erta'!$C$2:$F$66,4,0)*F272</f>
        <v>#N/A</v>
      </c>
    </row>
    <row r="273" spans="1:8" x14ac:dyDescent="0.35">
      <c r="B273" t="s">
        <v>108</v>
      </c>
      <c r="D273" t="s">
        <v>7</v>
      </c>
      <c r="E273" s="80">
        <f>VLOOKUP(D273,KamiBox!$C$2:$F$54,4,0)</f>
        <v>1200</v>
      </c>
      <c r="F273">
        <v>0.15</v>
      </c>
      <c r="G273" s="80">
        <f t="shared" ref="G273:G336" si="5">E273*F273</f>
        <v>180</v>
      </c>
      <c r="H273" s="80">
        <f>VLOOKUP(D273,'Bu Erta'!$C$2:$F$66,4,0)*F273</f>
        <v>240</v>
      </c>
    </row>
    <row r="274" spans="1:8" x14ac:dyDescent="0.35">
      <c r="B274" t="s">
        <v>108</v>
      </c>
      <c r="D274" t="s">
        <v>422</v>
      </c>
      <c r="E274" s="80">
        <f>VLOOKUP(D274,KamiBox!$C$2:$F$54,4,0)</f>
        <v>4000</v>
      </c>
      <c r="F274">
        <f>0.85+0.4+0.4</f>
        <v>1.65</v>
      </c>
      <c r="G274" s="80">
        <f t="shared" si="5"/>
        <v>6600</v>
      </c>
      <c r="H274" s="80" t="e">
        <f>VLOOKUP(D274,'Bu Erta'!$C$2:$F$66,4,0)*F274</f>
        <v>#N/A</v>
      </c>
    </row>
    <row r="275" spans="1:8" x14ac:dyDescent="0.35">
      <c r="B275" t="s">
        <v>108</v>
      </c>
      <c r="D275" t="s">
        <v>69</v>
      </c>
      <c r="E275" s="80">
        <f>VLOOKUP(D275,KamiBox!$C$2:$F$54,4,0)</f>
        <v>3000</v>
      </c>
      <c r="F275">
        <v>0.4</v>
      </c>
      <c r="G275" s="80">
        <f t="shared" si="5"/>
        <v>1200</v>
      </c>
      <c r="H275" s="80">
        <f>VLOOKUP(D275,'Bu Erta'!$C$2:$F$66,4,0)*F275</f>
        <v>1200</v>
      </c>
    </row>
    <row r="276" spans="1:8" x14ac:dyDescent="0.35">
      <c r="B276" t="s">
        <v>108</v>
      </c>
      <c r="D276" t="s">
        <v>393</v>
      </c>
      <c r="E276" s="80">
        <f>VLOOKUP(D276,KamiBox!$C$2:$F$54,4,0)</f>
        <v>500</v>
      </c>
      <c r="F276">
        <v>1.05</v>
      </c>
      <c r="G276" s="80">
        <f t="shared" si="5"/>
        <v>525</v>
      </c>
      <c r="H276" s="80" t="e">
        <f>VLOOKUP(D276,'Bu Erta'!$C$2:$F$66,4,0)*F276</f>
        <v>#N/A</v>
      </c>
    </row>
    <row r="277" spans="1:8" x14ac:dyDescent="0.35">
      <c r="B277" t="s">
        <v>108</v>
      </c>
      <c r="D277" t="s">
        <v>398</v>
      </c>
      <c r="E277" s="80">
        <f>VLOOKUP(D277,KamiBox!$C$2:$F$54,4,0)</f>
        <v>400</v>
      </c>
      <c r="F277">
        <f>0.4+0.8+0.45</f>
        <v>1.6500000000000001</v>
      </c>
      <c r="G277" s="80">
        <f t="shared" si="5"/>
        <v>660</v>
      </c>
      <c r="H277" s="80" t="e">
        <f>VLOOKUP(D277,'Bu Erta'!$C$2:$F$66,4,0)*F277</f>
        <v>#N/A</v>
      </c>
    </row>
    <row r="278" spans="1:8" x14ac:dyDescent="0.35">
      <c r="B278" t="s">
        <v>108</v>
      </c>
      <c r="D278" t="s">
        <v>388</v>
      </c>
      <c r="E278" s="80">
        <f>VLOOKUP(D278,KamiBox!$C$2:$F$54,4,0)</f>
        <v>1000</v>
      </c>
      <c r="F278">
        <v>0.15</v>
      </c>
      <c r="G278" s="80">
        <f t="shared" si="5"/>
        <v>150</v>
      </c>
      <c r="H278" s="80" t="e">
        <f>VLOOKUP(D278,'Bu Erta'!$C$2:$F$66,4,0)*F278</f>
        <v>#N/A</v>
      </c>
    </row>
    <row r="279" spans="1:8" x14ac:dyDescent="0.35">
      <c r="B279" t="s">
        <v>108</v>
      </c>
      <c r="D279" t="s">
        <v>31</v>
      </c>
      <c r="E279" s="80">
        <f>VLOOKUP(D279,KamiBox!$C$2:$F$54,4,0)</f>
        <v>1000</v>
      </c>
      <c r="F279">
        <f>0.6+0.95+0.6</f>
        <v>2.15</v>
      </c>
      <c r="G279" s="80">
        <f t="shared" si="5"/>
        <v>2150</v>
      </c>
      <c r="H279" s="80">
        <f>VLOOKUP(D279,'Bu Erta'!$C$2:$F$66,4,0)*F279</f>
        <v>2365</v>
      </c>
    </row>
    <row r="280" spans="1:8" x14ac:dyDescent="0.35">
      <c r="B280" t="s">
        <v>108</v>
      </c>
      <c r="D280" t="s">
        <v>396</v>
      </c>
      <c r="E280" s="80">
        <f>VLOOKUP(D280,KamiBox!$C$2:$F$54,4,0)</f>
        <v>1700</v>
      </c>
      <c r="F280">
        <v>0.15</v>
      </c>
      <c r="G280" s="80">
        <f t="shared" si="5"/>
        <v>255</v>
      </c>
      <c r="H280" s="80" t="e">
        <f>VLOOKUP(D280,'Bu Erta'!$C$2:$F$66,4,0)*F280</f>
        <v>#N/A</v>
      </c>
    </row>
    <row r="281" spans="1:8" x14ac:dyDescent="0.35">
      <c r="B281" t="s">
        <v>108</v>
      </c>
      <c r="D281" t="s">
        <v>414</v>
      </c>
      <c r="E281" s="80">
        <f>VLOOKUP(D281,KamiBox!$C$2:$F$54,4,0)</f>
        <v>200</v>
      </c>
      <c r="F281">
        <v>1.3</v>
      </c>
      <c r="G281" s="80">
        <f t="shared" si="5"/>
        <v>260</v>
      </c>
      <c r="H281" s="80" t="e">
        <f>VLOOKUP(D281,'Bu Erta'!$C$2:$F$66,4,0)*F281</f>
        <v>#N/A</v>
      </c>
    </row>
    <row r="282" spans="1:8" x14ac:dyDescent="0.35">
      <c r="B282" t="s">
        <v>108</v>
      </c>
      <c r="D282" t="s">
        <v>387</v>
      </c>
      <c r="E282" s="80">
        <f>VLOOKUP(D282,KamiBox!$C$2:$F$54,4,0)</f>
        <v>4000</v>
      </c>
      <c r="F282">
        <v>0.15</v>
      </c>
      <c r="G282" s="80">
        <f t="shared" si="5"/>
        <v>600</v>
      </c>
      <c r="H282" s="80" t="e">
        <f>VLOOKUP(D282,'Bu Erta'!$C$2:$F$66,4,0)*F282</f>
        <v>#N/A</v>
      </c>
    </row>
    <row r="283" spans="1:8" x14ac:dyDescent="0.35">
      <c r="B283" t="s">
        <v>108</v>
      </c>
      <c r="D283" t="s">
        <v>402</v>
      </c>
      <c r="E283" s="80">
        <f>VLOOKUP(D283,KamiBox!$C$2:$F$54,4,0)</f>
        <v>10000</v>
      </c>
      <c r="F283">
        <v>0.05</v>
      </c>
      <c r="G283" s="80">
        <f t="shared" si="5"/>
        <v>500</v>
      </c>
      <c r="H283" s="80" t="e">
        <f>VLOOKUP(D283,'Bu Erta'!$C$2:$F$66,4,0)*F283</f>
        <v>#N/A</v>
      </c>
    </row>
    <row r="284" spans="1:8" x14ac:dyDescent="0.35">
      <c r="B284" t="s">
        <v>108</v>
      </c>
      <c r="D284" t="s">
        <v>420</v>
      </c>
      <c r="E284" s="80">
        <f>VLOOKUP(D284,KamiBox!$C$2:$F$54,4,0)</f>
        <v>3500</v>
      </c>
      <c r="F284">
        <v>0.2</v>
      </c>
      <c r="G284" s="80">
        <f t="shared" si="5"/>
        <v>700</v>
      </c>
      <c r="H284" s="80" t="e">
        <f>VLOOKUP(D284,'Bu Erta'!$C$2:$F$66,4,0)*F284</f>
        <v>#N/A</v>
      </c>
    </row>
    <row r="285" spans="1:8" x14ac:dyDescent="0.35">
      <c r="A285" s="1">
        <v>35</v>
      </c>
      <c r="B285" t="s">
        <v>259</v>
      </c>
      <c r="C285" s="5">
        <v>3</v>
      </c>
      <c r="D285" t="s">
        <v>422</v>
      </c>
      <c r="E285" s="80">
        <f>VLOOKUP(D285,KamiBox!$C$2:$F$54,4,0)</f>
        <v>4000</v>
      </c>
      <c r="F285">
        <f>0.65+0.45</f>
        <v>1.1000000000000001</v>
      </c>
      <c r="G285" s="80">
        <f t="shared" si="5"/>
        <v>4400</v>
      </c>
      <c r="H285" s="80" t="e">
        <f>VLOOKUP(D285,'Bu Erta'!$C$2:$F$66,4,0)*F285</f>
        <v>#N/A</v>
      </c>
    </row>
    <row r="286" spans="1:8" x14ac:dyDescent="0.35">
      <c r="B286" t="s">
        <v>259</v>
      </c>
      <c r="D286" t="s">
        <v>388</v>
      </c>
      <c r="E286" s="80">
        <f>VLOOKUP(D286,KamiBox!$C$2:$F$54,4,0)</f>
        <v>1000</v>
      </c>
      <c r="F286">
        <f>0.55+0.45</f>
        <v>1</v>
      </c>
      <c r="G286" s="80">
        <f t="shared" si="5"/>
        <v>1000</v>
      </c>
      <c r="H286" s="80" t="e">
        <f>VLOOKUP(D286,'Bu Erta'!$C$2:$F$66,4,0)*F286</f>
        <v>#N/A</v>
      </c>
    </row>
    <row r="287" spans="1:8" x14ac:dyDescent="0.35">
      <c r="B287" t="s">
        <v>259</v>
      </c>
      <c r="D287" t="s">
        <v>41</v>
      </c>
      <c r="E287" s="80">
        <f>VLOOKUP(D287,KamiBox!$C$2:$F$54,4,0)</f>
        <v>2000</v>
      </c>
      <c r="F287">
        <f>0.5+1.1</f>
        <v>1.6</v>
      </c>
      <c r="G287" s="80">
        <f t="shared" si="5"/>
        <v>3200</v>
      </c>
      <c r="H287" s="80">
        <f>VLOOKUP(D287,'Bu Erta'!$C$2:$F$66,4,0)*F287</f>
        <v>3200</v>
      </c>
    </row>
    <row r="288" spans="1:8" x14ac:dyDescent="0.35">
      <c r="B288" t="s">
        <v>259</v>
      </c>
      <c r="D288" t="s">
        <v>396</v>
      </c>
      <c r="E288" s="80">
        <f>VLOOKUP(D288,KamiBox!$C$2:$F$54,4,0)</f>
        <v>1700</v>
      </c>
      <c r="F288">
        <v>1.1000000000000001</v>
      </c>
      <c r="G288" s="80">
        <f t="shared" si="5"/>
        <v>1870.0000000000002</v>
      </c>
      <c r="H288" s="80" t="e">
        <f>VLOOKUP(D288,'Bu Erta'!$C$2:$F$66,4,0)*F288</f>
        <v>#N/A</v>
      </c>
    </row>
    <row r="289" spans="1:8" x14ac:dyDescent="0.35">
      <c r="B289" t="s">
        <v>259</v>
      </c>
      <c r="D289" t="s">
        <v>398</v>
      </c>
      <c r="E289" s="80">
        <f>VLOOKUP(D289,KamiBox!$C$2:$F$54,4,0)</f>
        <v>400</v>
      </c>
      <c r="F289">
        <v>0.35</v>
      </c>
      <c r="G289" s="80">
        <f t="shared" si="5"/>
        <v>140</v>
      </c>
      <c r="H289" s="80" t="e">
        <f>VLOOKUP(D289,'Bu Erta'!$C$2:$F$66,4,0)*F289</f>
        <v>#N/A</v>
      </c>
    </row>
    <row r="290" spans="1:8" x14ac:dyDescent="0.35">
      <c r="B290" t="s">
        <v>259</v>
      </c>
      <c r="D290" t="s">
        <v>393</v>
      </c>
      <c r="E290" s="80">
        <f>VLOOKUP(D290,KamiBox!$C$2:$F$54,4,0)</f>
        <v>500</v>
      </c>
      <c r="F290">
        <v>0.5</v>
      </c>
      <c r="G290" s="80">
        <f t="shared" si="5"/>
        <v>250</v>
      </c>
      <c r="H290" s="80" t="e">
        <f>VLOOKUP(D290,'Bu Erta'!$C$2:$F$66,4,0)*F290</f>
        <v>#N/A</v>
      </c>
    </row>
    <row r="291" spans="1:8" x14ac:dyDescent="0.35">
      <c r="B291" t="s">
        <v>259</v>
      </c>
      <c r="D291" t="s">
        <v>69</v>
      </c>
      <c r="E291" s="80">
        <f>VLOOKUP(D291,KamiBox!$C$2:$F$54,4,0)</f>
        <v>3000</v>
      </c>
      <c r="F291">
        <v>0.2</v>
      </c>
      <c r="G291" s="80">
        <f t="shared" si="5"/>
        <v>600</v>
      </c>
      <c r="H291" s="80">
        <f>VLOOKUP(D291,'Bu Erta'!$C$2:$F$66,4,0)*F291</f>
        <v>600</v>
      </c>
    </row>
    <row r="292" spans="1:8" x14ac:dyDescent="0.35">
      <c r="B292" t="s">
        <v>259</v>
      </c>
      <c r="D292" t="s">
        <v>414</v>
      </c>
      <c r="E292" s="80">
        <f>VLOOKUP(D292,KamiBox!$C$2:$F$54,4,0)</f>
        <v>200</v>
      </c>
      <c r="F292">
        <v>0.4</v>
      </c>
      <c r="G292" s="80">
        <f t="shared" si="5"/>
        <v>80</v>
      </c>
      <c r="H292" s="80" t="e">
        <f>VLOOKUP(D292,'Bu Erta'!$C$2:$F$66,4,0)*F292</f>
        <v>#N/A</v>
      </c>
    </row>
    <row r="293" spans="1:8" x14ac:dyDescent="0.35">
      <c r="B293" t="s">
        <v>259</v>
      </c>
      <c r="D293" t="s">
        <v>31</v>
      </c>
      <c r="E293" s="80">
        <f>VLOOKUP(D293,KamiBox!$C$2:$F$54,4,0)</f>
        <v>1000</v>
      </c>
      <c r="F293">
        <v>0.25</v>
      </c>
      <c r="G293" s="80">
        <f t="shared" si="5"/>
        <v>250</v>
      </c>
      <c r="H293" s="80">
        <f>VLOOKUP(D293,'Bu Erta'!$C$2:$F$66,4,0)*F293</f>
        <v>275</v>
      </c>
    </row>
    <row r="294" spans="1:8" x14ac:dyDescent="0.35">
      <c r="A294" s="1">
        <v>36</v>
      </c>
      <c r="B294" t="s">
        <v>100</v>
      </c>
      <c r="C294" s="5">
        <v>4</v>
      </c>
      <c r="D294" t="s">
        <v>396</v>
      </c>
      <c r="E294" s="80">
        <f>VLOOKUP(D294,KamiBox!$C$2:$F$54,4,0)</f>
        <v>1700</v>
      </c>
      <c r="F294">
        <v>5.8</v>
      </c>
      <c r="G294" s="80">
        <f t="shared" si="5"/>
        <v>9860</v>
      </c>
      <c r="H294" s="80" t="e">
        <f>VLOOKUP(D294,'Bu Erta'!$C$2:$F$66,4,0)*F294</f>
        <v>#N/A</v>
      </c>
    </row>
    <row r="295" spans="1:8" x14ac:dyDescent="0.35">
      <c r="B295" t="s">
        <v>100</v>
      </c>
      <c r="D295" t="s">
        <v>398</v>
      </c>
      <c r="E295" s="80">
        <f>VLOOKUP(D295,KamiBox!$C$2:$F$54,4,0)</f>
        <v>400</v>
      </c>
      <c r="F295">
        <v>1.3</v>
      </c>
      <c r="G295" s="80">
        <f t="shared" si="5"/>
        <v>520</v>
      </c>
      <c r="H295" s="80" t="e">
        <f>VLOOKUP(D295,'Bu Erta'!$C$2:$F$66,4,0)*F295</f>
        <v>#N/A</v>
      </c>
    </row>
    <row r="296" spans="1:8" x14ac:dyDescent="0.35">
      <c r="B296" t="s">
        <v>100</v>
      </c>
      <c r="D296" t="s">
        <v>393</v>
      </c>
      <c r="E296" s="80">
        <f>VLOOKUP(D296,KamiBox!$C$2:$F$54,4,0)</f>
        <v>500</v>
      </c>
      <c r="F296">
        <v>0.45</v>
      </c>
      <c r="G296" s="80">
        <f t="shared" si="5"/>
        <v>225</v>
      </c>
      <c r="H296" s="80" t="e">
        <f>VLOOKUP(D296,'Bu Erta'!$C$2:$F$66,4,0)*F296</f>
        <v>#N/A</v>
      </c>
    </row>
    <row r="297" spans="1:8" x14ac:dyDescent="0.35">
      <c r="B297" t="s">
        <v>100</v>
      </c>
      <c r="D297" t="s">
        <v>69</v>
      </c>
      <c r="E297" s="80">
        <f>VLOOKUP(D297,KamiBox!$C$2:$F$54,4,0)</f>
        <v>3000</v>
      </c>
      <c r="F297">
        <v>0.35</v>
      </c>
      <c r="G297" s="80">
        <f t="shared" si="5"/>
        <v>1050</v>
      </c>
      <c r="H297" s="80">
        <f>VLOOKUP(D297,'Bu Erta'!$C$2:$F$66,4,0)*F297</f>
        <v>1050</v>
      </c>
    </row>
    <row r="298" spans="1:8" x14ac:dyDescent="0.35">
      <c r="B298" t="s">
        <v>100</v>
      </c>
      <c r="D298" t="s">
        <v>388</v>
      </c>
      <c r="E298" s="80">
        <f>VLOOKUP(D298,KamiBox!$C$2:$F$54,4,0)</f>
        <v>1000</v>
      </c>
      <c r="F298">
        <v>0.25</v>
      </c>
      <c r="G298" s="80">
        <f t="shared" si="5"/>
        <v>250</v>
      </c>
      <c r="H298" s="80" t="e">
        <f>VLOOKUP(D298,'Bu Erta'!$C$2:$F$66,4,0)*F298</f>
        <v>#N/A</v>
      </c>
    </row>
    <row r="299" spans="1:8" x14ac:dyDescent="0.35">
      <c r="B299" t="s">
        <v>100</v>
      </c>
      <c r="D299" t="s">
        <v>414</v>
      </c>
      <c r="E299" s="80">
        <f>VLOOKUP(D299,KamiBox!$C$2:$F$54,4,0)</f>
        <v>200</v>
      </c>
      <c r="F299">
        <v>0.95</v>
      </c>
      <c r="G299" s="80">
        <f t="shared" si="5"/>
        <v>190</v>
      </c>
      <c r="H299" s="80" t="e">
        <f>VLOOKUP(D299,'Bu Erta'!$C$2:$F$66,4,0)*F299</f>
        <v>#N/A</v>
      </c>
    </row>
    <row r="300" spans="1:8" x14ac:dyDescent="0.35">
      <c r="B300" t="s">
        <v>100</v>
      </c>
      <c r="D300" t="s">
        <v>41</v>
      </c>
      <c r="E300" s="80">
        <f>VLOOKUP(D300,KamiBox!$C$2:$F$54,4,0)</f>
        <v>2000</v>
      </c>
      <c r="F300">
        <v>0.65</v>
      </c>
      <c r="G300" s="80">
        <f t="shared" si="5"/>
        <v>1300</v>
      </c>
      <c r="H300" s="80">
        <f>VLOOKUP(D300,'Bu Erta'!$C$2:$F$66,4,0)*F300</f>
        <v>1300</v>
      </c>
    </row>
    <row r="301" spans="1:8" x14ac:dyDescent="0.35">
      <c r="B301" t="s">
        <v>100</v>
      </c>
      <c r="D301" t="s">
        <v>6</v>
      </c>
      <c r="E301" s="80" t="e">
        <f>VLOOKUP(D301,KamiBox!$C$2:$F$54,4,0)</f>
        <v>#N/A</v>
      </c>
      <c r="F301">
        <v>0.2</v>
      </c>
      <c r="G301" s="80" t="e">
        <f t="shared" si="5"/>
        <v>#N/A</v>
      </c>
      <c r="H301" s="80">
        <f>VLOOKUP(D301,'Bu Erta'!$C$2:$F$66,4,0)*F301</f>
        <v>500</v>
      </c>
    </row>
    <row r="302" spans="1:8" x14ac:dyDescent="0.35">
      <c r="B302" t="s">
        <v>100</v>
      </c>
      <c r="D302" t="s">
        <v>31</v>
      </c>
      <c r="E302" s="80">
        <f>VLOOKUP(D302,KamiBox!$C$2:$F$54,4,0)</f>
        <v>1000</v>
      </c>
      <c r="F302">
        <f>2.35+1.1</f>
        <v>3.45</v>
      </c>
      <c r="G302" s="80">
        <f t="shared" si="5"/>
        <v>3450</v>
      </c>
      <c r="H302" s="80">
        <f>VLOOKUP(D302,'Bu Erta'!$C$2:$F$66,4,0)*F302</f>
        <v>3795</v>
      </c>
    </row>
    <row r="303" spans="1:8" x14ac:dyDescent="0.35">
      <c r="A303" s="1">
        <v>37</v>
      </c>
      <c r="B303" t="s">
        <v>89</v>
      </c>
      <c r="C303" s="5">
        <v>4</v>
      </c>
      <c r="D303" t="s">
        <v>414</v>
      </c>
      <c r="E303" s="80">
        <f>VLOOKUP(D303,KamiBox!$C$2:$F$54,4,0)</f>
        <v>200</v>
      </c>
      <c r="F303">
        <v>2</v>
      </c>
      <c r="G303" s="80">
        <f t="shared" si="5"/>
        <v>400</v>
      </c>
      <c r="H303" s="80" t="e">
        <f>VLOOKUP(D303,'Bu Erta'!$C$2:$F$66,4,0)*F303</f>
        <v>#N/A</v>
      </c>
    </row>
    <row r="304" spans="1:8" x14ac:dyDescent="0.35">
      <c r="B304" t="s">
        <v>89</v>
      </c>
      <c r="D304" t="s">
        <v>388</v>
      </c>
      <c r="E304" s="80">
        <f>VLOOKUP(D304,KamiBox!$C$2:$F$54,4,0)</f>
        <v>1000</v>
      </c>
      <c r="F304">
        <v>0.35</v>
      </c>
      <c r="G304" s="80">
        <f t="shared" si="5"/>
        <v>350</v>
      </c>
      <c r="H304" s="80" t="e">
        <f>VLOOKUP(D304,'Bu Erta'!$C$2:$F$66,4,0)*F304</f>
        <v>#N/A</v>
      </c>
    </row>
    <row r="305" spans="1:8" x14ac:dyDescent="0.35">
      <c r="B305" t="s">
        <v>89</v>
      </c>
      <c r="D305" t="s">
        <v>7</v>
      </c>
      <c r="E305" s="80">
        <f>VLOOKUP(D305,KamiBox!$C$2:$F$54,4,0)</f>
        <v>1200</v>
      </c>
      <c r="F305">
        <v>0.6</v>
      </c>
      <c r="G305" s="80">
        <f t="shared" si="5"/>
        <v>720</v>
      </c>
      <c r="H305" s="80">
        <f>VLOOKUP(D305,'Bu Erta'!$C$2:$F$66,4,0)*F305</f>
        <v>960</v>
      </c>
    </row>
    <row r="306" spans="1:8" x14ac:dyDescent="0.35">
      <c r="B306" t="s">
        <v>89</v>
      </c>
      <c r="D306" t="s">
        <v>31</v>
      </c>
      <c r="E306" s="80">
        <f>VLOOKUP(D306,KamiBox!$C$2:$F$54,4,0)</f>
        <v>1000</v>
      </c>
      <c r="F306">
        <v>0.5</v>
      </c>
      <c r="G306" s="80">
        <f t="shared" si="5"/>
        <v>500</v>
      </c>
      <c r="H306" s="80">
        <f>VLOOKUP(D306,'Bu Erta'!$C$2:$F$66,4,0)*F306</f>
        <v>550</v>
      </c>
    </row>
    <row r="307" spans="1:8" x14ac:dyDescent="0.35">
      <c r="B307" t="s">
        <v>89</v>
      </c>
      <c r="D307" t="s">
        <v>37</v>
      </c>
      <c r="E307" s="80" t="e">
        <f>VLOOKUP(D307,KamiBox!$C$2:$F$54,4,0)</f>
        <v>#N/A</v>
      </c>
      <c r="F307">
        <v>0.4</v>
      </c>
      <c r="G307" s="80" t="e">
        <f t="shared" si="5"/>
        <v>#N/A</v>
      </c>
      <c r="H307" s="80">
        <f>VLOOKUP(D307,'Bu Erta'!$C$2:$F$66,4,0)*F307</f>
        <v>800</v>
      </c>
    </row>
    <row r="308" spans="1:8" x14ac:dyDescent="0.35">
      <c r="B308" t="s">
        <v>89</v>
      </c>
      <c r="D308" t="s">
        <v>398</v>
      </c>
      <c r="E308" s="80">
        <f>VLOOKUP(D308,KamiBox!$C$2:$F$54,4,0)</f>
        <v>400</v>
      </c>
      <c r="F308">
        <v>1.2</v>
      </c>
      <c r="G308" s="80">
        <f t="shared" si="5"/>
        <v>480</v>
      </c>
      <c r="H308" s="80" t="e">
        <f>VLOOKUP(D308,'Bu Erta'!$C$2:$F$66,4,0)*F308</f>
        <v>#N/A</v>
      </c>
    </row>
    <row r="309" spans="1:8" x14ac:dyDescent="0.35">
      <c r="B309" t="s">
        <v>89</v>
      </c>
      <c r="D309" t="s">
        <v>422</v>
      </c>
      <c r="E309" s="80">
        <f>VLOOKUP(D309,KamiBox!$C$2:$F$54,4,0)</f>
        <v>4000</v>
      </c>
      <c r="F309">
        <v>1.55</v>
      </c>
      <c r="G309" s="80">
        <f t="shared" si="5"/>
        <v>6200</v>
      </c>
      <c r="H309" s="80" t="e">
        <f>VLOOKUP(D309,'Bu Erta'!$C$2:$F$66,4,0)*F309</f>
        <v>#N/A</v>
      </c>
    </row>
    <row r="310" spans="1:8" x14ac:dyDescent="0.35">
      <c r="B310" t="s">
        <v>89</v>
      </c>
      <c r="D310" t="s">
        <v>396</v>
      </c>
      <c r="E310" s="80">
        <f>VLOOKUP(D310,KamiBox!$C$2:$F$54,4,0)</f>
        <v>1700</v>
      </c>
      <c r="F310">
        <v>1.45</v>
      </c>
      <c r="G310" s="80">
        <f t="shared" si="5"/>
        <v>2465</v>
      </c>
      <c r="H310" s="80" t="e">
        <f>VLOOKUP(D310,'Bu Erta'!$C$2:$F$66,4,0)*F310</f>
        <v>#N/A</v>
      </c>
    </row>
    <row r="311" spans="1:8" x14ac:dyDescent="0.35">
      <c r="A311" s="1">
        <v>38</v>
      </c>
      <c r="B311" t="s">
        <v>294</v>
      </c>
      <c r="C311" s="5">
        <v>7</v>
      </c>
      <c r="D311" t="s">
        <v>407</v>
      </c>
      <c r="E311" s="80">
        <f>VLOOKUP(D311,KamiBox!$C$2:$F$54,4,0)</f>
        <v>7000</v>
      </c>
      <c r="F311">
        <v>6.55</v>
      </c>
      <c r="G311" s="80">
        <f t="shared" si="5"/>
        <v>45850</v>
      </c>
      <c r="H311" s="80" t="e">
        <f>VLOOKUP(D311,'Bu Erta'!$C$2:$F$66,4,0)*F311</f>
        <v>#N/A</v>
      </c>
    </row>
    <row r="312" spans="1:8" x14ac:dyDescent="0.35">
      <c r="B312" t="s">
        <v>294</v>
      </c>
      <c r="D312" t="s">
        <v>31</v>
      </c>
      <c r="E312" s="80">
        <f>VLOOKUP(D312,KamiBox!$C$2:$F$54,4,0)</f>
        <v>1000</v>
      </c>
      <c r="F312">
        <f>3.4+8.9</f>
        <v>12.3</v>
      </c>
      <c r="G312" s="80">
        <f t="shared" si="5"/>
        <v>12300</v>
      </c>
      <c r="H312" s="80">
        <f>VLOOKUP(D312,'Bu Erta'!$C$2:$F$66,4,0)*F312</f>
        <v>13530</v>
      </c>
    </row>
    <row r="313" spans="1:8" x14ac:dyDescent="0.35">
      <c r="A313" s="1">
        <v>39</v>
      </c>
      <c r="B313" t="s">
        <v>135</v>
      </c>
      <c r="C313" s="5">
        <v>4</v>
      </c>
      <c r="D313" t="s">
        <v>422</v>
      </c>
      <c r="E313" s="80">
        <f>VLOOKUP(D313,KamiBox!$C$2:$F$54,4,0)</f>
        <v>4000</v>
      </c>
      <c r="F313">
        <f>2.1+0.95</f>
        <v>3.05</v>
      </c>
      <c r="G313" s="80">
        <f t="shared" si="5"/>
        <v>12200</v>
      </c>
      <c r="H313" s="80" t="e">
        <f>VLOOKUP(D313,'Bu Erta'!$C$2:$F$66,4,0)*F313</f>
        <v>#N/A</v>
      </c>
    </row>
    <row r="314" spans="1:8" x14ac:dyDescent="0.35">
      <c r="B314" t="s">
        <v>135</v>
      </c>
      <c r="D314" t="s">
        <v>388</v>
      </c>
      <c r="E314" s="80">
        <f>VLOOKUP(D314,KamiBox!$C$2:$F$54,4,0)</f>
        <v>1000</v>
      </c>
      <c r="F314">
        <v>0.3</v>
      </c>
      <c r="G314" s="80">
        <f t="shared" si="5"/>
        <v>300</v>
      </c>
      <c r="H314" s="80" t="e">
        <f>VLOOKUP(D314,'Bu Erta'!$C$2:$F$66,4,0)*F314</f>
        <v>#N/A</v>
      </c>
    </row>
    <row r="315" spans="1:8" x14ac:dyDescent="0.35">
      <c r="B315" t="s">
        <v>135</v>
      </c>
      <c r="D315" t="s">
        <v>414</v>
      </c>
      <c r="E315" s="80">
        <f>VLOOKUP(D315,KamiBox!$C$2:$F$54,4,0)</f>
        <v>200</v>
      </c>
      <c r="F315">
        <f>0.65+0.85</f>
        <v>1.5</v>
      </c>
      <c r="G315" s="80">
        <f t="shared" si="5"/>
        <v>300</v>
      </c>
      <c r="H315" s="80" t="e">
        <f>VLOOKUP(D315,'Bu Erta'!$C$2:$F$66,4,0)*F315</f>
        <v>#N/A</v>
      </c>
    </row>
    <row r="316" spans="1:8" x14ac:dyDescent="0.35">
      <c r="B316" t="s">
        <v>135</v>
      </c>
      <c r="D316" t="s">
        <v>41</v>
      </c>
      <c r="E316" s="80">
        <f>VLOOKUP(D316,KamiBox!$C$2:$F$54,4,0)</f>
        <v>2000</v>
      </c>
      <c r="F316">
        <v>0.3</v>
      </c>
      <c r="G316" s="80">
        <f t="shared" si="5"/>
        <v>600</v>
      </c>
      <c r="H316" s="80">
        <f>VLOOKUP(D316,'Bu Erta'!$C$2:$F$66,4,0)*F316</f>
        <v>600</v>
      </c>
    </row>
    <row r="317" spans="1:8" x14ac:dyDescent="0.35">
      <c r="B317" t="s">
        <v>135</v>
      </c>
      <c r="D317" t="s">
        <v>393</v>
      </c>
      <c r="E317" s="80">
        <f>VLOOKUP(D317,KamiBox!$C$2:$F$54,4,0)</f>
        <v>500</v>
      </c>
      <c r="F317">
        <f>3.35+2.85+3.4</f>
        <v>9.6</v>
      </c>
      <c r="G317" s="80">
        <f t="shared" si="5"/>
        <v>4800</v>
      </c>
      <c r="H317" s="80" t="e">
        <f>VLOOKUP(D317,'Bu Erta'!$C$2:$F$66,4,0)*F317</f>
        <v>#N/A</v>
      </c>
    </row>
    <row r="318" spans="1:8" x14ac:dyDescent="0.35">
      <c r="B318" t="s">
        <v>135</v>
      </c>
      <c r="D318" t="s">
        <v>69</v>
      </c>
      <c r="E318" s="80">
        <f>VLOOKUP(D318,KamiBox!$C$2:$F$54,4,0)</f>
        <v>3000</v>
      </c>
      <c r="F318">
        <v>0.1</v>
      </c>
      <c r="G318" s="80">
        <f t="shared" si="5"/>
        <v>300</v>
      </c>
      <c r="H318" s="80">
        <f>VLOOKUP(D318,'Bu Erta'!$C$2:$F$66,4,0)*F318</f>
        <v>300</v>
      </c>
    </row>
    <row r="319" spans="1:8" x14ac:dyDescent="0.35">
      <c r="B319" t="s">
        <v>135</v>
      </c>
      <c r="D319" t="s">
        <v>402</v>
      </c>
      <c r="E319" s="80">
        <f>VLOOKUP(D319,KamiBox!$C$2:$F$54,4,0)</f>
        <v>10000</v>
      </c>
      <c r="F319">
        <v>0.1</v>
      </c>
      <c r="G319" s="80">
        <f t="shared" si="5"/>
        <v>1000</v>
      </c>
      <c r="H319" s="80" t="e">
        <f>VLOOKUP(D319,'Bu Erta'!$C$2:$F$66,4,0)*F319</f>
        <v>#N/A</v>
      </c>
    </row>
    <row r="320" spans="1:8" x14ac:dyDescent="0.35">
      <c r="B320" t="s">
        <v>135</v>
      </c>
      <c r="D320" t="s">
        <v>398</v>
      </c>
      <c r="E320" s="80">
        <f>VLOOKUP(D320,KamiBox!$C$2:$F$54,4,0)</f>
        <v>400</v>
      </c>
      <c r="F320">
        <v>0.3</v>
      </c>
      <c r="G320" s="80">
        <f t="shared" si="5"/>
        <v>120</v>
      </c>
      <c r="H320" s="80" t="e">
        <f>VLOOKUP(D320,'Bu Erta'!$C$2:$F$66,4,0)*F320</f>
        <v>#N/A</v>
      </c>
    </row>
    <row r="321" spans="1:8" x14ac:dyDescent="0.35">
      <c r="B321" t="s">
        <v>135</v>
      </c>
      <c r="D321" t="s">
        <v>31</v>
      </c>
      <c r="E321" s="80">
        <f>VLOOKUP(D321,KamiBox!$C$2:$F$54,4,0)</f>
        <v>1000</v>
      </c>
      <c r="F321">
        <f>0.8+0.05</f>
        <v>0.85000000000000009</v>
      </c>
      <c r="G321" s="80">
        <f t="shared" si="5"/>
        <v>850.00000000000011</v>
      </c>
      <c r="H321" s="80">
        <f>VLOOKUP(D321,'Bu Erta'!$C$2:$F$66,4,0)*F321</f>
        <v>935.00000000000011</v>
      </c>
    </row>
    <row r="322" spans="1:8" x14ac:dyDescent="0.35">
      <c r="B322" t="s">
        <v>135</v>
      </c>
      <c r="D322" t="s">
        <v>431</v>
      </c>
      <c r="E322" s="80" t="e">
        <f>VLOOKUP(D322,KamiBox!$C$2:$F$54,4,0)</f>
        <v>#N/A</v>
      </c>
      <c r="F322">
        <v>0.35</v>
      </c>
      <c r="G322" s="80" t="e">
        <f t="shared" si="5"/>
        <v>#N/A</v>
      </c>
      <c r="H322" s="80" t="e">
        <f>VLOOKUP(D322,'Bu Erta'!$C$2:$F$66,4,0)*F322</f>
        <v>#N/A</v>
      </c>
    </row>
    <row r="323" spans="1:8" x14ac:dyDescent="0.35">
      <c r="A323" s="1">
        <v>40</v>
      </c>
      <c r="B323" s="77" t="s">
        <v>437</v>
      </c>
      <c r="C323" s="122">
        <v>5</v>
      </c>
      <c r="D323" t="s">
        <v>396</v>
      </c>
      <c r="E323" s="80">
        <f>VLOOKUP(D323,KamiBox!$C$2:$F$54,4,0)</f>
        <v>1700</v>
      </c>
      <c r="F323">
        <v>12.15</v>
      </c>
      <c r="G323" s="80">
        <f t="shared" si="5"/>
        <v>20655</v>
      </c>
      <c r="H323" s="80" t="e">
        <f>VLOOKUP(D323,'Bu Erta'!$C$2:$F$66,4,0)*F323</f>
        <v>#N/A</v>
      </c>
    </row>
    <row r="324" spans="1:8" x14ac:dyDescent="0.35">
      <c r="B324" s="77" t="s">
        <v>437</v>
      </c>
      <c r="D324" t="s">
        <v>398</v>
      </c>
      <c r="E324" s="80">
        <f>VLOOKUP(D324,KamiBox!$C$2:$F$54,4,0)</f>
        <v>400</v>
      </c>
      <c r="F324">
        <v>0.75</v>
      </c>
      <c r="G324" s="80">
        <f t="shared" si="5"/>
        <v>300</v>
      </c>
      <c r="H324" s="80" t="e">
        <f>VLOOKUP(D324,'Bu Erta'!$C$2:$F$66,4,0)*F324</f>
        <v>#N/A</v>
      </c>
    </row>
    <row r="325" spans="1:8" x14ac:dyDescent="0.35">
      <c r="B325" s="77" t="s">
        <v>437</v>
      </c>
      <c r="D325" t="s">
        <v>31</v>
      </c>
      <c r="E325" s="80">
        <f>VLOOKUP(D325,KamiBox!$C$2:$F$54,4,0)</f>
        <v>1000</v>
      </c>
      <c r="F325">
        <f>1.3+0.95</f>
        <v>2.25</v>
      </c>
      <c r="G325" s="80">
        <f t="shared" si="5"/>
        <v>2250</v>
      </c>
      <c r="H325" s="80">
        <f>VLOOKUP(D325,'Bu Erta'!$C$2:$F$66,4,0)*F325</f>
        <v>2475</v>
      </c>
    </row>
    <row r="326" spans="1:8" x14ac:dyDescent="0.35">
      <c r="A326" s="1">
        <v>41</v>
      </c>
      <c r="B326" t="s">
        <v>5</v>
      </c>
      <c r="C326" s="5">
        <v>2</v>
      </c>
      <c r="D326" t="s">
        <v>396</v>
      </c>
      <c r="E326" s="80">
        <f>VLOOKUP(D326,KamiBox!$C$2:$F$54,4,0)</f>
        <v>1700</v>
      </c>
      <c r="F326">
        <v>5.35</v>
      </c>
      <c r="G326" s="80">
        <f t="shared" si="5"/>
        <v>9095</v>
      </c>
      <c r="H326" s="80" t="e">
        <f>VLOOKUP(D326,'Bu Erta'!$C$2:$F$66,4,0)*F326</f>
        <v>#N/A</v>
      </c>
    </row>
    <row r="327" spans="1:8" x14ac:dyDescent="0.35">
      <c r="B327" t="s">
        <v>5</v>
      </c>
      <c r="D327" t="s">
        <v>422</v>
      </c>
      <c r="E327" s="80">
        <f>VLOOKUP(D327,KamiBox!$C$2:$F$54,4,0)</f>
        <v>4000</v>
      </c>
      <c r="F327">
        <f>1.7+1.6+3.1</f>
        <v>6.4</v>
      </c>
      <c r="G327" s="80">
        <f t="shared" si="5"/>
        <v>25600</v>
      </c>
      <c r="H327" s="80" t="e">
        <f>VLOOKUP(D327,'Bu Erta'!$C$2:$F$66,4,0)*F327</f>
        <v>#N/A</v>
      </c>
    </row>
    <row r="328" spans="1:8" x14ac:dyDescent="0.35">
      <c r="B328" t="s">
        <v>5</v>
      </c>
      <c r="D328" t="s">
        <v>396</v>
      </c>
      <c r="E328" s="80">
        <f>VLOOKUP(D328,KamiBox!$C$2:$F$54,4,0)</f>
        <v>1700</v>
      </c>
      <c r="F328">
        <v>0.1</v>
      </c>
      <c r="G328" s="80">
        <f t="shared" si="5"/>
        <v>170</v>
      </c>
      <c r="H328" s="80" t="e">
        <f>VLOOKUP(D328,'Bu Erta'!$C$2:$F$66,4,0)*F328</f>
        <v>#N/A</v>
      </c>
    </row>
    <row r="329" spans="1:8" x14ac:dyDescent="0.35">
      <c r="B329" t="s">
        <v>5</v>
      </c>
      <c r="D329" t="s">
        <v>407</v>
      </c>
      <c r="E329" s="80">
        <f>VLOOKUP(D329,KamiBox!$C$2:$F$54,4,0)</f>
        <v>7000</v>
      </c>
      <c r="F329">
        <v>5.05</v>
      </c>
      <c r="G329" s="80">
        <f t="shared" si="5"/>
        <v>35350</v>
      </c>
      <c r="H329" s="80" t="e">
        <f>VLOOKUP(D329,'Bu Erta'!$C$2:$F$66,4,0)*F329</f>
        <v>#N/A</v>
      </c>
    </row>
    <row r="330" spans="1:8" x14ac:dyDescent="0.35">
      <c r="A330" s="1">
        <v>42</v>
      </c>
      <c r="B330" t="s">
        <v>83</v>
      </c>
      <c r="C330" s="5">
        <v>1</v>
      </c>
      <c r="D330" t="s">
        <v>422</v>
      </c>
      <c r="E330" s="80">
        <f>VLOOKUP(D330,KamiBox!$C$2:$F$54,4,0)</f>
        <v>4000</v>
      </c>
      <c r="F330">
        <v>1.45</v>
      </c>
      <c r="G330" s="80">
        <f t="shared" si="5"/>
        <v>5800</v>
      </c>
      <c r="H330" s="80" t="e">
        <f>VLOOKUP(D330,'Bu Erta'!$C$2:$F$66,4,0)*F330</f>
        <v>#N/A</v>
      </c>
    </row>
    <row r="331" spans="1:8" x14ac:dyDescent="0.35">
      <c r="B331" t="s">
        <v>83</v>
      </c>
      <c r="D331" t="s">
        <v>7</v>
      </c>
      <c r="E331" s="80">
        <f>VLOOKUP(D331,KamiBox!$C$2:$F$54,4,0)</f>
        <v>1200</v>
      </c>
      <c r="F331">
        <v>2.4</v>
      </c>
      <c r="G331" s="80">
        <f t="shared" si="5"/>
        <v>2880</v>
      </c>
      <c r="H331" s="80">
        <f>VLOOKUP(D331,'Bu Erta'!$C$2:$F$66,4,0)*F331</f>
        <v>3840</v>
      </c>
    </row>
    <row r="332" spans="1:8" x14ac:dyDescent="0.35">
      <c r="B332" t="s">
        <v>83</v>
      </c>
      <c r="D332" t="s">
        <v>405</v>
      </c>
      <c r="E332" s="80">
        <f>VLOOKUP(D332,KamiBox!$C$2:$F$54,4,0)</f>
        <v>100</v>
      </c>
      <c r="F332">
        <v>1.4</v>
      </c>
      <c r="G332" s="80">
        <f t="shared" si="5"/>
        <v>140</v>
      </c>
      <c r="H332" s="80" t="e">
        <f>VLOOKUP(D332,'Bu Erta'!$C$2:$F$66,4,0)*F332</f>
        <v>#N/A</v>
      </c>
    </row>
    <row r="333" spans="1:8" x14ac:dyDescent="0.35">
      <c r="B333" t="s">
        <v>83</v>
      </c>
      <c r="D333" t="s">
        <v>41</v>
      </c>
      <c r="E333" s="80">
        <f>VLOOKUP(D333,KamiBox!$C$2:$F$54,4,0)</f>
        <v>2000</v>
      </c>
      <c r="F333">
        <v>0.8</v>
      </c>
      <c r="G333" s="80">
        <f t="shared" si="5"/>
        <v>1600</v>
      </c>
      <c r="H333" s="80">
        <f>VLOOKUP(D333,'Bu Erta'!$C$2:$F$66,4,0)*F333</f>
        <v>1600</v>
      </c>
    </row>
    <row r="334" spans="1:8" x14ac:dyDescent="0.35">
      <c r="B334" t="s">
        <v>83</v>
      </c>
      <c r="D334" t="s">
        <v>22</v>
      </c>
      <c r="E334" s="80">
        <f>VLOOKUP(D334,KamiBox!$C$2:$F$54,4,0)</f>
        <v>4000</v>
      </c>
      <c r="F334">
        <v>0.7</v>
      </c>
      <c r="G334" s="80">
        <f t="shared" si="5"/>
        <v>2800</v>
      </c>
      <c r="H334" s="80">
        <f>VLOOKUP(D334,'Bu Erta'!$C$2:$F$66,4,0)*F334</f>
        <v>2100</v>
      </c>
    </row>
    <row r="335" spans="1:8" x14ac:dyDescent="0.35">
      <c r="B335" t="s">
        <v>83</v>
      </c>
      <c r="D335" t="s">
        <v>396</v>
      </c>
      <c r="E335" s="80">
        <f>VLOOKUP(D335,KamiBox!$C$2:$F$54,4,0)</f>
        <v>1700</v>
      </c>
      <c r="F335">
        <v>4.5</v>
      </c>
      <c r="G335" s="80">
        <f t="shared" si="5"/>
        <v>7650</v>
      </c>
      <c r="H335" s="80" t="e">
        <f>VLOOKUP(D335,'Bu Erta'!$C$2:$F$66,4,0)*F335</f>
        <v>#N/A</v>
      </c>
    </row>
    <row r="336" spans="1:8" x14ac:dyDescent="0.35">
      <c r="B336" t="s">
        <v>83</v>
      </c>
      <c r="D336" t="s">
        <v>393</v>
      </c>
      <c r="E336" s="80">
        <f>VLOOKUP(D336,KamiBox!$C$2:$F$54,4,0)</f>
        <v>500</v>
      </c>
      <c r="F336">
        <v>1.3</v>
      </c>
      <c r="G336" s="80">
        <f t="shared" si="5"/>
        <v>650</v>
      </c>
      <c r="H336" s="80" t="e">
        <f>VLOOKUP(D336,'Bu Erta'!$C$2:$F$66,4,0)*F336</f>
        <v>#N/A</v>
      </c>
    </row>
    <row r="337" spans="1:8" x14ac:dyDescent="0.35">
      <c r="B337" t="s">
        <v>83</v>
      </c>
      <c r="D337" t="s">
        <v>398</v>
      </c>
      <c r="E337" s="80">
        <f>VLOOKUP(D337,KamiBox!$C$2:$F$54,4,0)</f>
        <v>400</v>
      </c>
      <c r="F337">
        <v>1.65</v>
      </c>
      <c r="G337" s="80">
        <f t="shared" ref="G337:G400" si="6">E337*F337</f>
        <v>660</v>
      </c>
      <c r="H337" s="80" t="e">
        <f>VLOOKUP(D337,'Bu Erta'!$C$2:$F$66,4,0)*F337</f>
        <v>#N/A</v>
      </c>
    </row>
    <row r="338" spans="1:8" x14ac:dyDescent="0.35">
      <c r="B338" t="s">
        <v>83</v>
      </c>
      <c r="D338" t="s">
        <v>388</v>
      </c>
      <c r="E338" s="80">
        <f>VLOOKUP(D338,KamiBox!$C$2:$F$54,4,0)</f>
        <v>1000</v>
      </c>
      <c r="F338">
        <v>1.2</v>
      </c>
      <c r="G338" s="80">
        <f t="shared" si="6"/>
        <v>1200</v>
      </c>
      <c r="H338" s="80" t="e">
        <f>VLOOKUP(D338,'Bu Erta'!$C$2:$F$66,4,0)*F338</f>
        <v>#N/A</v>
      </c>
    </row>
    <row r="339" spans="1:8" x14ac:dyDescent="0.35">
      <c r="A339" s="1">
        <v>43</v>
      </c>
      <c r="B339" t="s">
        <v>111</v>
      </c>
      <c r="C339" s="5">
        <v>5</v>
      </c>
      <c r="D339" t="s">
        <v>396</v>
      </c>
      <c r="E339" s="80">
        <f>VLOOKUP(D339,KamiBox!$C$2:$F$54,4,0)</f>
        <v>1700</v>
      </c>
      <c r="F339">
        <f>1.75+4.25+0.85</f>
        <v>6.85</v>
      </c>
      <c r="G339" s="80">
        <f t="shared" si="6"/>
        <v>11645</v>
      </c>
      <c r="H339" s="80" t="e">
        <f>VLOOKUP(D339,'Bu Erta'!$C$2:$F$66,4,0)*F339</f>
        <v>#N/A</v>
      </c>
    </row>
    <row r="340" spans="1:8" x14ac:dyDescent="0.35">
      <c r="B340" t="s">
        <v>111</v>
      </c>
      <c r="D340" t="s">
        <v>398</v>
      </c>
      <c r="E340" s="80">
        <f>VLOOKUP(D340,KamiBox!$C$2:$F$54,4,0)</f>
        <v>400</v>
      </c>
      <c r="F340">
        <f>5.7+1.45+0.95</f>
        <v>8.1</v>
      </c>
      <c r="G340" s="80">
        <f t="shared" si="6"/>
        <v>3240</v>
      </c>
      <c r="H340" s="80" t="e">
        <f>VLOOKUP(D340,'Bu Erta'!$C$2:$F$66,4,0)*F340</f>
        <v>#N/A</v>
      </c>
    </row>
    <row r="341" spans="1:8" x14ac:dyDescent="0.35">
      <c r="B341" t="s">
        <v>111</v>
      </c>
      <c r="D341" t="s">
        <v>393</v>
      </c>
      <c r="E341" s="80">
        <f>VLOOKUP(D341,KamiBox!$C$2:$F$54,4,0)</f>
        <v>500</v>
      </c>
      <c r="F341">
        <f>0.3+0.55+1.15</f>
        <v>2</v>
      </c>
      <c r="G341" s="80">
        <f t="shared" si="6"/>
        <v>1000</v>
      </c>
      <c r="H341" s="80" t="e">
        <f>VLOOKUP(D341,'Bu Erta'!$C$2:$F$66,4,0)*F341</f>
        <v>#N/A</v>
      </c>
    </row>
    <row r="342" spans="1:8" x14ac:dyDescent="0.35">
      <c r="B342" t="s">
        <v>111</v>
      </c>
      <c r="D342" t="s">
        <v>422</v>
      </c>
      <c r="E342" s="80">
        <f>VLOOKUP(D342,KamiBox!$C$2:$F$54,4,0)</f>
        <v>4000</v>
      </c>
      <c r="F342">
        <v>0.9</v>
      </c>
      <c r="G342" s="80">
        <f t="shared" si="6"/>
        <v>3600</v>
      </c>
      <c r="H342" s="80" t="e">
        <f>VLOOKUP(D342,'Bu Erta'!$C$2:$F$66,4,0)*F342</f>
        <v>#N/A</v>
      </c>
    </row>
    <row r="343" spans="1:8" x14ac:dyDescent="0.35">
      <c r="B343" t="s">
        <v>111</v>
      </c>
      <c r="D343" t="s">
        <v>31</v>
      </c>
      <c r="E343" s="80">
        <f>VLOOKUP(D343,KamiBox!$C$2:$F$54,4,0)</f>
        <v>1000</v>
      </c>
      <c r="F343">
        <f>0.85+0.15+0.15</f>
        <v>1.1499999999999999</v>
      </c>
      <c r="G343" s="80">
        <f t="shared" si="6"/>
        <v>1150</v>
      </c>
      <c r="H343" s="80">
        <f>VLOOKUP(D343,'Bu Erta'!$C$2:$F$66,4,0)*F343</f>
        <v>1265</v>
      </c>
    </row>
    <row r="344" spans="1:8" x14ac:dyDescent="0.35">
      <c r="B344" t="s">
        <v>111</v>
      </c>
      <c r="D344" t="s">
        <v>414</v>
      </c>
      <c r="E344" s="80">
        <f>VLOOKUP(D344,KamiBox!$C$2:$F$54,4,0)</f>
        <v>200</v>
      </c>
      <c r="F344">
        <v>0.6</v>
      </c>
      <c r="G344" s="80">
        <f t="shared" si="6"/>
        <v>120</v>
      </c>
      <c r="H344" s="80" t="e">
        <f>VLOOKUP(D344,'Bu Erta'!$C$2:$F$66,4,0)*F344</f>
        <v>#N/A</v>
      </c>
    </row>
    <row r="345" spans="1:8" x14ac:dyDescent="0.35">
      <c r="B345" t="s">
        <v>111</v>
      </c>
      <c r="D345" t="s">
        <v>388</v>
      </c>
      <c r="E345" s="80">
        <f>VLOOKUP(D345,KamiBox!$C$2:$F$54,4,0)</f>
        <v>1000</v>
      </c>
      <c r="F345">
        <v>0.25</v>
      </c>
      <c r="G345" s="80">
        <f t="shared" si="6"/>
        <v>250</v>
      </c>
      <c r="H345" s="80" t="e">
        <f>VLOOKUP(D345,'Bu Erta'!$C$2:$F$66,4,0)*F345</f>
        <v>#N/A</v>
      </c>
    </row>
    <row r="346" spans="1:8" x14ac:dyDescent="0.35">
      <c r="A346" s="1">
        <v>44</v>
      </c>
      <c r="B346" t="s">
        <v>198</v>
      </c>
      <c r="C346" s="5" t="s">
        <v>239</v>
      </c>
      <c r="D346" t="s">
        <v>31</v>
      </c>
      <c r="E346" s="80">
        <f>VLOOKUP(D346,KamiBox!$C$2:$F$54,4,0)</f>
        <v>1000</v>
      </c>
      <c r="F346">
        <f>0.85+0.6+1.1</f>
        <v>2.5499999999999998</v>
      </c>
      <c r="G346" s="80">
        <f t="shared" si="6"/>
        <v>2550</v>
      </c>
      <c r="H346" s="80">
        <f>VLOOKUP(D346,'Bu Erta'!$C$2:$F$66,4,0)*F346</f>
        <v>2805</v>
      </c>
    </row>
    <row r="347" spans="1:8" x14ac:dyDescent="0.35">
      <c r="B347" t="s">
        <v>198</v>
      </c>
      <c r="D347" t="s">
        <v>41</v>
      </c>
      <c r="E347" s="80">
        <f>VLOOKUP(D347,KamiBox!$C$2:$F$54,4,0)</f>
        <v>2000</v>
      </c>
      <c r="F347">
        <v>0.1</v>
      </c>
      <c r="G347" s="80">
        <f t="shared" si="6"/>
        <v>200</v>
      </c>
      <c r="H347" s="80">
        <f>VLOOKUP(D347,'Bu Erta'!$C$2:$F$66,4,0)*F347</f>
        <v>200</v>
      </c>
    </row>
    <row r="348" spans="1:8" x14ac:dyDescent="0.35">
      <c r="B348" t="s">
        <v>198</v>
      </c>
      <c r="D348" t="s">
        <v>398</v>
      </c>
      <c r="E348" s="80">
        <f>VLOOKUP(D348,KamiBox!$C$2:$F$54,4,0)</f>
        <v>400</v>
      </c>
      <c r="F348">
        <v>1.9</v>
      </c>
      <c r="G348" s="80">
        <f t="shared" si="6"/>
        <v>760</v>
      </c>
      <c r="H348" s="80" t="e">
        <f>VLOOKUP(D348,'Bu Erta'!$C$2:$F$66,4,0)*F348</f>
        <v>#N/A</v>
      </c>
    </row>
    <row r="349" spans="1:8" x14ac:dyDescent="0.35">
      <c r="B349" t="s">
        <v>198</v>
      </c>
      <c r="D349" t="s">
        <v>35</v>
      </c>
      <c r="E349" s="80">
        <f>VLOOKUP(D349,KamiBox!$C$2:$F$54,4,0)</f>
        <v>5000</v>
      </c>
      <c r="F349">
        <v>1</v>
      </c>
      <c r="G349" s="80">
        <f t="shared" si="6"/>
        <v>5000</v>
      </c>
      <c r="H349" s="80">
        <f>VLOOKUP(D349,'Bu Erta'!$C$2:$F$66,4,0)*F349</f>
        <v>2000</v>
      </c>
    </row>
    <row r="350" spans="1:8" x14ac:dyDescent="0.35">
      <c r="B350" t="s">
        <v>198</v>
      </c>
      <c r="D350" t="s">
        <v>35</v>
      </c>
      <c r="E350" s="80">
        <f>VLOOKUP(D350,KamiBox!$C$2:$F$54,4,0)</f>
        <v>5000</v>
      </c>
      <c r="F350">
        <f>3+1+1+1</f>
        <v>6</v>
      </c>
      <c r="G350" s="80">
        <f t="shared" si="6"/>
        <v>30000</v>
      </c>
      <c r="H350" s="80">
        <f>VLOOKUP(D350,'Bu Erta'!$C$2:$F$66,4,0)*F350</f>
        <v>12000</v>
      </c>
    </row>
    <row r="351" spans="1:8" x14ac:dyDescent="0.35">
      <c r="B351" t="s">
        <v>198</v>
      </c>
      <c r="D351" t="s">
        <v>35</v>
      </c>
      <c r="E351" s="80">
        <f>VLOOKUP(D351,KamiBox!$C$2:$F$54,4,0)</f>
        <v>5000</v>
      </c>
      <c r="F351">
        <v>1</v>
      </c>
      <c r="G351" s="80">
        <f t="shared" si="6"/>
        <v>5000</v>
      </c>
      <c r="H351" s="80">
        <f>VLOOKUP(D351,'Bu Erta'!$C$2:$F$66,4,0)*F351</f>
        <v>2000</v>
      </c>
    </row>
    <row r="352" spans="1:8" x14ac:dyDescent="0.35">
      <c r="B352" t="s">
        <v>198</v>
      </c>
      <c r="D352" t="s">
        <v>7</v>
      </c>
      <c r="E352" s="80">
        <f>VLOOKUP(D352,KamiBox!$C$2:$F$54,4,0)</f>
        <v>1200</v>
      </c>
      <c r="F352">
        <v>0.33</v>
      </c>
      <c r="G352" s="80">
        <f t="shared" si="6"/>
        <v>396</v>
      </c>
      <c r="H352" s="80">
        <f>VLOOKUP(D352,'Bu Erta'!$C$2:$F$66,4,0)*F352</f>
        <v>528</v>
      </c>
    </row>
    <row r="353" spans="1:8" x14ac:dyDescent="0.35">
      <c r="B353" t="s">
        <v>198</v>
      </c>
      <c r="D353" t="s">
        <v>40</v>
      </c>
      <c r="E353" s="80">
        <f>VLOOKUP(D353,KamiBox!$C$2:$F$54,4,0)</f>
        <v>2000</v>
      </c>
      <c r="F353">
        <v>1.6</v>
      </c>
      <c r="G353" s="80">
        <f t="shared" si="6"/>
        <v>3200</v>
      </c>
      <c r="H353" s="80">
        <f>VLOOKUP(D353,'Bu Erta'!$C$2:$F$66,4,0)*F353</f>
        <v>3200</v>
      </c>
    </row>
    <row r="354" spans="1:8" x14ac:dyDescent="0.35">
      <c r="A354" s="1">
        <v>45</v>
      </c>
      <c r="B354" t="s">
        <v>139</v>
      </c>
      <c r="C354" s="5">
        <v>1</v>
      </c>
      <c r="D354" t="s">
        <v>384</v>
      </c>
      <c r="E354" s="80">
        <f>VLOOKUP(D354,KamiBox!$C$2:$F$54,4,0)</f>
        <v>2000</v>
      </c>
      <c r="F354">
        <f>0.6+0.45</f>
        <v>1.05</v>
      </c>
      <c r="G354" s="80">
        <f t="shared" si="6"/>
        <v>2100</v>
      </c>
      <c r="H354" s="80" t="e">
        <f>VLOOKUP(D354,'Bu Erta'!$C$2:$F$66,4,0)*F354</f>
        <v>#N/A</v>
      </c>
    </row>
    <row r="355" spans="1:8" x14ac:dyDescent="0.35">
      <c r="B355" t="s">
        <v>139</v>
      </c>
      <c r="D355" t="s">
        <v>7</v>
      </c>
      <c r="E355" s="80">
        <f>VLOOKUP(D355,KamiBox!$C$2:$F$54,4,0)</f>
        <v>1200</v>
      </c>
      <c r="F355">
        <f>0.65+0.95+1.15</f>
        <v>2.75</v>
      </c>
      <c r="G355" s="80">
        <f t="shared" si="6"/>
        <v>3300</v>
      </c>
      <c r="H355" s="80">
        <f>VLOOKUP(D355,'Bu Erta'!$C$2:$F$66,4,0)*F355</f>
        <v>4400</v>
      </c>
    </row>
    <row r="356" spans="1:8" x14ac:dyDescent="0.35">
      <c r="B356" t="s">
        <v>139</v>
      </c>
      <c r="D356" t="s">
        <v>31</v>
      </c>
      <c r="E356" s="80">
        <f>VLOOKUP(D356,KamiBox!$C$2:$F$54,4,0)</f>
        <v>1000</v>
      </c>
      <c r="F356">
        <v>0.55000000000000004</v>
      </c>
      <c r="G356" s="80">
        <f t="shared" si="6"/>
        <v>550</v>
      </c>
      <c r="H356" s="80">
        <f>VLOOKUP(D356,'Bu Erta'!$C$2:$F$66,4,0)*F356</f>
        <v>605</v>
      </c>
    </row>
    <row r="357" spans="1:8" x14ac:dyDescent="0.35">
      <c r="B357" t="s">
        <v>139</v>
      </c>
      <c r="D357" t="s">
        <v>422</v>
      </c>
      <c r="E357" s="80">
        <f>VLOOKUP(D357,KamiBox!$C$2:$F$54,4,0)</f>
        <v>4000</v>
      </c>
      <c r="F357">
        <v>0.4</v>
      </c>
      <c r="G357" s="80">
        <f t="shared" si="6"/>
        <v>1600</v>
      </c>
      <c r="H357" s="80" t="e">
        <f>VLOOKUP(D357,'Bu Erta'!$C$2:$F$66,4,0)*F357</f>
        <v>#N/A</v>
      </c>
    </row>
    <row r="358" spans="1:8" x14ac:dyDescent="0.35">
      <c r="B358" t="s">
        <v>139</v>
      </c>
      <c r="D358" t="s">
        <v>398</v>
      </c>
      <c r="E358" s="80">
        <f>VLOOKUP(D358,KamiBox!$C$2:$F$54,4,0)</f>
        <v>400</v>
      </c>
      <c r="F358">
        <f>0.9+0.5</f>
        <v>1.4</v>
      </c>
      <c r="G358" s="80">
        <f t="shared" si="6"/>
        <v>560</v>
      </c>
      <c r="H358" s="80" t="e">
        <f>VLOOKUP(D358,'Bu Erta'!$C$2:$F$66,4,0)*F358</f>
        <v>#N/A</v>
      </c>
    </row>
    <row r="359" spans="1:8" x14ac:dyDescent="0.35">
      <c r="B359" t="s">
        <v>139</v>
      </c>
      <c r="D359" t="s">
        <v>393</v>
      </c>
      <c r="E359" s="80">
        <f>VLOOKUP(D359,KamiBox!$C$2:$F$54,4,0)</f>
        <v>500</v>
      </c>
      <c r="F359">
        <f>3.1+0.45+1.05+0.7</f>
        <v>5.3000000000000007</v>
      </c>
      <c r="G359" s="80">
        <f t="shared" si="6"/>
        <v>2650.0000000000005</v>
      </c>
      <c r="H359" s="80" t="e">
        <f>VLOOKUP(D359,'Bu Erta'!$C$2:$F$66,4,0)*F359</f>
        <v>#N/A</v>
      </c>
    </row>
    <row r="360" spans="1:8" x14ac:dyDescent="0.35">
      <c r="B360" t="s">
        <v>139</v>
      </c>
      <c r="D360" t="s">
        <v>44</v>
      </c>
      <c r="E360" s="80">
        <f>VLOOKUP(D360,KamiBox!$C$2:$F$54,4,0)</f>
        <v>1200</v>
      </c>
      <c r="F360">
        <v>3.5</v>
      </c>
      <c r="G360" s="80">
        <f t="shared" si="6"/>
        <v>4200</v>
      </c>
      <c r="H360" s="80">
        <f>VLOOKUP(D360,'Bu Erta'!$C$2:$F$66,4,0)*F360</f>
        <v>1750</v>
      </c>
    </row>
    <row r="361" spans="1:8" x14ac:dyDescent="0.35">
      <c r="A361" s="1">
        <v>46</v>
      </c>
      <c r="B361" t="s">
        <v>360</v>
      </c>
      <c r="C361" s="5" t="s">
        <v>361</v>
      </c>
      <c r="D361" t="s">
        <v>41</v>
      </c>
      <c r="E361" s="80">
        <f>VLOOKUP(D361,KamiBox!$C$2:$F$54,4,0)</f>
        <v>2000</v>
      </c>
      <c r="F361">
        <f>1.05+1.4+1.8+1.55+1.15</f>
        <v>6.9499999999999993</v>
      </c>
      <c r="G361" s="80">
        <f t="shared" si="6"/>
        <v>13899.999999999998</v>
      </c>
      <c r="H361" s="80">
        <f>VLOOKUP(D361,'Bu Erta'!$C$2:$F$66,4,0)*F361</f>
        <v>13899.999999999998</v>
      </c>
    </row>
    <row r="362" spans="1:8" x14ac:dyDescent="0.35">
      <c r="B362" t="s">
        <v>360</v>
      </c>
      <c r="D362" t="s">
        <v>7</v>
      </c>
      <c r="E362" s="80">
        <f>VLOOKUP(D362,KamiBox!$C$2:$F$54,4,0)</f>
        <v>1200</v>
      </c>
      <c r="F362">
        <v>0.2</v>
      </c>
      <c r="G362" s="80">
        <f t="shared" si="6"/>
        <v>240</v>
      </c>
      <c r="H362" s="80">
        <f>VLOOKUP(D362,'Bu Erta'!$C$2:$F$66,4,0)*F362</f>
        <v>320</v>
      </c>
    </row>
    <row r="363" spans="1:8" x14ac:dyDescent="0.35">
      <c r="B363" t="s">
        <v>360</v>
      </c>
      <c r="D363" t="s">
        <v>6</v>
      </c>
      <c r="E363" s="80" t="e">
        <f>VLOOKUP(D363,KamiBox!$C$2:$F$54,4,0)</f>
        <v>#N/A</v>
      </c>
      <c r="F363">
        <f>1.1+0.4+0.8</f>
        <v>2.2999999999999998</v>
      </c>
      <c r="G363" s="80" t="e">
        <f t="shared" si="6"/>
        <v>#N/A</v>
      </c>
      <c r="H363" s="80">
        <f>VLOOKUP(D363,'Bu Erta'!$C$2:$F$66,4,0)*F363</f>
        <v>5750</v>
      </c>
    </row>
    <row r="364" spans="1:8" x14ac:dyDescent="0.35">
      <c r="B364" t="s">
        <v>360</v>
      </c>
      <c r="D364" t="s">
        <v>414</v>
      </c>
      <c r="E364" s="80">
        <f>VLOOKUP(D364,KamiBox!$C$2:$F$54,4,0)</f>
        <v>200</v>
      </c>
      <c r="F364">
        <v>3.4</v>
      </c>
      <c r="G364" s="80">
        <f t="shared" si="6"/>
        <v>680</v>
      </c>
      <c r="H364" s="80" t="e">
        <f>VLOOKUP(D364,'Bu Erta'!$C$2:$F$66,4,0)*F364</f>
        <v>#N/A</v>
      </c>
    </row>
    <row r="365" spans="1:8" x14ac:dyDescent="0.35">
      <c r="B365" t="s">
        <v>360</v>
      </c>
      <c r="D365" t="s">
        <v>421</v>
      </c>
      <c r="E365" s="80">
        <f>VLOOKUP(D365,KamiBox!$C$2:$F$54,4,0)</f>
        <v>1000</v>
      </c>
      <c r="F365">
        <v>6.05</v>
      </c>
      <c r="G365" s="80">
        <f t="shared" si="6"/>
        <v>6050</v>
      </c>
      <c r="H365" s="80" t="e">
        <f>VLOOKUP(D365,'Bu Erta'!$C$2:$F$66,4,0)*F365</f>
        <v>#N/A</v>
      </c>
    </row>
    <row r="366" spans="1:8" x14ac:dyDescent="0.35">
      <c r="B366" t="s">
        <v>360</v>
      </c>
      <c r="D366" t="s">
        <v>396</v>
      </c>
      <c r="E366" s="80">
        <f>VLOOKUP(D366,KamiBox!$C$2:$F$54,4,0)</f>
        <v>1700</v>
      </c>
      <c r="F366">
        <f>7.35+2.15</f>
        <v>9.5</v>
      </c>
      <c r="G366" s="80">
        <f t="shared" si="6"/>
        <v>16150</v>
      </c>
      <c r="H366" s="80" t="e">
        <f>VLOOKUP(D366,'Bu Erta'!$C$2:$F$66,4,0)*F366</f>
        <v>#N/A</v>
      </c>
    </row>
    <row r="367" spans="1:8" x14ac:dyDescent="0.35">
      <c r="B367" t="s">
        <v>360</v>
      </c>
      <c r="D367" t="s">
        <v>398</v>
      </c>
      <c r="E367" s="80">
        <f>VLOOKUP(D367,KamiBox!$C$2:$F$54,4,0)</f>
        <v>400</v>
      </c>
      <c r="F367">
        <v>6.6</v>
      </c>
      <c r="G367" s="80">
        <f t="shared" si="6"/>
        <v>2640</v>
      </c>
      <c r="H367" s="80" t="e">
        <f>VLOOKUP(D367,'Bu Erta'!$C$2:$F$66,4,0)*F367</f>
        <v>#N/A</v>
      </c>
    </row>
    <row r="368" spans="1:8" x14ac:dyDescent="0.35">
      <c r="B368" t="s">
        <v>360</v>
      </c>
      <c r="D368" t="s">
        <v>393</v>
      </c>
      <c r="E368" s="80">
        <f>VLOOKUP(D368,KamiBox!$C$2:$F$54,4,0)</f>
        <v>500</v>
      </c>
      <c r="F368">
        <v>1.35</v>
      </c>
      <c r="G368" s="80">
        <f t="shared" si="6"/>
        <v>675</v>
      </c>
      <c r="H368" s="80" t="e">
        <f>VLOOKUP(D368,'Bu Erta'!$C$2:$F$66,4,0)*F368</f>
        <v>#N/A</v>
      </c>
    </row>
    <row r="369" spans="1:8" x14ac:dyDescent="0.35">
      <c r="B369" t="s">
        <v>360</v>
      </c>
      <c r="D369" t="s">
        <v>69</v>
      </c>
      <c r="E369" s="80">
        <f>VLOOKUP(D369,KamiBox!$C$2:$F$54,4,0)</f>
        <v>3000</v>
      </c>
      <c r="F369">
        <v>0.85</v>
      </c>
      <c r="G369" s="80">
        <f t="shared" si="6"/>
        <v>2550</v>
      </c>
      <c r="H369" s="80">
        <f>VLOOKUP(D369,'Bu Erta'!$C$2:$F$66,4,0)*F369</f>
        <v>2550</v>
      </c>
    </row>
    <row r="370" spans="1:8" x14ac:dyDescent="0.35">
      <c r="B370" t="s">
        <v>360</v>
      </c>
      <c r="D370" t="s">
        <v>388</v>
      </c>
      <c r="E370" s="80">
        <f>VLOOKUP(D370,KamiBox!$C$2:$F$54,4,0)</f>
        <v>1000</v>
      </c>
      <c r="F370">
        <v>0.8</v>
      </c>
      <c r="G370" s="80">
        <f t="shared" si="6"/>
        <v>800</v>
      </c>
      <c r="H370" s="80" t="e">
        <f>VLOOKUP(D370,'Bu Erta'!$C$2:$F$66,4,0)*F370</f>
        <v>#N/A</v>
      </c>
    </row>
    <row r="371" spans="1:8" x14ac:dyDescent="0.35">
      <c r="B371" t="s">
        <v>360</v>
      </c>
      <c r="D371" t="s">
        <v>31</v>
      </c>
      <c r="E371" s="80">
        <f>VLOOKUP(D371,KamiBox!$C$2:$F$54,4,0)</f>
        <v>1000</v>
      </c>
      <c r="F371">
        <f>1.3+0.95</f>
        <v>2.25</v>
      </c>
      <c r="G371" s="80">
        <f t="shared" si="6"/>
        <v>2250</v>
      </c>
      <c r="H371" s="80">
        <f>VLOOKUP(D371,'Bu Erta'!$C$2:$F$66,4,0)*F371</f>
        <v>2475</v>
      </c>
    </row>
    <row r="372" spans="1:8" x14ac:dyDescent="0.35">
      <c r="B372" t="s">
        <v>360</v>
      </c>
      <c r="D372" t="s">
        <v>422</v>
      </c>
      <c r="E372" s="80">
        <f>VLOOKUP(D372,KamiBox!$C$2:$F$54,4,0)</f>
        <v>4000</v>
      </c>
      <c r="F372">
        <v>3.3</v>
      </c>
      <c r="G372" s="80">
        <f t="shared" si="6"/>
        <v>13200</v>
      </c>
      <c r="H372" s="80" t="e">
        <f>VLOOKUP(D372,'Bu Erta'!$C$2:$F$66,4,0)*F372</f>
        <v>#N/A</v>
      </c>
    </row>
    <row r="373" spans="1:8" x14ac:dyDescent="0.35">
      <c r="A373" s="1">
        <v>47</v>
      </c>
      <c r="B373" t="s">
        <v>94</v>
      </c>
      <c r="C373" s="5">
        <v>4</v>
      </c>
      <c r="D373" t="s">
        <v>396</v>
      </c>
      <c r="E373" s="80">
        <f>VLOOKUP(D373,KamiBox!$C$2:$F$54,4,0)</f>
        <v>1700</v>
      </c>
      <c r="F373">
        <f>3.3+1.45+1.25</f>
        <v>6</v>
      </c>
      <c r="G373" s="80">
        <f t="shared" si="6"/>
        <v>10200</v>
      </c>
      <c r="H373" s="80" t="e">
        <f>VLOOKUP(D373,'Bu Erta'!$C$2:$F$66,4,0)*F373</f>
        <v>#N/A</v>
      </c>
    </row>
    <row r="374" spans="1:8" x14ac:dyDescent="0.35">
      <c r="B374" t="s">
        <v>94</v>
      </c>
      <c r="D374" t="s">
        <v>398</v>
      </c>
      <c r="E374" s="80">
        <f>VLOOKUP(D374,KamiBox!$C$2:$F$54,4,0)</f>
        <v>400</v>
      </c>
      <c r="F374">
        <v>0.35</v>
      </c>
      <c r="G374" s="80">
        <f t="shared" si="6"/>
        <v>140</v>
      </c>
      <c r="H374" s="80" t="e">
        <f>VLOOKUP(D374,'Bu Erta'!$C$2:$F$66,4,0)*F374</f>
        <v>#N/A</v>
      </c>
    </row>
    <row r="375" spans="1:8" x14ac:dyDescent="0.35">
      <c r="B375" t="s">
        <v>94</v>
      </c>
      <c r="D375" t="s">
        <v>421</v>
      </c>
      <c r="E375" s="80">
        <f>VLOOKUP(D375,KamiBox!$C$2:$F$54,4,0)</f>
        <v>1000</v>
      </c>
      <c r="F375">
        <v>1.4</v>
      </c>
      <c r="G375" s="80">
        <f t="shared" si="6"/>
        <v>1400</v>
      </c>
      <c r="H375" s="80" t="e">
        <f>VLOOKUP(D375,'Bu Erta'!$C$2:$F$66,4,0)*F375</f>
        <v>#N/A</v>
      </c>
    </row>
    <row r="376" spans="1:8" x14ac:dyDescent="0.35">
      <c r="B376" t="s">
        <v>94</v>
      </c>
      <c r="D376" t="s">
        <v>388</v>
      </c>
      <c r="E376" s="80">
        <f>VLOOKUP(D376,KamiBox!$C$2:$F$54,4,0)</f>
        <v>1000</v>
      </c>
      <c r="F376">
        <v>0.5</v>
      </c>
      <c r="G376" s="80">
        <f t="shared" si="6"/>
        <v>500</v>
      </c>
      <c r="H376" s="80" t="e">
        <f>VLOOKUP(D376,'Bu Erta'!$C$2:$F$66,4,0)*F376</f>
        <v>#N/A</v>
      </c>
    </row>
    <row r="377" spans="1:8" x14ac:dyDescent="0.35">
      <c r="A377" s="1">
        <v>48</v>
      </c>
      <c r="B377" t="s">
        <v>95</v>
      </c>
      <c r="C377" s="5">
        <v>5</v>
      </c>
      <c r="D377" t="s">
        <v>41</v>
      </c>
      <c r="E377" s="80">
        <f>VLOOKUP(D377,KamiBox!$C$2:$F$54,4,0)</f>
        <v>2000</v>
      </c>
      <c r="F377">
        <v>0.8</v>
      </c>
      <c r="G377" s="80">
        <f t="shared" si="6"/>
        <v>1600</v>
      </c>
      <c r="H377" s="80">
        <f>VLOOKUP(D377,'Bu Erta'!$C$2:$F$66,4,0)*F377</f>
        <v>1600</v>
      </c>
    </row>
    <row r="378" spans="1:8" x14ac:dyDescent="0.35">
      <c r="B378" t="s">
        <v>95</v>
      </c>
      <c r="D378" t="s">
        <v>7</v>
      </c>
      <c r="E378" s="80">
        <f>VLOOKUP(D378,KamiBox!$C$2:$F$54,4,0)</f>
        <v>1200</v>
      </c>
      <c r="F378">
        <v>1.45</v>
      </c>
      <c r="G378" s="80">
        <f t="shared" si="6"/>
        <v>1740</v>
      </c>
      <c r="H378" s="80">
        <f>VLOOKUP(D378,'Bu Erta'!$C$2:$F$66,4,0)*F378</f>
        <v>2320</v>
      </c>
    </row>
    <row r="379" spans="1:8" x14ac:dyDescent="0.35">
      <c r="B379" t="s">
        <v>95</v>
      </c>
      <c r="D379" t="s">
        <v>414</v>
      </c>
      <c r="E379" s="80">
        <f>VLOOKUP(D379,KamiBox!$C$2:$F$54,4,0)</f>
        <v>200</v>
      </c>
      <c r="F379">
        <v>1.6</v>
      </c>
      <c r="G379" s="80">
        <f t="shared" si="6"/>
        <v>320</v>
      </c>
      <c r="H379" s="80" t="e">
        <f>VLOOKUP(D379,'Bu Erta'!$C$2:$F$66,4,0)*F379</f>
        <v>#N/A</v>
      </c>
    </row>
    <row r="380" spans="1:8" x14ac:dyDescent="0.35">
      <c r="B380" t="s">
        <v>95</v>
      </c>
      <c r="D380" t="s">
        <v>393</v>
      </c>
      <c r="E380" s="80">
        <f>VLOOKUP(D380,KamiBox!$C$2:$F$54,4,0)</f>
        <v>500</v>
      </c>
      <c r="F380">
        <f>1.25+0.65</f>
        <v>1.9</v>
      </c>
      <c r="G380" s="80">
        <f t="shared" si="6"/>
        <v>950</v>
      </c>
      <c r="H380" s="80" t="e">
        <f>VLOOKUP(D380,'Bu Erta'!$C$2:$F$66,4,0)*F380</f>
        <v>#N/A</v>
      </c>
    </row>
    <row r="381" spans="1:8" x14ac:dyDescent="0.35">
      <c r="B381" t="s">
        <v>95</v>
      </c>
      <c r="D381" t="s">
        <v>69</v>
      </c>
      <c r="E381" s="80">
        <f>VLOOKUP(D381,KamiBox!$C$2:$F$54,4,0)</f>
        <v>3000</v>
      </c>
      <c r="F381">
        <v>0.35</v>
      </c>
      <c r="G381" s="80">
        <f t="shared" si="6"/>
        <v>1050</v>
      </c>
      <c r="H381" s="80">
        <f>VLOOKUP(D381,'Bu Erta'!$C$2:$F$66,4,0)*F381</f>
        <v>1050</v>
      </c>
    </row>
    <row r="382" spans="1:8" x14ac:dyDescent="0.35">
      <c r="B382" t="s">
        <v>95</v>
      </c>
      <c r="D382" t="s">
        <v>422</v>
      </c>
      <c r="E382" s="80">
        <f>VLOOKUP(D382,KamiBox!$C$2:$F$54,4,0)</f>
        <v>4000</v>
      </c>
      <c r="F382">
        <f>0.85+0.3+6</f>
        <v>7.15</v>
      </c>
      <c r="G382" s="80">
        <f t="shared" si="6"/>
        <v>28600</v>
      </c>
      <c r="H382" s="80" t="e">
        <f>VLOOKUP(D382,'Bu Erta'!$C$2:$F$66,4,0)*F382</f>
        <v>#N/A</v>
      </c>
    </row>
    <row r="383" spans="1:8" x14ac:dyDescent="0.35">
      <c r="B383" t="s">
        <v>95</v>
      </c>
      <c r="D383" t="s">
        <v>396</v>
      </c>
      <c r="E383" s="80">
        <f>VLOOKUP(D383,KamiBox!$C$2:$F$54,4,0)</f>
        <v>1700</v>
      </c>
      <c r="F383">
        <f>4.95+1.7</f>
        <v>6.65</v>
      </c>
      <c r="G383" s="80">
        <f t="shared" si="6"/>
        <v>11305</v>
      </c>
      <c r="H383" s="80" t="e">
        <f>VLOOKUP(D383,'Bu Erta'!$C$2:$F$66,4,0)*F383</f>
        <v>#N/A</v>
      </c>
    </row>
    <row r="384" spans="1:8" x14ac:dyDescent="0.35">
      <c r="B384" t="s">
        <v>95</v>
      </c>
      <c r="D384" t="s">
        <v>407</v>
      </c>
      <c r="E384" s="80">
        <f>VLOOKUP(D384,KamiBox!$C$2:$F$54,4,0)</f>
        <v>7000</v>
      </c>
      <c r="F384">
        <v>1.8</v>
      </c>
      <c r="G384" s="80">
        <f t="shared" si="6"/>
        <v>12600</v>
      </c>
      <c r="H384" s="80" t="e">
        <f>VLOOKUP(D384,'Bu Erta'!$C$2:$F$66,4,0)*F384</f>
        <v>#N/A</v>
      </c>
    </row>
    <row r="385" spans="1:8" x14ac:dyDescent="0.35">
      <c r="A385" s="1">
        <v>49</v>
      </c>
      <c r="B385" t="s">
        <v>188</v>
      </c>
      <c r="C385" s="5">
        <v>7</v>
      </c>
      <c r="D385" t="s">
        <v>422</v>
      </c>
      <c r="E385" s="80">
        <f>VLOOKUP(D385,KamiBox!$C$2:$F$54,4,0)</f>
        <v>4000</v>
      </c>
      <c r="F385">
        <v>1.5</v>
      </c>
      <c r="G385" s="80">
        <f t="shared" si="6"/>
        <v>6000</v>
      </c>
      <c r="H385" s="80" t="e">
        <f>VLOOKUP(D385,'Bu Erta'!$C$2:$F$66,4,0)*F385</f>
        <v>#N/A</v>
      </c>
    </row>
    <row r="386" spans="1:8" x14ac:dyDescent="0.35">
      <c r="B386" t="s">
        <v>188</v>
      </c>
      <c r="D386" t="s">
        <v>6</v>
      </c>
      <c r="E386" s="80" t="e">
        <f>VLOOKUP(D386,KamiBox!$C$2:$F$54,4,0)</f>
        <v>#N/A</v>
      </c>
      <c r="F386">
        <v>0.65</v>
      </c>
      <c r="G386" s="80" t="e">
        <f t="shared" si="6"/>
        <v>#N/A</v>
      </c>
      <c r="H386" s="80">
        <f>VLOOKUP(D386,'Bu Erta'!$C$2:$F$66,4,0)*F386</f>
        <v>1625</v>
      </c>
    </row>
    <row r="387" spans="1:8" x14ac:dyDescent="0.35">
      <c r="B387" t="s">
        <v>188</v>
      </c>
      <c r="D387" t="s">
        <v>31</v>
      </c>
      <c r="E387" s="80">
        <f>VLOOKUP(D387,KamiBox!$C$2:$F$54,4,0)</f>
        <v>1000</v>
      </c>
      <c r="F387">
        <f>1.25+3.6+0.75+1.35</f>
        <v>6.9499999999999993</v>
      </c>
      <c r="G387" s="80">
        <f t="shared" si="6"/>
        <v>6949.9999999999991</v>
      </c>
      <c r="H387" s="80">
        <f>VLOOKUP(D387,'Bu Erta'!$C$2:$F$66,4,0)*F387</f>
        <v>7644.9999999999991</v>
      </c>
    </row>
    <row r="388" spans="1:8" x14ac:dyDescent="0.35">
      <c r="B388" t="s">
        <v>188</v>
      </c>
      <c r="D388" t="s">
        <v>7</v>
      </c>
      <c r="E388" s="80">
        <f>VLOOKUP(D388,KamiBox!$C$2:$F$54,4,0)</f>
        <v>1200</v>
      </c>
      <c r="F388">
        <v>1.3</v>
      </c>
      <c r="G388" s="80">
        <f t="shared" si="6"/>
        <v>1560</v>
      </c>
      <c r="H388" s="80">
        <f>VLOOKUP(D388,'Bu Erta'!$C$2:$F$66,4,0)*F388</f>
        <v>2080</v>
      </c>
    </row>
    <row r="389" spans="1:8" x14ac:dyDescent="0.35">
      <c r="B389" t="s">
        <v>188</v>
      </c>
      <c r="D389" t="s">
        <v>393</v>
      </c>
      <c r="E389" s="80">
        <f>VLOOKUP(D389,KamiBox!$C$2:$F$54,4,0)</f>
        <v>500</v>
      </c>
      <c r="F389">
        <v>0.35</v>
      </c>
      <c r="G389" s="80">
        <f t="shared" si="6"/>
        <v>175</v>
      </c>
      <c r="H389" s="80" t="e">
        <f>VLOOKUP(D389,'Bu Erta'!$C$2:$F$66,4,0)*F389</f>
        <v>#N/A</v>
      </c>
    </row>
    <row r="390" spans="1:8" x14ac:dyDescent="0.35">
      <c r="B390" t="s">
        <v>188</v>
      </c>
      <c r="D390" t="s">
        <v>405</v>
      </c>
      <c r="E390" s="80">
        <f>VLOOKUP(D390,KamiBox!$C$2:$F$54,4,0)</f>
        <v>100</v>
      </c>
      <c r="F390">
        <v>0.25</v>
      </c>
      <c r="G390" s="80">
        <f t="shared" si="6"/>
        <v>25</v>
      </c>
      <c r="H390" s="80" t="e">
        <f>VLOOKUP(D390,'Bu Erta'!$C$2:$F$66,4,0)*F390</f>
        <v>#N/A</v>
      </c>
    </row>
    <row r="391" spans="1:8" x14ac:dyDescent="0.35">
      <c r="A391" s="1">
        <v>50</v>
      </c>
      <c r="B391" t="s">
        <v>345</v>
      </c>
      <c r="C391" s="5">
        <v>5</v>
      </c>
      <c r="D391" t="s">
        <v>7</v>
      </c>
      <c r="E391" s="80">
        <f>VLOOKUP(D391,KamiBox!$C$2:$F$54,4,0)</f>
        <v>1200</v>
      </c>
      <c r="F391">
        <v>0.25</v>
      </c>
      <c r="G391" s="80">
        <f t="shared" si="6"/>
        <v>300</v>
      </c>
      <c r="H391" s="80">
        <f>VLOOKUP(D391,'Bu Erta'!$C$2:$F$66,4,0)*F391</f>
        <v>400</v>
      </c>
    </row>
    <row r="392" spans="1:8" x14ac:dyDescent="0.35">
      <c r="B392" t="s">
        <v>345</v>
      </c>
      <c r="D392" t="s">
        <v>392</v>
      </c>
      <c r="E392" s="80">
        <f>VLOOKUP(D392,KamiBox!$C$2:$F$54,4,0)</f>
        <v>1000</v>
      </c>
      <c r="F392">
        <v>0.15</v>
      </c>
      <c r="G392" s="80">
        <f t="shared" si="6"/>
        <v>150</v>
      </c>
      <c r="H392" s="80" t="e">
        <f>VLOOKUP(D392,'Bu Erta'!$C$2:$F$66,4,0)*F392</f>
        <v>#N/A</v>
      </c>
    </row>
    <row r="393" spans="1:8" x14ac:dyDescent="0.35">
      <c r="B393" t="s">
        <v>345</v>
      </c>
      <c r="D393" t="s">
        <v>31</v>
      </c>
      <c r="E393" s="80">
        <f>VLOOKUP(D393,KamiBox!$C$2:$F$54,4,0)</f>
        <v>1000</v>
      </c>
      <c r="F393">
        <v>0.5</v>
      </c>
      <c r="G393" s="80">
        <f t="shared" si="6"/>
        <v>500</v>
      </c>
      <c r="H393" s="80">
        <f>VLOOKUP(D393,'Bu Erta'!$C$2:$F$66,4,0)*F393</f>
        <v>550</v>
      </c>
    </row>
    <row r="394" spans="1:8" x14ac:dyDescent="0.35">
      <c r="B394" t="s">
        <v>345</v>
      </c>
      <c r="D394" t="s">
        <v>422</v>
      </c>
      <c r="E394" s="80">
        <f>VLOOKUP(D394,KamiBox!$C$2:$F$54,4,0)</f>
        <v>4000</v>
      </c>
      <c r="F394">
        <v>1.85</v>
      </c>
      <c r="G394" s="80">
        <f t="shared" si="6"/>
        <v>7400</v>
      </c>
      <c r="H394" s="80" t="e">
        <f>VLOOKUP(D394,'Bu Erta'!$C$2:$F$66,4,0)*F394</f>
        <v>#N/A</v>
      </c>
    </row>
    <row r="395" spans="1:8" x14ac:dyDescent="0.35">
      <c r="B395" t="s">
        <v>345</v>
      </c>
      <c r="D395" t="s">
        <v>396</v>
      </c>
      <c r="E395" s="80">
        <f>VLOOKUP(D395,KamiBox!$C$2:$F$54,4,0)</f>
        <v>1700</v>
      </c>
      <c r="F395">
        <v>13.25</v>
      </c>
      <c r="G395" s="80">
        <f t="shared" si="6"/>
        <v>22525</v>
      </c>
      <c r="H395" s="80" t="e">
        <f>VLOOKUP(D395,'Bu Erta'!$C$2:$F$66,4,0)*F395</f>
        <v>#N/A</v>
      </c>
    </row>
    <row r="396" spans="1:8" x14ac:dyDescent="0.35">
      <c r="B396" t="s">
        <v>345</v>
      </c>
      <c r="D396" t="s">
        <v>398</v>
      </c>
      <c r="E396" s="80">
        <f>VLOOKUP(D396,KamiBox!$C$2:$F$54,4,0)</f>
        <v>400</v>
      </c>
      <c r="F396">
        <v>3.7</v>
      </c>
      <c r="G396" s="80">
        <f t="shared" si="6"/>
        <v>1480</v>
      </c>
      <c r="H396" s="80" t="e">
        <f>VLOOKUP(D396,'Bu Erta'!$C$2:$F$66,4,0)*F396</f>
        <v>#N/A</v>
      </c>
    </row>
    <row r="397" spans="1:8" x14ac:dyDescent="0.35">
      <c r="A397" s="1">
        <v>51</v>
      </c>
      <c r="B397" t="s">
        <v>245</v>
      </c>
      <c r="C397" s="5">
        <v>4</v>
      </c>
      <c r="D397" t="s">
        <v>384</v>
      </c>
      <c r="E397" s="80">
        <f>VLOOKUP(D397,KamiBox!$C$2:$F$54,4,0)</f>
        <v>2000</v>
      </c>
      <c r="F397">
        <v>1.3</v>
      </c>
      <c r="G397" s="80">
        <f t="shared" si="6"/>
        <v>2600</v>
      </c>
      <c r="H397" s="80" t="e">
        <f>VLOOKUP(D397,'Bu Erta'!$C$2:$F$66,4,0)*F397</f>
        <v>#N/A</v>
      </c>
    </row>
    <row r="398" spans="1:8" x14ac:dyDescent="0.35">
      <c r="B398" t="s">
        <v>245</v>
      </c>
      <c r="D398" t="s">
        <v>398</v>
      </c>
      <c r="E398" s="80">
        <f>VLOOKUP(D398,KamiBox!$C$2:$F$54,4,0)</f>
        <v>400</v>
      </c>
      <c r="F398">
        <f>1.4+0.8</f>
        <v>2.2000000000000002</v>
      </c>
      <c r="G398" s="80">
        <f t="shared" si="6"/>
        <v>880.00000000000011</v>
      </c>
      <c r="H398" s="80" t="e">
        <f>VLOOKUP(D398,'Bu Erta'!$C$2:$F$66,4,0)*F398</f>
        <v>#N/A</v>
      </c>
    </row>
    <row r="399" spans="1:8" x14ac:dyDescent="0.35">
      <c r="B399" t="s">
        <v>245</v>
      </c>
      <c r="D399" t="s">
        <v>396</v>
      </c>
      <c r="E399" s="80">
        <f>VLOOKUP(D399,KamiBox!$C$2:$F$54,4,0)</f>
        <v>1700</v>
      </c>
      <c r="F399">
        <v>3.85</v>
      </c>
      <c r="G399" s="80">
        <f t="shared" si="6"/>
        <v>6545</v>
      </c>
      <c r="H399" s="80" t="e">
        <f>VLOOKUP(D399,'Bu Erta'!$C$2:$F$66,4,0)*F399</f>
        <v>#N/A</v>
      </c>
    </row>
    <row r="400" spans="1:8" x14ac:dyDescent="0.35">
      <c r="B400" t="s">
        <v>245</v>
      </c>
      <c r="D400" t="s">
        <v>421</v>
      </c>
      <c r="E400" s="80">
        <f>VLOOKUP(D400,KamiBox!$C$2:$F$54,4,0)</f>
        <v>1000</v>
      </c>
      <c r="F400">
        <v>0.8</v>
      </c>
      <c r="G400" s="80">
        <f t="shared" si="6"/>
        <v>800</v>
      </c>
      <c r="H400" s="80" t="e">
        <f>VLOOKUP(D400,'Bu Erta'!$C$2:$F$66,4,0)*F400</f>
        <v>#N/A</v>
      </c>
    </row>
    <row r="401" spans="1:8" x14ac:dyDescent="0.35">
      <c r="B401" t="s">
        <v>245</v>
      </c>
      <c r="D401" t="s">
        <v>7</v>
      </c>
      <c r="E401" s="80">
        <f>VLOOKUP(D401,KamiBox!$C$2:$F$54,4,0)</f>
        <v>1200</v>
      </c>
      <c r="F401">
        <f>0.45+1.05</f>
        <v>1.5</v>
      </c>
      <c r="G401" s="80">
        <f t="shared" ref="G401:G464" si="7">E401*F401</f>
        <v>1800</v>
      </c>
      <c r="H401" s="80">
        <f>VLOOKUP(D401,'Bu Erta'!$C$2:$F$66,4,0)*F401</f>
        <v>2400</v>
      </c>
    </row>
    <row r="402" spans="1:8" x14ac:dyDescent="0.35">
      <c r="B402" t="s">
        <v>245</v>
      </c>
      <c r="D402" t="s">
        <v>69</v>
      </c>
      <c r="E402" s="80">
        <f>VLOOKUP(D402,KamiBox!$C$2:$F$54,4,0)</f>
        <v>3000</v>
      </c>
      <c r="F402">
        <v>0.15</v>
      </c>
      <c r="G402" s="80">
        <f t="shared" si="7"/>
        <v>450</v>
      </c>
      <c r="H402" s="80">
        <f>VLOOKUP(D402,'Bu Erta'!$C$2:$F$66,4,0)*F402</f>
        <v>450</v>
      </c>
    </row>
    <row r="403" spans="1:8" x14ac:dyDescent="0.35">
      <c r="B403" t="s">
        <v>245</v>
      </c>
      <c r="D403" t="s">
        <v>41</v>
      </c>
      <c r="E403" s="80">
        <f>VLOOKUP(D403,KamiBox!$C$2:$F$54,4,0)</f>
        <v>2000</v>
      </c>
      <c r="F403">
        <v>0.3</v>
      </c>
      <c r="G403" s="80">
        <f t="shared" si="7"/>
        <v>600</v>
      </c>
      <c r="H403" s="80">
        <f>VLOOKUP(D403,'Bu Erta'!$C$2:$F$66,4,0)*F403</f>
        <v>600</v>
      </c>
    </row>
    <row r="404" spans="1:8" x14ac:dyDescent="0.35">
      <c r="B404" t="s">
        <v>245</v>
      </c>
      <c r="D404" t="s">
        <v>22</v>
      </c>
      <c r="E404" s="80">
        <f>VLOOKUP(D404,KamiBox!$C$2:$F$54,4,0)</f>
        <v>4000</v>
      </c>
      <c r="F404">
        <v>0.1</v>
      </c>
      <c r="G404" s="80">
        <f t="shared" si="7"/>
        <v>400</v>
      </c>
      <c r="H404" s="80">
        <f>VLOOKUP(D404,'Bu Erta'!$C$2:$F$66,4,0)*F404</f>
        <v>300</v>
      </c>
    </row>
    <row r="405" spans="1:8" x14ac:dyDescent="0.35">
      <c r="B405" t="s">
        <v>245</v>
      </c>
      <c r="D405" t="s">
        <v>393</v>
      </c>
      <c r="E405" s="80">
        <f>VLOOKUP(D405,KamiBox!$C$2:$F$54,4,0)</f>
        <v>500</v>
      </c>
      <c r="F405">
        <v>0.5</v>
      </c>
      <c r="G405" s="80">
        <f t="shared" si="7"/>
        <v>250</v>
      </c>
      <c r="H405" s="80" t="e">
        <f>VLOOKUP(D405,'Bu Erta'!$C$2:$F$66,4,0)*F405</f>
        <v>#N/A</v>
      </c>
    </row>
    <row r="406" spans="1:8" x14ac:dyDescent="0.35">
      <c r="A406" s="1">
        <v>52</v>
      </c>
      <c r="B406" t="s">
        <v>181</v>
      </c>
      <c r="C406" s="5">
        <v>2</v>
      </c>
      <c r="D406" t="s">
        <v>31</v>
      </c>
      <c r="E406" s="80">
        <f>VLOOKUP(D406,KamiBox!$C$2:$F$54,4,0)</f>
        <v>1000</v>
      </c>
      <c r="F406">
        <v>1.35</v>
      </c>
      <c r="G406" s="80">
        <f t="shared" si="7"/>
        <v>1350</v>
      </c>
      <c r="H406" s="80">
        <f>VLOOKUP(D406,'Bu Erta'!$C$2:$F$66,4,0)*F406</f>
        <v>1485</v>
      </c>
    </row>
    <row r="407" spans="1:8" x14ac:dyDescent="0.35">
      <c r="B407" t="s">
        <v>181</v>
      </c>
      <c r="D407" t="s">
        <v>422</v>
      </c>
      <c r="E407" s="80">
        <f>VLOOKUP(D407,KamiBox!$C$2:$F$54,4,0)</f>
        <v>4000</v>
      </c>
      <c r="F407">
        <v>0.4</v>
      </c>
      <c r="G407" s="80">
        <f t="shared" si="7"/>
        <v>1600</v>
      </c>
      <c r="H407" s="80" t="e">
        <f>VLOOKUP(D407,'Bu Erta'!$C$2:$F$66,4,0)*F407</f>
        <v>#N/A</v>
      </c>
    </row>
    <row r="408" spans="1:8" x14ac:dyDescent="0.35">
      <c r="B408" t="s">
        <v>181</v>
      </c>
      <c r="D408" t="s">
        <v>7</v>
      </c>
      <c r="E408" s="80">
        <f>VLOOKUP(D408,KamiBox!$C$2:$F$54,4,0)</f>
        <v>1200</v>
      </c>
      <c r="F408">
        <f>0.05+0.1</f>
        <v>0.15000000000000002</v>
      </c>
      <c r="G408" s="80">
        <f t="shared" si="7"/>
        <v>180.00000000000003</v>
      </c>
      <c r="H408" s="80">
        <f>VLOOKUP(D408,'Bu Erta'!$C$2:$F$66,4,0)*F408</f>
        <v>240.00000000000003</v>
      </c>
    </row>
    <row r="409" spans="1:8" x14ac:dyDescent="0.35">
      <c r="B409" t="s">
        <v>181</v>
      </c>
      <c r="D409" t="s">
        <v>41</v>
      </c>
      <c r="E409" s="80">
        <f>VLOOKUP(D409,KamiBox!$C$2:$F$54,4,0)</f>
        <v>2000</v>
      </c>
      <c r="F409">
        <v>0.3</v>
      </c>
      <c r="G409" s="80">
        <f t="shared" si="7"/>
        <v>600</v>
      </c>
      <c r="H409" s="80">
        <f>VLOOKUP(D409,'Bu Erta'!$C$2:$F$66,4,0)*F409</f>
        <v>600</v>
      </c>
    </row>
    <row r="410" spans="1:8" x14ac:dyDescent="0.35">
      <c r="B410" t="s">
        <v>181</v>
      </c>
      <c r="D410" t="s">
        <v>398</v>
      </c>
      <c r="E410" s="80">
        <f>VLOOKUP(D410,KamiBox!$C$2:$F$54,4,0)</f>
        <v>400</v>
      </c>
      <c r="F410">
        <f>0.65+0.25</f>
        <v>0.9</v>
      </c>
      <c r="G410" s="80">
        <f t="shared" si="7"/>
        <v>360</v>
      </c>
      <c r="H410" s="80" t="e">
        <f>VLOOKUP(D410,'Bu Erta'!$C$2:$F$66,4,0)*F410</f>
        <v>#N/A</v>
      </c>
    </row>
    <row r="411" spans="1:8" x14ac:dyDescent="0.35">
      <c r="B411" t="s">
        <v>181</v>
      </c>
      <c r="D411" t="s">
        <v>393</v>
      </c>
      <c r="E411" s="80">
        <f>VLOOKUP(D411,KamiBox!$C$2:$F$54,4,0)</f>
        <v>500</v>
      </c>
      <c r="F411">
        <v>0.45</v>
      </c>
      <c r="G411" s="80">
        <f t="shared" si="7"/>
        <v>225</v>
      </c>
      <c r="H411" s="80" t="e">
        <f>VLOOKUP(D411,'Bu Erta'!$C$2:$F$66,4,0)*F411</f>
        <v>#N/A</v>
      </c>
    </row>
    <row r="412" spans="1:8" x14ac:dyDescent="0.35">
      <c r="B412" t="s">
        <v>181</v>
      </c>
      <c r="D412" t="s">
        <v>69</v>
      </c>
      <c r="E412" s="80">
        <f>VLOOKUP(D412,KamiBox!$C$2:$F$54,4,0)</f>
        <v>3000</v>
      </c>
      <c r="F412">
        <v>0.15</v>
      </c>
      <c r="G412" s="80">
        <f t="shared" si="7"/>
        <v>450</v>
      </c>
      <c r="H412" s="80">
        <f>VLOOKUP(D412,'Bu Erta'!$C$2:$F$66,4,0)*F412</f>
        <v>450</v>
      </c>
    </row>
    <row r="413" spans="1:8" x14ac:dyDescent="0.35">
      <c r="B413" t="s">
        <v>181</v>
      </c>
      <c r="D413" t="s">
        <v>388</v>
      </c>
      <c r="E413" s="80">
        <f>VLOOKUP(D413,KamiBox!$C$2:$F$54,4,0)</f>
        <v>1000</v>
      </c>
      <c r="F413">
        <v>0.05</v>
      </c>
      <c r="G413" s="80">
        <f t="shared" si="7"/>
        <v>50</v>
      </c>
      <c r="H413" s="80" t="e">
        <f>VLOOKUP(D413,'Bu Erta'!$C$2:$F$66,4,0)*F413</f>
        <v>#N/A</v>
      </c>
    </row>
    <row r="414" spans="1:8" x14ac:dyDescent="0.35">
      <c r="B414" t="s">
        <v>181</v>
      </c>
      <c r="D414" t="s">
        <v>396</v>
      </c>
      <c r="E414" s="80">
        <f>VLOOKUP(D414,KamiBox!$C$2:$F$54,4,0)</f>
        <v>1700</v>
      </c>
      <c r="F414">
        <v>0.55000000000000004</v>
      </c>
      <c r="G414" s="80">
        <f t="shared" si="7"/>
        <v>935.00000000000011</v>
      </c>
      <c r="H414" s="80" t="e">
        <f>VLOOKUP(D414,'Bu Erta'!$C$2:$F$66,4,0)*F414</f>
        <v>#N/A</v>
      </c>
    </row>
    <row r="415" spans="1:8" x14ac:dyDescent="0.35">
      <c r="A415" s="1">
        <v>53</v>
      </c>
      <c r="B415" t="s">
        <v>132</v>
      </c>
      <c r="C415" s="5">
        <v>4</v>
      </c>
      <c r="D415" t="s">
        <v>7</v>
      </c>
      <c r="E415" s="80">
        <f>VLOOKUP(D415,KamiBox!$C$2:$F$54,4,0)</f>
        <v>1200</v>
      </c>
      <c r="F415">
        <v>3.05</v>
      </c>
      <c r="G415" s="80">
        <f t="shared" si="7"/>
        <v>3660</v>
      </c>
      <c r="H415" s="80">
        <f>VLOOKUP(D415,'Bu Erta'!$C$2:$F$66,4,0)*F415</f>
        <v>4880</v>
      </c>
    </row>
    <row r="416" spans="1:8" x14ac:dyDescent="0.35">
      <c r="B416" t="s">
        <v>132</v>
      </c>
      <c r="D416" t="s">
        <v>388</v>
      </c>
      <c r="E416" s="80">
        <f>VLOOKUP(D416,KamiBox!$C$2:$F$54,4,0)</f>
        <v>1000</v>
      </c>
      <c r="F416">
        <v>0.55000000000000004</v>
      </c>
      <c r="G416" s="80">
        <f t="shared" si="7"/>
        <v>550</v>
      </c>
      <c r="H416" s="80" t="e">
        <f>VLOOKUP(D416,'Bu Erta'!$C$2:$F$66,4,0)*F416</f>
        <v>#N/A</v>
      </c>
    </row>
    <row r="417" spans="1:8" x14ac:dyDescent="0.35">
      <c r="B417" t="s">
        <v>132</v>
      </c>
      <c r="D417" t="s">
        <v>393</v>
      </c>
      <c r="E417" s="80">
        <f>VLOOKUP(D417,KamiBox!$C$2:$F$54,4,0)</f>
        <v>500</v>
      </c>
      <c r="F417">
        <f>0.85+0.45</f>
        <v>1.3</v>
      </c>
      <c r="G417" s="80">
        <f t="shared" si="7"/>
        <v>650</v>
      </c>
      <c r="H417" s="80" t="e">
        <f>VLOOKUP(D417,'Bu Erta'!$C$2:$F$66,4,0)*F417</f>
        <v>#N/A</v>
      </c>
    </row>
    <row r="418" spans="1:8" x14ac:dyDescent="0.35">
      <c r="A418" s="1">
        <v>54</v>
      </c>
      <c r="B418" s="77" t="s">
        <v>438</v>
      </c>
      <c r="C418" s="122">
        <v>5</v>
      </c>
      <c r="D418" t="s">
        <v>396</v>
      </c>
      <c r="E418" s="80">
        <f>VLOOKUP(D418,KamiBox!$C$2:$F$54,4,0)</f>
        <v>1700</v>
      </c>
      <c r="F418">
        <f>10.35+4.2+7.15+5.95</f>
        <v>27.650000000000002</v>
      </c>
      <c r="G418" s="80">
        <f t="shared" si="7"/>
        <v>47005</v>
      </c>
      <c r="H418" s="80" t="e">
        <f>VLOOKUP(D418,'Bu Erta'!$C$2:$F$66,4,0)*F418</f>
        <v>#N/A</v>
      </c>
    </row>
    <row r="419" spans="1:8" x14ac:dyDescent="0.35">
      <c r="B419" s="77" t="s">
        <v>438</v>
      </c>
      <c r="D419" t="s">
        <v>398</v>
      </c>
      <c r="E419" s="80">
        <f>VLOOKUP(D419,KamiBox!$C$2:$F$54,4,0)</f>
        <v>400</v>
      </c>
      <c r="F419">
        <f>1.35+0.1</f>
        <v>1.4500000000000002</v>
      </c>
      <c r="G419" s="80">
        <f t="shared" si="7"/>
        <v>580.00000000000011</v>
      </c>
      <c r="H419" s="80" t="e">
        <f>VLOOKUP(D419,'Bu Erta'!$C$2:$F$66,4,0)*F419</f>
        <v>#N/A</v>
      </c>
    </row>
    <row r="420" spans="1:8" x14ac:dyDescent="0.35">
      <c r="B420" s="77" t="s">
        <v>438</v>
      </c>
      <c r="D420" t="s">
        <v>422</v>
      </c>
      <c r="E420" s="80">
        <f>VLOOKUP(D420,KamiBox!$C$2:$F$54,4,0)</f>
        <v>4000</v>
      </c>
      <c r="F420">
        <v>2.4</v>
      </c>
      <c r="G420" s="80">
        <f t="shared" si="7"/>
        <v>9600</v>
      </c>
      <c r="H420" s="80" t="e">
        <f>VLOOKUP(D420,'Bu Erta'!$C$2:$F$66,4,0)*F420</f>
        <v>#N/A</v>
      </c>
    </row>
    <row r="421" spans="1:8" x14ac:dyDescent="0.35">
      <c r="B421" s="77" t="s">
        <v>438</v>
      </c>
      <c r="D421" t="s">
        <v>7</v>
      </c>
      <c r="E421" s="80">
        <f>VLOOKUP(D421,KamiBox!$C$2:$F$54,4,0)</f>
        <v>1200</v>
      </c>
      <c r="F421">
        <v>2.1</v>
      </c>
      <c r="G421" s="80">
        <f t="shared" si="7"/>
        <v>2520</v>
      </c>
      <c r="H421" s="80">
        <f>VLOOKUP(D421,'Bu Erta'!$C$2:$F$66,4,0)*F421</f>
        <v>3360</v>
      </c>
    </row>
    <row r="422" spans="1:8" x14ac:dyDescent="0.35">
      <c r="B422" s="77" t="s">
        <v>438</v>
      </c>
      <c r="D422" t="s">
        <v>31</v>
      </c>
      <c r="E422" s="80">
        <f>VLOOKUP(D422,KamiBox!$C$2:$F$54,4,0)</f>
        <v>1000</v>
      </c>
      <c r="F422">
        <v>2.25</v>
      </c>
      <c r="G422" s="80">
        <f t="shared" si="7"/>
        <v>2250</v>
      </c>
      <c r="H422" s="80">
        <f>VLOOKUP(D422,'Bu Erta'!$C$2:$F$66,4,0)*F422</f>
        <v>2475</v>
      </c>
    </row>
    <row r="423" spans="1:8" x14ac:dyDescent="0.35">
      <c r="A423" s="1">
        <v>55</v>
      </c>
      <c r="B423" s="77" t="s">
        <v>439</v>
      </c>
      <c r="C423" s="122">
        <v>4</v>
      </c>
      <c r="D423" t="s">
        <v>396</v>
      </c>
      <c r="E423" s="80">
        <f>VLOOKUP(D423,KamiBox!$C$2:$F$54,4,0)</f>
        <v>1700</v>
      </c>
      <c r="F423">
        <v>3.3</v>
      </c>
      <c r="G423" s="80">
        <f t="shared" si="7"/>
        <v>5610</v>
      </c>
      <c r="H423" s="80" t="e">
        <f>VLOOKUP(D423,'Bu Erta'!$C$2:$F$66,4,0)*F423</f>
        <v>#N/A</v>
      </c>
    </row>
    <row r="424" spans="1:8" x14ac:dyDescent="0.35">
      <c r="B424" s="77" t="s">
        <v>439</v>
      </c>
      <c r="D424" t="s">
        <v>31</v>
      </c>
      <c r="E424" s="80">
        <f>VLOOKUP(D424,KamiBox!$C$2:$F$54,4,0)</f>
        <v>1000</v>
      </c>
      <c r="F424">
        <f>1.2+1.3</f>
        <v>2.5</v>
      </c>
      <c r="G424" s="80">
        <f t="shared" si="7"/>
        <v>2500</v>
      </c>
      <c r="H424" s="80">
        <f>VLOOKUP(D424,'Bu Erta'!$C$2:$F$66,4,0)*F424</f>
        <v>2750</v>
      </c>
    </row>
    <row r="425" spans="1:8" x14ac:dyDescent="0.35">
      <c r="B425" s="77" t="s">
        <v>439</v>
      </c>
      <c r="D425" t="s">
        <v>393</v>
      </c>
      <c r="E425" s="80">
        <f>VLOOKUP(D425,KamiBox!$C$2:$F$54,4,0)</f>
        <v>500</v>
      </c>
      <c r="F425">
        <v>1.55</v>
      </c>
      <c r="G425" s="80">
        <f t="shared" si="7"/>
        <v>775</v>
      </c>
      <c r="H425" s="80" t="e">
        <f>VLOOKUP(D425,'Bu Erta'!$C$2:$F$66,4,0)*F425</f>
        <v>#N/A</v>
      </c>
    </row>
    <row r="426" spans="1:8" x14ac:dyDescent="0.35">
      <c r="B426" s="77" t="s">
        <v>439</v>
      </c>
      <c r="D426" t="s">
        <v>69</v>
      </c>
      <c r="E426" s="80">
        <f>VLOOKUP(D426,KamiBox!$C$2:$F$54,4,0)</f>
        <v>3000</v>
      </c>
      <c r="F426">
        <v>0.45</v>
      </c>
      <c r="G426" s="80">
        <f t="shared" si="7"/>
        <v>1350</v>
      </c>
      <c r="H426" s="80">
        <f>VLOOKUP(D426,'Bu Erta'!$C$2:$F$66,4,0)*F426</f>
        <v>1350</v>
      </c>
    </row>
    <row r="427" spans="1:8" x14ac:dyDescent="0.35">
      <c r="A427" s="1">
        <v>56</v>
      </c>
      <c r="B427" t="s">
        <v>192</v>
      </c>
      <c r="C427" s="5">
        <v>4</v>
      </c>
      <c r="D427" t="s">
        <v>422</v>
      </c>
      <c r="E427" s="80">
        <f>VLOOKUP(D427,KamiBox!$C$2:$F$54,4,0)</f>
        <v>4000</v>
      </c>
      <c r="F427">
        <v>0.65</v>
      </c>
      <c r="G427" s="80">
        <f t="shared" si="7"/>
        <v>2600</v>
      </c>
      <c r="H427" s="80" t="e">
        <f>VLOOKUP(D427,'Bu Erta'!$C$2:$F$66,4,0)*F427</f>
        <v>#N/A</v>
      </c>
    </row>
    <row r="428" spans="1:8" x14ac:dyDescent="0.35">
      <c r="B428" t="s">
        <v>192</v>
      </c>
      <c r="D428" t="s">
        <v>396</v>
      </c>
      <c r="E428" s="80">
        <f>VLOOKUP(D428,KamiBox!$C$2:$F$54,4,0)</f>
        <v>1700</v>
      </c>
      <c r="F428">
        <v>0.6</v>
      </c>
      <c r="G428" s="80">
        <f t="shared" si="7"/>
        <v>1020</v>
      </c>
      <c r="H428" s="80" t="e">
        <f>VLOOKUP(D428,'Bu Erta'!$C$2:$F$66,4,0)*F428</f>
        <v>#N/A</v>
      </c>
    </row>
    <row r="429" spans="1:8" x14ac:dyDescent="0.35">
      <c r="B429" t="s">
        <v>192</v>
      </c>
      <c r="D429" t="s">
        <v>414</v>
      </c>
      <c r="E429" s="80">
        <f>VLOOKUP(D429,KamiBox!$C$2:$F$54,4,0)</f>
        <v>200</v>
      </c>
      <c r="F429">
        <v>1.45</v>
      </c>
      <c r="G429" s="80">
        <f t="shared" si="7"/>
        <v>290</v>
      </c>
      <c r="H429" s="80" t="e">
        <f>VLOOKUP(D429,'Bu Erta'!$C$2:$F$66,4,0)*F429</f>
        <v>#N/A</v>
      </c>
    </row>
    <row r="430" spans="1:8" x14ac:dyDescent="0.35">
      <c r="B430" t="s">
        <v>192</v>
      </c>
      <c r="D430" t="s">
        <v>31</v>
      </c>
      <c r="E430" s="80">
        <f>VLOOKUP(D430,KamiBox!$C$2:$F$54,4,0)</f>
        <v>1000</v>
      </c>
      <c r="F430">
        <f>0.7+0.4</f>
        <v>1.1000000000000001</v>
      </c>
      <c r="G430" s="80">
        <f t="shared" si="7"/>
        <v>1100</v>
      </c>
      <c r="H430" s="80">
        <f>VLOOKUP(D430,'Bu Erta'!$C$2:$F$66,4,0)*F430</f>
        <v>1210</v>
      </c>
    </row>
    <row r="431" spans="1:8" x14ac:dyDescent="0.35">
      <c r="B431" t="s">
        <v>192</v>
      </c>
      <c r="D431" t="s">
        <v>69</v>
      </c>
      <c r="E431" s="80">
        <f>VLOOKUP(D431,KamiBox!$C$2:$F$54,4,0)</f>
        <v>3000</v>
      </c>
      <c r="F431">
        <v>0.2</v>
      </c>
      <c r="G431" s="80">
        <f t="shared" si="7"/>
        <v>600</v>
      </c>
      <c r="H431" s="80">
        <f>VLOOKUP(D431,'Bu Erta'!$C$2:$F$66,4,0)*F431</f>
        <v>600</v>
      </c>
    </row>
    <row r="432" spans="1:8" x14ac:dyDescent="0.35">
      <c r="B432" t="s">
        <v>192</v>
      </c>
      <c r="D432" t="s">
        <v>393</v>
      </c>
      <c r="E432" s="80">
        <f>VLOOKUP(D432,KamiBox!$C$2:$F$54,4,0)</f>
        <v>500</v>
      </c>
      <c r="F432">
        <v>0.1</v>
      </c>
      <c r="G432" s="80">
        <f t="shared" si="7"/>
        <v>50</v>
      </c>
      <c r="H432" s="80" t="e">
        <f>VLOOKUP(D432,'Bu Erta'!$C$2:$F$66,4,0)*F432</f>
        <v>#N/A</v>
      </c>
    </row>
    <row r="433" spans="1:8" x14ac:dyDescent="0.35">
      <c r="B433" t="s">
        <v>192</v>
      </c>
      <c r="D433" t="s">
        <v>388</v>
      </c>
      <c r="E433" s="80">
        <f>VLOOKUP(D433,KamiBox!$C$2:$F$54,4,0)</f>
        <v>1000</v>
      </c>
      <c r="F433">
        <v>0.1</v>
      </c>
      <c r="G433" s="80">
        <f t="shared" si="7"/>
        <v>100</v>
      </c>
      <c r="H433" s="80" t="e">
        <f>VLOOKUP(D433,'Bu Erta'!$C$2:$F$66,4,0)*F433</f>
        <v>#N/A</v>
      </c>
    </row>
    <row r="434" spans="1:8" x14ac:dyDescent="0.35">
      <c r="A434" s="1">
        <v>57</v>
      </c>
      <c r="B434" t="s">
        <v>84</v>
      </c>
      <c r="C434" s="5">
        <v>4</v>
      </c>
      <c r="D434" t="s">
        <v>396</v>
      </c>
      <c r="E434" s="80">
        <f>VLOOKUP(D434,KamiBox!$C$2:$F$54,4,0)</f>
        <v>1700</v>
      </c>
      <c r="F434">
        <v>2.15</v>
      </c>
      <c r="G434" s="80">
        <f t="shared" si="7"/>
        <v>3655</v>
      </c>
      <c r="H434" s="80" t="e">
        <f>VLOOKUP(D434,'Bu Erta'!$C$2:$F$66,4,0)*F434</f>
        <v>#N/A</v>
      </c>
    </row>
    <row r="435" spans="1:8" x14ac:dyDescent="0.35">
      <c r="B435" t="s">
        <v>84</v>
      </c>
      <c r="D435" t="s">
        <v>407</v>
      </c>
      <c r="E435" s="80">
        <f>VLOOKUP(D435,KamiBox!$C$2:$F$54,4,0)</f>
        <v>7000</v>
      </c>
      <c r="F435">
        <v>2.35</v>
      </c>
      <c r="G435" s="80">
        <f t="shared" si="7"/>
        <v>16450</v>
      </c>
      <c r="H435" s="80" t="e">
        <f>VLOOKUP(D435,'Bu Erta'!$C$2:$F$66,4,0)*F435</f>
        <v>#N/A</v>
      </c>
    </row>
    <row r="436" spans="1:8" x14ac:dyDescent="0.35">
      <c r="B436" t="s">
        <v>84</v>
      </c>
      <c r="D436" t="s">
        <v>398</v>
      </c>
      <c r="E436" s="80">
        <f>VLOOKUP(D436,KamiBox!$C$2:$F$54,4,0)</f>
        <v>400</v>
      </c>
      <c r="F436">
        <v>2.5</v>
      </c>
      <c r="G436" s="80">
        <f t="shared" si="7"/>
        <v>1000</v>
      </c>
      <c r="H436" s="80" t="e">
        <f>VLOOKUP(D436,'Bu Erta'!$C$2:$F$66,4,0)*F436</f>
        <v>#N/A</v>
      </c>
    </row>
    <row r="437" spans="1:8" x14ac:dyDescent="0.35">
      <c r="B437" t="s">
        <v>84</v>
      </c>
      <c r="D437" t="s">
        <v>393</v>
      </c>
      <c r="E437" s="80">
        <f>VLOOKUP(D437,KamiBox!$C$2:$F$54,4,0)</f>
        <v>500</v>
      </c>
      <c r="F437">
        <v>2.0499999999999998</v>
      </c>
      <c r="G437" s="80">
        <f t="shared" si="7"/>
        <v>1025</v>
      </c>
      <c r="H437" s="80" t="e">
        <f>VLOOKUP(D437,'Bu Erta'!$C$2:$F$66,4,0)*F437</f>
        <v>#N/A</v>
      </c>
    </row>
    <row r="438" spans="1:8" x14ac:dyDescent="0.35">
      <c r="B438" t="s">
        <v>84</v>
      </c>
      <c r="D438" t="s">
        <v>7</v>
      </c>
      <c r="E438" s="80">
        <f>VLOOKUP(D438,KamiBox!$C$2:$F$54,4,0)</f>
        <v>1200</v>
      </c>
      <c r="F438">
        <f>1.2+0.1</f>
        <v>1.3</v>
      </c>
      <c r="G438" s="80">
        <f t="shared" si="7"/>
        <v>1560</v>
      </c>
      <c r="H438" s="80">
        <f>VLOOKUP(D438,'Bu Erta'!$C$2:$F$66,4,0)*F438</f>
        <v>2080</v>
      </c>
    </row>
    <row r="439" spans="1:8" x14ac:dyDescent="0.35">
      <c r="B439" t="s">
        <v>84</v>
      </c>
      <c r="D439" t="s">
        <v>390</v>
      </c>
      <c r="E439" s="80">
        <f>VLOOKUP(D439,KamiBox!$C$2:$F$54,4,0)</f>
        <v>400</v>
      </c>
      <c r="F439">
        <v>0.1</v>
      </c>
      <c r="G439" s="80">
        <f t="shared" si="7"/>
        <v>40</v>
      </c>
      <c r="H439" s="80" t="e">
        <f>VLOOKUP(D439,'Bu Erta'!$C$2:$F$66,4,0)*F439</f>
        <v>#N/A</v>
      </c>
    </row>
    <row r="440" spans="1:8" x14ac:dyDescent="0.35">
      <c r="B440" t="s">
        <v>84</v>
      </c>
      <c r="D440" t="s">
        <v>420</v>
      </c>
      <c r="E440" s="80">
        <f>VLOOKUP(D440,KamiBox!$C$2:$F$54,4,0)</f>
        <v>3500</v>
      </c>
      <c r="F440">
        <v>1.35</v>
      </c>
      <c r="G440" s="80">
        <f t="shared" si="7"/>
        <v>4725</v>
      </c>
      <c r="H440" s="80" t="e">
        <f>VLOOKUP(D440,'Bu Erta'!$C$2:$F$66,4,0)*F440</f>
        <v>#N/A</v>
      </c>
    </row>
    <row r="441" spans="1:8" x14ac:dyDescent="0.35">
      <c r="B441" t="s">
        <v>84</v>
      </c>
      <c r="D441" t="s">
        <v>419</v>
      </c>
      <c r="E441" s="80">
        <f>VLOOKUP(D441,KamiBox!$C$2:$F$54,4,0)</f>
        <v>2000</v>
      </c>
      <c r="F441">
        <v>0.15</v>
      </c>
      <c r="G441" s="80">
        <f t="shared" si="7"/>
        <v>300</v>
      </c>
      <c r="H441" s="80" t="e">
        <f>VLOOKUP(D441,'Bu Erta'!$C$2:$F$66,4,0)*F441</f>
        <v>#N/A</v>
      </c>
    </row>
    <row r="442" spans="1:8" x14ac:dyDescent="0.35">
      <c r="B442" t="s">
        <v>84</v>
      </c>
      <c r="D442" t="s">
        <v>405</v>
      </c>
      <c r="E442" s="80">
        <f>VLOOKUP(D442,KamiBox!$C$2:$F$54,4,0)</f>
        <v>100</v>
      </c>
      <c r="F442">
        <v>1</v>
      </c>
      <c r="G442" s="80">
        <f t="shared" si="7"/>
        <v>100</v>
      </c>
      <c r="H442" s="80" t="e">
        <f>VLOOKUP(D442,'Bu Erta'!$C$2:$F$66,4,0)*F442</f>
        <v>#N/A</v>
      </c>
    </row>
    <row r="443" spans="1:8" x14ac:dyDescent="0.35">
      <c r="B443" t="s">
        <v>84</v>
      </c>
      <c r="D443" t="s">
        <v>41</v>
      </c>
      <c r="E443" s="80">
        <f>VLOOKUP(D443,KamiBox!$C$2:$F$54,4,0)</f>
        <v>2000</v>
      </c>
      <c r="F443">
        <v>0.3</v>
      </c>
      <c r="G443" s="80">
        <f t="shared" si="7"/>
        <v>600</v>
      </c>
      <c r="H443" s="80">
        <f>VLOOKUP(D443,'Bu Erta'!$C$2:$F$66,4,0)*F443</f>
        <v>600</v>
      </c>
    </row>
    <row r="444" spans="1:8" x14ac:dyDescent="0.35">
      <c r="B444" t="s">
        <v>84</v>
      </c>
      <c r="D444" t="s">
        <v>388</v>
      </c>
      <c r="E444" s="80">
        <f>VLOOKUP(D444,KamiBox!$C$2:$F$54,4,0)</f>
        <v>1000</v>
      </c>
      <c r="F444">
        <v>0.15</v>
      </c>
      <c r="G444" s="80">
        <f t="shared" si="7"/>
        <v>150</v>
      </c>
      <c r="H444" s="80" t="e">
        <f>VLOOKUP(D444,'Bu Erta'!$C$2:$F$66,4,0)*F444</f>
        <v>#N/A</v>
      </c>
    </row>
    <row r="445" spans="1:8" x14ac:dyDescent="0.35">
      <c r="E445" s="80" t="e">
        <f>VLOOKUP(D445,KamiBox!$C$2:$F$54,4,0)</f>
        <v>#N/A</v>
      </c>
      <c r="G445" s="80" t="e">
        <f t="shared" si="7"/>
        <v>#N/A</v>
      </c>
      <c r="H445" s="80" t="e">
        <f>VLOOKUP(D445,'Bu Erta'!$C$2:$F$66,4,0)*F445</f>
        <v>#N/A</v>
      </c>
    </row>
    <row r="446" spans="1:8" x14ac:dyDescent="0.35">
      <c r="E446" s="80" t="e">
        <f>VLOOKUP(D446,KamiBox!$C$2:$F$54,4,0)</f>
        <v>#N/A</v>
      </c>
      <c r="G446" s="80" t="e">
        <f t="shared" si="7"/>
        <v>#N/A</v>
      </c>
      <c r="H446" s="80" t="e">
        <f>VLOOKUP(D446,'Bu Erta'!$C$2:$F$66,4,0)*F446</f>
        <v>#N/A</v>
      </c>
    </row>
    <row r="447" spans="1:8" x14ac:dyDescent="0.35">
      <c r="E447" s="80" t="e">
        <f>VLOOKUP(D447,KamiBox!$C$2:$F$54,4,0)</f>
        <v>#N/A</v>
      </c>
      <c r="G447" s="80" t="e">
        <f t="shared" si="7"/>
        <v>#N/A</v>
      </c>
      <c r="H447" s="80" t="e">
        <f>VLOOKUP(D447,'Bu Erta'!$C$2:$F$66,4,0)*F447</f>
        <v>#N/A</v>
      </c>
    </row>
    <row r="448" spans="1:8" x14ac:dyDescent="0.35">
      <c r="E448" s="80" t="e">
        <f>VLOOKUP(D448,KamiBox!$C$2:$F$54,4,0)</f>
        <v>#N/A</v>
      </c>
      <c r="G448" s="80" t="e">
        <f t="shared" si="7"/>
        <v>#N/A</v>
      </c>
      <c r="H448" s="80" t="e">
        <f>VLOOKUP(D448,'Bu Erta'!$C$2:$F$66,4,0)*F448</f>
        <v>#N/A</v>
      </c>
    </row>
    <row r="449" spans="5:8" x14ac:dyDescent="0.35">
      <c r="E449" s="80" t="e">
        <f>VLOOKUP(D449,KamiBox!$C$2:$F$54,4,0)</f>
        <v>#N/A</v>
      </c>
      <c r="G449" s="80" t="e">
        <f t="shared" si="7"/>
        <v>#N/A</v>
      </c>
      <c r="H449" s="80" t="e">
        <f>VLOOKUP(D449,'Bu Erta'!$C$2:$F$66,4,0)*F449</f>
        <v>#N/A</v>
      </c>
    </row>
    <row r="450" spans="5:8" x14ac:dyDescent="0.35">
      <c r="E450" s="80" t="e">
        <f>VLOOKUP(D450,KamiBox!$C$2:$F$54,4,0)</f>
        <v>#N/A</v>
      </c>
      <c r="G450" s="80" t="e">
        <f t="shared" si="7"/>
        <v>#N/A</v>
      </c>
      <c r="H450" s="80" t="e">
        <f>VLOOKUP(D450,'Bu Erta'!$C$2:$F$66,4,0)*F450</f>
        <v>#N/A</v>
      </c>
    </row>
    <row r="451" spans="5:8" x14ac:dyDescent="0.35">
      <c r="E451" s="80" t="e">
        <f>VLOOKUP(D451,KamiBox!$C$2:$F$54,4,0)</f>
        <v>#N/A</v>
      </c>
      <c r="G451" s="80" t="e">
        <f t="shared" si="7"/>
        <v>#N/A</v>
      </c>
      <c r="H451" s="80" t="e">
        <f>VLOOKUP(D451,'Bu Erta'!$C$2:$F$66,4,0)*F451</f>
        <v>#N/A</v>
      </c>
    </row>
    <row r="452" spans="5:8" x14ac:dyDescent="0.35">
      <c r="E452" s="80" t="e">
        <f>VLOOKUP(D452,KamiBox!$C$2:$F$54,4,0)</f>
        <v>#N/A</v>
      </c>
      <c r="G452" s="80" t="e">
        <f t="shared" si="7"/>
        <v>#N/A</v>
      </c>
      <c r="H452" s="80" t="e">
        <f>VLOOKUP(D452,'Bu Erta'!$C$2:$F$66,4,0)*F452</f>
        <v>#N/A</v>
      </c>
    </row>
    <row r="453" spans="5:8" x14ac:dyDescent="0.35">
      <c r="E453" s="80" t="e">
        <f>VLOOKUP(D453,KamiBox!$C$2:$F$54,4,0)</f>
        <v>#N/A</v>
      </c>
      <c r="G453" s="80" t="e">
        <f t="shared" si="7"/>
        <v>#N/A</v>
      </c>
      <c r="H453" s="80" t="e">
        <f>VLOOKUP(D453,'Bu Erta'!$C$2:$F$66,4,0)*F453</f>
        <v>#N/A</v>
      </c>
    </row>
    <row r="454" spans="5:8" x14ac:dyDescent="0.35">
      <c r="E454" s="80" t="e">
        <f>VLOOKUP(D454,KamiBox!$C$2:$F$54,4,0)</f>
        <v>#N/A</v>
      </c>
      <c r="G454" s="80" t="e">
        <f t="shared" si="7"/>
        <v>#N/A</v>
      </c>
      <c r="H454" s="80" t="e">
        <f>VLOOKUP(D454,'Bu Erta'!$C$2:$F$66,4,0)*F454</f>
        <v>#N/A</v>
      </c>
    </row>
    <row r="455" spans="5:8" x14ac:dyDescent="0.35">
      <c r="E455" s="80" t="e">
        <f>VLOOKUP(D455,KamiBox!$C$2:$F$54,4,0)</f>
        <v>#N/A</v>
      </c>
      <c r="G455" s="80" t="e">
        <f t="shared" si="7"/>
        <v>#N/A</v>
      </c>
      <c r="H455" s="80" t="e">
        <f>VLOOKUP(D455,'Bu Erta'!$C$2:$F$66,4,0)*F455</f>
        <v>#N/A</v>
      </c>
    </row>
    <row r="456" spans="5:8" x14ac:dyDescent="0.35">
      <c r="E456" s="80" t="e">
        <f>VLOOKUP(D456,KamiBox!$C$2:$F$54,4,0)</f>
        <v>#N/A</v>
      </c>
      <c r="G456" s="80" t="e">
        <f t="shared" si="7"/>
        <v>#N/A</v>
      </c>
      <c r="H456" s="80" t="e">
        <f>VLOOKUP(D456,'Bu Erta'!$C$2:$F$66,4,0)*F456</f>
        <v>#N/A</v>
      </c>
    </row>
    <row r="457" spans="5:8" x14ac:dyDescent="0.35">
      <c r="E457" s="80" t="e">
        <f>VLOOKUP(D457,KamiBox!$C$2:$F$54,4,0)</f>
        <v>#N/A</v>
      </c>
      <c r="G457" s="80" t="e">
        <f t="shared" si="7"/>
        <v>#N/A</v>
      </c>
      <c r="H457" s="80" t="e">
        <f>VLOOKUP(D457,'Bu Erta'!$C$2:$F$66,4,0)*F457</f>
        <v>#N/A</v>
      </c>
    </row>
    <row r="458" spans="5:8" x14ac:dyDescent="0.35">
      <c r="E458" s="80" t="e">
        <f>VLOOKUP(D458,KamiBox!$C$2:$F$54,4,0)</f>
        <v>#N/A</v>
      </c>
      <c r="G458" s="80" t="e">
        <f t="shared" si="7"/>
        <v>#N/A</v>
      </c>
      <c r="H458" s="80" t="e">
        <f>VLOOKUP(D458,'Bu Erta'!$C$2:$F$66,4,0)*F458</f>
        <v>#N/A</v>
      </c>
    </row>
    <row r="459" spans="5:8" x14ac:dyDescent="0.35">
      <c r="E459" s="80" t="e">
        <f>VLOOKUP(D459,KamiBox!$C$2:$F$54,4,0)</f>
        <v>#N/A</v>
      </c>
      <c r="G459" s="80" t="e">
        <f t="shared" si="7"/>
        <v>#N/A</v>
      </c>
      <c r="H459" s="80" t="e">
        <f>VLOOKUP(D459,'Bu Erta'!$C$2:$F$66,4,0)*F459</f>
        <v>#N/A</v>
      </c>
    </row>
    <row r="460" spans="5:8" x14ac:dyDescent="0.35">
      <c r="E460" s="80" t="e">
        <f>VLOOKUP(D460,KamiBox!$C$2:$F$54,4,0)</f>
        <v>#N/A</v>
      </c>
      <c r="G460" s="80" t="e">
        <f t="shared" si="7"/>
        <v>#N/A</v>
      </c>
      <c r="H460" s="80" t="e">
        <f>VLOOKUP(D460,'Bu Erta'!$C$2:$F$66,4,0)*F460</f>
        <v>#N/A</v>
      </c>
    </row>
    <row r="461" spans="5:8" x14ac:dyDescent="0.35">
      <c r="E461" s="80" t="e">
        <f>VLOOKUP(D461,KamiBox!$C$2:$F$54,4,0)</f>
        <v>#N/A</v>
      </c>
      <c r="G461" s="80" t="e">
        <f t="shared" si="7"/>
        <v>#N/A</v>
      </c>
      <c r="H461" s="80" t="e">
        <f>VLOOKUP(D461,'Bu Erta'!$C$2:$F$66,4,0)*F461</f>
        <v>#N/A</v>
      </c>
    </row>
    <row r="462" spans="5:8" x14ac:dyDescent="0.35">
      <c r="E462" s="80" t="e">
        <f>VLOOKUP(D462,KamiBox!$C$2:$F$54,4,0)</f>
        <v>#N/A</v>
      </c>
      <c r="G462" s="80" t="e">
        <f t="shared" si="7"/>
        <v>#N/A</v>
      </c>
      <c r="H462" s="80" t="e">
        <f>VLOOKUP(D462,'Bu Erta'!$C$2:$F$66,4,0)*F462</f>
        <v>#N/A</v>
      </c>
    </row>
    <row r="463" spans="5:8" x14ac:dyDescent="0.35">
      <c r="E463" s="80" t="e">
        <f>VLOOKUP(D463,KamiBox!$C$2:$F$54,4,0)</f>
        <v>#N/A</v>
      </c>
      <c r="G463" s="80" t="e">
        <f t="shared" si="7"/>
        <v>#N/A</v>
      </c>
      <c r="H463" s="80" t="e">
        <f>VLOOKUP(D463,'Bu Erta'!$C$2:$F$66,4,0)*F463</f>
        <v>#N/A</v>
      </c>
    </row>
    <row r="464" spans="5:8" x14ac:dyDescent="0.35">
      <c r="E464" s="80" t="e">
        <f>VLOOKUP(D464,KamiBox!$C$2:$F$54,4,0)</f>
        <v>#N/A</v>
      </c>
      <c r="G464" s="80" t="e">
        <f t="shared" si="7"/>
        <v>#N/A</v>
      </c>
      <c r="H464" s="80" t="e">
        <f>VLOOKUP(D464,'Bu Erta'!$C$2:$F$66,4,0)*F464</f>
        <v>#N/A</v>
      </c>
    </row>
    <row r="465" spans="5:8" x14ac:dyDescent="0.35">
      <c r="E465" s="80" t="e">
        <f>VLOOKUP(D465,KamiBox!$C$2:$F$54,4,0)</f>
        <v>#N/A</v>
      </c>
      <c r="G465" s="80" t="e">
        <f t="shared" ref="G465:G515" si="8">E465*F465</f>
        <v>#N/A</v>
      </c>
      <c r="H465" s="80" t="e">
        <f>VLOOKUP(D465,'Bu Erta'!$C$2:$F$66,4,0)*F465</f>
        <v>#N/A</v>
      </c>
    </row>
    <row r="466" spans="5:8" x14ac:dyDescent="0.35">
      <c r="E466" s="80" t="e">
        <f>VLOOKUP(D466,KamiBox!$C$2:$F$54,4,0)</f>
        <v>#N/A</v>
      </c>
      <c r="G466" s="80" t="e">
        <f t="shared" si="8"/>
        <v>#N/A</v>
      </c>
      <c r="H466" s="80" t="e">
        <f>VLOOKUP(D466,'Bu Erta'!$C$2:$F$66,4,0)*F466</f>
        <v>#N/A</v>
      </c>
    </row>
    <row r="467" spans="5:8" x14ac:dyDescent="0.35">
      <c r="E467" s="80" t="e">
        <f>VLOOKUP(D467,KamiBox!$C$2:$F$54,4,0)</f>
        <v>#N/A</v>
      </c>
      <c r="G467" s="80" t="e">
        <f t="shared" si="8"/>
        <v>#N/A</v>
      </c>
      <c r="H467" s="80" t="e">
        <f>VLOOKUP(D467,'Bu Erta'!$C$2:$F$66,4,0)*F467</f>
        <v>#N/A</v>
      </c>
    </row>
    <row r="468" spans="5:8" x14ac:dyDescent="0.35">
      <c r="E468" s="80" t="e">
        <f>VLOOKUP(D468,KamiBox!$C$2:$F$54,4,0)</f>
        <v>#N/A</v>
      </c>
      <c r="G468" s="80" t="e">
        <f t="shared" si="8"/>
        <v>#N/A</v>
      </c>
      <c r="H468" s="80" t="e">
        <f>VLOOKUP(D468,'Bu Erta'!$C$2:$F$66,4,0)*F468</f>
        <v>#N/A</v>
      </c>
    </row>
    <row r="469" spans="5:8" x14ac:dyDescent="0.35">
      <c r="E469" s="80" t="e">
        <f>VLOOKUP(D469,KamiBox!$C$2:$F$54,4,0)</f>
        <v>#N/A</v>
      </c>
      <c r="G469" s="80" t="e">
        <f t="shared" si="8"/>
        <v>#N/A</v>
      </c>
      <c r="H469" s="80" t="e">
        <f>VLOOKUP(D469,'Bu Erta'!$C$2:$F$66,4,0)*F469</f>
        <v>#N/A</v>
      </c>
    </row>
    <row r="470" spans="5:8" x14ac:dyDescent="0.35">
      <c r="E470" s="80" t="e">
        <f>VLOOKUP(D470,KamiBox!$C$2:$F$54,4,0)</f>
        <v>#N/A</v>
      </c>
      <c r="G470" s="80" t="e">
        <f t="shared" si="8"/>
        <v>#N/A</v>
      </c>
      <c r="H470" s="80" t="e">
        <f>VLOOKUP(D470,'Bu Erta'!$C$2:$F$66,4,0)*F470</f>
        <v>#N/A</v>
      </c>
    </row>
    <row r="471" spans="5:8" x14ac:dyDescent="0.35">
      <c r="E471" s="80" t="e">
        <f>VLOOKUP(D471,KamiBox!$C$2:$F$54,4,0)</f>
        <v>#N/A</v>
      </c>
      <c r="G471" s="80" t="e">
        <f t="shared" si="8"/>
        <v>#N/A</v>
      </c>
      <c r="H471" s="80" t="e">
        <f>VLOOKUP(D471,'Bu Erta'!$C$2:$F$66,4,0)*F471</f>
        <v>#N/A</v>
      </c>
    </row>
    <row r="472" spans="5:8" x14ac:dyDescent="0.35">
      <c r="E472" s="80" t="e">
        <f>VLOOKUP(D472,KamiBox!$C$2:$F$54,4,0)</f>
        <v>#N/A</v>
      </c>
      <c r="G472" s="80" t="e">
        <f t="shared" si="8"/>
        <v>#N/A</v>
      </c>
      <c r="H472" s="80" t="e">
        <f>VLOOKUP(D472,'Bu Erta'!$C$2:$F$66,4,0)*F472</f>
        <v>#N/A</v>
      </c>
    </row>
    <row r="473" spans="5:8" x14ac:dyDescent="0.35">
      <c r="E473" s="80" t="e">
        <f>VLOOKUP(D473,KamiBox!$C$2:$F$54,4,0)</f>
        <v>#N/A</v>
      </c>
      <c r="G473" s="80" t="e">
        <f t="shared" si="8"/>
        <v>#N/A</v>
      </c>
      <c r="H473" s="80" t="e">
        <f>VLOOKUP(D473,'Bu Erta'!$C$2:$F$66,4,0)*F473</f>
        <v>#N/A</v>
      </c>
    </row>
    <row r="474" spans="5:8" x14ac:dyDescent="0.35">
      <c r="E474" s="80" t="e">
        <f>VLOOKUP(D474,KamiBox!$C$2:$F$54,4,0)</f>
        <v>#N/A</v>
      </c>
      <c r="G474" s="80" t="e">
        <f t="shared" si="8"/>
        <v>#N/A</v>
      </c>
      <c r="H474" s="80" t="e">
        <f>VLOOKUP(D474,'Bu Erta'!$C$2:$F$66,4,0)*F474</f>
        <v>#N/A</v>
      </c>
    </row>
    <row r="475" spans="5:8" x14ac:dyDescent="0.35">
      <c r="E475" s="80" t="e">
        <f>VLOOKUP(D475,KamiBox!$C$2:$F$54,4,0)</f>
        <v>#N/A</v>
      </c>
      <c r="G475" s="80" t="e">
        <f t="shared" si="8"/>
        <v>#N/A</v>
      </c>
      <c r="H475" s="80" t="e">
        <f>VLOOKUP(D475,'Bu Erta'!$C$2:$F$66,4,0)*F475</f>
        <v>#N/A</v>
      </c>
    </row>
    <row r="476" spans="5:8" x14ac:dyDescent="0.35">
      <c r="E476" s="80" t="e">
        <f>VLOOKUP(D476,KamiBox!$C$2:$F$54,4,0)</f>
        <v>#N/A</v>
      </c>
      <c r="G476" s="80" t="e">
        <f t="shared" si="8"/>
        <v>#N/A</v>
      </c>
      <c r="H476" s="80" t="e">
        <f>VLOOKUP(D476,'Bu Erta'!$C$2:$F$66,4,0)*F476</f>
        <v>#N/A</v>
      </c>
    </row>
    <row r="477" spans="5:8" x14ac:dyDescent="0.35">
      <c r="E477" s="80" t="e">
        <f>VLOOKUP(D477,KamiBox!$C$2:$F$54,4,0)</f>
        <v>#N/A</v>
      </c>
      <c r="G477" s="80" t="e">
        <f t="shared" si="8"/>
        <v>#N/A</v>
      </c>
      <c r="H477" s="80" t="e">
        <f>VLOOKUP(D477,'Bu Erta'!$C$2:$F$66,4,0)*F477</f>
        <v>#N/A</v>
      </c>
    </row>
    <row r="478" spans="5:8" x14ac:dyDescent="0.35">
      <c r="E478" s="80" t="e">
        <f>VLOOKUP(D478,KamiBox!$C$2:$F$54,4,0)</f>
        <v>#N/A</v>
      </c>
      <c r="G478" s="80" t="e">
        <f t="shared" si="8"/>
        <v>#N/A</v>
      </c>
      <c r="H478" s="80" t="e">
        <f>VLOOKUP(D478,'Bu Erta'!$C$2:$F$66,4,0)*F478</f>
        <v>#N/A</v>
      </c>
    </row>
    <row r="479" spans="5:8" x14ac:dyDescent="0.35">
      <c r="E479" s="80" t="e">
        <f>VLOOKUP(D479,KamiBox!$C$2:$F$54,4,0)</f>
        <v>#N/A</v>
      </c>
      <c r="G479" s="80" t="e">
        <f t="shared" si="8"/>
        <v>#N/A</v>
      </c>
      <c r="H479" s="80" t="e">
        <f>VLOOKUP(D479,'Bu Erta'!$C$2:$F$66,4,0)*F479</f>
        <v>#N/A</v>
      </c>
    </row>
    <row r="480" spans="5:8" x14ac:dyDescent="0.35">
      <c r="E480" s="80" t="e">
        <f>VLOOKUP(D480,KamiBox!$C$2:$F$54,4,0)</f>
        <v>#N/A</v>
      </c>
      <c r="G480" s="80" t="e">
        <f t="shared" si="8"/>
        <v>#N/A</v>
      </c>
      <c r="H480" s="80" t="e">
        <f>VLOOKUP(D480,'Bu Erta'!$C$2:$F$66,4,0)*F480</f>
        <v>#N/A</v>
      </c>
    </row>
    <row r="481" spans="5:8" x14ac:dyDescent="0.35">
      <c r="E481" s="80" t="e">
        <f>VLOOKUP(D481,KamiBox!$C$2:$F$54,4,0)</f>
        <v>#N/A</v>
      </c>
      <c r="G481" s="80" t="e">
        <f t="shared" si="8"/>
        <v>#N/A</v>
      </c>
      <c r="H481" s="80" t="e">
        <f>VLOOKUP(D481,'Bu Erta'!$C$2:$F$66,4,0)*F481</f>
        <v>#N/A</v>
      </c>
    </row>
    <row r="482" spans="5:8" x14ac:dyDescent="0.35">
      <c r="E482" s="80" t="e">
        <f>VLOOKUP(D482,KamiBox!$C$2:$F$54,4,0)</f>
        <v>#N/A</v>
      </c>
      <c r="G482" s="80" t="e">
        <f t="shared" si="8"/>
        <v>#N/A</v>
      </c>
      <c r="H482" s="80" t="e">
        <f>VLOOKUP(D482,'Bu Erta'!$C$2:$F$66,4,0)*F482</f>
        <v>#N/A</v>
      </c>
    </row>
    <row r="483" spans="5:8" x14ac:dyDescent="0.35">
      <c r="E483" s="80" t="e">
        <f>VLOOKUP(D483,KamiBox!$C$2:$F$54,4,0)</f>
        <v>#N/A</v>
      </c>
      <c r="G483" s="80" t="e">
        <f t="shared" si="8"/>
        <v>#N/A</v>
      </c>
      <c r="H483" s="80" t="e">
        <f>VLOOKUP(D483,'Bu Erta'!$C$2:$F$66,4,0)*F483</f>
        <v>#N/A</v>
      </c>
    </row>
    <row r="484" spans="5:8" x14ac:dyDescent="0.35">
      <c r="E484" s="80" t="e">
        <f>VLOOKUP(D484,KamiBox!$C$2:$F$54,4,0)</f>
        <v>#N/A</v>
      </c>
      <c r="G484" s="80" t="e">
        <f t="shared" si="8"/>
        <v>#N/A</v>
      </c>
      <c r="H484" s="80" t="e">
        <f>VLOOKUP(D484,'Bu Erta'!$C$2:$F$66,4,0)*F484</f>
        <v>#N/A</v>
      </c>
    </row>
    <row r="485" spans="5:8" x14ac:dyDescent="0.35">
      <c r="E485" s="80" t="e">
        <f>VLOOKUP(D485,KamiBox!$C$2:$F$54,4,0)</f>
        <v>#N/A</v>
      </c>
      <c r="G485" s="80" t="e">
        <f t="shared" si="8"/>
        <v>#N/A</v>
      </c>
      <c r="H485" s="80" t="e">
        <f>VLOOKUP(D485,'Bu Erta'!$C$2:$F$66,4,0)*F485</f>
        <v>#N/A</v>
      </c>
    </row>
    <row r="486" spans="5:8" x14ac:dyDescent="0.35">
      <c r="E486" s="80" t="e">
        <f>VLOOKUP(D486,KamiBox!$C$2:$F$54,4,0)</f>
        <v>#N/A</v>
      </c>
      <c r="G486" s="80" t="e">
        <f t="shared" si="8"/>
        <v>#N/A</v>
      </c>
      <c r="H486" s="80" t="e">
        <f>VLOOKUP(D486,'Bu Erta'!$C$2:$F$66,4,0)*F486</f>
        <v>#N/A</v>
      </c>
    </row>
    <row r="487" spans="5:8" x14ac:dyDescent="0.35">
      <c r="E487" s="80" t="e">
        <f>VLOOKUP(D487,KamiBox!$C$2:$F$54,4,0)</f>
        <v>#N/A</v>
      </c>
      <c r="G487" s="80" t="e">
        <f t="shared" si="8"/>
        <v>#N/A</v>
      </c>
      <c r="H487" s="80" t="e">
        <f>VLOOKUP(D487,'Bu Erta'!$C$2:$F$66,4,0)*F487</f>
        <v>#N/A</v>
      </c>
    </row>
    <row r="488" spans="5:8" x14ac:dyDescent="0.35">
      <c r="E488" s="80" t="e">
        <f>VLOOKUP(D488,KamiBox!$C$2:$F$54,4,0)</f>
        <v>#N/A</v>
      </c>
      <c r="G488" s="80" t="e">
        <f t="shared" si="8"/>
        <v>#N/A</v>
      </c>
      <c r="H488" s="80" t="e">
        <f>VLOOKUP(D488,'Bu Erta'!$C$2:$F$66,4,0)*F488</f>
        <v>#N/A</v>
      </c>
    </row>
    <row r="489" spans="5:8" x14ac:dyDescent="0.35">
      <c r="E489" s="80" t="e">
        <f>VLOOKUP(D489,KamiBox!$C$2:$F$54,4,0)</f>
        <v>#N/A</v>
      </c>
      <c r="G489" s="80" t="e">
        <f t="shared" si="8"/>
        <v>#N/A</v>
      </c>
      <c r="H489" s="80" t="e">
        <f>VLOOKUP(D489,'Bu Erta'!$C$2:$F$66,4,0)*F489</f>
        <v>#N/A</v>
      </c>
    </row>
    <row r="490" spans="5:8" x14ac:dyDescent="0.35">
      <c r="E490" s="80" t="e">
        <f>VLOOKUP(D490,KamiBox!$C$2:$F$54,4,0)</f>
        <v>#N/A</v>
      </c>
      <c r="G490" s="80" t="e">
        <f t="shared" si="8"/>
        <v>#N/A</v>
      </c>
      <c r="H490" s="80" t="e">
        <f>VLOOKUP(D490,'Bu Erta'!$C$2:$F$66,4,0)*F490</f>
        <v>#N/A</v>
      </c>
    </row>
    <row r="491" spans="5:8" x14ac:dyDescent="0.35">
      <c r="E491" s="80" t="e">
        <f>VLOOKUP(D491,KamiBox!$C$2:$F$54,4,0)</f>
        <v>#N/A</v>
      </c>
      <c r="G491" s="80" t="e">
        <f t="shared" si="8"/>
        <v>#N/A</v>
      </c>
      <c r="H491" s="80" t="e">
        <f>VLOOKUP(D491,'Bu Erta'!$C$2:$F$66,4,0)*F491</f>
        <v>#N/A</v>
      </c>
    </row>
    <row r="492" spans="5:8" x14ac:dyDescent="0.35">
      <c r="E492" s="80" t="e">
        <f>VLOOKUP(D492,KamiBox!$C$2:$F$54,4,0)</f>
        <v>#N/A</v>
      </c>
      <c r="G492" s="80" t="e">
        <f t="shared" si="8"/>
        <v>#N/A</v>
      </c>
      <c r="H492" s="80" t="e">
        <f>VLOOKUP(D492,'Bu Erta'!$C$2:$F$66,4,0)*F492</f>
        <v>#N/A</v>
      </c>
    </row>
    <row r="493" spans="5:8" x14ac:dyDescent="0.35">
      <c r="E493" s="80" t="e">
        <f>VLOOKUP(D493,KamiBox!$C$2:$F$54,4,0)</f>
        <v>#N/A</v>
      </c>
      <c r="G493" s="80" t="e">
        <f t="shared" si="8"/>
        <v>#N/A</v>
      </c>
      <c r="H493" s="80" t="e">
        <f>VLOOKUP(D493,'Bu Erta'!$C$2:$F$66,4,0)*F493</f>
        <v>#N/A</v>
      </c>
    </row>
    <row r="494" spans="5:8" x14ac:dyDescent="0.35">
      <c r="E494" s="80" t="e">
        <f>VLOOKUP(D494,KamiBox!$C$2:$F$54,4,0)</f>
        <v>#N/A</v>
      </c>
      <c r="G494" s="80" t="e">
        <f t="shared" si="8"/>
        <v>#N/A</v>
      </c>
      <c r="H494" s="80" t="e">
        <f>VLOOKUP(D494,'Bu Erta'!$C$2:$F$66,4,0)*F494</f>
        <v>#N/A</v>
      </c>
    </row>
    <row r="495" spans="5:8" x14ac:dyDescent="0.35">
      <c r="E495" s="80" t="e">
        <f>VLOOKUP(D495,KamiBox!$C$2:$F$54,4,0)</f>
        <v>#N/A</v>
      </c>
      <c r="G495" s="80" t="e">
        <f t="shared" si="8"/>
        <v>#N/A</v>
      </c>
      <c r="H495" s="80" t="e">
        <f>VLOOKUP(D495,'Bu Erta'!$C$2:$F$66,4,0)*F495</f>
        <v>#N/A</v>
      </c>
    </row>
    <row r="496" spans="5:8" x14ac:dyDescent="0.35">
      <c r="E496" s="80" t="e">
        <f>VLOOKUP(D496,KamiBox!$C$2:$F$54,4,0)</f>
        <v>#N/A</v>
      </c>
      <c r="G496" s="80" t="e">
        <f t="shared" si="8"/>
        <v>#N/A</v>
      </c>
      <c r="H496" s="80" t="e">
        <f>VLOOKUP(D496,'Bu Erta'!$C$2:$F$66,4,0)*F496</f>
        <v>#N/A</v>
      </c>
    </row>
    <row r="497" spans="5:8" x14ac:dyDescent="0.35">
      <c r="E497" s="80" t="e">
        <f>VLOOKUP(D497,KamiBox!$C$2:$F$54,4,0)</f>
        <v>#N/A</v>
      </c>
      <c r="G497" s="80" t="e">
        <f t="shared" si="8"/>
        <v>#N/A</v>
      </c>
      <c r="H497" s="80" t="e">
        <f>VLOOKUP(D497,'Bu Erta'!$C$2:$F$66,4,0)*F497</f>
        <v>#N/A</v>
      </c>
    </row>
    <row r="498" spans="5:8" x14ac:dyDescent="0.35">
      <c r="E498" s="80" t="e">
        <f>VLOOKUP(D498,KamiBox!$C$2:$F$54,4,0)</f>
        <v>#N/A</v>
      </c>
      <c r="G498" s="80" t="e">
        <f t="shared" si="8"/>
        <v>#N/A</v>
      </c>
      <c r="H498" s="80" t="e">
        <f>VLOOKUP(D498,'Bu Erta'!$C$2:$F$66,4,0)*F498</f>
        <v>#N/A</v>
      </c>
    </row>
    <row r="499" spans="5:8" x14ac:dyDescent="0.35">
      <c r="E499" s="80" t="e">
        <f>VLOOKUP(D499,KamiBox!$C$2:$F$54,4,0)</f>
        <v>#N/A</v>
      </c>
      <c r="G499" s="80" t="e">
        <f t="shared" si="8"/>
        <v>#N/A</v>
      </c>
      <c r="H499" s="80" t="e">
        <f>VLOOKUP(D499,'Bu Erta'!$C$2:$F$66,4,0)*F499</f>
        <v>#N/A</v>
      </c>
    </row>
    <row r="500" spans="5:8" x14ac:dyDescent="0.35">
      <c r="E500" s="80" t="e">
        <f>VLOOKUP(D500,KamiBox!$C$2:$F$54,4,0)</f>
        <v>#N/A</v>
      </c>
      <c r="G500" s="80" t="e">
        <f t="shared" si="8"/>
        <v>#N/A</v>
      </c>
      <c r="H500" s="80" t="e">
        <f>VLOOKUP(D500,'Bu Erta'!$C$2:$F$66,4,0)*F500</f>
        <v>#N/A</v>
      </c>
    </row>
    <row r="501" spans="5:8" x14ac:dyDescent="0.35">
      <c r="E501" s="80" t="e">
        <f>VLOOKUP(D501,KamiBox!$C$2:$F$54,4,0)</f>
        <v>#N/A</v>
      </c>
      <c r="G501" s="80" t="e">
        <f t="shared" si="8"/>
        <v>#N/A</v>
      </c>
      <c r="H501" s="80" t="e">
        <f>VLOOKUP(D501,'Bu Erta'!$C$2:$F$66,4,0)*F501</f>
        <v>#N/A</v>
      </c>
    </row>
    <row r="502" spans="5:8" x14ac:dyDescent="0.35">
      <c r="E502" s="80" t="e">
        <f>VLOOKUP(D502,KamiBox!$C$2:$F$54,4,0)</f>
        <v>#N/A</v>
      </c>
      <c r="G502" s="80" t="e">
        <f t="shared" si="8"/>
        <v>#N/A</v>
      </c>
      <c r="H502" s="80" t="e">
        <f>VLOOKUP(D502,'Bu Erta'!$C$2:$F$66,4,0)*F502</f>
        <v>#N/A</v>
      </c>
    </row>
    <row r="503" spans="5:8" x14ac:dyDescent="0.35">
      <c r="E503" s="80" t="e">
        <f>VLOOKUP(D503,KamiBox!$C$2:$F$54,4,0)</f>
        <v>#N/A</v>
      </c>
      <c r="G503" s="80" t="e">
        <f t="shared" si="8"/>
        <v>#N/A</v>
      </c>
      <c r="H503" s="80" t="e">
        <f>VLOOKUP(D503,'Bu Erta'!$C$2:$F$66,4,0)*F503</f>
        <v>#N/A</v>
      </c>
    </row>
    <row r="504" spans="5:8" x14ac:dyDescent="0.35">
      <c r="E504" s="80" t="e">
        <f>VLOOKUP(D504,KamiBox!$C$2:$F$54,4,0)</f>
        <v>#N/A</v>
      </c>
      <c r="G504" s="80" t="e">
        <f t="shared" si="8"/>
        <v>#N/A</v>
      </c>
      <c r="H504" s="80" t="e">
        <f>VLOOKUP(D504,'Bu Erta'!$C$2:$F$66,4,0)*F504</f>
        <v>#N/A</v>
      </c>
    </row>
    <row r="505" spans="5:8" x14ac:dyDescent="0.35">
      <c r="E505" s="80" t="e">
        <f>VLOOKUP(D505,KamiBox!$C$2:$F$54,4,0)</f>
        <v>#N/A</v>
      </c>
      <c r="G505" s="80" t="e">
        <f t="shared" si="8"/>
        <v>#N/A</v>
      </c>
      <c r="H505" s="80" t="e">
        <f>VLOOKUP(D505,'Bu Erta'!$C$2:$F$66,4,0)*F505</f>
        <v>#N/A</v>
      </c>
    </row>
    <row r="506" spans="5:8" x14ac:dyDescent="0.35">
      <c r="E506" s="80" t="e">
        <f>VLOOKUP(D506,KamiBox!$C$2:$F$54,4,0)</f>
        <v>#N/A</v>
      </c>
      <c r="G506" s="80" t="e">
        <f t="shared" si="8"/>
        <v>#N/A</v>
      </c>
      <c r="H506" s="80" t="e">
        <f>VLOOKUP(D506,'Bu Erta'!$C$2:$F$66,4,0)*F506</f>
        <v>#N/A</v>
      </c>
    </row>
    <row r="507" spans="5:8" x14ac:dyDescent="0.35">
      <c r="E507" s="80" t="e">
        <f>VLOOKUP(D507,KamiBox!$C$2:$F$54,4,0)</f>
        <v>#N/A</v>
      </c>
      <c r="G507" s="80" t="e">
        <f t="shared" si="8"/>
        <v>#N/A</v>
      </c>
      <c r="H507" s="80" t="e">
        <f>VLOOKUP(D507,'Bu Erta'!$C$2:$F$66,4,0)*F507</f>
        <v>#N/A</v>
      </c>
    </row>
    <row r="508" spans="5:8" x14ac:dyDescent="0.35">
      <c r="E508" s="80" t="e">
        <f>VLOOKUP(D508,KamiBox!$C$2:$F$54,4,0)</f>
        <v>#N/A</v>
      </c>
      <c r="G508" s="80" t="e">
        <f t="shared" si="8"/>
        <v>#N/A</v>
      </c>
      <c r="H508" s="80" t="e">
        <f>VLOOKUP(D508,'Bu Erta'!$C$2:$F$66,4,0)*F508</f>
        <v>#N/A</v>
      </c>
    </row>
    <row r="509" spans="5:8" x14ac:dyDescent="0.35">
      <c r="E509" s="80" t="e">
        <f>VLOOKUP(D509,KamiBox!$C$2:$F$54,4,0)</f>
        <v>#N/A</v>
      </c>
      <c r="G509" s="80" t="e">
        <f t="shared" si="8"/>
        <v>#N/A</v>
      </c>
      <c r="H509" s="80" t="e">
        <f>VLOOKUP(D509,'Bu Erta'!$C$2:$F$66,4,0)*F509</f>
        <v>#N/A</v>
      </c>
    </row>
    <row r="510" spans="5:8" x14ac:dyDescent="0.35">
      <c r="E510" s="80" t="e">
        <f>VLOOKUP(D510,KamiBox!$C$2:$F$54,4,0)</f>
        <v>#N/A</v>
      </c>
      <c r="G510" s="80" t="e">
        <f t="shared" si="8"/>
        <v>#N/A</v>
      </c>
      <c r="H510" s="80" t="e">
        <f>VLOOKUP(D510,'Bu Erta'!$C$2:$F$66,4,0)*F510</f>
        <v>#N/A</v>
      </c>
    </row>
    <row r="511" spans="5:8" x14ac:dyDescent="0.35">
      <c r="E511" s="80" t="e">
        <f>VLOOKUP(D511,KamiBox!$C$2:$F$54,4,0)</f>
        <v>#N/A</v>
      </c>
      <c r="G511" s="80" t="e">
        <f t="shared" si="8"/>
        <v>#N/A</v>
      </c>
      <c r="H511" s="80" t="e">
        <f>VLOOKUP(D511,'Bu Erta'!$C$2:$F$66,4,0)*F511</f>
        <v>#N/A</v>
      </c>
    </row>
    <row r="512" spans="5:8" x14ac:dyDescent="0.35">
      <c r="E512" s="80" t="e">
        <f>VLOOKUP(D512,KamiBox!$C$2:$F$54,4,0)</f>
        <v>#N/A</v>
      </c>
      <c r="G512" s="80" t="e">
        <f t="shared" si="8"/>
        <v>#N/A</v>
      </c>
      <c r="H512" s="80" t="e">
        <f>VLOOKUP(D512,'Bu Erta'!$C$2:$F$66,4,0)*F512</f>
        <v>#N/A</v>
      </c>
    </row>
    <row r="513" spans="5:8" x14ac:dyDescent="0.35">
      <c r="E513" s="80" t="e">
        <f>VLOOKUP(D513,KamiBox!$C$2:$F$54,4,0)</f>
        <v>#N/A</v>
      </c>
      <c r="G513" s="80" t="e">
        <f t="shared" si="8"/>
        <v>#N/A</v>
      </c>
      <c r="H513" s="80" t="e">
        <f>VLOOKUP(D513,'Bu Erta'!$C$2:$F$66,4,0)*F513</f>
        <v>#N/A</v>
      </c>
    </row>
    <row r="514" spans="5:8" x14ac:dyDescent="0.35">
      <c r="E514" s="80" t="e">
        <f>VLOOKUP(D514,KamiBox!$C$2:$F$54,4,0)</f>
        <v>#N/A</v>
      </c>
      <c r="G514" s="80" t="e">
        <f t="shared" si="8"/>
        <v>#N/A</v>
      </c>
      <c r="H514" s="80" t="e">
        <f>VLOOKUP(D514,'Bu Erta'!$C$2:$F$66,4,0)*F514</f>
        <v>#N/A</v>
      </c>
    </row>
    <row r="515" spans="5:8" x14ac:dyDescent="0.35">
      <c r="E515" s="80" t="e">
        <f>VLOOKUP(D515,KamiBox!$C$2:$F$54,4,0)</f>
        <v>#N/A</v>
      </c>
      <c r="G515" s="80" t="e">
        <f t="shared" si="8"/>
        <v>#N/A</v>
      </c>
      <c r="H515" s="80" t="e">
        <f>VLOOKUP(D515,'Bu Erta'!$C$2:$F$66,4,0)*F515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9580-EED9-4060-83F7-32644587535C}">
  <dimension ref="A1:AC124"/>
  <sheetViews>
    <sheetView zoomScale="70" zoomScaleNormal="70" workbookViewId="0">
      <pane xSplit="4" ySplit="2" topLeftCell="E68" activePane="bottomRight" state="frozen"/>
      <selection pane="topRight" activeCell="D1" sqref="D1"/>
      <selection pane="bottomLeft" activeCell="A4" sqref="A4"/>
      <selection pane="bottomRight" activeCell="C82" sqref="C82:D82"/>
    </sheetView>
  </sheetViews>
  <sheetFormatPr defaultRowHeight="14.5" x14ac:dyDescent="0.35"/>
  <cols>
    <col min="2" max="2" width="8.7265625" style="1"/>
    <col min="3" max="3" width="16.26953125" bestFit="1" customWidth="1"/>
    <col min="4" max="4" width="9.36328125" style="5" customWidth="1"/>
    <col min="5" max="8" width="10.36328125" style="3" customWidth="1"/>
    <col min="9" max="9" width="11.6328125" style="3" customWidth="1"/>
    <col min="10" max="21" width="12.08984375" style="3" customWidth="1"/>
    <col min="22" max="22" width="11.1796875" customWidth="1"/>
    <col min="23" max="23" width="12" customWidth="1"/>
    <col min="24" max="24" width="13.1796875" style="83" bestFit="1" customWidth="1"/>
    <col min="25" max="25" width="14.08984375" bestFit="1" customWidth="1"/>
  </cols>
  <sheetData>
    <row r="1" spans="1:29" x14ac:dyDescent="0.35">
      <c r="E1" s="104">
        <v>2025</v>
      </c>
      <c r="F1" s="104"/>
      <c r="G1" s="104"/>
      <c r="H1" s="104"/>
      <c r="I1" s="104"/>
      <c r="J1" s="104"/>
      <c r="K1" s="104"/>
      <c r="L1" s="104"/>
      <c r="M1" s="104"/>
      <c r="N1" s="104"/>
      <c r="O1" s="105">
        <v>2026</v>
      </c>
      <c r="P1" s="105"/>
      <c r="Q1" s="105"/>
      <c r="R1" s="105"/>
      <c r="S1" s="105"/>
      <c r="T1" s="105"/>
      <c r="U1" s="105"/>
    </row>
    <row r="2" spans="1:29" x14ac:dyDescent="0.35">
      <c r="C2" s="65" t="s">
        <v>2</v>
      </c>
      <c r="D2" s="91" t="s">
        <v>126</v>
      </c>
      <c r="E2" s="72" t="s">
        <v>162</v>
      </c>
      <c r="F2" s="72" t="s">
        <v>163</v>
      </c>
      <c r="G2" s="72" t="s">
        <v>179</v>
      </c>
      <c r="H2" s="72" t="s">
        <v>220</v>
      </c>
      <c r="I2" s="72" t="s">
        <v>233</v>
      </c>
      <c r="J2" s="72" t="s">
        <v>257</v>
      </c>
      <c r="K2" s="72" t="s">
        <v>281</v>
      </c>
      <c r="L2" s="72" t="s">
        <v>302</v>
      </c>
      <c r="M2" s="72" t="s">
        <v>330</v>
      </c>
      <c r="N2" s="72" t="s">
        <v>342</v>
      </c>
      <c r="O2" s="72" t="s">
        <v>347</v>
      </c>
      <c r="P2" s="72" t="s">
        <v>348</v>
      </c>
      <c r="Q2" s="72" t="s">
        <v>370</v>
      </c>
      <c r="R2" s="72"/>
      <c r="S2" s="72"/>
      <c r="T2" s="72"/>
      <c r="U2" s="72"/>
      <c r="V2" s="72" t="s">
        <v>12</v>
      </c>
      <c r="W2" s="72" t="s">
        <v>249</v>
      </c>
      <c r="X2" s="82" t="s">
        <v>235</v>
      </c>
      <c r="Y2" s="72" t="s">
        <v>155</v>
      </c>
    </row>
    <row r="3" spans="1:29" x14ac:dyDescent="0.35">
      <c r="A3" s="77"/>
      <c r="B3" s="1">
        <v>1</v>
      </c>
      <c r="C3" t="s">
        <v>83</v>
      </c>
      <c r="D3" s="5">
        <v>1</v>
      </c>
      <c r="E3" s="3">
        <f>VLOOKUP(C3,'12-7-2025'!$J$2:$L$53,3,0)</f>
        <v>16430</v>
      </c>
      <c r="F3" s="3">
        <f>VLOOKUP(C3,'26-7-2025'!$N$2:$P$50,3,0)</f>
        <v>952.5</v>
      </c>
      <c r="G3" s="3">
        <f>VLOOKUP(C3,'9-8-2025'!$N$2:$P$57,3,0)</f>
        <v>7450</v>
      </c>
      <c r="H3" s="3">
        <f>VLOOKUP(C3,'23-8-2025'!$J$2:$L$54,3,0)</f>
        <v>9167.5</v>
      </c>
      <c r="I3" s="3">
        <f>VLOOKUP(C3,'7-9-2025'!$J$2:$L$57,3,0)</f>
        <v>6900</v>
      </c>
      <c r="K3" s="3">
        <f>VLOOKUP(C3,'19-10-25'!$J$2:$L$69,3,0)</f>
        <v>9965</v>
      </c>
      <c r="L3" s="3">
        <f>VLOOKUP(C3,'1-11-25'!$J$2:$L$48,3,0)</f>
        <v>3680</v>
      </c>
      <c r="N3" s="3">
        <f>VLOOKUP(C3,'13-12-25'!$J$2:$L$64,3,0)</f>
        <v>9965</v>
      </c>
      <c r="Q3" s="3">
        <f>VLOOKUP(C3,'15-02-26'!$J$2:$L$41,3,0)</f>
        <v>7245</v>
      </c>
      <c r="V3" s="4">
        <f t="shared" ref="V3:V34" si="0">SUM(E3:U3)</f>
        <v>71755</v>
      </c>
      <c r="W3" s="85">
        <f>V3</f>
        <v>71755</v>
      </c>
    </row>
    <row r="4" spans="1:29" x14ac:dyDescent="0.35">
      <c r="B4" s="1">
        <v>2</v>
      </c>
      <c r="C4" t="s">
        <v>217</v>
      </c>
      <c r="D4" s="5">
        <v>1</v>
      </c>
      <c r="H4" s="3">
        <f>VLOOKUP(C4,'23-8-2025'!$J$2:$L$54,3,0)</f>
        <v>17495</v>
      </c>
      <c r="I4" s="3">
        <f>VLOOKUP(C4,'7-9-2025'!$J$2:$L$57,3,0)</f>
        <v>9545</v>
      </c>
      <c r="J4" s="3">
        <f>VLOOKUP(C4,'21-9-2025'!$J$2:$L$55,3,0)</f>
        <v>3800</v>
      </c>
      <c r="K4" s="3">
        <f>VLOOKUP(C4,'19-10-25'!$J$2:$L$69,3,0)</f>
        <v>92900</v>
      </c>
      <c r="L4" s="3">
        <f>VLOOKUP(C4,'1-11-25'!$J$2:$L$48,3,0)</f>
        <v>19550</v>
      </c>
      <c r="M4" s="3">
        <f>VLOOKUP(C4,'15-11-25'!$J$2:$L$46,3,0)</f>
        <v>4660</v>
      </c>
      <c r="N4" s="3">
        <f>VLOOKUP(C4,'13-12-25'!$J$2:$L$64,3,0)</f>
        <v>24155</v>
      </c>
      <c r="P4" s="3">
        <f>VLOOKUP(C4,'31-1-26'!$J$4:$L$53,3,0)</f>
        <v>32960</v>
      </c>
      <c r="Q4" s="3">
        <f>VLOOKUP(C4,'15-02-26'!$J$2:$L$41,3,0)</f>
        <v>14305</v>
      </c>
      <c r="V4" s="4">
        <f t="shared" si="0"/>
        <v>219370</v>
      </c>
      <c r="W4" s="85">
        <f>V4</f>
        <v>219370</v>
      </c>
    </row>
    <row r="5" spans="1:29" x14ac:dyDescent="0.35">
      <c r="B5" s="1">
        <v>3</v>
      </c>
      <c r="C5" t="s">
        <v>103</v>
      </c>
      <c r="D5" s="5">
        <v>1</v>
      </c>
      <c r="E5" s="3">
        <f>VLOOKUP(C5,'12-7-2025'!$J$2:$L$53,3,0)</f>
        <v>1010</v>
      </c>
      <c r="F5" s="3">
        <f>VLOOKUP(C5,'26-7-2025'!$N$2:$P$50,3,0)</f>
        <v>980</v>
      </c>
      <c r="V5" s="4">
        <f t="shared" si="0"/>
        <v>1990</v>
      </c>
      <c r="W5" s="85">
        <f>V5</f>
        <v>1990</v>
      </c>
    </row>
    <row r="6" spans="1:29" x14ac:dyDescent="0.35">
      <c r="B6" s="1">
        <v>4</v>
      </c>
      <c r="C6" t="s">
        <v>194</v>
      </c>
      <c r="D6" s="5">
        <v>1</v>
      </c>
      <c r="G6" s="3">
        <f>VLOOKUP(C6,'9-8-2025'!$N$2:$P$57,3,0)</f>
        <v>20520</v>
      </c>
      <c r="K6" s="3">
        <f>VLOOKUP(C6,'19-10-25'!$J$2:$L$69,3,0)</f>
        <v>600</v>
      </c>
      <c r="O6" s="3">
        <f>VLOOKUP(C6,'3-1-26'!$J$2:$L$48,3,0)</f>
        <v>150</v>
      </c>
      <c r="V6" s="4">
        <f t="shared" si="0"/>
        <v>21270</v>
      </c>
      <c r="W6" s="85">
        <f>V6-20000</f>
        <v>1270</v>
      </c>
      <c r="X6" s="83" t="s">
        <v>281</v>
      </c>
      <c r="Y6" t="s">
        <v>253</v>
      </c>
    </row>
    <row r="7" spans="1:29" x14ac:dyDescent="0.35">
      <c r="B7" s="1">
        <v>5</v>
      </c>
      <c r="C7" t="s">
        <v>195</v>
      </c>
      <c r="D7" s="5">
        <v>1</v>
      </c>
      <c r="G7" s="3">
        <f>VLOOKUP(C7,'9-8-2025'!$N$2:$P$57,3,0)</f>
        <v>2200</v>
      </c>
      <c r="J7" s="3">
        <f>VLOOKUP(C7,'21-9-2025'!$J$2:$L$55,3,0)</f>
        <v>9665</v>
      </c>
      <c r="K7" s="3">
        <f>VLOOKUP(C7,'19-10-25'!$J$2:$L$69,3,0)</f>
        <v>8670</v>
      </c>
      <c r="M7" s="3">
        <f>VLOOKUP(C7,'15-11-25'!$J$2:$L$46,3,0)</f>
        <v>4190</v>
      </c>
      <c r="O7" s="3">
        <f>VLOOKUP(C7,'3-1-26'!$J$2:$L$48,3,0)</f>
        <v>23150</v>
      </c>
      <c r="Q7" s="3">
        <f>VLOOKUP(C7,'15-02-26'!$J$2:$L$41,3,0)</f>
        <v>11945</v>
      </c>
      <c r="V7" s="4">
        <f t="shared" si="0"/>
        <v>59820</v>
      </c>
      <c r="W7" s="85">
        <f t="shared" ref="W7:W20" si="1">V7</f>
        <v>59820</v>
      </c>
    </row>
    <row r="8" spans="1:29" x14ac:dyDescent="0.35">
      <c r="A8" s="77"/>
      <c r="B8" s="1">
        <v>6</v>
      </c>
      <c r="C8" t="s">
        <v>193</v>
      </c>
      <c r="D8" s="5">
        <v>1</v>
      </c>
      <c r="G8" s="3">
        <f>VLOOKUP(C8,'9-8-2025'!$N$2:$P$57,3,0)</f>
        <v>24060</v>
      </c>
      <c r="H8" s="3">
        <f>VLOOKUP(C8,'23-8-2025'!$J$2:$L$54,3,0)</f>
        <v>3065</v>
      </c>
      <c r="I8" s="3">
        <f>VLOOKUP(C8,'7-9-2025'!$J$2:$L$57,3,0)</f>
        <v>940</v>
      </c>
      <c r="J8" s="3">
        <f>VLOOKUP(C8,'21-9-2025'!$J$2:$L$55,3,0)</f>
        <v>1860</v>
      </c>
      <c r="M8" s="3">
        <f>VLOOKUP(C8,'15-11-25'!$J$2:$L$46,3,0)</f>
        <v>800</v>
      </c>
      <c r="N8" s="3">
        <f>VLOOKUP(C8,'13-12-25'!$J$2:$L$64,3,0)</f>
        <v>3200</v>
      </c>
      <c r="O8" s="3">
        <f>VLOOKUP(C8,'3-1-26'!$J$2:$L$48,3,0)</f>
        <v>7460</v>
      </c>
      <c r="V8" s="4">
        <f t="shared" si="0"/>
        <v>41385</v>
      </c>
      <c r="W8" s="85">
        <f t="shared" si="1"/>
        <v>41385</v>
      </c>
    </row>
    <row r="9" spans="1:29" x14ac:dyDescent="0.35">
      <c r="A9" s="77"/>
      <c r="B9" s="1">
        <v>7</v>
      </c>
      <c r="C9" t="s">
        <v>138</v>
      </c>
      <c r="D9" s="5">
        <v>1</v>
      </c>
      <c r="F9" s="3">
        <f>VLOOKUP(C9,'26-7-2025'!$N$2:$P$50,3,0)</f>
        <v>23928.5</v>
      </c>
      <c r="H9" s="3">
        <f>VLOOKUP(C9,'23-8-2025'!$J$2:$L$54,3,0)</f>
        <v>2355</v>
      </c>
      <c r="L9" s="3">
        <f>VLOOKUP(C9,'1-11-25'!$J$2:$L$48,3,0)</f>
        <v>24875</v>
      </c>
      <c r="M9" s="3">
        <f>VLOOKUP(C9,'15-11-25'!$J$2:$L$46,3,0)</f>
        <v>8355</v>
      </c>
      <c r="O9" s="3">
        <f>VLOOKUP(C9,'3-1-26'!$J$2:$L$48,3,0)</f>
        <v>9162.5</v>
      </c>
      <c r="P9" s="3">
        <f>VLOOKUP(C9,'31-1-26'!$J$4:$L$53,3,0)</f>
        <v>17270</v>
      </c>
      <c r="V9" s="4">
        <f t="shared" si="0"/>
        <v>85946</v>
      </c>
      <c r="W9" s="85">
        <f t="shared" si="1"/>
        <v>85946</v>
      </c>
      <c r="AC9" s="76"/>
    </row>
    <row r="10" spans="1:29" x14ac:dyDescent="0.35">
      <c r="B10" s="1">
        <v>8</v>
      </c>
      <c r="C10" t="s">
        <v>143</v>
      </c>
      <c r="D10" s="5">
        <v>1</v>
      </c>
      <c r="F10" s="3">
        <f>VLOOKUP(C10,'26-7-2025'!$N$2:$P$50,3,0)</f>
        <v>29705</v>
      </c>
      <c r="J10" s="3">
        <f>VLOOKUP(C10,'21-9-2025'!$J$2:$L$55,3,0)</f>
        <v>2115</v>
      </c>
      <c r="N10" s="3">
        <f>VLOOKUP(C10,'13-12-25'!$J$2:$L$64,3,0)</f>
        <v>1800</v>
      </c>
      <c r="V10" s="4">
        <f t="shared" si="0"/>
        <v>33620</v>
      </c>
      <c r="W10" s="85">
        <f t="shared" si="1"/>
        <v>33620</v>
      </c>
    </row>
    <row r="11" spans="1:29" x14ac:dyDescent="0.35">
      <c r="B11" s="1">
        <v>9</v>
      </c>
      <c r="C11" t="s">
        <v>218</v>
      </c>
      <c r="D11" s="5">
        <v>1</v>
      </c>
      <c r="H11" s="3">
        <f>VLOOKUP(C11,'23-8-2025'!$J$2:$L$54,3,0)</f>
        <v>11970</v>
      </c>
      <c r="N11" s="3">
        <f>VLOOKUP(C11,'13-12-25'!$J$2:$L$64,3,0)</f>
        <v>12695</v>
      </c>
      <c r="V11" s="4">
        <f t="shared" si="0"/>
        <v>24665</v>
      </c>
      <c r="W11" s="85">
        <f t="shared" si="1"/>
        <v>24665</v>
      </c>
    </row>
    <row r="12" spans="1:29" x14ac:dyDescent="0.35">
      <c r="A12" s="77"/>
      <c r="B12" s="1">
        <v>10</v>
      </c>
      <c r="C12" t="s">
        <v>197</v>
      </c>
      <c r="D12" s="5">
        <v>1</v>
      </c>
      <c r="G12" s="3">
        <f>VLOOKUP(C12,'9-8-2025'!$N$2:$P$57,3,0)</f>
        <v>2800</v>
      </c>
      <c r="H12" s="3">
        <f>VLOOKUP(C12,'23-8-2025'!$J$2:$L$54,3,0)</f>
        <v>5380</v>
      </c>
      <c r="I12" s="3">
        <f>VLOOKUP(C12,'7-9-2025'!$J$2:$L$57,3,0)</f>
        <v>2585</v>
      </c>
      <c r="K12" s="3">
        <f>VLOOKUP(C12,'19-10-25'!$J$2:$L$69,3,0)</f>
        <v>12940</v>
      </c>
      <c r="L12" s="3">
        <f>VLOOKUP(C12,'1-11-25'!$J$2:$L$48,3,0)</f>
        <v>30517.5</v>
      </c>
      <c r="N12" s="3">
        <f>VLOOKUP(C12,'13-12-25'!$J$2:$L$64,3,0)</f>
        <v>4742.5</v>
      </c>
      <c r="P12" s="3">
        <f>VLOOKUP(C12,'31-1-26'!$J$4:$L$53,3,0)</f>
        <v>3050</v>
      </c>
      <c r="Q12" s="3">
        <f>VLOOKUP(C12,'15-02-26'!$J$2:$L$41,3,0)</f>
        <v>6905</v>
      </c>
      <c r="V12" s="4">
        <f t="shared" si="0"/>
        <v>68920</v>
      </c>
      <c r="W12" s="85">
        <f t="shared" si="1"/>
        <v>68920</v>
      </c>
    </row>
    <row r="13" spans="1:29" x14ac:dyDescent="0.35">
      <c r="A13" s="77"/>
      <c r="B13" s="1">
        <v>11</v>
      </c>
      <c r="C13" t="s">
        <v>296</v>
      </c>
      <c r="D13" s="5">
        <v>1</v>
      </c>
      <c r="E13" s="3">
        <f>VLOOKUP(C13,'12-7-2025'!$J$2:$L$53,3,0)</f>
        <v>28292.5</v>
      </c>
      <c r="L13" s="3">
        <f>VLOOKUP(C13,'1-11-25'!$J$2:$L$48,3,0)</f>
        <v>15870</v>
      </c>
      <c r="O13" s="3">
        <f>VLOOKUP(C13,'3-1-26'!$J$2:$L$48,3,0)</f>
        <v>6650</v>
      </c>
      <c r="V13" s="4">
        <f t="shared" si="0"/>
        <v>50812.5</v>
      </c>
      <c r="W13" s="85">
        <f t="shared" si="1"/>
        <v>50812.5</v>
      </c>
    </row>
    <row r="14" spans="1:29" x14ac:dyDescent="0.35">
      <c r="B14" s="1">
        <v>12</v>
      </c>
      <c r="C14" t="s">
        <v>139</v>
      </c>
      <c r="D14" s="5">
        <v>1</v>
      </c>
      <c r="F14" s="3">
        <f>VLOOKUP(C14,'26-7-2025'!$N$2:$P$50,3,0)</f>
        <v>14120</v>
      </c>
      <c r="G14" s="3">
        <f>VLOOKUP(C14,'9-8-2025'!$N$2:$P$57,3,0)</f>
        <v>1060</v>
      </c>
      <c r="H14" s="3">
        <f>VLOOKUP(C14,'23-8-2025'!$J$2:$L$54,3,0)</f>
        <v>580</v>
      </c>
      <c r="I14" s="3">
        <f>VLOOKUP(C14,'7-9-2025'!$J$2:$L$57,3,0)</f>
        <v>1125</v>
      </c>
      <c r="K14" s="3">
        <f>VLOOKUP(C14,'19-10-25'!$J$2:$L$69,3,0)</f>
        <v>4900</v>
      </c>
      <c r="M14" s="3">
        <f>VLOOKUP(C14,'15-11-25'!$J$2:$L$46,3,0)</f>
        <v>3425</v>
      </c>
      <c r="N14" s="3">
        <f>VLOOKUP(C14,'13-12-25'!$J$2:$L$64,3,0)</f>
        <v>2300</v>
      </c>
      <c r="O14" s="3">
        <f>VLOOKUP(C14,'3-1-26'!$J$2:$L$48,3,0)</f>
        <v>840</v>
      </c>
      <c r="P14" s="3">
        <f>VLOOKUP(C14,'31-1-26'!$J$4:$L$53,3,0)</f>
        <v>5145</v>
      </c>
      <c r="Q14" s="3">
        <f>VLOOKUP(C14,'15-02-26'!$J$2:$L$41,3,0)</f>
        <v>1930</v>
      </c>
      <c r="V14" s="4">
        <f t="shared" si="0"/>
        <v>35425</v>
      </c>
      <c r="W14" s="85">
        <f t="shared" si="1"/>
        <v>35425</v>
      </c>
    </row>
    <row r="15" spans="1:29" x14ac:dyDescent="0.35">
      <c r="B15" s="1">
        <v>13</v>
      </c>
      <c r="C15" t="s">
        <v>298</v>
      </c>
      <c r="D15" s="5">
        <v>1</v>
      </c>
      <c r="L15" s="3">
        <f>VLOOKUP(C15,'1-11-25'!$J$2:$L$48,3,0)</f>
        <v>10075</v>
      </c>
      <c r="V15" s="4">
        <f t="shared" si="0"/>
        <v>10075</v>
      </c>
      <c r="W15" s="85">
        <f t="shared" si="1"/>
        <v>10075</v>
      </c>
    </row>
    <row r="16" spans="1:29" x14ac:dyDescent="0.35">
      <c r="A16" s="77"/>
      <c r="B16" s="1">
        <v>14</v>
      </c>
      <c r="C16" t="s">
        <v>359</v>
      </c>
      <c r="D16" s="5">
        <v>1</v>
      </c>
      <c r="M16" s="3">
        <f>VLOOKUP(C16,'15-11-25'!$J$2:$L$46,3,0)</f>
        <v>8613</v>
      </c>
      <c r="P16" s="3">
        <f>VLOOKUP(C16,'31-1-26'!$J$4:$L$53,3,0)</f>
        <v>9497.5</v>
      </c>
      <c r="V16" s="4">
        <f t="shared" si="0"/>
        <v>18110.5</v>
      </c>
      <c r="W16" s="85">
        <f t="shared" si="1"/>
        <v>18110.5</v>
      </c>
    </row>
    <row r="17" spans="1:25" x14ac:dyDescent="0.35">
      <c r="A17" s="77"/>
      <c r="B17" s="1">
        <v>15</v>
      </c>
      <c r="C17" t="s">
        <v>326</v>
      </c>
      <c r="D17" s="5">
        <v>1</v>
      </c>
      <c r="M17" s="3">
        <f>VLOOKUP(C17,'15-11-25'!$J$2:$L$46,3,0)</f>
        <v>11245</v>
      </c>
      <c r="V17" s="4">
        <f t="shared" si="0"/>
        <v>11245</v>
      </c>
      <c r="W17" s="85">
        <f t="shared" si="1"/>
        <v>11245</v>
      </c>
    </row>
    <row r="18" spans="1:25" x14ac:dyDescent="0.35">
      <c r="B18" s="1">
        <v>16</v>
      </c>
      <c r="C18" t="s">
        <v>327</v>
      </c>
      <c r="D18" s="5">
        <v>1</v>
      </c>
      <c r="M18" s="3">
        <f>VLOOKUP(C18,'15-11-25'!$J$2:$L$46,3,0)</f>
        <v>3300</v>
      </c>
      <c r="N18" s="3">
        <f>VLOOKUP(C18,'13-12-25'!$J$2:$L$64,3,0)</f>
        <v>5257.5</v>
      </c>
      <c r="O18" s="3">
        <f>VLOOKUP(C18,'3-1-26'!$J$2:$L$48,3,0)</f>
        <v>5727.5</v>
      </c>
      <c r="P18" s="3">
        <f>VLOOKUP(C18,'31-1-26'!$J$4:$L$53,3,0)</f>
        <v>6072.5</v>
      </c>
      <c r="V18" s="4">
        <f t="shared" si="0"/>
        <v>20357.5</v>
      </c>
      <c r="W18" s="85">
        <f t="shared" si="1"/>
        <v>20357.5</v>
      </c>
    </row>
    <row r="19" spans="1:25" x14ac:dyDescent="0.35">
      <c r="A19" s="77"/>
      <c r="B19" s="1">
        <v>17</v>
      </c>
      <c r="C19" t="s">
        <v>98</v>
      </c>
      <c r="D19" s="5">
        <v>2</v>
      </c>
      <c r="E19" s="3">
        <f>VLOOKUP(C19,'12-7-2025'!$J$2:$L$53,3,0)</f>
        <v>1600</v>
      </c>
      <c r="F19" s="3">
        <f>VLOOKUP(C19,'26-7-2025'!$N$2:$P$50,3,0)</f>
        <v>215</v>
      </c>
      <c r="G19" s="3">
        <f>VLOOKUP(C19,'9-8-2025'!$N$2:$P$57,3,0)</f>
        <v>16650</v>
      </c>
      <c r="H19" s="3">
        <f>VLOOKUP(C19,'23-8-2025'!$J$2:$L$54,3,0)</f>
        <v>14000</v>
      </c>
      <c r="K19" s="3">
        <f>VLOOKUP(C19,'19-10-25'!$J$2:$L$69,3,0)</f>
        <v>10582.5</v>
      </c>
      <c r="N19" s="3">
        <f>VLOOKUP(C19,'13-12-25'!$J$2:$L$64,3,0)</f>
        <v>21140</v>
      </c>
      <c r="V19" s="4">
        <f t="shared" si="0"/>
        <v>64187.5</v>
      </c>
      <c r="W19" s="85">
        <f t="shared" si="1"/>
        <v>64187.5</v>
      </c>
    </row>
    <row r="20" spans="1:25" x14ac:dyDescent="0.35">
      <c r="B20" s="1">
        <v>18</v>
      </c>
      <c r="C20" t="s">
        <v>117</v>
      </c>
      <c r="D20" s="5">
        <v>2</v>
      </c>
      <c r="E20" s="3">
        <f>VLOOKUP(C20,'12-7-2025'!$J$2:$L$53,3,0)</f>
        <v>6577.5</v>
      </c>
      <c r="K20" s="3">
        <f>VLOOKUP(C20,'19-10-25'!$J$2:$L$69,3,0)</f>
        <v>1575</v>
      </c>
      <c r="N20" s="3">
        <f>VLOOKUP(C20,'13-12-25'!$J$2:$L$64,3,0)</f>
        <v>5845</v>
      </c>
      <c r="V20" s="4">
        <f t="shared" si="0"/>
        <v>13997.5</v>
      </c>
      <c r="W20" s="85">
        <f t="shared" si="1"/>
        <v>13997.5</v>
      </c>
    </row>
    <row r="21" spans="1:25" x14ac:dyDescent="0.35">
      <c r="B21" s="1">
        <v>19</v>
      </c>
      <c r="C21" t="s">
        <v>79</v>
      </c>
      <c r="D21" s="5">
        <v>2</v>
      </c>
      <c r="E21" s="3">
        <f>VLOOKUP(C21,'12-7-2025'!$J$2:$L$53,3,0)</f>
        <v>2100</v>
      </c>
      <c r="F21" s="3">
        <f>VLOOKUP(C21,'26-7-2025'!$N$2:$P$50,3,0)</f>
        <v>26180</v>
      </c>
      <c r="I21" s="3">
        <f>VLOOKUP(C21,'7-9-2025'!$J$2:$L$57,3,0)</f>
        <v>16570</v>
      </c>
      <c r="V21" s="4">
        <f t="shared" si="0"/>
        <v>44850</v>
      </c>
      <c r="W21" s="85">
        <f>V21-44000</f>
        <v>850</v>
      </c>
      <c r="X21" s="83" t="s">
        <v>286</v>
      </c>
      <c r="Y21" t="s">
        <v>274</v>
      </c>
    </row>
    <row r="22" spans="1:25" x14ac:dyDescent="0.35">
      <c r="A22" s="77"/>
      <c r="B22" s="1">
        <v>20</v>
      </c>
      <c r="C22" t="s">
        <v>108</v>
      </c>
      <c r="D22" s="5">
        <v>2</v>
      </c>
      <c r="E22" s="3">
        <f>VLOOKUP(C22,'12-7-2025'!$J$2:$L$53,3,0)</f>
        <v>63745</v>
      </c>
      <c r="F22" s="3">
        <f>VLOOKUP(C22,'26-7-2025'!$N$2:$P$50,3,0)</f>
        <v>5235</v>
      </c>
      <c r="G22" s="3">
        <f>VLOOKUP(C22,'9-8-2025'!$N$2:$P$57,3,0)</f>
        <v>3550</v>
      </c>
      <c r="I22" s="3">
        <f>VLOOKUP(C22,'7-9-2025'!$J$2:$L$57,3,0)</f>
        <v>33070</v>
      </c>
      <c r="L22" s="3">
        <f>VLOOKUP(C22,'1-11-25'!$J$2:$L$48,3,0)</f>
        <v>18835</v>
      </c>
      <c r="N22" s="3">
        <f>VLOOKUP(C22,'13-12-25'!$J$2:$L$64,3,0)</f>
        <v>36465</v>
      </c>
      <c r="O22" s="3">
        <f>VLOOKUP(C22,'3-1-26'!$J$2:$L$48,3,0)</f>
        <v>5570</v>
      </c>
      <c r="P22" s="3">
        <f>VLOOKUP(C22,'31-1-26'!$J$4:$L$53,3,0)</f>
        <v>2642.5</v>
      </c>
      <c r="Q22" s="3">
        <f>VLOOKUP(C22,'15-02-26'!$J$2:$L$41,3,0)</f>
        <v>33395</v>
      </c>
      <c r="V22" s="4">
        <f t="shared" si="0"/>
        <v>202507.5</v>
      </c>
      <c r="W22" s="85">
        <f>V22-200000</f>
        <v>2507.5</v>
      </c>
    </row>
    <row r="23" spans="1:25" x14ac:dyDescent="0.35">
      <c r="B23" s="1">
        <v>21</v>
      </c>
      <c r="C23" t="s">
        <v>96</v>
      </c>
      <c r="D23" s="5">
        <v>2</v>
      </c>
      <c r="E23" s="80">
        <f>VLOOKUP(C23,'12-7-2025'!$J$2:$L$53,3,0)</f>
        <v>17560</v>
      </c>
      <c r="F23" s="80"/>
      <c r="G23" s="80"/>
      <c r="H23" s="80"/>
      <c r="I23" s="80"/>
      <c r="U23" s="80"/>
      <c r="V23" s="4">
        <f t="shared" si="0"/>
        <v>17560</v>
      </c>
      <c r="W23" s="85">
        <f>V23-17560</f>
        <v>0</v>
      </c>
      <c r="X23" s="83" t="s">
        <v>252</v>
      </c>
      <c r="Y23" t="s">
        <v>253</v>
      </c>
    </row>
    <row r="24" spans="1:25" x14ac:dyDescent="0.35">
      <c r="B24" s="1">
        <v>22</v>
      </c>
      <c r="C24" t="s">
        <v>175</v>
      </c>
      <c r="D24" s="5">
        <v>2</v>
      </c>
      <c r="F24" s="3">
        <f>VLOOKUP(C24,'26-7-2025'!$N$2:$P$50,3,0)</f>
        <v>5360</v>
      </c>
      <c r="G24" s="3">
        <f>VLOOKUP(C24,'9-8-2025'!$N$2:$P$57,3,0)</f>
        <v>4235</v>
      </c>
      <c r="H24" s="3">
        <f>VLOOKUP(C24,'23-8-2025'!$J$2:$L$54,3,0)</f>
        <v>8792.5</v>
      </c>
      <c r="I24" s="3">
        <f>VLOOKUP(C24,'7-9-2025'!$J$2:$L$57,3,0)</f>
        <v>8267.5</v>
      </c>
      <c r="J24" s="3">
        <f>VLOOKUP(C24,'21-9-2025'!$J$2:$L$55,3,0)</f>
        <v>5040</v>
      </c>
      <c r="K24" s="3">
        <f>VLOOKUP(C24,'19-10-25'!$J$2:$L$69,3,0)</f>
        <v>4465</v>
      </c>
      <c r="M24" s="3">
        <f>VLOOKUP(C24,'15-11-25'!$J$2:$L$46,3,0)</f>
        <v>11955</v>
      </c>
      <c r="V24" s="4">
        <f t="shared" si="0"/>
        <v>48115</v>
      </c>
      <c r="W24" s="85">
        <f>V24</f>
        <v>48115</v>
      </c>
    </row>
    <row r="25" spans="1:25" x14ac:dyDescent="0.35">
      <c r="B25" s="1">
        <v>23</v>
      </c>
      <c r="C25" s="69" t="s">
        <v>262</v>
      </c>
      <c r="D25" s="5">
        <v>2</v>
      </c>
      <c r="J25" s="3">
        <f>VLOOKUP(C25,'21-9-2025'!$J$2:$L$55,3,0)</f>
        <v>63000</v>
      </c>
      <c r="V25" s="4">
        <f t="shared" si="0"/>
        <v>63000</v>
      </c>
      <c r="W25" s="85">
        <f>V25-63000</f>
        <v>0</v>
      </c>
      <c r="X25" s="83" t="s">
        <v>273</v>
      </c>
      <c r="Y25" t="s">
        <v>274</v>
      </c>
    </row>
    <row r="26" spans="1:25" x14ac:dyDescent="0.35">
      <c r="B26" s="1">
        <v>24</v>
      </c>
      <c r="C26" t="s">
        <v>284</v>
      </c>
      <c r="D26" s="5">
        <v>2</v>
      </c>
      <c r="E26" s="3">
        <f>VLOOKUP(C26,'12-7-2025'!$J$2:$L$53,3,0)</f>
        <v>2157.5</v>
      </c>
      <c r="H26" s="3">
        <f>VLOOKUP(C26,'23-8-2025'!$J$2:$L$54,3,0)</f>
        <v>4255</v>
      </c>
      <c r="J26" s="3">
        <f>VLOOKUP(C26,'21-9-2025'!$J$2:$L$55,3,0)</f>
        <v>3637.5</v>
      </c>
      <c r="K26" s="3">
        <f>VLOOKUP(C26,'19-10-25'!$J$2:$L$69,3,0)</f>
        <v>15115</v>
      </c>
      <c r="V26" s="4">
        <f t="shared" si="0"/>
        <v>25165</v>
      </c>
      <c r="W26" s="85">
        <f>V26-25000</f>
        <v>165</v>
      </c>
      <c r="X26" s="83" t="s">
        <v>286</v>
      </c>
      <c r="Y26" t="s">
        <v>274</v>
      </c>
    </row>
    <row r="27" spans="1:25" x14ac:dyDescent="0.35">
      <c r="B27" s="1">
        <v>25</v>
      </c>
      <c r="C27" t="s">
        <v>99</v>
      </c>
      <c r="D27" s="5">
        <v>2</v>
      </c>
      <c r="E27" s="3">
        <f>VLOOKUP(C27,'12-7-2025'!$J$2:$L$53,3,0)</f>
        <v>3235</v>
      </c>
      <c r="V27" s="4">
        <f t="shared" si="0"/>
        <v>3235</v>
      </c>
      <c r="W27" s="85">
        <f>V27</f>
        <v>3235</v>
      </c>
    </row>
    <row r="28" spans="1:25" x14ac:dyDescent="0.35">
      <c r="A28" s="77"/>
      <c r="B28" s="1">
        <v>26</v>
      </c>
      <c r="C28" t="s">
        <v>181</v>
      </c>
      <c r="D28" s="5">
        <v>2</v>
      </c>
      <c r="G28" s="3">
        <f>VLOOKUP(C28,'9-8-2025'!$N$2:$P$57,3,0)</f>
        <v>18635</v>
      </c>
      <c r="H28" s="3">
        <f>VLOOKUP(C28,'23-8-2025'!$J$2:$L$54,3,0)</f>
        <v>23787.5</v>
      </c>
      <c r="K28" s="3">
        <f>VLOOKUP(C28,'19-10-25'!$J$2:$L$69,3,0)</f>
        <v>5155</v>
      </c>
      <c r="N28" s="3">
        <f>VLOOKUP(C28,'13-12-25'!$J$2:$L$64,3,0)</f>
        <v>9355</v>
      </c>
      <c r="P28" s="3">
        <f>VLOOKUP(C28,'31-1-26'!$J$4:$L$53,3,0)</f>
        <v>4760</v>
      </c>
      <c r="V28" s="4">
        <f t="shared" si="0"/>
        <v>61692.5</v>
      </c>
      <c r="W28" s="85">
        <f>V28</f>
        <v>61692.5</v>
      </c>
    </row>
    <row r="29" spans="1:25" x14ac:dyDescent="0.35">
      <c r="B29" s="1">
        <v>27</v>
      </c>
      <c r="C29" t="s">
        <v>260</v>
      </c>
      <c r="D29" s="5">
        <v>2</v>
      </c>
      <c r="J29" s="3">
        <f>VLOOKUP(C29,'21-9-2025'!$J$2:$L$55,3,0)</f>
        <v>2900</v>
      </c>
      <c r="K29" s="3">
        <f>VLOOKUP(C29,'19-10-25'!$J$2:$L$69,3,0)</f>
        <v>13555</v>
      </c>
      <c r="V29" s="4">
        <f t="shared" si="0"/>
        <v>16455</v>
      </c>
      <c r="W29" s="85">
        <f>V29</f>
        <v>16455</v>
      </c>
    </row>
    <row r="30" spans="1:25" x14ac:dyDescent="0.35">
      <c r="B30" s="1">
        <v>28</v>
      </c>
      <c r="C30" t="s">
        <v>78</v>
      </c>
      <c r="D30" s="5">
        <v>2</v>
      </c>
      <c r="E30" s="3">
        <f>VLOOKUP(C30,'12-7-2025'!$J$2:$L$53,3,0)</f>
        <v>400</v>
      </c>
      <c r="F30" s="3">
        <f>VLOOKUP(C30,'26-7-2025'!$N$2:$P$50,3,0)</f>
        <v>44950</v>
      </c>
      <c r="H30" s="3">
        <f>VLOOKUP(C30,'23-8-2025'!$J$2:$L$54,3,0)</f>
        <v>23475</v>
      </c>
      <c r="K30" s="3">
        <f>VLOOKUP(C30,'19-10-25'!$J$2:$L$69,3,0)</f>
        <v>5388.5</v>
      </c>
      <c r="N30" s="3">
        <f>VLOOKUP(C30,'13-12-25'!$J$2:$L$64,3,0)</f>
        <v>70805</v>
      </c>
      <c r="P30" s="3">
        <f>VLOOKUP(C30,'31-1-26'!$J$4:$L$53,3,0)</f>
        <v>13200</v>
      </c>
      <c r="Q30" s="3">
        <f>VLOOKUP(C30,'15-02-26'!$J$2:$L$41,3,0)</f>
        <v>3740</v>
      </c>
      <c r="V30" s="4">
        <f t="shared" si="0"/>
        <v>161958.5</v>
      </c>
      <c r="W30" s="85">
        <f>V30-140000</f>
        <v>21958.5</v>
      </c>
    </row>
    <row r="31" spans="1:25" x14ac:dyDescent="0.35">
      <c r="B31" s="1">
        <v>29</v>
      </c>
      <c r="C31" t="s">
        <v>216</v>
      </c>
      <c r="D31" s="5">
        <v>2</v>
      </c>
      <c r="H31" s="3">
        <f>VLOOKUP(C31,'23-8-2025'!$J$2:$L$54,3,0)</f>
        <v>3289.9999999999995</v>
      </c>
      <c r="J31" s="3">
        <f>VLOOKUP(C31,'21-9-2025'!$J$2:$L$55,3,0)</f>
        <v>2602.5</v>
      </c>
      <c r="K31" s="3">
        <f>VLOOKUP(C31,'19-10-25'!$J$2:$L$69,3,0)</f>
        <v>6480</v>
      </c>
      <c r="L31" s="3">
        <f>VLOOKUP(C31,'1-11-25'!$J$2:$L$48,3,0)</f>
        <v>21465</v>
      </c>
      <c r="N31" s="3">
        <f>VLOOKUP(C31,'13-12-25'!$J$2:$L$64,3,0)</f>
        <v>4370</v>
      </c>
      <c r="Q31" s="3">
        <f>VLOOKUP(C31,'15-02-26'!$J$2:$L$41,3,0)</f>
        <v>7552.5</v>
      </c>
      <c r="V31" s="4">
        <f t="shared" si="0"/>
        <v>45760</v>
      </c>
      <c r="W31" s="85">
        <f>V31</f>
        <v>45760</v>
      </c>
    </row>
    <row r="32" spans="1:25" x14ac:dyDescent="0.35">
      <c r="B32" s="1">
        <v>30</v>
      </c>
      <c r="C32" t="s">
        <v>127</v>
      </c>
      <c r="D32" s="5">
        <v>2</v>
      </c>
      <c r="E32" s="3">
        <f>VLOOKUP(C32,'12-7-2025'!$J$2:$L$53,3,0)</f>
        <v>19587.5</v>
      </c>
      <c r="F32" s="3">
        <f>VLOOKUP(C32,'26-7-2025'!$N$2:$P$50,3,0)</f>
        <v>36790</v>
      </c>
      <c r="H32" s="3">
        <f>VLOOKUP(C32,'23-8-2025'!$J$2:$L$54,3,0)</f>
        <v>32265</v>
      </c>
      <c r="J32" s="3">
        <f>VLOOKUP(C32,'21-9-2025'!$J$2:$L$55,3,0)</f>
        <v>15655</v>
      </c>
      <c r="K32" s="3">
        <f>VLOOKUP(C32,'19-10-25'!$J$2:$L$69,3,0)</f>
        <v>7970</v>
      </c>
      <c r="M32" s="3">
        <f>VLOOKUP(C32,'15-11-25'!$J$2:$L$46,3,0)</f>
        <v>11107</v>
      </c>
      <c r="N32" s="3">
        <f>VLOOKUP(C32,'13-12-25'!$J$2:$L$64,3,0)</f>
        <v>27105</v>
      </c>
      <c r="O32" s="3">
        <f>VLOOKUP(C32,'3-1-26'!$J$2:$L$48,3,0)</f>
        <v>19997.5</v>
      </c>
      <c r="P32" s="3">
        <f>VLOOKUP(C32,'31-1-26'!$J$4:$L$53,3,0)</f>
        <v>23787.5</v>
      </c>
      <c r="Q32" s="3">
        <f>VLOOKUP(C32,'15-02-26'!$J$2:$L$41,3,0)</f>
        <v>17585</v>
      </c>
      <c r="V32" s="4">
        <f t="shared" si="0"/>
        <v>211849.5</v>
      </c>
      <c r="W32" s="85">
        <f>V32-80000-30000-80000</f>
        <v>21849.5</v>
      </c>
      <c r="X32" s="83" t="s">
        <v>233</v>
      </c>
      <c r="Y32" t="s">
        <v>254</v>
      </c>
    </row>
    <row r="33" spans="1:25" x14ac:dyDescent="0.35">
      <c r="B33" s="1">
        <v>31</v>
      </c>
      <c r="C33" t="s">
        <v>190</v>
      </c>
      <c r="D33" s="5">
        <v>2</v>
      </c>
      <c r="G33" s="3">
        <f>VLOOKUP(C33,'9-8-2025'!$N$2:$P$57,3,0)</f>
        <v>3665</v>
      </c>
      <c r="V33" s="4">
        <f t="shared" si="0"/>
        <v>3665</v>
      </c>
      <c r="W33" s="85">
        <f>V33</f>
        <v>3665</v>
      </c>
    </row>
    <row r="34" spans="1:25" x14ac:dyDescent="0.35">
      <c r="B34" s="1">
        <v>32</v>
      </c>
      <c r="C34" t="s">
        <v>283</v>
      </c>
      <c r="D34" s="5">
        <v>2</v>
      </c>
      <c r="K34" s="3">
        <f>VLOOKUP(C34,'19-10-25'!$J$2:$L$69,3,0)</f>
        <v>5460</v>
      </c>
      <c r="L34" s="3">
        <f>VLOOKUP(C34,'1-11-25'!$J$2:$L$48,3,0)</f>
        <v>5332.5</v>
      </c>
      <c r="O34" s="3">
        <f>VLOOKUP(C34,'3-1-26'!$J$2:$L$48,3,0)</f>
        <v>4970</v>
      </c>
      <c r="V34" s="4">
        <f t="shared" si="0"/>
        <v>15762.5</v>
      </c>
      <c r="W34" s="85">
        <f>V34</f>
        <v>15762.5</v>
      </c>
    </row>
    <row r="35" spans="1:25" x14ac:dyDescent="0.35">
      <c r="B35" s="1">
        <v>33</v>
      </c>
      <c r="C35" t="s">
        <v>244</v>
      </c>
      <c r="D35" s="5">
        <v>2</v>
      </c>
      <c r="I35" s="3">
        <f>VLOOKUP(C35,'7-9-2025'!$J$2:$L$57,3,0)</f>
        <v>26110</v>
      </c>
      <c r="J35" s="3">
        <f>VLOOKUP(C35,'21-9-2025'!$J$2:$L$55,3,0)</f>
        <v>3390</v>
      </c>
      <c r="N35" s="3">
        <f>VLOOKUP(C35,'13-12-25'!$J$2:$L$64,3,0)</f>
        <v>24805</v>
      </c>
      <c r="O35" s="3">
        <f>VLOOKUP(C35,'3-1-26'!$J$2:$L$48,3,0)</f>
        <v>8705</v>
      </c>
      <c r="V35" s="4">
        <f t="shared" ref="V35:V66" si="2">SUM(E35:U35)</f>
        <v>63010</v>
      </c>
      <c r="W35" s="85">
        <f>V35-29000</f>
        <v>34010</v>
      </c>
    </row>
    <row r="36" spans="1:25" x14ac:dyDescent="0.35">
      <c r="B36" s="1">
        <v>34</v>
      </c>
      <c r="C36" t="s">
        <v>115</v>
      </c>
      <c r="D36" s="5">
        <v>2</v>
      </c>
      <c r="E36" s="3">
        <f>VLOOKUP(C36,'12-7-2025'!$J$2:$L$53,3,0)</f>
        <v>2040</v>
      </c>
      <c r="H36" s="3">
        <f>VLOOKUP(C36,'23-8-2025'!$J$2:$L$54,3,0)</f>
        <v>1875</v>
      </c>
      <c r="L36" s="3">
        <f>VLOOKUP(C36,'1-11-25'!$J$2:$L$48,3,0)</f>
        <v>16762.5</v>
      </c>
      <c r="N36" s="3">
        <f>VLOOKUP(C36,'13-12-25'!$J$2:$L$64,3,0)</f>
        <v>3410.0000000000005</v>
      </c>
      <c r="O36" s="3">
        <f>VLOOKUP(C36,'3-1-26'!$J$2:$L$48,3,0)</f>
        <v>4135</v>
      </c>
      <c r="V36" s="4">
        <f t="shared" si="2"/>
        <v>28222.5</v>
      </c>
      <c r="W36" s="85">
        <f t="shared" ref="W36:W43" si="3">V36</f>
        <v>28222.5</v>
      </c>
    </row>
    <row r="37" spans="1:25" x14ac:dyDescent="0.35">
      <c r="B37" s="1">
        <v>35</v>
      </c>
      <c r="C37" t="s">
        <v>116</v>
      </c>
      <c r="D37" s="5">
        <v>2</v>
      </c>
      <c r="E37" s="3">
        <f>VLOOKUP(C37,'12-7-2025'!$J$2:$L$53,3,0)</f>
        <v>40955</v>
      </c>
      <c r="J37" s="3">
        <f>VLOOKUP(C37,'21-9-2025'!$J$2:$L$55,3,0)</f>
        <v>2300</v>
      </c>
      <c r="K37" s="3">
        <f>VLOOKUP(C37,'19-10-25'!$J$2:$L$69,3,0)</f>
        <v>4727.5</v>
      </c>
      <c r="M37" s="3">
        <f>VLOOKUP(C37,'15-11-25'!$J$2:$L$46,3,0)</f>
        <v>5365</v>
      </c>
      <c r="P37" s="3">
        <f>VLOOKUP(C37,'31-1-26'!$J$4:$L$53,3,0)</f>
        <v>9472.5</v>
      </c>
      <c r="V37" s="4">
        <f t="shared" si="2"/>
        <v>62820</v>
      </c>
      <c r="W37" s="85">
        <f t="shared" si="3"/>
        <v>62820</v>
      </c>
    </row>
    <row r="38" spans="1:25" x14ac:dyDescent="0.35">
      <c r="B38" s="1">
        <v>36</v>
      </c>
      <c r="C38" t="s">
        <v>261</v>
      </c>
      <c r="D38" s="5">
        <v>2</v>
      </c>
      <c r="J38" s="3">
        <f>VLOOKUP(C38,'21-9-2025'!$J$2:$L$55,3,0)</f>
        <v>18522.5</v>
      </c>
      <c r="K38" s="3">
        <f>VLOOKUP(C38,'19-10-25'!$J$2:$L$69,3,0)</f>
        <v>2600</v>
      </c>
      <c r="V38" s="4">
        <f t="shared" si="2"/>
        <v>21122.5</v>
      </c>
      <c r="W38" s="85">
        <f t="shared" si="3"/>
        <v>21122.5</v>
      </c>
    </row>
    <row r="39" spans="1:25" x14ac:dyDescent="0.35">
      <c r="B39" s="1">
        <v>37</v>
      </c>
      <c r="C39" t="s">
        <v>5</v>
      </c>
      <c r="D39" s="5">
        <v>2</v>
      </c>
      <c r="E39" s="3">
        <f>VLOOKUP(C39,'12-7-2025'!$J$2:$L$53,3,0)</f>
        <v>4600</v>
      </c>
      <c r="F39" s="3">
        <f>VLOOKUP(C39,'26-7-2025'!$N$2:$P$50,3,0)</f>
        <v>20097.5</v>
      </c>
      <c r="G39" s="3">
        <f>VLOOKUP(C39,'9-8-2025'!$N$2:$P$57,3,0)</f>
        <v>2800</v>
      </c>
      <c r="H39" s="3">
        <f>VLOOKUP(C39,'23-8-2025'!$J$2:$L$54,3,0)</f>
        <v>5110</v>
      </c>
      <c r="I39" s="3">
        <f>VLOOKUP(C39,'7-9-2025'!$J$2:$L$57,3,0)</f>
        <v>6300</v>
      </c>
      <c r="J39" s="3">
        <f>VLOOKUP(C39,'21-9-2025'!$J$2:$L$55,3,0)</f>
        <v>12010</v>
      </c>
      <c r="K39" s="3">
        <f>VLOOKUP(C39,'19-10-25'!$J$2:$L$69,3,0)</f>
        <v>11797.5</v>
      </c>
      <c r="L39" s="3">
        <f>VLOOKUP(C39,'1-11-25'!$J$2:$L$48,3,0)</f>
        <v>20250</v>
      </c>
      <c r="N39" s="3">
        <f>VLOOKUP(C39,'13-12-25'!$J$2:$L$64,3,0)</f>
        <v>19200</v>
      </c>
      <c r="O39" s="3">
        <f>VLOOKUP(C39,'3-1-26'!$J$2:$L$48,3,0)</f>
        <v>20260</v>
      </c>
      <c r="P39" s="3">
        <f>VLOOKUP(C39,'31-1-26'!$J$4:$L$53,3,0)</f>
        <v>7760</v>
      </c>
      <c r="Q39" s="3">
        <f>VLOOKUP(C39,'15-02-26'!$J$2:$L$41,3,0)</f>
        <v>7500</v>
      </c>
      <c r="V39" s="4">
        <f t="shared" si="2"/>
        <v>137685</v>
      </c>
      <c r="W39" s="85">
        <f>V39-100000</f>
        <v>37685</v>
      </c>
    </row>
    <row r="40" spans="1:25" x14ac:dyDescent="0.35">
      <c r="A40" s="77"/>
      <c r="B40" s="1">
        <v>38</v>
      </c>
      <c r="C40" t="s">
        <v>186</v>
      </c>
      <c r="D40" s="5">
        <v>3</v>
      </c>
      <c r="G40" s="3">
        <f>VLOOKUP(C40,'9-8-2025'!$N$2:$P$57,3,0)</f>
        <v>8395</v>
      </c>
      <c r="K40" s="3">
        <f>VLOOKUP(C40,'19-10-25'!$J$2:$L$69,3,0)</f>
        <v>3660</v>
      </c>
      <c r="V40" s="4">
        <f t="shared" si="2"/>
        <v>12055</v>
      </c>
      <c r="W40" s="85">
        <f t="shared" si="3"/>
        <v>12055</v>
      </c>
    </row>
    <row r="41" spans="1:25" x14ac:dyDescent="0.35">
      <c r="B41" s="1">
        <v>39</v>
      </c>
      <c r="C41" t="s">
        <v>90</v>
      </c>
      <c r="D41" s="5">
        <v>3</v>
      </c>
      <c r="E41" s="3">
        <f>VLOOKUP(C41,'12-7-2025'!$J$2:$L$53,3,0)</f>
        <v>7970</v>
      </c>
      <c r="F41" s="3">
        <f>VLOOKUP(C41,'26-7-2025'!$N$2:$P$50,3,0)</f>
        <v>655</v>
      </c>
      <c r="G41" s="3">
        <f>VLOOKUP(C41,'9-8-2025'!$N$2:$P$57,3,0)</f>
        <v>3367.5</v>
      </c>
      <c r="H41" s="3">
        <f>VLOOKUP(C41,'23-8-2025'!$J$2:$L$54,3,0)</f>
        <v>2520</v>
      </c>
      <c r="J41" s="3">
        <f>VLOOKUP(C41,'21-9-2025'!$J$2:$L$55,3,0)</f>
        <v>4540</v>
      </c>
      <c r="K41" s="3">
        <f>VLOOKUP(C41,'19-10-25'!$J$2:$L$69,3,0)</f>
        <v>6360</v>
      </c>
      <c r="L41" s="3">
        <f>VLOOKUP(C41,'1-11-25'!$J$2:$L$48,3,0)</f>
        <v>2020</v>
      </c>
      <c r="M41" s="3">
        <f>VLOOKUP(C41,'15-11-25'!$J$2:$L$46,3,0)</f>
        <v>11480</v>
      </c>
      <c r="V41" s="4">
        <f t="shared" si="2"/>
        <v>38912.5</v>
      </c>
      <c r="W41" s="85">
        <f t="shared" si="3"/>
        <v>38912.5</v>
      </c>
    </row>
    <row r="42" spans="1:25" x14ac:dyDescent="0.35">
      <c r="B42" s="1">
        <v>40</v>
      </c>
      <c r="C42" t="s">
        <v>164</v>
      </c>
      <c r="D42" s="5">
        <v>3</v>
      </c>
      <c r="F42" s="3">
        <f>VLOOKUP(C42,'26-7-2025'!$N$2:$P$50,3,0)</f>
        <v>8155</v>
      </c>
      <c r="H42" s="3">
        <f>VLOOKUP(C42,'23-8-2025'!$J$2:$L$54,3,0)</f>
        <v>2000</v>
      </c>
      <c r="K42" s="3">
        <f>VLOOKUP(C42,'19-10-25'!$J$2:$L$69,3,0)</f>
        <v>10500</v>
      </c>
      <c r="L42" s="3">
        <f>VLOOKUP(C42,'1-11-25'!$J$2:$L$48,3,0)</f>
        <v>7012.5</v>
      </c>
      <c r="O42" s="3">
        <f>VLOOKUP(C42,'3-1-26'!$J$2:$L$48,3,0)</f>
        <v>2585</v>
      </c>
      <c r="V42" s="4">
        <f t="shared" si="2"/>
        <v>30252.5</v>
      </c>
      <c r="W42" s="85">
        <f t="shared" si="3"/>
        <v>30252.5</v>
      </c>
    </row>
    <row r="43" spans="1:25" x14ac:dyDescent="0.35">
      <c r="A43" s="77"/>
      <c r="B43" s="1">
        <v>41</v>
      </c>
      <c r="C43" t="s">
        <v>259</v>
      </c>
      <c r="D43" s="5">
        <v>3</v>
      </c>
      <c r="J43" s="3">
        <f>VLOOKUP(C43,'21-9-2025'!$J$2:$L$55,3,0)</f>
        <v>2380</v>
      </c>
      <c r="K43" s="3">
        <f>VLOOKUP(C43,'19-10-25'!$J$2:$L$69,3,0)</f>
        <v>5900</v>
      </c>
      <c r="L43" s="3">
        <f>VLOOKUP(C43,'1-11-25'!$J$2:$L$48,3,0)</f>
        <v>6845</v>
      </c>
      <c r="M43" s="3">
        <f>VLOOKUP(C43,'15-11-25'!$J$2:$L$46,3,0)</f>
        <v>4710</v>
      </c>
      <c r="N43" s="3">
        <f>VLOOKUP(C43,'13-12-25'!$J$2:$L$64,3,0)</f>
        <v>8150</v>
      </c>
      <c r="O43" s="3">
        <f>VLOOKUP(C43,'3-1-26'!$J$2:$L$48,3,0)</f>
        <v>4477.5</v>
      </c>
      <c r="P43" s="3">
        <f>VLOOKUP(C43,'31-1-26'!$J$4:$L$53,3,0)</f>
        <v>7447.5</v>
      </c>
      <c r="Q43" s="3">
        <f>VLOOKUP(C43,'15-02-26'!$J$2:$L$41,3,0)</f>
        <v>2165</v>
      </c>
      <c r="V43" s="4">
        <f t="shared" si="2"/>
        <v>42075</v>
      </c>
      <c r="W43" s="85">
        <f t="shared" si="3"/>
        <v>42075</v>
      </c>
    </row>
    <row r="44" spans="1:25" x14ac:dyDescent="0.35">
      <c r="A44" s="77"/>
      <c r="B44" s="1">
        <v>42</v>
      </c>
      <c r="C44" t="s">
        <v>178</v>
      </c>
      <c r="D44" s="5">
        <v>3</v>
      </c>
      <c r="F44" s="3">
        <f>VLOOKUP(C44,'26-7-2025'!$N$2:$P$50,3,0)</f>
        <v>330</v>
      </c>
      <c r="G44" s="3">
        <f>VLOOKUP(C44,'9-8-2025'!$N$2:$P$57,3,0)</f>
        <v>3105</v>
      </c>
      <c r="H44" s="3">
        <f>VLOOKUP(C44,'23-8-2025'!$J$2:$L$54,3,0)</f>
        <v>8490</v>
      </c>
      <c r="I44" s="3">
        <f>VLOOKUP(C44,'7-9-2025'!$J$2:$L$57,3,0)</f>
        <v>4052.5</v>
      </c>
      <c r="J44" s="3">
        <f>VLOOKUP(C44,'21-9-2025'!$J$2:$L$55,3,0)</f>
        <v>15530</v>
      </c>
      <c r="K44" s="3">
        <f>VLOOKUP(C44,'19-10-25'!$J$2:$L$69,3,0)</f>
        <v>11645</v>
      </c>
      <c r="L44" s="3">
        <f>VLOOKUP(C44,'1-11-25'!$J$2:$L$48,3,0)</f>
        <v>4197.5</v>
      </c>
      <c r="M44" s="3">
        <f>VLOOKUP(C44,'15-11-25'!$J$2:$L$46,3,0)</f>
        <v>15390</v>
      </c>
      <c r="N44" s="3">
        <f>VLOOKUP(C44,'13-12-25'!$J$2:$L$64,3,0)</f>
        <v>18920</v>
      </c>
      <c r="O44" s="3">
        <f>VLOOKUP(C44,'3-1-26'!$J$2:$L$48,3,0)</f>
        <v>3225</v>
      </c>
      <c r="P44" s="3">
        <f>VLOOKUP(C44,'31-1-26'!$J$4:$L$53,3,0)</f>
        <v>11955</v>
      </c>
      <c r="Q44" s="3">
        <f>VLOOKUP(C44,'15-02-26'!$J$2:$L$41,3,0)</f>
        <v>18300</v>
      </c>
      <c r="V44" s="4">
        <f t="shared" si="2"/>
        <v>115140</v>
      </c>
      <c r="W44" s="85">
        <f>V44-43000-3000-50000</f>
        <v>19140</v>
      </c>
    </row>
    <row r="45" spans="1:25" x14ac:dyDescent="0.35">
      <c r="B45" s="1">
        <v>43</v>
      </c>
      <c r="C45" t="s">
        <v>147</v>
      </c>
      <c r="D45" s="5">
        <v>3</v>
      </c>
      <c r="E45" s="3">
        <f>VLOOKUP(C45,'12-7-2025'!$J$2:$L$53,3,0)</f>
        <v>1920</v>
      </c>
      <c r="F45" s="3">
        <f>VLOOKUP(C45,'26-7-2025'!$N$2:$P$50,3,0)</f>
        <v>22205</v>
      </c>
      <c r="G45" s="3">
        <f>VLOOKUP(C45,'9-8-2025'!$N$2:$P$57,3,0)</f>
        <v>4432.5</v>
      </c>
      <c r="H45" s="3">
        <f>VLOOKUP(C45,'23-8-2025'!$J$2:$L$54,3,0)</f>
        <v>5725</v>
      </c>
      <c r="J45" s="3">
        <f>VLOOKUP(C45,'21-9-2025'!$J$2:$L$55,3,0)</f>
        <v>5085</v>
      </c>
      <c r="K45" s="3">
        <f>VLOOKUP(C45,'19-10-25'!$J$2:$L$69,3,0)</f>
        <v>10250</v>
      </c>
      <c r="L45" s="3">
        <f>VLOOKUP(C45,'1-11-25'!$J$2:$L$48,3,0)</f>
        <v>4770</v>
      </c>
      <c r="N45" s="3">
        <f>VLOOKUP(C45,'13-12-25'!$J$2:$L$64,3,0)</f>
        <v>12400</v>
      </c>
      <c r="P45" s="3">
        <f>VLOOKUP(C45,'31-1-26'!$J$4:$L$53,3,0)</f>
        <v>4970</v>
      </c>
      <c r="V45" s="4">
        <f t="shared" si="2"/>
        <v>71757.5</v>
      </c>
      <c r="W45" s="85">
        <f t="shared" ref="W45:W51" si="4">V45</f>
        <v>71757.5</v>
      </c>
    </row>
    <row r="46" spans="1:25" x14ac:dyDescent="0.35">
      <c r="A46" s="77"/>
      <c r="B46" s="1">
        <v>44</v>
      </c>
      <c r="C46" t="s">
        <v>242</v>
      </c>
      <c r="D46" s="5">
        <v>3</v>
      </c>
      <c r="I46" s="3">
        <f>VLOOKUP(C46,'7-9-2025'!$J$2:$L$57,3,0)</f>
        <v>11610</v>
      </c>
      <c r="L46" s="3">
        <f>VLOOKUP(C46,'1-11-25'!$J$2:$L$48,3,0)</f>
        <v>2680</v>
      </c>
      <c r="M46" s="3">
        <f>VLOOKUP(C46,'15-11-25'!$J$2:$L$46,3,0)</f>
        <v>6180</v>
      </c>
      <c r="N46" s="3">
        <f>VLOOKUP(C46,'13-12-25'!$J$2:$L$64,3,0)</f>
        <v>530</v>
      </c>
      <c r="O46" s="3">
        <f>VLOOKUP(C46,'3-1-26'!$J$2:$L$48,3,0)</f>
        <v>630</v>
      </c>
      <c r="V46" s="4">
        <f t="shared" si="2"/>
        <v>21630</v>
      </c>
      <c r="W46" s="85">
        <f t="shared" si="4"/>
        <v>21630</v>
      </c>
    </row>
    <row r="47" spans="1:25" x14ac:dyDescent="0.35">
      <c r="B47" s="1">
        <v>45</v>
      </c>
      <c r="C47" t="s">
        <v>141</v>
      </c>
      <c r="D47" s="5">
        <v>3</v>
      </c>
      <c r="F47" s="3">
        <f>VLOOKUP(C47,'26-7-2025'!$N$2:$P$50,3,0)</f>
        <v>9900</v>
      </c>
      <c r="G47" s="3">
        <f>VLOOKUP(C47,'9-8-2025'!$N$2:$P$57,3,0)</f>
        <v>3232.5</v>
      </c>
      <c r="H47" s="3">
        <f>VLOOKUP(C47,'23-8-2025'!$J$2:$L$54,3,0)</f>
        <v>6440</v>
      </c>
      <c r="V47" s="4">
        <f t="shared" si="2"/>
        <v>19572.5</v>
      </c>
      <c r="W47" s="85">
        <f>V47-19572.5</f>
        <v>0</v>
      </c>
      <c r="Y47" s="100" t="s">
        <v>423</v>
      </c>
    </row>
    <row r="48" spans="1:25" x14ac:dyDescent="0.35">
      <c r="B48" s="1">
        <v>46</v>
      </c>
      <c r="C48" t="s">
        <v>76</v>
      </c>
      <c r="D48" s="5">
        <v>3</v>
      </c>
      <c r="E48" s="3">
        <f>VLOOKUP(C48,'12-7-2025'!$J$2:$L$53,3,0)</f>
        <v>14472.5</v>
      </c>
      <c r="F48" s="3">
        <f>VLOOKUP(C48,'26-7-2025'!$N$2:$P$50,3,0)</f>
        <v>8512.5</v>
      </c>
      <c r="G48" s="3">
        <f>VLOOKUP(C48,'9-8-2025'!$N$2:$P$57,3,0)</f>
        <v>9027.5</v>
      </c>
      <c r="H48" s="3">
        <f>VLOOKUP(C48,'23-8-2025'!$J$2:$L$54,3,0)</f>
        <v>12905</v>
      </c>
      <c r="I48" s="3">
        <f>VLOOKUP(C48,'7-9-2025'!$J$2:$L$57,3,0)</f>
        <v>10357.5</v>
      </c>
      <c r="J48" s="3">
        <f>VLOOKUP(C48,'21-9-2025'!$J$2:$L$55,3,0)</f>
        <v>11070</v>
      </c>
      <c r="K48" s="3">
        <f>VLOOKUP(C48,'19-10-25'!$J$2:$L$69,3,0)</f>
        <v>14690</v>
      </c>
      <c r="L48" s="3">
        <f>VLOOKUP(C48,'1-11-25'!$J$2:$L$48,3,0)</f>
        <v>13494</v>
      </c>
      <c r="M48" s="3">
        <f>VLOOKUP(C48,'15-11-25'!$J$2:$L$46,3,0)</f>
        <v>10330</v>
      </c>
      <c r="N48" s="3">
        <f>VLOOKUP(C48,'13-12-25'!$J$2:$L$64,3,0)</f>
        <v>32912.5</v>
      </c>
      <c r="O48" s="3">
        <f>VLOOKUP(C48,'3-1-26'!$J$2:$L$48,3,0)</f>
        <v>10100</v>
      </c>
      <c r="P48" s="3">
        <f>VLOOKUP(C48,'31-1-26'!$J$4:$L$53,3,0)</f>
        <v>10145</v>
      </c>
      <c r="Q48" s="3">
        <f>VLOOKUP(C48,'15-02-26'!$J$2:$L$41,3,0)</f>
        <v>7790</v>
      </c>
      <c r="V48" s="4">
        <f t="shared" si="2"/>
        <v>165806.5</v>
      </c>
      <c r="W48" s="85">
        <f>V48+19572.5-150000</f>
        <v>35379</v>
      </c>
    </row>
    <row r="49" spans="1:23" x14ac:dyDescent="0.35">
      <c r="B49" s="1">
        <v>47</v>
      </c>
      <c r="C49" t="s">
        <v>145</v>
      </c>
      <c r="D49" s="5">
        <v>4</v>
      </c>
      <c r="F49" s="3">
        <f>VLOOKUP(C49,'26-7-2025'!$N$2:$P$50,3,0)</f>
        <v>11845</v>
      </c>
      <c r="G49" s="3">
        <f>VLOOKUP(C49,'9-8-2025'!$N$2:$P$57,3,0)</f>
        <v>32612.5</v>
      </c>
      <c r="H49" s="3">
        <f>VLOOKUP(C49,'23-8-2025'!$J$2:$L$54,3,0)</f>
        <v>9287.5</v>
      </c>
      <c r="I49" s="3">
        <f>VLOOKUP(C49,'7-9-2025'!$J$2:$L$57,3,0)</f>
        <v>6042.5</v>
      </c>
      <c r="V49" s="4">
        <f t="shared" si="2"/>
        <v>59787.5</v>
      </c>
      <c r="W49" s="85">
        <f t="shared" si="4"/>
        <v>59787.5</v>
      </c>
    </row>
    <row r="50" spans="1:23" x14ac:dyDescent="0.35">
      <c r="A50" s="77"/>
      <c r="B50" s="1">
        <v>48</v>
      </c>
      <c r="C50" t="s">
        <v>85</v>
      </c>
      <c r="D50" s="5">
        <v>4</v>
      </c>
      <c r="E50" s="3">
        <f>VLOOKUP(C50,'12-7-2025'!$J$2:$L$53,3,0)</f>
        <v>1550</v>
      </c>
      <c r="F50" s="3">
        <f>VLOOKUP(C50,'26-7-2025'!$N$2:$P$50,3,0)</f>
        <v>4470</v>
      </c>
      <c r="G50" s="3">
        <f>VLOOKUP(C50,'9-8-2025'!$N$2:$P$57,3,0)</f>
        <v>5847.5</v>
      </c>
      <c r="H50" s="3">
        <f>VLOOKUP(C50,'23-8-2025'!$J$2:$L$54,3,0)</f>
        <v>9575</v>
      </c>
      <c r="J50" s="3">
        <f>VLOOKUP(C50,'21-9-2025'!$J$2:$L$55,3,0)</f>
        <v>3920</v>
      </c>
      <c r="K50" s="3">
        <f>VLOOKUP(C50,'19-10-25'!$J$2:$L$69,3,0)</f>
        <v>4085.0000000000005</v>
      </c>
      <c r="M50" s="3">
        <f>VLOOKUP(C50,'15-11-25'!$J$2:$L$46,3,0)</f>
        <v>35728</v>
      </c>
      <c r="N50" s="3">
        <f>VLOOKUP(C50,'13-12-25'!$J$2:$L$64,3,0)</f>
        <v>7470</v>
      </c>
      <c r="V50" s="4">
        <f t="shared" si="2"/>
        <v>72645.5</v>
      </c>
      <c r="W50" s="85">
        <f t="shared" si="4"/>
        <v>72645.5</v>
      </c>
    </row>
    <row r="51" spans="1:23" x14ac:dyDescent="0.35">
      <c r="A51" s="77"/>
      <c r="B51" s="1">
        <v>49</v>
      </c>
      <c r="C51" t="s">
        <v>185</v>
      </c>
      <c r="D51" s="5">
        <v>4</v>
      </c>
      <c r="G51" s="3">
        <f>VLOOKUP(C51,'9-8-2025'!$N$2:$P$57,3,0)</f>
        <v>10640</v>
      </c>
      <c r="I51" s="3">
        <f>VLOOKUP(C51,'7-9-2025'!$J$2:$L$57,3,0)</f>
        <v>17100</v>
      </c>
      <c r="J51" s="3">
        <f>VLOOKUP(C51,'21-9-2025'!$J$2:$L$55,3,0)</f>
        <v>11475</v>
      </c>
      <c r="K51" s="3">
        <f>VLOOKUP(C51,'19-10-25'!$J$2:$L$69,3,0)</f>
        <v>4370</v>
      </c>
      <c r="V51" s="4">
        <f t="shared" si="2"/>
        <v>43585</v>
      </c>
      <c r="W51" s="85">
        <f t="shared" si="4"/>
        <v>43585</v>
      </c>
    </row>
    <row r="52" spans="1:23" x14ac:dyDescent="0.35">
      <c r="A52" s="77"/>
      <c r="B52" s="1">
        <v>50</v>
      </c>
      <c r="C52" t="s">
        <v>89</v>
      </c>
      <c r="D52" s="5">
        <v>4</v>
      </c>
      <c r="E52" s="3">
        <f>VLOOKUP(C52,'12-7-2025'!$J$2:$L$53,3,0)</f>
        <v>910.00000000000011</v>
      </c>
      <c r="F52" s="3">
        <f>VLOOKUP(C52,'26-7-2025'!$N$2:$P$50,3,0)</f>
        <v>3157.5</v>
      </c>
      <c r="G52" s="3">
        <f>VLOOKUP(C52,'9-8-2025'!$N$2:$P$57,3,0)</f>
        <v>18960</v>
      </c>
      <c r="H52" s="3">
        <f>VLOOKUP(C52,'23-8-2025'!$J$2:$L$54,3,0)</f>
        <v>7805</v>
      </c>
      <c r="I52" s="3">
        <f>VLOOKUP(C52,'7-9-2025'!$J$2:$L$57,3,0)</f>
        <v>4640</v>
      </c>
      <c r="J52" s="3">
        <f>VLOOKUP(C52,'21-9-2025'!$J$2:$L$55,3,0)</f>
        <v>8575</v>
      </c>
      <c r="K52" s="3">
        <f>VLOOKUP(C52,'19-10-25'!$J$2:$L$69,3,0)</f>
        <v>6280</v>
      </c>
      <c r="L52" s="3">
        <f>VLOOKUP(C52,'1-11-25'!$J$2:$L$48,3,0)</f>
        <v>2292.5</v>
      </c>
      <c r="M52" s="3">
        <f>VLOOKUP(C52,'15-11-25'!$J$2:$L$46,3,0)</f>
        <v>6147</v>
      </c>
      <c r="N52" s="3">
        <f>VLOOKUP(C52,'13-12-25'!$J$2:$L$64,3,0)</f>
        <v>14225</v>
      </c>
      <c r="O52" s="3">
        <f>VLOOKUP(C52,'3-1-26'!$J$2:$L$48,3,0)</f>
        <v>22415</v>
      </c>
      <c r="P52" s="3">
        <f>VLOOKUP(C52,'31-1-26'!$J$4:$L$53,3,0)</f>
        <v>11047.5</v>
      </c>
      <c r="Q52" s="3">
        <f>VLOOKUP(C52,'15-02-26'!$J$2:$L$41,3,0)</f>
        <v>15205</v>
      </c>
      <c r="V52" s="4">
        <f t="shared" si="2"/>
        <v>121659.5</v>
      </c>
      <c r="W52" s="85">
        <f>V52-50000</f>
        <v>71659.5</v>
      </c>
    </row>
    <row r="53" spans="1:23" x14ac:dyDescent="0.35">
      <c r="A53" s="77"/>
      <c r="B53" s="1">
        <v>51</v>
      </c>
      <c r="C53" t="s">
        <v>152</v>
      </c>
      <c r="D53" s="5">
        <v>4</v>
      </c>
      <c r="E53" s="3">
        <f>VLOOKUP(C53,'12-7-2025'!$J$2:$L$53,3,0)</f>
        <v>1270</v>
      </c>
      <c r="F53" s="3">
        <f>VLOOKUP(C53,'26-7-2025'!$N$2:$P$50,3,0)</f>
        <v>3035</v>
      </c>
      <c r="G53" s="3">
        <f>VLOOKUP(C53,'9-8-2025'!$N$2:$P$57,3,0)</f>
        <v>4040</v>
      </c>
      <c r="H53" s="3">
        <f>VLOOKUP(C53,'23-8-2025'!$J$2:$L$54,3,0)</f>
        <v>1502.5</v>
      </c>
      <c r="J53" s="3">
        <f>VLOOKUP(C53,'21-9-2025'!$J$2:$L$55,3,0)</f>
        <v>13540</v>
      </c>
      <c r="K53" s="3">
        <f>VLOOKUP(C53,'19-10-25'!$J$2:$L$69,3,0)</f>
        <v>470</v>
      </c>
      <c r="L53" s="3">
        <f>VLOOKUP(C53,'1-11-25'!$J$2:$L$48,3,0)</f>
        <v>970</v>
      </c>
      <c r="N53" s="3">
        <f>VLOOKUP(C53,'13-12-25'!$J$2:$L$64,3,0)</f>
        <v>3350</v>
      </c>
      <c r="P53" s="3">
        <f>VLOOKUP(C53,'31-1-26'!$J$4:$L$53,3,0)</f>
        <v>11930</v>
      </c>
      <c r="Q53" s="3">
        <f>VLOOKUP(C53,'15-02-26'!$J$2:$L$41,3,0)</f>
        <v>12775</v>
      </c>
      <c r="V53" s="4">
        <f t="shared" si="2"/>
        <v>52882.5</v>
      </c>
      <c r="W53" s="85">
        <f t="shared" ref="W53:W84" si="5">V53</f>
        <v>52882.5</v>
      </c>
    </row>
    <row r="54" spans="1:23" x14ac:dyDescent="0.35">
      <c r="A54" s="77"/>
      <c r="B54" s="1">
        <v>52</v>
      </c>
      <c r="C54" t="s">
        <v>87</v>
      </c>
      <c r="D54" s="5">
        <v>4</v>
      </c>
      <c r="E54" s="3">
        <f>VLOOKUP(C54,'12-7-2025'!$J$2:$L$53,3,0)</f>
        <v>1980</v>
      </c>
      <c r="H54" s="3">
        <f>VLOOKUP(C54,'23-8-2025'!$J$2:$L$54,3,0)</f>
        <v>21050</v>
      </c>
      <c r="J54" s="3">
        <f>VLOOKUP(C54,'21-9-2025'!$J$2:$L$55,3,0)</f>
        <v>11490</v>
      </c>
      <c r="N54" s="3">
        <f>VLOOKUP(C54,'13-12-25'!$J$2:$L$64,3,0)</f>
        <v>14962.5</v>
      </c>
      <c r="V54" s="4">
        <f t="shared" si="2"/>
        <v>49482.5</v>
      </c>
      <c r="W54" s="85">
        <f t="shared" si="5"/>
        <v>49482.5</v>
      </c>
    </row>
    <row r="55" spans="1:23" x14ac:dyDescent="0.35">
      <c r="A55" s="77"/>
      <c r="B55" s="1">
        <v>53</v>
      </c>
      <c r="C55" t="s">
        <v>140</v>
      </c>
      <c r="D55" s="5">
        <v>4</v>
      </c>
      <c r="E55" s="3">
        <f>VLOOKUP(C55,'12-7-2025'!$J$2:$L$53,3,0)</f>
        <v>43195</v>
      </c>
      <c r="F55" s="3">
        <f>VLOOKUP(C55,'26-7-2025'!$N$2:$P$50,3,0)</f>
        <v>34945</v>
      </c>
      <c r="G55" s="3">
        <f>VLOOKUP(C55,'9-8-2025'!$N$2:$P$57,3,0)</f>
        <v>44782.5</v>
      </c>
      <c r="J55" s="3">
        <f>VLOOKUP(C55,'21-9-2025'!$J$2:$L$55,3,0)</f>
        <v>14410</v>
      </c>
      <c r="K55" s="3">
        <f>VLOOKUP(C55,'19-10-25'!$J$2:$L$69,3,0)</f>
        <v>14710</v>
      </c>
      <c r="M55" s="3">
        <f>VLOOKUP(C55,'15-11-25'!$J$2:$L$46,3,0)</f>
        <v>34970</v>
      </c>
      <c r="N55" s="3">
        <f>VLOOKUP(C55,'13-12-25'!$J$2:$L$64,3,0)</f>
        <v>35735</v>
      </c>
      <c r="O55" s="3">
        <f>VLOOKUP(C55,'3-1-26'!$J$2:$L$48,3,0)</f>
        <v>6500</v>
      </c>
      <c r="P55" s="3">
        <f>VLOOKUP(C55,'31-1-26'!$J$4:$L$53,3,0)</f>
        <v>36725</v>
      </c>
      <c r="Q55" s="3">
        <f>VLOOKUP(C55,'15-02-26'!$J$2:$L$41,3,0)</f>
        <v>21555</v>
      </c>
      <c r="V55" s="4">
        <f t="shared" si="2"/>
        <v>287527.5</v>
      </c>
      <c r="W55" s="85">
        <v>2</v>
      </c>
    </row>
    <row r="56" spans="1:23" x14ac:dyDescent="0.35">
      <c r="B56" s="1">
        <v>54</v>
      </c>
      <c r="C56" t="s">
        <v>135</v>
      </c>
      <c r="D56" s="5">
        <v>4</v>
      </c>
      <c r="F56" s="3">
        <f>VLOOKUP(C56,'26-7-2025'!$N$2:$P$50,3,0)</f>
        <v>8910</v>
      </c>
      <c r="G56" s="3">
        <f>VLOOKUP(C56,'9-8-2025'!$N$2:$P$57,3,0)</f>
        <v>25640</v>
      </c>
      <c r="H56" s="3">
        <f>VLOOKUP(C56,'23-8-2025'!$J$2:$L$54,3,0)</f>
        <v>16910</v>
      </c>
      <c r="I56" s="3">
        <f>VLOOKUP(C56,'7-9-2025'!$J$2:$L$57,3,0)</f>
        <v>3390</v>
      </c>
      <c r="J56" s="3">
        <f>VLOOKUP(C56,'21-9-2025'!$J$2:$L$55,3,0)</f>
        <v>8145</v>
      </c>
      <c r="K56" s="3">
        <f>VLOOKUP(C56,'19-10-25'!$J$2:$L$69,3,0)</f>
        <v>7250</v>
      </c>
      <c r="L56" s="3">
        <f>VLOOKUP(C56,'1-11-25'!$J$2:$L$48,3,0)</f>
        <v>6632.5</v>
      </c>
      <c r="M56" s="3">
        <f>VLOOKUP(C56,'15-11-25'!$J$2:$L$46,3,0)</f>
        <v>22560</v>
      </c>
      <c r="O56" s="3">
        <f>VLOOKUP(C56,'3-1-26'!$J$2:$L$48,3,0)</f>
        <v>13410</v>
      </c>
      <c r="P56" s="3">
        <f>VLOOKUP(C56,'31-1-26'!$J$4:$L$53,3,0)</f>
        <v>8495</v>
      </c>
      <c r="V56" s="4">
        <f t="shared" si="2"/>
        <v>121342.5</v>
      </c>
      <c r="W56" s="85">
        <f t="shared" si="5"/>
        <v>121342.5</v>
      </c>
    </row>
    <row r="57" spans="1:23" x14ac:dyDescent="0.35">
      <c r="B57" s="1">
        <v>55</v>
      </c>
      <c r="C57" t="s">
        <v>134</v>
      </c>
      <c r="D57" s="5">
        <v>4</v>
      </c>
      <c r="F57" s="3">
        <f>VLOOKUP(C57,'26-7-2025'!$N$2:$P$50,3,0)</f>
        <v>19610</v>
      </c>
      <c r="J57" s="3">
        <f>VLOOKUP(C57,'21-9-2025'!$J$2:$L$55,3,0)</f>
        <v>4657.5</v>
      </c>
      <c r="K57" s="3">
        <f>VLOOKUP(C57,'19-10-25'!$J$2:$L$69,3,0)</f>
        <v>1595</v>
      </c>
      <c r="V57" s="4">
        <f t="shared" si="2"/>
        <v>25862.5</v>
      </c>
      <c r="W57" s="85">
        <f t="shared" si="5"/>
        <v>25862.5</v>
      </c>
    </row>
    <row r="58" spans="1:23" x14ac:dyDescent="0.35">
      <c r="A58" s="77"/>
      <c r="B58" s="1">
        <v>56</v>
      </c>
      <c r="C58" t="s">
        <v>112</v>
      </c>
      <c r="D58" s="5">
        <v>4</v>
      </c>
      <c r="E58" s="3">
        <f>VLOOKUP(C58,'12-7-2025'!$J$2:$L$53,3,0)</f>
        <v>3577.5</v>
      </c>
      <c r="F58" s="3">
        <f>VLOOKUP(C58,'26-7-2025'!$N$2:$P$50,3,0)</f>
        <v>10320</v>
      </c>
      <c r="G58" s="3">
        <f>VLOOKUP(C58,'9-8-2025'!$N$2:$P$57,3,0)</f>
        <v>4377.5</v>
      </c>
      <c r="H58" s="3">
        <f>VLOOKUP(C58,'23-8-2025'!$J$2:$L$54,3,0)</f>
        <v>1330</v>
      </c>
      <c r="I58" s="3">
        <f>VLOOKUP(C58,'7-9-2025'!$J$2:$L$57,3,0)</f>
        <v>5030</v>
      </c>
      <c r="K58" s="3">
        <f>VLOOKUP(C58,'19-10-25'!$J$2:$L$69,3,0)</f>
        <v>15347.5</v>
      </c>
      <c r="O58" s="3">
        <f>VLOOKUP(C58,'3-1-26'!$J$2:$L$48,3,0)</f>
        <v>18420</v>
      </c>
      <c r="V58" s="4">
        <f t="shared" si="2"/>
        <v>58402.5</v>
      </c>
      <c r="W58" s="85">
        <f t="shared" si="5"/>
        <v>58402.5</v>
      </c>
    </row>
    <row r="59" spans="1:23" x14ac:dyDescent="0.35">
      <c r="A59" s="77"/>
      <c r="B59" s="1">
        <v>57</v>
      </c>
      <c r="C59" t="s">
        <v>187</v>
      </c>
      <c r="D59" s="5">
        <v>4</v>
      </c>
      <c r="G59" s="3">
        <f>VLOOKUP(C59,'9-8-2025'!$N$2:$P$57,3,0)</f>
        <v>1165</v>
      </c>
      <c r="H59" s="3">
        <f>VLOOKUP(C59,'23-8-2025'!$J$2:$L$54,3,0)</f>
        <v>22950</v>
      </c>
      <c r="J59" s="3">
        <f>VLOOKUP(C59,'21-9-2025'!$J$2:$L$55,3,0)</f>
        <v>6335</v>
      </c>
      <c r="K59" s="3">
        <f>VLOOKUP(C59,'19-10-25'!$J$2:$L$69,3,0)</f>
        <v>10765</v>
      </c>
      <c r="N59" s="3">
        <f>VLOOKUP(C59,'13-12-25'!$J$2:$L$64,3,0)</f>
        <v>10490</v>
      </c>
      <c r="V59" s="4">
        <f t="shared" si="2"/>
        <v>51705</v>
      </c>
      <c r="W59" s="85">
        <f t="shared" si="5"/>
        <v>51705</v>
      </c>
    </row>
    <row r="60" spans="1:23" x14ac:dyDescent="0.35">
      <c r="A60" s="77"/>
      <c r="B60" s="1">
        <v>58</v>
      </c>
      <c r="C60" t="s">
        <v>245</v>
      </c>
      <c r="D60" s="5">
        <v>4</v>
      </c>
      <c r="I60" s="3">
        <f>VLOOKUP(C60,'7-9-2025'!$J$2:$L$57,3,0)</f>
        <v>40000</v>
      </c>
      <c r="J60" s="3">
        <f>VLOOKUP(C60,'21-9-2025'!$J$2:$L$55,3,0)</f>
        <v>15857.5</v>
      </c>
      <c r="K60" s="3">
        <f>VLOOKUP(C60,'19-10-25'!$J$2:$L$69,3,0)</f>
        <v>11355</v>
      </c>
      <c r="L60" s="3">
        <f>VLOOKUP(C60,'1-11-25'!$J$2:$L$48,3,0)</f>
        <v>11660</v>
      </c>
      <c r="M60" s="3">
        <f>VLOOKUP(C60,'15-11-25'!$J$2:$L$46,3,0)</f>
        <v>13985</v>
      </c>
      <c r="N60" s="3">
        <f>VLOOKUP(C60,'13-12-25'!$J$2:$L$64,3,0)</f>
        <v>2320</v>
      </c>
      <c r="O60" s="3">
        <f>VLOOKUP(C60,'3-1-26'!$J$2:$L$48,3,0)</f>
        <v>14420</v>
      </c>
      <c r="P60" s="3">
        <f>VLOOKUP(C60,'31-1-26'!$J$4:$L$53,3,0)</f>
        <v>2672.5</v>
      </c>
      <c r="Q60" s="3">
        <f>VLOOKUP(C60,'15-02-26'!$J$2:$L$41,3,0)</f>
        <v>7390</v>
      </c>
      <c r="V60" s="4">
        <f t="shared" si="2"/>
        <v>119660</v>
      </c>
      <c r="W60" s="85">
        <f>V60-100000</f>
        <v>19660</v>
      </c>
    </row>
    <row r="61" spans="1:23" x14ac:dyDescent="0.35">
      <c r="B61" s="1">
        <v>59</v>
      </c>
      <c r="C61" t="s">
        <v>148</v>
      </c>
      <c r="D61" s="5">
        <v>4</v>
      </c>
      <c r="F61" s="3">
        <f>VLOOKUP(C61,'26-7-2025'!$N$2:$P$50,3,0)</f>
        <v>28577.5</v>
      </c>
      <c r="G61" s="3">
        <f>VLOOKUP(C61,'9-8-2025'!$N$2:$P$57,3,0)</f>
        <v>7707.5</v>
      </c>
      <c r="H61" s="3">
        <f>VLOOKUP(C61,'23-8-2025'!$J$2:$L$54,3,0)</f>
        <v>2430</v>
      </c>
      <c r="J61" s="3">
        <f>VLOOKUP(C61,'21-9-2025'!$J$2:$L$55,3,0)</f>
        <v>27050</v>
      </c>
      <c r="P61" s="3">
        <f>VLOOKUP(C61,'31-1-26'!$J$4:$L$53,3,0)</f>
        <v>7520</v>
      </c>
      <c r="Q61" s="3">
        <f>VLOOKUP(C61,'15-02-26'!$J$2:$L$41,3,0)</f>
        <v>15330</v>
      </c>
      <c r="V61" s="4">
        <f t="shared" si="2"/>
        <v>88615</v>
      </c>
      <c r="W61" s="85">
        <f t="shared" si="5"/>
        <v>88615</v>
      </c>
    </row>
    <row r="62" spans="1:23" x14ac:dyDescent="0.35">
      <c r="A62" s="77"/>
      <c r="B62" s="1">
        <v>60</v>
      </c>
      <c r="C62" t="s">
        <v>86</v>
      </c>
      <c r="D62" s="5">
        <v>4</v>
      </c>
      <c r="E62" s="3">
        <f>VLOOKUP(C62,'12-7-2025'!$J$2:$L$53,3,0)</f>
        <v>23745</v>
      </c>
      <c r="F62" s="3">
        <f>VLOOKUP(C62,'26-7-2025'!$N$2:$P$50,3,0)</f>
        <v>33435</v>
      </c>
      <c r="G62" s="3">
        <f>VLOOKUP(C62,'9-8-2025'!$N$2:$P$57,3,0)</f>
        <v>28342.5</v>
      </c>
      <c r="H62" s="3">
        <f>VLOOKUP(C62,'23-8-2025'!$J$2:$L$54,3,0)</f>
        <v>20650</v>
      </c>
      <c r="I62" s="3">
        <f>VLOOKUP(C62,'7-9-2025'!$J$2:$L$57,3,0)</f>
        <v>9370</v>
      </c>
      <c r="J62" s="3">
        <f>VLOOKUP(C62,'21-9-2025'!$J$2:$L$55,3,0)</f>
        <v>7690</v>
      </c>
      <c r="K62" s="3">
        <f>VLOOKUP(C62,'19-10-25'!$J$2:$L$69,3,0)</f>
        <v>36852.5</v>
      </c>
      <c r="L62" s="3">
        <f>VLOOKUP(C62,'1-11-25'!$J$2:$L$48,3,0)</f>
        <v>8625</v>
      </c>
      <c r="O62" s="3">
        <f>VLOOKUP(C62,'3-1-26'!$J$2:$L$48,3,0)</f>
        <v>25340</v>
      </c>
      <c r="P62" s="3">
        <f>VLOOKUP(C62,'31-1-26'!$J$4:$L$53,3,0)</f>
        <v>9845</v>
      </c>
      <c r="Q62" s="3">
        <f>VLOOKUP(C62,'15-02-26'!$J$2:$L$41,3,0)</f>
        <v>3720</v>
      </c>
      <c r="V62" s="4">
        <f t="shared" si="2"/>
        <v>207615</v>
      </c>
      <c r="W62" s="85">
        <f>V62-200000</f>
        <v>7615</v>
      </c>
    </row>
    <row r="63" spans="1:23" x14ac:dyDescent="0.35">
      <c r="A63" s="77"/>
      <c r="B63" s="1">
        <v>61</v>
      </c>
      <c r="C63" t="s">
        <v>142</v>
      </c>
      <c r="D63" s="5">
        <v>4</v>
      </c>
      <c r="F63" s="3">
        <f>VLOOKUP(C63,'26-7-2025'!$N$2:$P$50,3,0)</f>
        <v>6030</v>
      </c>
      <c r="G63" s="3">
        <f>VLOOKUP(C63,'9-8-2025'!$N$2:$P$57,3,0)</f>
        <v>1280</v>
      </c>
      <c r="H63" s="3">
        <f>VLOOKUP(C63,'23-8-2025'!$J$2:$L$54,3,0)</f>
        <v>8485</v>
      </c>
      <c r="I63" s="3">
        <f>VLOOKUP(C63,'7-9-2025'!$J$2:$L$57,3,0)</f>
        <v>5587.5</v>
      </c>
      <c r="K63" s="3">
        <f>VLOOKUP(C63,'19-10-25'!$J$2:$L$69,3,0)</f>
        <v>13475</v>
      </c>
      <c r="M63" s="3">
        <f>VLOOKUP(C63,'15-11-25'!$J$2:$L$46,3,0)</f>
        <v>9360</v>
      </c>
      <c r="N63" s="3">
        <f>VLOOKUP(C63,'13-12-25'!$J$2:$L$64,3,0)</f>
        <v>17800</v>
      </c>
      <c r="O63" s="3">
        <f>VLOOKUP(C63,'3-1-26'!$J$2:$L$48,3,0)</f>
        <v>13450</v>
      </c>
      <c r="Q63" s="3">
        <f>VLOOKUP(C63,'15-02-26'!$J$2:$L$41,3,0)</f>
        <v>15300</v>
      </c>
      <c r="V63" s="4">
        <f t="shared" si="2"/>
        <v>90767.5</v>
      </c>
      <c r="W63" s="85">
        <f t="shared" si="5"/>
        <v>90767.5</v>
      </c>
    </row>
    <row r="64" spans="1:23" x14ac:dyDescent="0.35">
      <c r="A64" s="77"/>
      <c r="B64" s="1">
        <v>62</v>
      </c>
      <c r="C64" t="s">
        <v>144</v>
      </c>
      <c r="D64" s="5">
        <v>4</v>
      </c>
      <c r="E64" s="3">
        <f>VLOOKUP(C64,'12-7-2025'!$J$2:$L$53,3,0)</f>
        <v>4575</v>
      </c>
      <c r="F64" s="3">
        <f>VLOOKUP(C64,'26-7-2025'!$N$2:$P$50,3,0)</f>
        <v>175</v>
      </c>
      <c r="G64" s="3">
        <f>VLOOKUP(C64,'9-8-2025'!$N$2:$P$57,3,0)</f>
        <v>765</v>
      </c>
      <c r="H64" s="3">
        <f>VLOOKUP(C64,'23-8-2025'!$J$2:$L$54,3,0)</f>
        <v>7380</v>
      </c>
      <c r="I64" s="3">
        <f>VLOOKUP(C64,'7-9-2025'!$J$2:$L$57,3,0)</f>
        <v>2020</v>
      </c>
      <c r="K64" s="3">
        <f>VLOOKUP(C64,'19-10-25'!$J$2:$L$69,3,0)</f>
        <v>1187.5</v>
      </c>
      <c r="L64" s="3">
        <f>VLOOKUP(C64,'1-11-25'!$J$2:$L$48,3,0)</f>
        <v>1552.5</v>
      </c>
      <c r="N64" s="3">
        <f>VLOOKUP(C64,'13-12-25'!$J$2:$L$64,3,0)</f>
        <v>9145</v>
      </c>
      <c r="O64" s="3">
        <f>VLOOKUP(C64,'3-1-26'!$J$2:$L$48,3,0)</f>
        <v>5385</v>
      </c>
      <c r="P64" s="3">
        <f>VLOOKUP(C64,'31-1-26'!$J$4:$L$53,3,0)</f>
        <v>2550</v>
      </c>
      <c r="Q64" s="3">
        <f>VLOOKUP(C64,'15-02-26'!$J$2:$L$41,3,0)</f>
        <v>2920</v>
      </c>
      <c r="V64" s="4">
        <f t="shared" si="2"/>
        <v>37655</v>
      </c>
      <c r="W64" s="85">
        <f t="shared" si="5"/>
        <v>37655</v>
      </c>
    </row>
    <row r="65" spans="1:23" x14ac:dyDescent="0.35">
      <c r="A65" s="77"/>
      <c r="B65" s="1">
        <v>63</v>
      </c>
      <c r="C65" t="s">
        <v>109</v>
      </c>
      <c r="D65" s="5">
        <v>4</v>
      </c>
      <c r="E65" s="3">
        <f>VLOOKUP(C65,'12-7-2025'!$J$2:$L$53,3,0)</f>
        <v>47137.5</v>
      </c>
      <c r="I65" s="3">
        <f>VLOOKUP(C65,'7-9-2025'!$J$2:$L$57,3,0)</f>
        <v>7722.5</v>
      </c>
      <c r="J65" s="3">
        <f>VLOOKUP(C65,'21-9-2025'!$J$2:$L$55,3,0)</f>
        <v>9167.5</v>
      </c>
      <c r="K65" s="3">
        <f>VLOOKUP(C65,'19-10-25'!$J$2:$L$69,3,0)</f>
        <v>6027.5</v>
      </c>
      <c r="M65" s="3">
        <f>VLOOKUP(C65,'15-11-25'!$J$2:$L$46,3,0)</f>
        <v>5731</v>
      </c>
      <c r="N65" s="3">
        <f>VLOOKUP(C65,'13-12-25'!$J$2:$L$64,3,0)</f>
        <v>19160</v>
      </c>
      <c r="P65" s="3">
        <f>VLOOKUP(C65,'31-1-26'!$J$4:$L$53,3,0)</f>
        <v>12227.5</v>
      </c>
      <c r="Q65" s="3">
        <f>VLOOKUP(C65,'15-02-26'!$J$2:$L$41,3,0)</f>
        <v>40495</v>
      </c>
      <c r="V65" s="4">
        <f t="shared" si="2"/>
        <v>147668.5</v>
      </c>
      <c r="W65" s="85">
        <f t="shared" si="5"/>
        <v>147668.5</v>
      </c>
    </row>
    <row r="66" spans="1:23" x14ac:dyDescent="0.35">
      <c r="A66" s="77"/>
      <c r="B66" s="1">
        <v>64</v>
      </c>
      <c r="C66" t="s">
        <v>151</v>
      </c>
      <c r="D66" s="5">
        <v>4</v>
      </c>
      <c r="F66" s="3">
        <f>VLOOKUP(C66,'26-7-2025'!$N$2:$P$50,3,0)</f>
        <v>18250</v>
      </c>
      <c r="G66" s="3">
        <f>VLOOKUP(C66,'9-8-2025'!$N$2:$P$57,3,0)</f>
        <v>9007.5</v>
      </c>
      <c r="H66" s="3">
        <f>VLOOKUP(C66,'23-8-2025'!$J$2:$L$54,3,0)</f>
        <v>14700</v>
      </c>
      <c r="I66" s="3">
        <f>VLOOKUP(C66,'7-9-2025'!$J$2:$L$57,3,0)</f>
        <v>4192.5</v>
      </c>
      <c r="L66" s="3">
        <f>VLOOKUP(C66,'1-11-25'!$J$2:$L$48,3,0)</f>
        <v>4230</v>
      </c>
      <c r="V66" s="4">
        <f t="shared" si="2"/>
        <v>50380</v>
      </c>
      <c r="W66" s="85">
        <f t="shared" si="5"/>
        <v>50380</v>
      </c>
    </row>
    <row r="67" spans="1:23" x14ac:dyDescent="0.35">
      <c r="A67" s="77"/>
      <c r="B67" s="1">
        <v>65</v>
      </c>
      <c r="C67" t="s">
        <v>100</v>
      </c>
      <c r="D67" s="5">
        <v>4</v>
      </c>
      <c r="E67" s="3">
        <f>VLOOKUP(C67,'12-7-2025'!$J$2:$L$53,3,0)</f>
        <v>24900</v>
      </c>
      <c r="F67" s="3">
        <f>VLOOKUP(C67,'26-7-2025'!$N$2:$P$50,3,0)</f>
        <v>39442.5</v>
      </c>
      <c r="G67" s="3">
        <f>VLOOKUP(C67,'9-8-2025'!$N$2:$P$57,3,0)</f>
        <v>23325</v>
      </c>
      <c r="H67" s="3">
        <f>VLOOKUP(C67,'23-8-2025'!$J$2:$L$54,3,0)</f>
        <v>9437.5</v>
      </c>
      <c r="I67" s="3">
        <f>VLOOKUP(C67,'7-9-2025'!$J$2:$L$57,3,0)</f>
        <v>17905</v>
      </c>
      <c r="J67" s="3">
        <f>VLOOKUP(C67,'21-9-2025'!$J$2:$L$55,3,0)</f>
        <v>5580</v>
      </c>
      <c r="K67" s="3">
        <f>VLOOKUP(C67,'19-10-25'!$J$2:$L$69,3,0)</f>
        <v>9797.5</v>
      </c>
      <c r="L67" s="3">
        <f>VLOOKUP(C67,'1-11-25'!$J$2:$L$48,3,0)</f>
        <v>22192.5</v>
      </c>
      <c r="M67" s="3">
        <f>VLOOKUP(C67,'15-11-25'!$J$2:$L$46,3,0)</f>
        <v>49030</v>
      </c>
      <c r="N67" s="3">
        <f>VLOOKUP(C67,'13-12-25'!$J$2:$L$64,3,0)</f>
        <v>8245</v>
      </c>
      <c r="O67" s="3">
        <f>VLOOKUP(C67,'3-1-26'!$J$2:$L$48,3,0)</f>
        <v>12240</v>
      </c>
      <c r="P67" s="3">
        <f>VLOOKUP(C67,'31-1-26'!$J$4:$L$53,3,0)</f>
        <v>30365</v>
      </c>
      <c r="V67" s="4">
        <f t="shared" ref="V67:V98" si="6">SUM(E67:U67)</f>
        <v>252460</v>
      </c>
      <c r="W67" s="85">
        <f t="shared" si="5"/>
        <v>252460</v>
      </c>
    </row>
    <row r="68" spans="1:23" x14ac:dyDescent="0.35">
      <c r="A68" s="77"/>
      <c r="B68" s="1">
        <v>66</v>
      </c>
      <c r="C68" t="s">
        <v>133</v>
      </c>
      <c r="D68" s="5">
        <v>4</v>
      </c>
      <c r="E68" s="3">
        <f>VLOOKUP(C68,'12-7-2025'!$J$2:$L$53,3,0)</f>
        <v>1050</v>
      </c>
      <c r="F68" s="3">
        <f>VLOOKUP(C68,'26-7-2025'!$N$2:$P$50,3,0)</f>
        <v>11872.5</v>
      </c>
      <c r="G68" s="3">
        <f>VLOOKUP(C68,'9-8-2025'!$N$2:$P$57,3,0)</f>
        <v>13950</v>
      </c>
      <c r="H68" s="3">
        <f>VLOOKUP(C68,'23-8-2025'!$J$2:$L$54,3,0)</f>
        <v>5700</v>
      </c>
      <c r="J68" s="3">
        <f>VLOOKUP(C68,'21-9-2025'!$J$2:$L$55,3,0)</f>
        <v>8065</v>
      </c>
      <c r="K68" s="3">
        <f>VLOOKUP(C68,'19-10-25'!$J$2:$L$69,3,0)</f>
        <v>6395</v>
      </c>
      <c r="M68" s="3">
        <f>VLOOKUP(C68,'15-11-25'!$J$2:$L$46,3,0)</f>
        <v>4012.5</v>
      </c>
      <c r="P68" s="3">
        <f>VLOOKUP(C68,'31-1-26'!$J$4:$L$53,3,0)</f>
        <v>13035</v>
      </c>
      <c r="V68" s="4">
        <f t="shared" si="6"/>
        <v>64080</v>
      </c>
      <c r="W68" s="85">
        <f t="shared" si="5"/>
        <v>64080</v>
      </c>
    </row>
    <row r="69" spans="1:23" x14ac:dyDescent="0.35">
      <c r="A69" s="77"/>
      <c r="B69" s="1">
        <v>67</v>
      </c>
      <c r="C69" t="s">
        <v>94</v>
      </c>
      <c r="D69" s="5">
        <v>4</v>
      </c>
      <c r="E69" s="3">
        <f>VLOOKUP(C69,'12-7-2025'!$J$2:$L$53,3,0)</f>
        <v>3967.5</v>
      </c>
      <c r="F69" s="3">
        <f>VLOOKUP(C69,'26-7-2025'!$N$2:$P$50,3,0)</f>
        <v>3890</v>
      </c>
      <c r="G69" s="3">
        <f>VLOOKUP(C69,'9-8-2025'!$N$2:$P$57,3,0)</f>
        <v>26870</v>
      </c>
      <c r="H69" s="3">
        <f>VLOOKUP(C69,'23-8-2025'!$J$2:$L$54,3,0)</f>
        <v>4990</v>
      </c>
      <c r="I69" s="3">
        <f>VLOOKUP(C69,'7-9-2025'!$J$2:$L$57,3,0)</f>
        <v>4615</v>
      </c>
      <c r="J69" s="3">
        <f>VLOOKUP(C69,'21-9-2025'!$J$2:$L$55,3,0)</f>
        <v>1610</v>
      </c>
      <c r="K69" s="3">
        <f>VLOOKUP(C69,'19-10-25'!$J$2:$L$69,3,0)</f>
        <v>6502.5</v>
      </c>
      <c r="M69" s="3">
        <f>VLOOKUP(C69,'15-11-25'!$J$2:$L$46,3,0)</f>
        <v>3658</v>
      </c>
      <c r="N69" s="3">
        <f>VLOOKUP(C69,'13-12-25'!$J$2:$L$64,3,0)</f>
        <v>3505</v>
      </c>
      <c r="O69" s="3">
        <f>VLOOKUP(C69,'3-1-26'!$J$2:$L$48,3,0)</f>
        <v>3725</v>
      </c>
      <c r="P69" s="3">
        <f>VLOOKUP(C69,'31-1-26'!$J$4:$L$53,3,0)</f>
        <v>4950</v>
      </c>
      <c r="Q69" s="3">
        <f>VLOOKUP(C69,'15-02-26'!$J$2:$L$41,3,0)</f>
        <v>18825</v>
      </c>
      <c r="V69" s="4">
        <f t="shared" si="6"/>
        <v>87108</v>
      </c>
      <c r="W69" s="85">
        <f t="shared" si="5"/>
        <v>87108</v>
      </c>
    </row>
    <row r="70" spans="1:23" x14ac:dyDescent="0.35">
      <c r="A70" s="77"/>
      <c r="B70" s="1">
        <v>68</v>
      </c>
      <c r="C70" t="s">
        <v>192</v>
      </c>
      <c r="D70" s="5">
        <v>4</v>
      </c>
      <c r="E70" s="3">
        <f>VLOOKUP(C70,'12-7-2025'!$J$2:$L$53,3,0)</f>
        <v>16985</v>
      </c>
      <c r="G70" s="3">
        <f>VLOOKUP(C70,'9-8-2025'!$N$2:$P$57,3,0)</f>
        <v>21180</v>
      </c>
      <c r="H70" s="3">
        <f>VLOOKUP(C70,'23-8-2025'!$J$2:$L$54,3,0)</f>
        <v>5360</v>
      </c>
      <c r="J70" s="3">
        <f>VLOOKUP(C70,'21-9-2025'!$J$2:$L$55,3,0)</f>
        <v>7695</v>
      </c>
      <c r="L70" s="3">
        <f>VLOOKUP(C70,'1-11-25'!$J$2:$L$48,3,0)</f>
        <v>5280</v>
      </c>
      <c r="M70" s="3">
        <f>VLOOKUP(C70,'15-11-25'!$J$2:$L$46,3,0)</f>
        <v>2880</v>
      </c>
      <c r="O70" s="3">
        <f>VLOOKUP(C70,'3-1-26'!$J$2:$L$48,3,0)</f>
        <v>14085</v>
      </c>
      <c r="P70" s="3">
        <f>VLOOKUP(C70,'31-1-26'!$J$4:$L$53,3,0)</f>
        <v>2400</v>
      </c>
      <c r="Q70" s="3">
        <f>VLOOKUP(C70,'15-02-26'!$J$2:$L$41,3,0)</f>
        <v>12367.5</v>
      </c>
      <c r="V70" s="4">
        <f t="shared" si="6"/>
        <v>88232.5</v>
      </c>
      <c r="W70" s="85">
        <f t="shared" si="5"/>
        <v>88232.5</v>
      </c>
    </row>
    <row r="71" spans="1:23" x14ac:dyDescent="0.35">
      <c r="A71" s="77"/>
      <c r="B71" s="1">
        <v>69</v>
      </c>
      <c r="C71" t="s">
        <v>105</v>
      </c>
      <c r="D71" s="5">
        <v>4</v>
      </c>
      <c r="E71" s="3">
        <f>VLOOKUP(C71,'12-7-2025'!$J$2:$L$53,3,0)</f>
        <v>3865</v>
      </c>
      <c r="F71" s="3">
        <f>VLOOKUP(C71,'26-7-2025'!$N$2:$P$50,3,0)</f>
        <v>13455</v>
      </c>
      <c r="G71" s="3">
        <f>VLOOKUP(C71,'9-8-2025'!$N$2:$P$57,3,0)</f>
        <v>2947.5</v>
      </c>
      <c r="I71" s="3">
        <f>VLOOKUP(C71,'7-9-2025'!$J$2:$L$57,3,0)</f>
        <v>8620</v>
      </c>
      <c r="J71" s="3">
        <f>VLOOKUP(C71,'21-9-2025'!$J$2:$L$55,3,0)</f>
        <v>6040</v>
      </c>
      <c r="L71" s="3">
        <f>VLOOKUP(C71,'1-11-25'!$J$2:$L$48,3,0)</f>
        <v>8020</v>
      </c>
      <c r="N71" s="3">
        <f>VLOOKUP(C71,'13-12-25'!$J$2:$L$64,3,0)</f>
        <v>2460</v>
      </c>
      <c r="P71" s="3">
        <f>VLOOKUP(C71,'31-1-26'!$J$4:$L$53,3,0)</f>
        <v>3872.5</v>
      </c>
      <c r="V71" s="4">
        <f t="shared" si="6"/>
        <v>49280</v>
      </c>
      <c r="W71" s="85">
        <f t="shared" si="5"/>
        <v>49280</v>
      </c>
    </row>
    <row r="72" spans="1:23" x14ac:dyDescent="0.35">
      <c r="A72" s="77"/>
      <c r="B72" s="1">
        <v>70</v>
      </c>
      <c r="C72" t="s">
        <v>106</v>
      </c>
      <c r="D72" s="5">
        <v>4</v>
      </c>
      <c r="E72" s="3">
        <f>VLOOKUP(C72,'12-7-2025'!$J$2:$L$53,3,0)</f>
        <v>7847.5</v>
      </c>
      <c r="F72" s="3">
        <f>VLOOKUP(C72,'26-7-2025'!$N$2:$P$50,3,0)</f>
        <v>3345</v>
      </c>
      <c r="G72" s="3">
        <f>VLOOKUP(C72,'9-8-2025'!$N$2:$P$57,3,0)</f>
        <v>6220</v>
      </c>
      <c r="I72" s="3">
        <f>VLOOKUP(C72,'7-9-2025'!$J$2:$L$57,3,0)</f>
        <v>4245</v>
      </c>
      <c r="J72" s="3">
        <f>VLOOKUP(C72,'21-9-2025'!$J$2:$L$55,3,0)</f>
        <v>3832.5</v>
      </c>
      <c r="V72" s="4">
        <f t="shared" si="6"/>
        <v>25490</v>
      </c>
      <c r="W72" s="85">
        <f t="shared" si="5"/>
        <v>25490</v>
      </c>
    </row>
    <row r="73" spans="1:23" x14ac:dyDescent="0.35">
      <c r="B73" s="1">
        <v>71</v>
      </c>
      <c r="C73" t="s">
        <v>132</v>
      </c>
      <c r="D73" s="5">
        <v>4</v>
      </c>
      <c r="E73" s="3">
        <f>VLOOKUP(C73,'12-7-2025'!$J$2:$L$53,3,0)</f>
        <v>6590</v>
      </c>
      <c r="F73" s="3">
        <f>VLOOKUP(C73,'26-7-2025'!$N$2:$P$50,3,0)</f>
        <v>1330</v>
      </c>
      <c r="H73" s="3">
        <f>VLOOKUP(C73,'23-8-2025'!$J$2:$L$54,3,0)</f>
        <v>2030</v>
      </c>
      <c r="I73" s="3">
        <f>VLOOKUP(C73,'7-9-2025'!$J$2:$L$57,3,0)</f>
        <v>3380</v>
      </c>
      <c r="J73" s="3">
        <f>VLOOKUP(C73,'21-9-2025'!$J$2:$L$55,3,0)</f>
        <v>2830</v>
      </c>
      <c r="K73" s="3">
        <f>VLOOKUP(C73,'19-10-25'!$J$2:$L$69,3,0)</f>
        <v>2885</v>
      </c>
      <c r="L73" s="3">
        <f>VLOOKUP(C73,'1-11-25'!$J$2:$L$48,3,0)</f>
        <v>6425</v>
      </c>
      <c r="N73" s="3">
        <f>VLOOKUP(C73,'13-12-25'!$J$2:$L$64,3,0)</f>
        <v>5462.5</v>
      </c>
      <c r="O73" s="3">
        <f>VLOOKUP(C73,'3-1-26'!$J$2:$L$48,3,0)</f>
        <v>2610</v>
      </c>
      <c r="V73" s="4">
        <f t="shared" si="6"/>
        <v>33542.5</v>
      </c>
      <c r="W73" s="85">
        <f t="shared" si="5"/>
        <v>33542.5</v>
      </c>
    </row>
    <row r="74" spans="1:23" x14ac:dyDescent="0.35">
      <c r="A74" s="77"/>
      <c r="B74" s="1">
        <v>72</v>
      </c>
      <c r="C74" t="s">
        <v>114</v>
      </c>
      <c r="D74" s="5">
        <v>4</v>
      </c>
      <c r="E74" s="3">
        <f>VLOOKUP(C74,'12-7-2025'!$J$2:$L$53,3,0)</f>
        <v>2580</v>
      </c>
      <c r="F74" s="3">
        <f>VLOOKUP(C74,'26-7-2025'!$N$2:$P$50,3,0)</f>
        <v>1507.5</v>
      </c>
      <c r="H74" s="3">
        <f>VLOOKUP(C74,'23-8-2025'!$J$2:$L$54,3,0)</f>
        <v>91132.5</v>
      </c>
      <c r="I74" s="3">
        <f>VLOOKUP(C74,'7-9-2025'!$J$2:$L$57,3,0)</f>
        <v>43372.5</v>
      </c>
      <c r="K74" s="3">
        <f>VLOOKUP(C74,'19-10-25'!$J$2:$L$69,3,0)</f>
        <v>9667.5</v>
      </c>
      <c r="L74" s="3">
        <f>VLOOKUP(C74,'1-11-25'!$J$2:$L$48,3,0)</f>
        <v>105795</v>
      </c>
      <c r="M74" s="3">
        <f>VLOOKUP(C74,'15-11-25'!$J$2:$L$46,3,0)</f>
        <v>44775</v>
      </c>
      <c r="N74" s="3">
        <f>VLOOKUP(C74,'13-12-25'!$J$2:$L$64,3,0)</f>
        <v>23435</v>
      </c>
      <c r="O74" s="3">
        <f>VLOOKUP(C74,'3-1-26'!$J$2:$L$48,3,0)</f>
        <v>12900</v>
      </c>
      <c r="P74" s="3">
        <f>VLOOKUP(C74,'31-1-26'!$J$4:$L$53,3,0)</f>
        <v>11340</v>
      </c>
      <c r="Q74" s="3">
        <f>VLOOKUP(C74,'15-02-26'!$J$2:$L$41,3,0)</f>
        <v>31942.5</v>
      </c>
      <c r="V74" s="4">
        <f t="shared" si="6"/>
        <v>378447.5</v>
      </c>
      <c r="W74" s="85">
        <f t="shared" si="5"/>
        <v>378447.5</v>
      </c>
    </row>
    <row r="75" spans="1:23" x14ac:dyDescent="0.35">
      <c r="A75" s="77"/>
      <c r="B75" s="1">
        <v>73</v>
      </c>
      <c r="C75" t="s">
        <v>137</v>
      </c>
      <c r="D75" s="5">
        <v>4</v>
      </c>
      <c r="F75" s="3">
        <f>VLOOKUP(C75,'26-7-2025'!$N$2:$P$50,3,0)</f>
        <v>3800</v>
      </c>
      <c r="H75" s="3">
        <f>VLOOKUP(C75,'23-8-2025'!$J$2:$L$54,3,0)</f>
        <v>10445</v>
      </c>
      <c r="I75" s="3">
        <f>VLOOKUP(C75,'7-9-2025'!$J$2:$L$57,3,0)</f>
        <v>2030</v>
      </c>
      <c r="J75" s="3">
        <f>VLOOKUP(C75,'21-9-2025'!$J$2:$L$55,3,0)</f>
        <v>1010</v>
      </c>
      <c r="K75" s="3">
        <f>VLOOKUP(C75,'19-10-25'!$J$2:$L$69,3,0)</f>
        <v>1220</v>
      </c>
      <c r="M75" s="3">
        <f>VLOOKUP(C75,'15-11-25'!$J$2:$L$46,3,0)</f>
        <v>4355</v>
      </c>
      <c r="N75" s="3">
        <f>VLOOKUP(C75,'13-12-25'!$J$2:$L$64,3,0)</f>
        <v>5632.5</v>
      </c>
      <c r="O75" s="3">
        <f>VLOOKUP(C75,'3-1-26'!$J$2:$L$48,3,0)</f>
        <v>5695</v>
      </c>
      <c r="V75" s="4">
        <f t="shared" si="6"/>
        <v>34187.5</v>
      </c>
      <c r="W75" s="85">
        <f t="shared" si="5"/>
        <v>34187.5</v>
      </c>
    </row>
    <row r="76" spans="1:23" x14ac:dyDescent="0.35">
      <c r="A76" s="77"/>
      <c r="B76" s="1">
        <v>74</v>
      </c>
      <c r="C76" t="s">
        <v>118</v>
      </c>
      <c r="D76" s="5">
        <v>4</v>
      </c>
      <c r="E76" s="3">
        <f>VLOOKUP(C76,'12-7-2025'!$J$2:$L$53,3,0)</f>
        <v>2700</v>
      </c>
      <c r="F76" s="3">
        <f>VLOOKUP(C76,'26-7-2025'!$N$2:$P$50,3,0)</f>
        <v>14012.5</v>
      </c>
      <c r="I76" s="3">
        <f>VLOOKUP(C76,'7-9-2025'!$J$2:$L$57,3,0)</f>
        <v>2175</v>
      </c>
      <c r="J76" s="3">
        <f>VLOOKUP(C76,'21-9-2025'!$J$2:$L$55,3,0)</f>
        <v>2882.5</v>
      </c>
      <c r="K76" s="3">
        <f>VLOOKUP(C76,'19-10-25'!$J$2:$L$69,3,0)</f>
        <v>4925</v>
      </c>
      <c r="L76" s="3">
        <f>VLOOKUP(C76,'1-11-25'!$J$2:$L$48,3,0)</f>
        <v>6267.5</v>
      </c>
      <c r="N76" s="3">
        <f>VLOOKUP(C76,'13-12-25'!$J$2:$L$64,3,0)</f>
        <v>16905</v>
      </c>
      <c r="O76" s="3">
        <f>VLOOKUP(C76,'3-1-26'!$J$2:$L$48,3,0)</f>
        <v>12720</v>
      </c>
      <c r="P76" s="3">
        <f>VLOOKUP(C76,'31-1-26'!$J$4:$L$53,3,0)</f>
        <v>8510</v>
      </c>
      <c r="Q76" s="3">
        <f>VLOOKUP(C76,'15-02-26'!$J$2:$L$41,3,0)</f>
        <v>5320</v>
      </c>
      <c r="V76" s="4">
        <f t="shared" si="6"/>
        <v>76417.5</v>
      </c>
      <c r="W76" s="85">
        <f t="shared" si="5"/>
        <v>76417.5</v>
      </c>
    </row>
    <row r="77" spans="1:23" x14ac:dyDescent="0.35">
      <c r="B77" s="1">
        <v>75</v>
      </c>
      <c r="C77" t="s">
        <v>97</v>
      </c>
      <c r="D77" s="5">
        <v>4</v>
      </c>
      <c r="E77" s="3">
        <f>VLOOKUP(C77,'12-7-2025'!$J$2:$L$53,3,0)</f>
        <v>2085</v>
      </c>
      <c r="F77" s="3">
        <f>VLOOKUP(C77,'26-7-2025'!$N$2:$P$50,3,0)</f>
        <v>450</v>
      </c>
      <c r="G77" s="3">
        <f>VLOOKUP(C77,'9-8-2025'!$N$2:$P$57,3,0)</f>
        <v>22535</v>
      </c>
      <c r="K77" s="3">
        <f>VLOOKUP(C77,'19-10-25'!$J$2:$L$69,3,0)</f>
        <v>8255</v>
      </c>
      <c r="N77" s="3">
        <f>VLOOKUP(C77,'13-12-25'!$J$2:$L$64,3,0)</f>
        <v>10000</v>
      </c>
      <c r="O77" s="3">
        <f>VLOOKUP(C77,'3-1-26'!$J$2:$L$48,3,0)</f>
        <v>89172.5</v>
      </c>
      <c r="P77" s="3">
        <f>VLOOKUP(C77,'31-1-26'!$J$4:$L$53,3,0)</f>
        <v>6650</v>
      </c>
      <c r="Q77" s="3">
        <f>VLOOKUP(C77,'15-02-26'!$J$2:$L$41,3,0)</f>
        <v>16020</v>
      </c>
      <c r="V77" s="4">
        <f t="shared" si="6"/>
        <v>155167.5</v>
      </c>
      <c r="W77" s="85">
        <f t="shared" si="5"/>
        <v>155167.5</v>
      </c>
    </row>
    <row r="78" spans="1:23" x14ac:dyDescent="0.35">
      <c r="B78" s="1">
        <v>76</v>
      </c>
      <c r="C78" t="s">
        <v>250</v>
      </c>
      <c r="D78" s="5">
        <v>4</v>
      </c>
      <c r="I78" s="3">
        <f>VLOOKUP(C78,'7-9-2025'!$J$2:$L$57,3,0)</f>
        <v>3760</v>
      </c>
      <c r="N78" s="3">
        <f>VLOOKUP(C78,'13-12-25'!$J$2:$L$64,3,0)</f>
        <v>9635</v>
      </c>
      <c r="P78" s="3">
        <f>VLOOKUP(C78,'31-1-26'!$J$4:$L$53,3,0)</f>
        <v>1505</v>
      </c>
      <c r="V78" s="4">
        <f t="shared" si="6"/>
        <v>14900</v>
      </c>
      <c r="W78" s="85">
        <f t="shared" si="5"/>
        <v>14900</v>
      </c>
    </row>
    <row r="79" spans="1:23" x14ac:dyDescent="0.35">
      <c r="A79" s="77"/>
      <c r="B79" s="1">
        <v>77</v>
      </c>
      <c r="C79" t="s">
        <v>102</v>
      </c>
      <c r="D79" s="5">
        <v>4</v>
      </c>
      <c r="E79" s="3">
        <f>VLOOKUP(C79,'12-7-2025'!$J$2:$L$53,3,0)</f>
        <v>6425</v>
      </c>
      <c r="F79" s="3">
        <f>VLOOKUP(C79,'26-7-2025'!$N$2:$P$50,3,0)</f>
        <v>25205</v>
      </c>
      <c r="G79" s="3">
        <f>VLOOKUP(C79,'9-8-2025'!$N$2:$P$57,3,0)</f>
        <v>24725</v>
      </c>
      <c r="H79" s="3">
        <f>VLOOKUP(C79,'23-8-2025'!$J$2:$L$54,3,0)</f>
        <v>29490</v>
      </c>
      <c r="I79" s="3">
        <f>VLOOKUP(C79,'7-9-2025'!$J$2:$L$57,3,0)</f>
        <v>19012.5</v>
      </c>
      <c r="J79" s="3">
        <f>VLOOKUP(C79,'21-9-2025'!$J$2:$L$55,3,0)</f>
        <v>9142.5</v>
      </c>
      <c r="K79" s="3">
        <f>VLOOKUP(C79,'19-10-25'!$J$2:$L$69,3,0)</f>
        <v>41925</v>
      </c>
      <c r="L79" s="3">
        <f>VLOOKUP(C79,'1-11-25'!$J$2:$L$48,3,0)</f>
        <v>16940</v>
      </c>
      <c r="M79" s="3">
        <f>VLOOKUP(C79,'15-11-25'!$J$2:$L$46,3,0)</f>
        <v>9100</v>
      </c>
      <c r="N79" s="3">
        <f>VLOOKUP(C79,'13-12-25'!$J$2:$L$64,3,0)</f>
        <v>30970</v>
      </c>
      <c r="O79" s="3">
        <f>VLOOKUP(C79,'3-1-26'!$J$2:$L$48,3,0)</f>
        <v>22280</v>
      </c>
      <c r="P79" s="3">
        <f>VLOOKUP(C79,'31-1-26'!$J$4:$L$53,3,0)</f>
        <v>10855</v>
      </c>
      <c r="Q79" s="3">
        <f>VLOOKUP(C79,'15-02-26'!$J$2:$L$41,3,0)</f>
        <v>28820</v>
      </c>
      <c r="V79" s="4">
        <f t="shared" si="6"/>
        <v>274890</v>
      </c>
      <c r="W79" s="85">
        <f t="shared" si="5"/>
        <v>274890</v>
      </c>
    </row>
    <row r="80" spans="1:23" x14ac:dyDescent="0.35">
      <c r="A80" s="77"/>
      <c r="B80" s="1">
        <v>78</v>
      </c>
      <c r="C80" t="s">
        <v>182</v>
      </c>
      <c r="D80" s="5">
        <v>4</v>
      </c>
      <c r="G80" s="3">
        <f>VLOOKUP(C80,'9-8-2025'!$N$2:$P$57,3,0)</f>
        <v>5820</v>
      </c>
      <c r="I80" s="3">
        <f>VLOOKUP(C80,'7-9-2025'!$J$2:$L$57,3,0)</f>
        <v>3900</v>
      </c>
      <c r="J80" s="3">
        <f>VLOOKUP(C80,'21-9-2025'!$J$2:$L$55,3,0)</f>
        <v>5100</v>
      </c>
      <c r="K80" s="3">
        <f>VLOOKUP(C80,'19-10-25'!$J$2:$L$69,3,0)</f>
        <v>4050</v>
      </c>
      <c r="L80" s="3">
        <f>VLOOKUP(C80,'1-11-25'!$J$2:$L$48,3,0)</f>
        <v>4860</v>
      </c>
      <c r="M80" s="3">
        <f>VLOOKUP(C80,'15-11-25'!$J$2:$L$46,3,0)</f>
        <v>1375</v>
      </c>
      <c r="N80" s="3">
        <f>VLOOKUP(C80,'13-12-25'!$J$2:$L$64,3,0)</f>
        <v>4830</v>
      </c>
      <c r="O80" s="3">
        <f>VLOOKUP(C80,'3-1-26'!$J$2:$L$48,3,0)</f>
        <v>4190</v>
      </c>
      <c r="P80" s="3">
        <f>VLOOKUP(C80,'31-1-26'!$J$4:$L$53,3,0)</f>
        <v>2342.5</v>
      </c>
      <c r="Q80" s="3">
        <f>VLOOKUP(C80,'15-02-26'!$J$2:$L$41,3,0)</f>
        <v>3770</v>
      </c>
      <c r="V80" s="4">
        <f t="shared" si="6"/>
        <v>40237.5</v>
      </c>
      <c r="W80" s="85">
        <f t="shared" si="5"/>
        <v>40237.5</v>
      </c>
    </row>
    <row r="81" spans="1:25" x14ac:dyDescent="0.35">
      <c r="A81" s="77"/>
      <c r="B81" s="1">
        <v>79</v>
      </c>
      <c r="C81" t="s">
        <v>180</v>
      </c>
      <c r="D81" s="5">
        <v>4</v>
      </c>
      <c r="E81" s="3">
        <f>VLOOKUP(C81,'12-7-2025'!$J$2:$L$53,3,0)</f>
        <v>4345</v>
      </c>
      <c r="G81" s="3">
        <f>VLOOKUP(C81,'9-8-2025'!$N$2:$P$57,3,0)</f>
        <v>11845</v>
      </c>
      <c r="I81" s="3">
        <f>VLOOKUP(C81,'7-9-2025'!$J$2:$L$57,3,0)</f>
        <v>12290</v>
      </c>
      <c r="J81" s="3">
        <f>VLOOKUP(C81,'21-9-2025'!$J$2:$L$55,3,0)</f>
        <v>9280</v>
      </c>
      <c r="K81" s="3">
        <f>VLOOKUP(C81,'19-10-25'!$J$2:$L$69,3,0)</f>
        <v>6450</v>
      </c>
      <c r="M81" s="3">
        <f>VLOOKUP(C81,'15-11-25'!$J$2:$L$46,3,0)</f>
        <v>4302.5</v>
      </c>
      <c r="N81" s="3">
        <f>VLOOKUP(C81,'13-12-25'!$J$2:$L$64,3,0)</f>
        <v>3200</v>
      </c>
      <c r="O81" s="3">
        <f>VLOOKUP(C81,'3-1-26'!$J$2:$L$48,3,0)</f>
        <v>5580</v>
      </c>
      <c r="P81" s="3">
        <f>VLOOKUP(C81,'31-1-26'!$J$4:$L$53,3,0)</f>
        <v>25395</v>
      </c>
      <c r="V81" s="4">
        <f t="shared" si="6"/>
        <v>82687.5</v>
      </c>
      <c r="W81" s="85">
        <f t="shared" si="5"/>
        <v>82687.5</v>
      </c>
    </row>
    <row r="82" spans="1:25" x14ac:dyDescent="0.35">
      <c r="B82" s="1">
        <v>80</v>
      </c>
      <c r="C82" t="s">
        <v>84</v>
      </c>
      <c r="D82" s="5">
        <v>4</v>
      </c>
      <c r="E82" s="3">
        <f>VLOOKUP(C82,'12-7-2025'!$J$2:$L$53,3,0)</f>
        <v>7700</v>
      </c>
      <c r="F82" s="3">
        <f>VLOOKUP(C82,'26-7-2025'!$N$2:$P$50,3,0)</f>
        <v>9495</v>
      </c>
      <c r="G82" s="3">
        <f>VLOOKUP(C82,'9-8-2025'!$N$2:$P$57,3,0)</f>
        <v>6150</v>
      </c>
      <c r="I82" s="3">
        <f>VLOOKUP(C82,'7-9-2025'!$J$2:$L$57,3,0)</f>
        <v>7455</v>
      </c>
      <c r="K82" s="3">
        <f>VLOOKUP(C82,'19-10-25'!$J$2:$L$69,3,0)</f>
        <v>12155</v>
      </c>
      <c r="M82" s="3">
        <f>VLOOKUP(C82,'15-11-25'!$J$2:$L$46,3,0)</f>
        <v>8332.5</v>
      </c>
      <c r="N82" s="3">
        <f>VLOOKUP(C82,'13-12-25'!$J$2:$L$64,3,0)</f>
        <v>5865</v>
      </c>
      <c r="O82" s="3">
        <f>VLOOKUP(C82,'3-1-26'!$J$2:$L$48,3,0)</f>
        <v>214740</v>
      </c>
      <c r="P82" s="3">
        <f>VLOOKUP(C82,'31-1-26'!$J$4:$L$53,3,0)</f>
        <v>12790</v>
      </c>
      <c r="V82" s="4">
        <f t="shared" si="6"/>
        <v>284682.5</v>
      </c>
      <c r="W82" s="85">
        <f t="shared" si="5"/>
        <v>284682.5</v>
      </c>
    </row>
    <row r="83" spans="1:25" x14ac:dyDescent="0.35">
      <c r="B83" s="1">
        <v>81</v>
      </c>
      <c r="C83" t="s">
        <v>136</v>
      </c>
      <c r="D83" s="5">
        <v>4</v>
      </c>
      <c r="F83" s="3">
        <f>VLOOKUP(C83,'26-7-2025'!$N$2:$P$50,3,0)</f>
        <v>1350</v>
      </c>
      <c r="G83" s="3">
        <f>VLOOKUP(C83,'9-8-2025'!$N$2:$P$57,3,0)</f>
        <v>10182.5</v>
      </c>
      <c r="H83" s="3">
        <f>VLOOKUP(C83,'23-8-2025'!$J$2:$L$54,3,0)</f>
        <v>2525</v>
      </c>
      <c r="I83" s="3">
        <f>VLOOKUP(C83,'7-9-2025'!$J$2:$L$57,3,0)</f>
        <v>21930</v>
      </c>
      <c r="J83" s="3">
        <f>VLOOKUP(C83,'21-9-2025'!$J$2:$L$55,3,0)</f>
        <v>11700</v>
      </c>
      <c r="K83" s="3">
        <f>VLOOKUP(C83,'19-10-25'!$J$2:$L$69,3,0)</f>
        <v>14425</v>
      </c>
      <c r="L83" s="3">
        <f>VLOOKUP(C83,'1-11-25'!$J$2:$L$48,3,0)</f>
        <v>6535</v>
      </c>
      <c r="M83" s="3">
        <f>VLOOKUP(C83,'15-11-25'!$J$2:$L$46,3,0)</f>
        <v>8590</v>
      </c>
      <c r="N83" s="3">
        <f>VLOOKUP(C83,'13-12-25'!$J$2:$L$64,3,0)</f>
        <v>24227.5</v>
      </c>
      <c r="O83" s="3">
        <f>VLOOKUP(C83,'3-1-26'!$J$2:$L$48,3,0)</f>
        <v>5579.9999999999991</v>
      </c>
      <c r="P83" s="3">
        <f>VLOOKUP(C83,'31-1-26'!$J$4:$L$53,3,0)</f>
        <v>24135</v>
      </c>
      <c r="V83" s="4">
        <f t="shared" si="6"/>
        <v>131180</v>
      </c>
      <c r="W83" s="85">
        <f>V83-131000</f>
        <v>180</v>
      </c>
    </row>
    <row r="84" spans="1:25" x14ac:dyDescent="0.35">
      <c r="B84" s="1">
        <v>82</v>
      </c>
      <c r="C84" t="s">
        <v>328</v>
      </c>
      <c r="D84" s="1">
        <v>4</v>
      </c>
      <c r="M84" s="3">
        <f>VLOOKUP(C84,'15-11-25'!$J$2:$L$46,3,0)</f>
        <v>33820</v>
      </c>
      <c r="V84" s="4">
        <f t="shared" si="6"/>
        <v>33820</v>
      </c>
      <c r="W84" s="85">
        <f t="shared" si="5"/>
        <v>33820</v>
      </c>
    </row>
    <row r="85" spans="1:25" x14ac:dyDescent="0.35">
      <c r="B85" s="1">
        <v>83</v>
      </c>
      <c r="C85" t="s">
        <v>191</v>
      </c>
      <c r="D85" s="5">
        <v>5</v>
      </c>
      <c r="E85" s="80"/>
      <c r="F85" s="80"/>
      <c r="G85" s="80">
        <f>VLOOKUP(C85,'9-8-2025'!$N$2:$P$57,3,0)</f>
        <v>41200</v>
      </c>
      <c r="H85" s="80"/>
      <c r="I85" s="80"/>
      <c r="U85" s="80"/>
      <c r="V85" s="4">
        <f t="shared" si="6"/>
        <v>41200</v>
      </c>
      <c r="W85" s="85">
        <f>V85-41200</f>
        <v>0</v>
      </c>
      <c r="X85" s="83" t="s">
        <v>179</v>
      </c>
      <c r="Y85" t="s">
        <v>253</v>
      </c>
    </row>
    <row r="86" spans="1:25" x14ac:dyDescent="0.35">
      <c r="B86" s="1">
        <v>84</v>
      </c>
      <c r="C86" t="s">
        <v>243</v>
      </c>
      <c r="D86" s="5">
        <v>5</v>
      </c>
      <c r="E86" s="80"/>
      <c r="F86" s="80"/>
      <c r="G86" s="80"/>
      <c r="I86" s="3">
        <f>VLOOKUP(C86,'7-9-2025'!$J$2:$L$57,3,0)</f>
        <v>12610</v>
      </c>
      <c r="K86" s="3">
        <f>VLOOKUP(C86,'19-10-25'!$J$2:$L$69,3,0)</f>
        <v>14517.5</v>
      </c>
      <c r="L86" s="3">
        <f>VLOOKUP(C86,'1-11-25'!$J$2:$L$48,3,0)</f>
        <v>4800</v>
      </c>
      <c r="O86" s="3">
        <f>VLOOKUP(C86,'3-1-26'!$J$2:$L$48,3,0)</f>
        <v>15515</v>
      </c>
      <c r="V86" s="4">
        <f t="shared" si="6"/>
        <v>47442.5</v>
      </c>
      <c r="W86" s="85">
        <f>V86</f>
        <v>47442.5</v>
      </c>
    </row>
    <row r="87" spans="1:25" x14ac:dyDescent="0.35">
      <c r="A87" s="77"/>
      <c r="B87" s="1">
        <v>85</v>
      </c>
      <c r="C87" t="s">
        <v>95</v>
      </c>
      <c r="D87" s="5">
        <v>5</v>
      </c>
      <c r="E87" s="3">
        <f>VLOOKUP(C87,'12-7-2025'!$J$2:$L$53,3,0)</f>
        <v>25600</v>
      </c>
      <c r="F87" s="3">
        <f>VLOOKUP(C87,'26-7-2025'!$N$2:$P$50,3,0)</f>
        <v>13575</v>
      </c>
      <c r="K87" s="3">
        <f>VLOOKUP(C87,'19-10-25'!$J$2:$L$69,3,0)</f>
        <v>13482.5</v>
      </c>
      <c r="M87" s="3">
        <f>VLOOKUP(C87,'15-11-25'!$J$2:$L$46,3,0)</f>
        <v>4290</v>
      </c>
      <c r="N87" s="3">
        <f>VLOOKUP(C87,'13-12-25'!$J$2:$L$64,3,0)</f>
        <v>3600</v>
      </c>
      <c r="P87" s="3">
        <f>VLOOKUP(C87,'31-1-26'!$J$4:$L$53,3,0)</f>
        <v>26730</v>
      </c>
      <c r="V87" s="4">
        <f t="shared" si="6"/>
        <v>87277.5</v>
      </c>
      <c r="W87" s="85">
        <f>V87</f>
        <v>87277.5</v>
      </c>
    </row>
    <row r="88" spans="1:25" x14ac:dyDescent="0.35">
      <c r="A88" s="77"/>
      <c r="B88" s="1">
        <v>86</v>
      </c>
      <c r="C88" t="s">
        <v>189</v>
      </c>
      <c r="D88" s="5">
        <v>5</v>
      </c>
      <c r="G88" s="3">
        <f>VLOOKUP(C88,'9-8-2025'!$N$2:$P$57,3,0)</f>
        <v>25130</v>
      </c>
      <c r="H88" s="3">
        <f>VLOOKUP(C88,'23-8-2025'!$J$2:$L$54,3,0)</f>
        <v>14690</v>
      </c>
      <c r="I88" s="3">
        <f>VLOOKUP(C88,'7-9-2025'!$J$2:$L$57,3,0)</f>
        <v>25095</v>
      </c>
      <c r="J88" s="3">
        <f>VLOOKUP(C88,'21-9-2025'!$J$2:$L$55,3,0)</f>
        <v>30015</v>
      </c>
      <c r="K88" s="3">
        <f>VLOOKUP(C88,'19-10-25'!$J$2:$L$69,3,0)</f>
        <v>40895</v>
      </c>
      <c r="L88" s="3">
        <f>VLOOKUP(C88,'1-11-25'!$J$2:$L$48,3,0)</f>
        <v>9275</v>
      </c>
      <c r="M88" s="3">
        <f>VLOOKUP(C88,'15-11-25'!$J$2:$L$46,3,0)</f>
        <v>14485</v>
      </c>
      <c r="N88" s="3">
        <f>VLOOKUP(C88,'13-12-25'!$J$2:$L$64,3,0)</f>
        <v>23420</v>
      </c>
      <c r="O88" s="3">
        <f>VLOOKUP(C88,'3-1-26'!$J$2:$L$48,3,0)</f>
        <v>11580</v>
      </c>
      <c r="Q88" s="3">
        <f>VLOOKUP(C88,'15-02-26'!$J$2:$L$41,3,0)</f>
        <v>38800</v>
      </c>
      <c r="V88" s="4">
        <f t="shared" si="6"/>
        <v>233385</v>
      </c>
      <c r="W88" s="85">
        <f>V88-100000</f>
        <v>133385</v>
      </c>
    </row>
    <row r="89" spans="1:25" x14ac:dyDescent="0.35">
      <c r="B89" s="1">
        <v>87</v>
      </c>
      <c r="C89" t="s">
        <v>93</v>
      </c>
      <c r="D89" s="5">
        <v>5</v>
      </c>
      <c r="E89" s="3">
        <f>VLOOKUP(C89,'12-7-2025'!$J$2:$L$53,3,0)</f>
        <v>1195</v>
      </c>
      <c r="V89" s="4">
        <f t="shared" si="6"/>
        <v>1195</v>
      </c>
      <c r="W89" s="85">
        <f t="shared" ref="W89:W110" si="7">V89</f>
        <v>1195</v>
      </c>
    </row>
    <row r="90" spans="1:25" x14ac:dyDescent="0.35">
      <c r="A90" s="77"/>
      <c r="B90" s="1">
        <v>88</v>
      </c>
      <c r="C90" t="s">
        <v>120</v>
      </c>
      <c r="D90" s="5">
        <v>5</v>
      </c>
      <c r="E90" s="3">
        <f>VLOOKUP(C90,'12-7-2025'!$J$2:$L$53,3,0)</f>
        <v>4530</v>
      </c>
      <c r="I90" s="3">
        <f>VLOOKUP(C90,'7-9-2025'!$J$2:$L$57,3,0)</f>
        <v>12220</v>
      </c>
      <c r="K90" s="3">
        <f>VLOOKUP(C90,'19-10-25'!$J$2:$L$69,3,0)</f>
        <v>10582.5</v>
      </c>
      <c r="N90" s="3">
        <f>VLOOKUP(C90,'13-12-25'!$J$2:$L$64,3,0)</f>
        <v>19670</v>
      </c>
      <c r="P90" s="3">
        <f>VLOOKUP(C90,'31-1-26'!$J$4:$L$53,3,0)</f>
        <v>14570</v>
      </c>
      <c r="V90" s="4">
        <f t="shared" si="6"/>
        <v>61572.5</v>
      </c>
      <c r="W90" s="85">
        <f t="shared" si="7"/>
        <v>61572.5</v>
      </c>
    </row>
    <row r="91" spans="1:25" x14ac:dyDescent="0.35">
      <c r="A91" s="77"/>
      <c r="B91" s="1">
        <v>89</v>
      </c>
      <c r="C91" t="s">
        <v>107</v>
      </c>
      <c r="D91" s="5">
        <v>5</v>
      </c>
      <c r="E91" s="3">
        <f>VLOOKUP(C91,'12-7-2025'!$J$2:$L$53,3,0)</f>
        <v>15546</v>
      </c>
      <c r="H91" s="3">
        <f>VLOOKUP(C91,'23-8-2025'!$J$2:$L$54,3,0)</f>
        <v>36695</v>
      </c>
      <c r="I91" s="3">
        <f>VLOOKUP(C91,'7-9-2025'!$J$2:$L$57,3,0)</f>
        <v>12437.5</v>
      </c>
      <c r="K91" s="3">
        <f>VLOOKUP(C91,'19-10-25'!$J$2:$L$69,3,0)</f>
        <v>48435</v>
      </c>
      <c r="Q91" s="3">
        <f>VLOOKUP(C91,'15-02-26'!$J$2:$L$41,3,0)</f>
        <v>17330</v>
      </c>
      <c r="V91" s="4">
        <f t="shared" si="6"/>
        <v>130443.5</v>
      </c>
      <c r="W91" s="85">
        <f>V91-110000</f>
        <v>20443.5</v>
      </c>
    </row>
    <row r="92" spans="1:25" x14ac:dyDescent="0.35">
      <c r="A92" s="77"/>
      <c r="B92" s="1">
        <v>90</v>
      </c>
      <c r="C92" t="s">
        <v>110</v>
      </c>
      <c r="D92" s="5">
        <v>5</v>
      </c>
      <c r="E92" s="3">
        <f>VLOOKUP(C92,'12-7-2025'!$J$2:$L$53,3,0)</f>
        <v>6720</v>
      </c>
      <c r="G92" s="3">
        <f>VLOOKUP(C92,'9-8-2025'!$N$2:$P$57,3,0)</f>
        <v>5540</v>
      </c>
      <c r="I92" s="3">
        <f>VLOOKUP(C92,'7-9-2025'!$J$2:$L$57,3,0)</f>
        <v>17760</v>
      </c>
      <c r="K92" s="3">
        <f>VLOOKUP(C92,'19-10-25'!$J$2:$L$69,3,0)</f>
        <v>12057.5</v>
      </c>
      <c r="M92" s="3">
        <f>VLOOKUP(C92,'15-11-25'!$J$2:$L$46,3,0)</f>
        <v>5000</v>
      </c>
      <c r="V92" s="4">
        <f t="shared" si="6"/>
        <v>47077.5</v>
      </c>
      <c r="W92" s="85">
        <f t="shared" si="7"/>
        <v>47077.5</v>
      </c>
    </row>
    <row r="93" spans="1:25" x14ac:dyDescent="0.35">
      <c r="A93" s="77"/>
      <c r="B93" s="1">
        <v>91</v>
      </c>
      <c r="C93" t="s">
        <v>111</v>
      </c>
      <c r="D93" s="5">
        <v>5</v>
      </c>
      <c r="E93" s="3">
        <f>VLOOKUP(C93,'12-7-2025'!$J$2:$L$53,3,0)</f>
        <v>45685</v>
      </c>
      <c r="F93" s="3">
        <f>VLOOKUP(C93,'26-7-2025'!$N$2:$P$50,3,0)</f>
        <v>15025</v>
      </c>
      <c r="G93" s="3">
        <f>VLOOKUP(C93,'9-8-2025'!$N$2:$P$57,3,0)</f>
        <v>5095</v>
      </c>
      <c r="H93" s="3">
        <f>VLOOKUP(C93,'23-8-2025'!$J$2:$L$54,3,0)</f>
        <v>4670</v>
      </c>
      <c r="I93" s="3">
        <f>VLOOKUP(C93,'7-9-2025'!$J$2:$L$57,3,0)</f>
        <v>3015</v>
      </c>
      <c r="J93" s="3">
        <f>VLOOKUP(C93,'21-9-2025'!$J$2:$L$55,3,0)</f>
        <v>11630</v>
      </c>
      <c r="K93" s="3">
        <f>VLOOKUP(C93,'19-10-25'!$J$2:$L$69,3,0)</f>
        <v>7010</v>
      </c>
      <c r="L93" s="3">
        <f>VLOOKUP(C93,'1-11-25'!$J$2:$L$48,3,0)</f>
        <v>4645</v>
      </c>
      <c r="M93" s="3">
        <f>VLOOKUP(C93,'15-11-25'!$J$2:$L$46,3,0)</f>
        <v>13400</v>
      </c>
      <c r="N93" s="3">
        <f>VLOOKUP(C93,'13-12-25'!$J$2:$L$64,3,0)</f>
        <v>9300</v>
      </c>
      <c r="O93" s="3">
        <f>VLOOKUP(C93,'3-1-26'!$J$2:$L$48,3,0)</f>
        <v>29565</v>
      </c>
      <c r="P93" s="3">
        <f>VLOOKUP(C93,'31-1-26'!$J$4:$L$53,3,0)</f>
        <v>13585</v>
      </c>
      <c r="Q93" s="3">
        <f>VLOOKUP(C93,'15-02-26'!$J$2:$L$41,3,0)</f>
        <v>9475</v>
      </c>
      <c r="V93" s="4">
        <f t="shared" si="6"/>
        <v>172100</v>
      </c>
      <c r="W93" s="85">
        <f t="shared" si="7"/>
        <v>172100</v>
      </c>
    </row>
    <row r="94" spans="1:25" x14ac:dyDescent="0.35">
      <c r="B94" s="1">
        <v>92</v>
      </c>
      <c r="C94" t="s">
        <v>113</v>
      </c>
      <c r="D94" s="5">
        <v>5</v>
      </c>
      <c r="E94" s="3">
        <f>VLOOKUP(C94,'12-7-2025'!$J$2:$L$53,3,0)</f>
        <v>6515</v>
      </c>
      <c r="G94" s="3">
        <f>VLOOKUP(C94,'9-8-2025'!$N$2:$P$57,3,0)</f>
        <v>3665</v>
      </c>
      <c r="K94" s="3">
        <f>VLOOKUP(C94,'19-10-25'!$J$2:$L$69,3,0)</f>
        <v>1402.5</v>
      </c>
      <c r="V94" s="4">
        <f t="shared" si="6"/>
        <v>11582.5</v>
      </c>
      <c r="W94" s="85">
        <f t="shared" si="7"/>
        <v>11582.5</v>
      </c>
    </row>
    <row r="95" spans="1:25" x14ac:dyDescent="0.35">
      <c r="B95" s="1">
        <v>93</v>
      </c>
      <c r="C95" t="s">
        <v>174</v>
      </c>
      <c r="D95" s="5">
        <v>5</v>
      </c>
      <c r="F95" s="3">
        <f>VLOOKUP(C95,'26-7-2025'!$N$2:$P$50,3,0)</f>
        <v>18200</v>
      </c>
      <c r="I95" s="3">
        <f>VLOOKUP(C95,'7-9-2025'!$J$2:$L$57,3,0)</f>
        <v>3277.5</v>
      </c>
      <c r="N95" s="3">
        <f>VLOOKUP(C95,'13-12-25'!$J$2:$L$64,3,0)</f>
        <v>16720</v>
      </c>
      <c r="V95" s="4">
        <f t="shared" si="6"/>
        <v>38197.5</v>
      </c>
      <c r="W95" s="85">
        <f t="shared" si="7"/>
        <v>38197.5</v>
      </c>
    </row>
    <row r="96" spans="1:25" x14ac:dyDescent="0.35">
      <c r="A96" s="77"/>
      <c r="B96" s="1">
        <v>94</v>
      </c>
      <c r="C96" t="s">
        <v>149</v>
      </c>
      <c r="D96" s="5">
        <v>5</v>
      </c>
      <c r="F96" s="3">
        <f>VLOOKUP(C96,'26-7-2025'!$N$2:$P$50,3,0)</f>
        <v>3735</v>
      </c>
      <c r="H96" s="3">
        <f>VLOOKUP(C96,'23-8-2025'!$J$2:$L$54,3,0)</f>
        <v>5050</v>
      </c>
      <c r="L96" s="3">
        <f>VLOOKUP(C96,'1-11-25'!$J$2:$L$48,3,0)</f>
        <v>22085</v>
      </c>
      <c r="O96" s="3">
        <f>VLOOKUP(C96,'3-1-26'!$J$2:$L$48,3,0)</f>
        <v>6215</v>
      </c>
      <c r="Q96" s="3">
        <f>VLOOKUP(C96,'15-02-26'!$J$2:$L$41,3,0)</f>
        <v>14230</v>
      </c>
      <c r="V96" s="4">
        <f t="shared" si="6"/>
        <v>51315</v>
      </c>
      <c r="W96" s="85">
        <f t="shared" si="7"/>
        <v>51315</v>
      </c>
    </row>
    <row r="97" spans="1:25" x14ac:dyDescent="0.35">
      <c r="A97" s="77"/>
      <c r="B97" s="1">
        <v>95</v>
      </c>
      <c r="C97" t="s">
        <v>297</v>
      </c>
      <c r="D97" s="5">
        <v>5</v>
      </c>
      <c r="L97" s="3">
        <f>VLOOKUP(C97,'1-11-25'!$J$2:$L$48,3,0)</f>
        <v>23122</v>
      </c>
      <c r="M97" s="3">
        <f>VLOOKUP(C97,'15-11-25'!$J$2:$L$46,3,0)</f>
        <v>17855</v>
      </c>
      <c r="Q97" s="3">
        <f>VLOOKUP(C97,'15-02-26'!$J$2:$L$41,3,0)</f>
        <v>45495</v>
      </c>
      <c r="V97" s="4">
        <f t="shared" si="6"/>
        <v>86472</v>
      </c>
      <c r="W97" s="85">
        <f t="shared" si="7"/>
        <v>86472</v>
      </c>
    </row>
    <row r="98" spans="1:25" x14ac:dyDescent="0.35">
      <c r="B98" s="1">
        <v>96</v>
      </c>
      <c r="C98" t="s">
        <v>335</v>
      </c>
      <c r="D98" s="5">
        <v>5</v>
      </c>
      <c r="N98" s="3">
        <f>VLOOKUP(C98,'13-12-25'!$J$2:$L$64,3,0)</f>
        <v>7000</v>
      </c>
      <c r="V98" s="4">
        <f t="shared" si="6"/>
        <v>7000</v>
      </c>
      <c r="W98" s="85">
        <f t="shared" si="7"/>
        <v>7000</v>
      </c>
    </row>
    <row r="99" spans="1:25" x14ac:dyDescent="0.35">
      <c r="B99" s="1">
        <v>97</v>
      </c>
      <c r="C99" t="s">
        <v>345</v>
      </c>
      <c r="D99" s="5">
        <v>5</v>
      </c>
      <c r="O99" s="3">
        <f>VLOOKUP(C99,'3-1-26'!$J$2:$L$48,3,0)</f>
        <v>29200</v>
      </c>
      <c r="Q99" s="3">
        <f>VLOOKUP(C99,'15-02-26'!$J$2:$L$41,3,0)</f>
        <v>6055</v>
      </c>
      <c r="V99" s="4">
        <f t="shared" ref="V99:V123" si="8">SUM(E99:U99)</f>
        <v>35255</v>
      </c>
      <c r="W99" s="85">
        <f t="shared" si="7"/>
        <v>35255</v>
      </c>
    </row>
    <row r="100" spans="1:25" x14ac:dyDescent="0.35">
      <c r="A100" s="77"/>
      <c r="B100" s="1">
        <v>98</v>
      </c>
      <c r="C100" t="s">
        <v>285</v>
      </c>
      <c r="D100" s="5">
        <v>6</v>
      </c>
      <c r="K100" s="3">
        <f>VLOOKUP(C100,'19-10-25'!$J$2:$L$69,3,0)</f>
        <v>9220</v>
      </c>
      <c r="N100" s="3">
        <f>VLOOKUP(C100,'13-12-25'!$J$2:$L$64,3,0)</f>
        <v>7230</v>
      </c>
      <c r="V100" s="4">
        <f t="shared" si="8"/>
        <v>16450</v>
      </c>
      <c r="W100" s="85">
        <f t="shared" si="7"/>
        <v>16450</v>
      </c>
    </row>
    <row r="101" spans="1:25" x14ac:dyDescent="0.35">
      <c r="A101" s="77"/>
      <c r="B101" s="1">
        <v>99</v>
      </c>
      <c r="C101" s="69" t="s">
        <v>299</v>
      </c>
      <c r="D101" s="5">
        <v>6</v>
      </c>
      <c r="J101" s="3">
        <f>VLOOKUP(C101,'21-9-2025'!$J$2:$L$55,3,0)</f>
        <v>64760</v>
      </c>
      <c r="L101" s="3">
        <f>VLOOKUP(C101,'1-11-25'!$J$2:$L$48,3,0)</f>
        <v>13180</v>
      </c>
      <c r="M101" s="3">
        <f>VLOOKUP(C101,'15-11-25'!$J$2:$L$46,3,0)</f>
        <v>14810</v>
      </c>
      <c r="N101" s="3">
        <f>VLOOKUP(C101,'13-12-25'!$J$2:$L$64,3,0)</f>
        <v>29895</v>
      </c>
      <c r="P101" s="3">
        <f>VLOOKUP(C101,'31-1-26'!$J$4:$L$53,3,0)</f>
        <v>65999</v>
      </c>
      <c r="Q101" s="3">
        <f>VLOOKUP(C101,'15-02-26'!$J$2:$L$41,3,0)</f>
        <v>7105</v>
      </c>
      <c r="V101" s="4">
        <f t="shared" si="8"/>
        <v>195749</v>
      </c>
      <c r="W101" s="85">
        <f t="shared" si="7"/>
        <v>195749</v>
      </c>
    </row>
    <row r="102" spans="1:25" x14ac:dyDescent="0.35">
      <c r="B102" s="1">
        <v>100</v>
      </c>
      <c r="C102" t="s">
        <v>295</v>
      </c>
      <c r="D102" s="5">
        <v>6</v>
      </c>
      <c r="L102" s="3">
        <f>VLOOKUP(C102,'1-11-25'!$J$2:$L$48,3,0)</f>
        <v>19280</v>
      </c>
      <c r="M102" s="3">
        <f>VLOOKUP(C102,'15-11-25'!$J$2:$L$46,3,0)</f>
        <v>5970</v>
      </c>
      <c r="N102" s="3">
        <f>VLOOKUP(C102,'13-12-25'!$J$2:$L$64,3,0)</f>
        <v>1630</v>
      </c>
      <c r="O102" s="3">
        <f>VLOOKUP(C102,'3-1-26'!$J$2:$L$48,3,0)</f>
        <v>855</v>
      </c>
      <c r="P102" s="3">
        <f>VLOOKUP(C102,'31-1-26'!$J$4:$L$53,3,0)</f>
        <v>20830</v>
      </c>
      <c r="Q102" s="3">
        <f>VLOOKUP(C102,'15-02-26'!$J$2:$L$41,3,0)</f>
        <v>7945</v>
      </c>
      <c r="V102" s="4">
        <f t="shared" si="8"/>
        <v>56510</v>
      </c>
      <c r="W102" s="85">
        <f t="shared" si="7"/>
        <v>56510</v>
      </c>
    </row>
    <row r="103" spans="1:25" x14ac:dyDescent="0.35">
      <c r="B103" s="1">
        <v>101</v>
      </c>
      <c r="C103" t="s">
        <v>294</v>
      </c>
      <c r="D103" s="5">
        <v>7</v>
      </c>
      <c r="J103" s="3">
        <f>VLOOKUP(C103,'21-9-2025'!$J$2:$L$55,3,0)</f>
        <v>71137</v>
      </c>
      <c r="N103" s="3">
        <f>VLOOKUP(C103,'13-12-25'!$J$2:$L$64,3,0)</f>
        <v>38610</v>
      </c>
      <c r="V103" s="4">
        <f t="shared" si="8"/>
        <v>109747</v>
      </c>
      <c r="W103" s="85">
        <f t="shared" si="7"/>
        <v>109747</v>
      </c>
    </row>
    <row r="104" spans="1:25" x14ac:dyDescent="0.35">
      <c r="B104" s="1">
        <v>102</v>
      </c>
      <c r="C104" t="s">
        <v>184</v>
      </c>
      <c r="D104" s="5">
        <v>7</v>
      </c>
      <c r="E104" s="80"/>
      <c r="F104" s="80"/>
      <c r="G104" s="80">
        <f>VLOOKUP(C104,'9-8-2025'!$N$2:$P$57,3,0)</f>
        <v>450</v>
      </c>
      <c r="I104" s="3">
        <f>VLOOKUP(C104,'7-9-2025'!$J$2:$L$57,3,0)</f>
        <v>2042.5</v>
      </c>
      <c r="V104" s="4">
        <f t="shared" si="8"/>
        <v>2492.5</v>
      </c>
      <c r="W104" s="85">
        <f t="shared" si="7"/>
        <v>2492.5</v>
      </c>
    </row>
    <row r="105" spans="1:25" x14ac:dyDescent="0.35">
      <c r="B105" s="1">
        <v>103</v>
      </c>
      <c r="C105" t="s">
        <v>196</v>
      </c>
      <c r="D105" s="5">
        <v>7</v>
      </c>
      <c r="E105" s="80"/>
      <c r="F105" s="80"/>
      <c r="G105" s="80">
        <f>VLOOKUP(C105,'9-8-2025'!$N$2:$P$57,3,0)</f>
        <v>1247.5</v>
      </c>
      <c r="V105" s="4">
        <f t="shared" si="8"/>
        <v>1247.5</v>
      </c>
      <c r="W105" s="85">
        <f t="shared" si="7"/>
        <v>1247.5</v>
      </c>
    </row>
    <row r="106" spans="1:25" x14ac:dyDescent="0.35">
      <c r="B106" s="1">
        <v>104</v>
      </c>
      <c r="C106" t="s">
        <v>188</v>
      </c>
      <c r="D106" s="5">
        <v>7</v>
      </c>
      <c r="E106" s="80"/>
      <c r="F106" s="80"/>
      <c r="G106" s="80">
        <f>VLOOKUP(C106,'9-8-2025'!$N$2:$P$57,3,0)</f>
        <v>14830</v>
      </c>
      <c r="H106" s="3">
        <f>VLOOKUP(C106,'23-8-2025'!$J$2:$L$54,3,0)</f>
        <v>14830</v>
      </c>
      <c r="I106" s="3">
        <f>VLOOKUP(C106,'7-9-2025'!$J$2:$L$57,3,0)</f>
        <v>9190</v>
      </c>
      <c r="J106" s="3">
        <f>VLOOKUP(C106,'21-9-2025'!$J$2:$L$55,3,0)</f>
        <v>4820</v>
      </c>
      <c r="K106" s="3">
        <f>VLOOKUP(C106,'19-10-25'!$J$2:$L$69,3,0)</f>
        <v>21262.5</v>
      </c>
      <c r="L106" s="3">
        <f>VLOOKUP(C106,'1-11-25'!$J$2:$L$48,3,0)</f>
        <v>6515</v>
      </c>
      <c r="M106" s="3">
        <f>VLOOKUP(C106,'15-11-25'!$J$2:$L$46,3,0)</f>
        <v>2500</v>
      </c>
      <c r="N106" s="3">
        <f>VLOOKUP(C106,'13-12-25'!$J$2:$L$64,3,0)</f>
        <v>45180</v>
      </c>
      <c r="P106" s="3">
        <f>VLOOKUP(C106,'31-1-26'!$J$4:$L$53,3,0)</f>
        <v>35145</v>
      </c>
      <c r="V106" s="4">
        <f t="shared" si="8"/>
        <v>154272.5</v>
      </c>
      <c r="W106" s="85">
        <f t="shared" si="7"/>
        <v>154272.5</v>
      </c>
    </row>
    <row r="107" spans="1:25" x14ac:dyDescent="0.35">
      <c r="B107" s="1">
        <v>105</v>
      </c>
      <c r="C107" t="s">
        <v>236</v>
      </c>
      <c r="D107" s="5">
        <v>7</v>
      </c>
      <c r="E107" s="80"/>
      <c r="F107" s="80"/>
      <c r="G107" s="80"/>
      <c r="I107" s="3">
        <f>VLOOKUP(C107,'7-9-2025'!$J$2:$L$57,3,0)</f>
        <v>21587.5</v>
      </c>
      <c r="V107" s="4">
        <f t="shared" si="8"/>
        <v>21587.5</v>
      </c>
      <c r="W107" s="85">
        <f t="shared" si="7"/>
        <v>21587.5</v>
      </c>
    </row>
    <row r="108" spans="1:25" x14ac:dyDescent="0.35">
      <c r="B108" s="1">
        <v>106</v>
      </c>
      <c r="C108" t="s">
        <v>183</v>
      </c>
      <c r="D108" s="5">
        <v>7</v>
      </c>
      <c r="E108" s="80"/>
      <c r="F108" s="80"/>
      <c r="G108" s="80">
        <f>VLOOKUP(C108,'9-8-2025'!$N$2:$P$57,3,0)</f>
        <v>6000</v>
      </c>
      <c r="H108" s="3">
        <f>VLOOKUP(C108,'23-8-2025'!$J$2:$L$54,3,0)</f>
        <v>5150</v>
      </c>
      <c r="J108" s="3">
        <f>VLOOKUP(C108,'21-9-2025'!$J$2:$L$55,3,0)</f>
        <v>4862.5</v>
      </c>
      <c r="L108" s="3">
        <f>VLOOKUP(C108,'1-11-25'!$J$2:$L$48,3,0)</f>
        <v>5522.5</v>
      </c>
      <c r="V108" s="4">
        <f t="shared" si="8"/>
        <v>21535</v>
      </c>
      <c r="W108" s="85">
        <f t="shared" si="7"/>
        <v>21535</v>
      </c>
    </row>
    <row r="109" spans="1:25" x14ac:dyDescent="0.35">
      <c r="B109" s="1">
        <v>107</v>
      </c>
      <c r="C109" t="s">
        <v>241</v>
      </c>
      <c r="D109" s="5">
        <v>7</v>
      </c>
      <c r="E109" s="80"/>
      <c r="F109" s="80"/>
      <c r="G109" s="80"/>
      <c r="I109" s="3">
        <f>VLOOKUP(C109,'7-9-2025'!$J$2:$L$57,3,0)</f>
        <v>1655</v>
      </c>
      <c r="J109" s="3">
        <f>VLOOKUP(C109,'21-9-2025'!$J$2:$L$55,3,0)</f>
        <v>4940</v>
      </c>
      <c r="K109" s="3">
        <f>VLOOKUP(C109,'19-10-25'!$J$2:$L$69,3,0)</f>
        <v>2550</v>
      </c>
      <c r="L109" s="3">
        <f>VLOOKUP(C109,'1-11-25'!$J$2:$L$48,3,0)</f>
        <v>4150</v>
      </c>
      <c r="N109" s="3">
        <f>VLOOKUP(C109,'13-12-25'!$J$2:$L$64,3,0)</f>
        <v>5600</v>
      </c>
      <c r="V109" s="4">
        <f t="shared" si="8"/>
        <v>18895</v>
      </c>
      <c r="W109" s="85">
        <f t="shared" si="7"/>
        <v>18895</v>
      </c>
    </row>
    <row r="110" spans="1:25" x14ac:dyDescent="0.35">
      <c r="B110" s="1">
        <v>108</v>
      </c>
      <c r="C110" t="s">
        <v>334</v>
      </c>
      <c r="D110" s="5">
        <v>7</v>
      </c>
      <c r="N110" s="3">
        <f>VLOOKUP(C110,'13-12-25'!$J$2:$L$64,3,0)</f>
        <v>1170</v>
      </c>
      <c r="V110" s="4">
        <f t="shared" si="8"/>
        <v>1170</v>
      </c>
      <c r="W110" s="85">
        <f t="shared" si="7"/>
        <v>1170</v>
      </c>
    </row>
    <row r="111" spans="1:25" x14ac:dyDescent="0.35">
      <c r="B111" s="1">
        <v>109</v>
      </c>
      <c r="C111" t="s">
        <v>91</v>
      </c>
      <c r="D111" s="5" t="s">
        <v>240</v>
      </c>
      <c r="E111" s="80">
        <f>VLOOKUP(C111,'12-7-2025'!$J$2:$L$53,3,0)</f>
        <v>73350</v>
      </c>
      <c r="F111" s="80"/>
      <c r="G111" s="80"/>
      <c r="H111" s="80"/>
      <c r="I111" s="80">
        <f>VLOOKUP(C111,'7-9-2025'!$J$2:$L$57,3,0)</f>
        <v>40477.5</v>
      </c>
      <c r="U111" s="80"/>
      <c r="V111" s="4">
        <f t="shared" si="8"/>
        <v>113827.5</v>
      </c>
      <c r="W111" s="85">
        <f>V111-72000-41000</f>
        <v>827.5</v>
      </c>
      <c r="X111" s="83" t="s">
        <v>233</v>
      </c>
      <c r="Y111" t="s">
        <v>253</v>
      </c>
    </row>
    <row r="112" spans="1:25" x14ac:dyDescent="0.35">
      <c r="B112" s="1">
        <v>110</v>
      </c>
      <c r="C112" t="s">
        <v>104</v>
      </c>
      <c r="D112" s="5" t="s">
        <v>240</v>
      </c>
      <c r="E112" s="3">
        <f>VLOOKUP(C112,'12-7-2025'!$J$2:$L$53,3,0)</f>
        <v>937.5</v>
      </c>
      <c r="V112" s="4">
        <f t="shared" si="8"/>
        <v>937.5</v>
      </c>
      <c r="W112" s="85">
        <f t="shared" ref="W112:W123" si="9">V112</f>
        <v>937.5</v>
      </c>
    </row>
    <row r="113" spans="2:24" x14ac:dyDescent="0.35">
      <c r="B113" s="1">
        <v>111</v>
      </c>
      <c r="C113" s="69" t="s">
        <v>219</v>
      </c>
      <c r="D113" s="5" t="s">
        <v>201</v>
      </c>
      <c r="G113" s="80"/>
      <c r="H113" s="3">
        <f>VLOOKUP(C113,'23-8-2025'!$J$2:$L$54,3,0)</f>
        <v>11095</v>
      </c>
      <c r="I113" s="3">
        <f>VLOOKUP(C113,'7-9-2025'!$J$2:$L$57,3,0)</f>
        <v>2015</v>
      </c>
      <c r="K113" s="3">
        <f>VLOOKUP(C113,'19-10-25'!$J$2:$L$69,3,0)</f>
        <v>33130</v>
      </c>
      <c r="V113" s="4">
        <f t="shared" si="8"/>
        <v>46240</v>
      </c>
      <c r="W113" s="85">
        <f t="shared" si="9"/>
        <v>46240</v>
      </c>
    </row>
    <row r="114" spans="2:24" x14ac:dyDescent="0.35">
      <c r="B114" s="1">
        <v>112</v>
      </c>
      <c r="C114" t="s">
        <v>200</v>
      </c>
      <c r="D114" s="5" t="s">
        <v>201</v>
      </c>
      <c r="G114" s="3">
        <f>VLOOKUP(C114,'9-8-2025'!$N$2:$P$57,3,0)</f>
        <v>28245</v>
      </c>
      <c r="H114" s="3">
        <f>VLOOKUP(C114,'23-8-2025'!$J$2:$L$54,3,0)</f>
        <v>13000</v>
      </c>
      <c r="I114" s="3">
        <f>VLOOKUP(C114,'7-9-2025'!$J$2:$L$57,3,0)</f>
        <v>15940</v>
      </c>
      <c r="J114" s="3">
        <f>VLOOKUP(C114,'21-9-2025'!$J$2:$L$55,3,0)</f>
        <v>45602.5</v>
      </c>
      <c r="K114" s="3">
        <f>VLOOKUP(C114,'19-10-25'!$J$2:$L$69,3,0)</f>
        <v>1177.5</v>
      </c>
      <c r="M114" s="3">
        <f>VLOOKUP(C114,'15-11-25'!$J$2:$L$46,3,0)</f>
        <v>5180</v>
      </c>
      <c r="V114" s="4">
        <f t="shared" si="8"/>
        <v>109145</v>
      </c>
      <c r="W114" s="85">
        <f>V114-28245-13000-15940-45603</f>
        <v>6357</v>
      </c>
    </row>
    <row r="115" spans="2:24" x14ac:dyDescent="0.35">
      <c r="B115" s="1">
        <v>113</v>
      </c>
      <c r="C115" t="s">
        <v>198</v>
      </c>
      <c r="D115" s="5" t="s">
        <v>239</v>
      </c>
      <c r="G115" s="3">
        <f>VLOOKUP(C115,'9-8-2025'!$N$2:$P$57,3,0)</f>
        <v>2639.9999999999995</v>
      </c>
      <c r="I115" s="3">
        <f>VLOOKUP(C115,'7-9-2025'!$J$2:$L$57,3,0)</f>
        <v>9770</v>
      </c>
      <c r="L115" s="3">
        <f>VLOOKUP(C115,'1-11-25'!$J$2:$L$48,3,0)</f>
        <v>1805</v>
      </c>
      <c r="N115" s="3">
        <f>VLOOKUP(C115,'13-12-25'!$J$2:$L$64,3,0)</f>
        <v>8670</v>
      </c>
      <c r="V115" s="4">
        <f t="shared" si="8"/>
        <v>22885</v>
      </c>
      <c r="W115" s="85">
        <f t="shared" si="9"/>
        <v>22885</v>
      </c>
    </row>
    <row r="116" spans="2:24" x14ac:dyDescent="0.35">
      <c r="B116" s="1">
        <v>114</v>
      </c>
      <c r="C116" t="s">
        <v>237</v>
      </c>
      <c r="D116" s="5" t="s">
        <v>238</v>
      </c>
      <c r="I116" s="3">
        <f>VLOOKUP(C116,'7-9-2025'!$J$2:$L$57,3,0)</f>
        <v>20100</v>
      </c>
      <c r="V116" s="4">
        <f t="shared" si="8"/>
        <v>20100</v>
      </c>
      <c r="W116" s="85">
        <f t="shared" si="9"/>
        <v>20100</v>
      </c>
    </row>
    <row r="117" spans="2:24" x14ac:dyDescent="0.35">
      <c r="B117" s="1">
        <v>115</v>
      </c>
      <c r="C117" t="s">
        <v>358</v>
      </c>
      <c r="D117" s="5" t="s">
        <v>238</v>
      </c>
      <c r="P117" s="3">
        <f>VLOOKUP(C117,'31-1-26'!$J$4:$L$53,3,0)</f>
        <v>1260</v>
      </c>
      <c r="V117" s="4">
        <f t="shared" si="8"/>
        <v>1260</v>
      </c>
      <c r="W117" s="85">
        <f t="shared" si="9"/>
        <v>1260</v>
      </c>
    </row>
    <row r="118" spans="2:24" x14ac:dyDescent="0.35">
      <c r="B118" s="1">
        <v>116</v>
      </c>
      <c r="C118" t="s">
        <v>360</v>
      </c>
      <c r="D118" s="5" t="s">
        <v>361</v>
      </c>
      <c r="P118" s="3">
        <f>VLOOKUP(C118,'31-1-26'!$J$4:$L$53,3,0)</f>
        <v>99935</v>
      </c>
      <c r="Q118" s="3">
        <f>VLOOKUP(C118,'15-02-26'!$J$2:$L$41,3,0)</f>
        <v>4775</v>
      </c>
      <c r="V118" s="4">
        <f t="shared" si="8"/>
        <v>104710</v>
      </c>
      <c r="W118" s="85">
        <f t="shared" si="9"/>
        <v>104710</v>
      </c>
    </row>
    <row r="119" spans="2:24" hidden="1" x14ac:dyDescent="0.35">
      <c r="B119" s="1">
        <v>117</v>
      </c>
      <c r="V119" s="4">
        <f t="shared" si="8"/>
        <v>0</v>
      </c>
      <c r="W119" s="85">
        <f t="shared" si="9"/>
        <v>0</v>
      </c>
    </row>
    <row r="120" spans="2:24" hidden="1" x14ac:dyDescent="0.35">
      <c r="B120" s="1">
        <v>118</v>
      </c>
      <c r="V120" s="4">
        <f t="shared" si="8"/>
        <v>0</v>
      </c>
      <c r="W120" s="85">
        <f t="shared" si="9"/>
        <v>0</v>
      </c>
    </row>
    <row r="121" spans="2:24" hidden="1" x14ac:dyDescent="0.35">
      <c r="B121" s="1">
        <v>119</v>
      </c>
      <c r="V121" s="4">
        <f t="shared" si="8"/>
        <v>0</v>
      </c>
      <c r="W121" s="85">
        <f t="shared" si="9"/>
        <v>0</v>
      </c>
    </row>
    <row r="122" spans="2:24" hidden="1" x14ac:dyDescent="0.35">
      <c r="B122" s="1">
        <v>120</v>
      </c>
      <c r="V122" s="4">
        <f t="shared" si="8"/>
        <v>0</v>
      </c>
      <c r="W122" s="85">
        <f t="shared" si="9"/>
        <v>0</v>
      </c>
    </row>
    <row r="123" spans="2:24" hidden="1" x14ac:dyDescent="0.35">
      <c r="B123" s="1">
        <v>121</v>
      </c>
      <c r="C123" t="s">
        <v>266</v>
      </c>
      <c r="V123" s="4">
        <f t="shared" si="8"/>
        <v>0</v>
      </c>
      <c r="W123" s="85">
        <f t="shared" si="9"/>
        <v>0</v>
      </c>
    </row>
    <row r="124" spans="2:24" x14ac:dyDescent="0.35">
      <c r="C124" s="40" t="s">
        <v>130</v>
      </c>
      <c r="D124" s="63"/>
      <c r="E124" s="46">
        <f t="shared" ref="E124:W124" si="10">SUM(E3:E123)</f>
        <v>633711</v>
      </c>
      <c r="F124" s="46">
        <f t="shared" si="10"/>
        <v>620721</v>
      </c>
      <c r="G124" s="46">
        <f t="shared" si="10"/>
        <v>644145</v>
      </c>
      <c r="H124" s="46">
        <f t="shared" si="10"/>
        <v>615287.5</v>
      </c>
      <c r="I124" s="46">
        <f t="shared" si="10"/>
        <v>606410</v>
      </c>
      <c r="J124" s="46">
        <f t="shared" si="10"/>
        <v>639949.5</v>
      </c>
      <c r="K124" s="46">
        <f t="shared" si="10"/>
        <v>765996</v>
      </c>
      <c r="L124" s="46">
        <f t="shared" si="10"/>
        <v>560888.5</v>
      </c>
      <c r="M124" s="46">
        <f t="shared" si="10"/>
        <v>507306.5</v>
      </c>
      <c r="N124" s="46">
        <f t="shared" si="10"/>
        <v>866252.5</v>
      </c>
      <c r="O124" s="46">
        <f t="shared" si="10"/>
        <v>755582.5</v>
      </c>
      <c r="P124" s="46">
        <f t="shared" si="10"/>
        <v>709346.5</v>
      </c>
      <c r="Q124" s="46">
        <f t="shared" si="10"/>
        <v>543322.5</v>
      </c>
      <c r="R124" s="46"/>
      <c r="S124" s="46"/>
      <c r="T124" s="46"/>
      <c r="U124" s="46">
        <f t="shared" si="10"/>
        <v>0</v>
      </c>
      <c r="V124" s="46">
        <f t="shared" si="10"/>
        <v>8468919</v>
      </c>
      <c r="W124" s="46">
        <f t="shared" si="10"/>
        <v>6158845.5</v>
      </c>
      <c r="X124" s="84"/>
    </row>
  </sheetData>
  <autoFilter ref="C2:Y124" xr:uid="{FDA59580-EED9-4060-83F7-32644587535C}">
    <sortState xmlns:xlrd2="http://schemas.microsoft.com/office/spreadsheetml/2017/richdata2" ref="C3:Y124">
      <sortCondition ref="D3:D124"/>
    </sortState>
  </autoFilter>
  <mergeCells count="2">
    <mergeCell ref="E1:N1"/>
    <mergeCell ref="O1:U1"/>
  </mergeCells>
  <pageMargins left="0.7" right="0.7" top="0.75" bottom="0.75" header="0.3" footer="0.3"/>
  <pageSetup paperSize="9" scale="47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44797-3015-4064-836A-AE85061ADF5A}">
  <dimension ref="A2:AC519"/>
  <sheetViews>
    <sheetView zoomScale="71" zoomScaleNormal="80" workbookViewId="0">
      <selection activeCell="W44" sqref="W44"/>
    </sheetView>
  </sheetViews>
  <sheetFormatPr defaultRowHeight="14.5" x14ac:dyDescent="0.35"/>
  <cols>
    <col min="1" max="1" width="8.7265625" style="1"/>
    <col min="2" max="2" width="14.54296875" customWidth="1"/>
    <col min="3" max="3" width="8.7265625" style="1"/>
    <col min="4" max="4" width="27.1796875" customWidth="1"/>
    <col min="7" max="7" width="11.81640625" bestFit="1" customWidth="1"/>
    <col min="10" max="10" width="14.453125" bestFit="1" customWidth="1"/>
    <col min="11" max="11" width="9.7265625" bestFit="1" customWidth="1"/>
    <col min="12" max="12" width="17.6328125" bestFit="1" customWidth="1"/>
    <col min="15" max="15" width="23.6328125" bestFit="1" customWidth="1"/>
    <col min="18" max="18" width="11.81640625" bestFit="1" customWidth="1"/>
    <col min="21" max="21" width="26.7265625" bestFit="1" customWidth="1"/>
    <col min="24" max="24" width="11.81640625" bestFit="1" customWidth="1"/>
    <col min="27" max="27" width="26.7265625" bestFit="1" customWidth="1"/>
    <col min="28" max="28" width="22.453125" bestFit="1" customWidth="1"/>
  </cols>
  <sheetData>
    <row r="2" spans="1:29" x14ac:dyDescent="0.35">
      <c r="A2" s="56" t="s">
        <v>8</v>
      </c>
      <c r="B2" s="56" t="s">
        <v>2</v>
      </c>
      <c r="C2" s="56" t="s">
        <v>4</v>
      </c>
      <c r="D2" s="44" t="s">
        <v>128</v>
      </c>
      <c r="E2" s="90" t="s">
        <v>1</v>
      </c>
      <c r="F2" s="44" t="s">
        <v>0</v>
      </c>
      <c r="G2" s="90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377</v>
      </c>
      <c r="T2" s="40" t="s">
        <v>378</v>
      </c>
      <c r="W2" t="s">
        <v>377</v>
      </c>
      <c r="Z2" s="40" t="s">
        <v>378</v>
      </c>
      <c r="AB2" t="s">
        <v>377</v>
      </c>
    </row>
    <row r="3" spans="1:29" x14ac:dyDescent="0.35">
      <c r="A3" s="1">
        <v>1</v>
      </c>
      <c r="B3" t="s">
        <v>108</v>
      </c>
      <c r="C3" s="5">
        <v>2</v>
      </c>
      <c r="D3" t="s">
        <v>27</v>
      </c>
      <c r="E3" s="80">
        <f>VLOOKUP(D3,'Bu Erta'!$C$2:$E$66,3,0)</f>
        <v>2800</v>
      </c>
      <c r="F3">
        <v>0.45</v>
      </c>
      <c r="G3" s="80">
        <f>E3*F3</f>
        <v>1260</v>
      </c>
      <c r="H3" s="80">
        <f>VLOOKUP(D3,'Bu Erta'!$C$2:$F$66,4,0)*F3</f>
        <v>1395</v>
      </c>
      <c r="J3" s="69" t="s">
        <v>360</v>
      </c>
      <c r="K3">
        <v>0</v>
      </c>
      <c r="L3" s="4">
        <v>4775</v>
      </c>
      <c r="N3" s="56" t="s">
        <v>8</v>
      </c>
      <c r="O3" s="44" t="s">
        <v>128</v>
      </c>
      <c r="P3" s="90" t="s">
        <v>1</v>
      </c>
      <c r="Q3" s="44" t="s">
        <v>0</v>
      </c>
      <c r="R3" s="90" t="s">
        <v>3</v>
      </c>
      <c r="T3" s="56" t="s">
        <v>8</v>
      </c>
      <c r="U3" s="44" t="s">
        <v>128</v>
      </c>
      <c r="V3" s="90" t="s">
        <v>1</v>
      </c>
      <c r="W3" s="44" t="s">
        <v>0</v>
      </c>
      <c r="X3" s="90" t="s">
        <v>3</v>
      </c>
      <c r="Z3" s="56" t="s">
        <v>8</v>
      </c>
      <c r="AA3" s="44" t="s">
        <v>128</v>
      </c>
      <c r="AB3" s="44" t="s">
        <v>0</v>
      </c>
    </row>
    <row r="4" spans="1:29" x14ac:dyDescent="0.35">
      <c r="B4" t="s">
        <v>108</v>
      </c>
      <c r="D4" t="s">
        <v>88</v>
      </c>
      <c r="E4" s="80">
        <f>VLOOKUP(D4,'Bu Erta'!$C$2:$E$66,3,0)</f>
        <v>300</v>
      </c>
      <c r="F4">
        <v>0.5</v>
      </c>
      <c r="G4" s="80">
        <f t="shared" ref="G4:G56" si="0">E4*F4</f>
        <v>150</v>
      </c>
      <c r="H4" s="80">
        <f>VLOOKUP(D4,'Bu Erta'!$C$2:$F$66,4,0)*F4</f>
        <v>200</v>
      </c>
      <c r="J4" s="69" t="s">
        <v>195</v>
      </c>
      <c r="K4">
        <v>1</v>
      </c>
      <c r="L4" s="4">
        <v>11945</v>
      </c>
      <c r="N4" s="44">
        <v>1</v>
      </c>
      <c r="O4" s="17" t="s">
        <v>13</v>
      </c>
      <c r="P4" s="93">
        <f>VLOOKUP(O4,'Bu Erta'!$C$2:$F$66,4,0)</f>
        <v>1500</v>
      </c>
      <c r="Q4" s="94">
        <f>SUMIF($D$3:$D$271,O4,$F$3:$F$271)</f>
        <v>0</v>
      </c>
      <c r="R4" s="93">
        <f>P4*Q4</f>
        <v>0</v>
      </c>
      <c r="T4" s="44">
        <v>1</v>
      </c>
      <c r="U4" s="17" t="s">
        <v>406</v>
      </c>
      <c r="V4" s="93">
        <f>VLOOKUP(U4,KamiBox!$C$2:$F$54,4,0)</f>
        <v>200000</v>
      </c>
      <c r="W4" s="94"/>
      <c r="X4" s="93">
        <f>V4*W4</f>
        <v>0</v>
      </c>
      <c r="Z4" s="44">
        <v>1</v>
      </c>
      <c r="AA4" s="17" t="s">
        <v>406</v>
      </c>
      <c r="AB4" s="94"/>
    </row>
    <row r="5" spans="1:29" x14ac:dyDescent="0.35">
      <c r="B5" t="s">
        <v>108</v>
      </c>
      <c r="D5" t="s">
        <v>69</v>
      </c>
      <c r="E5" s="80">
        <f>VLOOKUP(D5,'Bu Erta'!$C$2:$E$66,3,0)</f>
        <v>2500</v>
      </c>
      <c r="F5">
        <v>0.25</v>
      </c>
      <c r="G5" s="80">
        <f t="shared" si="0"/>
        <v>625</v>
      </c>
      <c r="H5" s="80">
        <f>VLOOKUP(D5,'Bu Erta'!$C$2:$F$66,4,0)*F5</f>
        <v>750</v>
      </c>
      <c r="J5" s="69" t="s">
        <v>83</v>
      </c>
      <c r="K5">
        <v>1</v>
      </c>
      <c r="L5" s="4">
        <v>7245</v>
      </c>
      <c r="N5" s="44">
        <v>2</v>
      </c>
      <c r="O5" s="17" t="s">
        <v>14</v>
      </c>
      <c r="P5" s="93">
        <f>VLOOKUP(O5,'Bu Erta'!$C$2:$F$66,4,0)</f>
        <v>100000</v>
      </c>
      <c r="Q5" s="94">
        <f t="shared" ref="Q5:Q67" si="1">SUMIF($D$3:$D$271,O5,$F$3:$F$271)</f>
        <v>0</v>
      </c>
      <c r="R5" s="93">
        <f t="shared" ref="R5:R67" si="2">P5*Q5</f>
        <v>0</v>
      </c>
      <c r="T5" s="44">
        <v>2</v>
      </c>
      <c r="U5" s="17" t="s">
        <v>215</v>
      </c>
      <c r="V5" s="93">
        <f>VLOOKUP(U5,KamiBox!$C$2:$F$54,4,0)</f>
        <v>9000</v>
      </c>
      <c r="W5" s="94"/>
      <c r="X5" s="93">
        <f t="shared" ref="X5:X55" si="3">V5*W5</f>
        <v>0</v>
      </c>
      <c r="Z5" s="44">
        <v>2</v>
      </c>
      <c r="AA5" s="17" t="s">
        <v>215</v>
      </c>
      <c r="AB5" s="94"/>
    </row>
    <row r="6" spans="1:29" x14ac:dyDescent="0.35">
      <c r="B6" t="s">
        <v>108</v>
      </c>
      <c r="D6" t="s">
        <v>23</v>
      </c>
      <c r="E6" s="80">
        <f>VLOOKUP(D6,'Bu Erta'!$C$2:$E$66,3,0)</f>
        <v>300</v>
      </c>
      <c r="F6">
        <v>0.35</v>
      </c>
      <c r="G6" s="80">
        <f t="shared" si="0"/>
        <v>105</v>
      </c>
      <c r="H6" s="80">
        <f>VLOOKUP(D6,'Bu Erta'!$C$2:$F$66,4,0)*F6</f>
        <v>140</v>
      </c>
      <c r="J6" s="69" t="s">
        <v>217</v>
      </c>
      <c r="K6">
        <v>1</v>
      </c>
      <c r="L6" s="4">
        <v>14305</v>
      </c>
      <c r="N6" s="44">
        <v>3</v>
      </c>
      <c r="O6" s="17" t="s">
        <v>15</v>
      </c>
      <c r="P6" s="93">
        <f>VLOOKUP(O6,'Bu Erta'!$C$2:$F$66,4,0)</f>
        <v>40000</v>
      </c>
      <c r="Q6" s="94">
        <f t="shared" si="1"/>
        <v>0</v>
      </c>
      <c r="R6" s="93">
        <f t="shared" si="2"/>
        <v>0</v>
      </c>
      <c r="T6" s="44">
        <v>3</v>
      </c>
      <c r="U6" s="17" t="s">
        <v>402</v>
      </c>
      <c r="V6" s="93">
        <f>VLOOKUP(U6,KamiBox!$C$2:$F$54,4,0)</f>
        <v>10000</v>
      </c>
      <c r="W6" s="94">
        <v>0.25</v>
      </c>
      <c r="X6" s="93">
        <f t="shared" si="3"/>
        <v>2500</v>
      </c>
      <c r="Z6" s="44">
        <v>3</v>
      </c>
      <c r="AA6" s="17" t="s">
        <v>402</v>
      </c>
      <c r="AB6" s="94">
        <v>0.25</v>
      </c>
    </row>
    <row r="7" spans="1:29" x14ac:dyDescent="0.35">
      <c r="B7" t="s">
        <v>108</v>
      </c>
      <c r="D7" t="s">
        <v>31</v>
      </c>
      <c r="E7" s="80">
        <f>VLOOKUP(D7,'Bu Erta'!$C$2:$E$66,3,0)</f>
        <v>1000</v>
      </c>
      <c r="F7">
        <v>0.95</v>
      </c>
      <c r="G7" s="80">
        <f t="shared" si="0"/>
        <v>950</v>
      </c>
      <c r="H7" s="80">
        <f>VLOOKUP(D7,'Bu Erta'!$C$2:$F$66,4,0)*F7</f>
        <v>1045</v>
      </c>
      <c r="J7" s="69" t="s">
        <v>139</v>
      </c>
      <c r="K7">
        <v>1</v>
      </c>
      <c r="L7" s="4">
        <v>1930</v>
      </c>
      <c r="N7" s="44">
        <v>4</v>
      </c>
      <c r="O7" s="17" t="s">
        <v>16</v>
      </c>
      <c r="P7" s="93">
        <f>VLOOKUP(O7,'Bu Erta'!$C$2:$F$66,4,0)</f>
        <v>6500</v>
      </c>
      <c r="Q7" s="94">
        <f t="shared" si="1"/>
        <v>0</v>
      </c>
      <c r="R7" s="93">
        <f t="shared" si="2"/>
        <v>0</v>
      </c>
      <c r="T7" s="44">
        <v>4</v>
      </c>
      <c r="U7" s="17" t="s">
        <v>394</v>
      </c>
      <c r="V7" s="93">
        <f>VLOOKUP(U7,KamiBox!$C$2:$F$54,4,0)</f>
        <v>1000</v>
      </c>
      <c r="W7" s="94"/>
      <c r="X7" s="93">
        <f t="shared" si="3"/>
        <v>0</v>
      </c>
      <c r="Z7" s="44">
        <v>4</v>
      </c>
      <c r="AA7" s="17" t="s">
        <v>394</v>
      </c>
      <c r="AB7" s="94"/>
    </row>
    <row r="8" spans="1:29" x14ac:dyDescent="0.35">
      <c r="B8" t="s">
        <v>108</v>
      </c>
      <c r="D8" t="s">
        <v>25</v>
      </c>
      <c r="E8" s="80">
        <f>VLOOKUP(D8,'Bu Erta'!$C$2:$E$66,3,0)</f>
        <v>1600</v>
      </c>
      <c r="F8">
        <f>0.3+0.3+0.3</f>
        <v>0.89999999999999991</v>
      </c>
      <c r="G8" s="80">
        <f t="shared" si="0"/>
        <v>1439.9999999999998</v>
      </c>
      <c r="H8" s="80">
        <f>VLOOKUP(D8,'Bu Erta'!$C$2:$F$66,4,0)*F8</f>
        <v>1529.9999999999998</v>
      </c>
      <c r="J8" s="69" t="s">
        <v>197</v>
      </c>
      <c r="K8">
        <v>1</v>
      </c>
      <c r="L8" s="4">
        <v>6905</v>
      </c>
      <c r="N8" s="44">
        <v>5</v>
      </c>
      <c r="O8" s="17" t="s">
        <v>17</v>
      </c>
      <c r="P8" s="93">
        <f>VLOOKUP(O8,'Bu Erta'!$C$2:$F$66,4,0)</f>
        <v>8500</v>
      </c>
      <c r="Q8" s="94">
        <f t="shared" si="1"/>
        <v>0.25</v>
      </c>
      <c r="R8" s="93">
        <f t="shared" si="2"/>
        <v>2125</v>
      </c>
      <c r="T8" s="44">
        <v>5</v>
      </c>
      <c r="U8" s="17" t="s">
        <v>19</v>
      </c>
      <c r="V8" s="93"/>
      <c r="W8" s="94"/>
      <c r="X8" s="93">
        <f t="shared" si="3"/>
        <v>0</v>
      </c>
      <c r="Z8" s="44">
        <v>5</v>
      </c>
      <c r="AA8" s="17" t="s">
        <v>19</v>
      </c>
      <c r="AB8" s="94"/>
    </row>
    <row r="9" spans="1:29" x14ac:dyDescent="0.35">
      <c r="B9" t="s">
        <v>108</v>
      </c>
      <c r="D9" t="s">
        <v>42</v>
      </c>
      <c r="E9" s="80">
        <f>VLOOKUP(D9,'Bu Erta'!$C$2:$E$66,3,0)</f>
        <v>1000</v>
      </c>
      <c r="F9">
        <f>0.05+0.05+0.85+0.75</f>
        <v>1.7</v>
      </c>
      <c r="G9" s="80">
        <f t="shared" si="0"/>
        <v>1700</v>
      </c>
      <c r="H9" s="80">
        <f>VLOOKUP(D9,'Bu Erta'!$C$2:$F$66,4,0)*F9</f>
        <v>2040</v>
      </c>
      <c r="J9" s="69" t="s">
        <v>5</v>
      </c>
      <c r="K9">
        <v>2</v>
      </c>
      <c r="L9" s="4">
        <v>7500</v>
      </c>
      <c r="N9" s="44">
        <v>6</v>
      </c>
      <c r="O9" s="17" t="s">
        <v>18</v>
      </c>
      <c r="P9" s="93">
        <f>VLOOKUP(O9,'Bu Erta'!$C$2:$F$66,4,0)</f>
        <v>4000</v>
      </c>
      <c r="Q9" s="94">
        <f t="shared" si="1"/>
        <v>0</v>
      </c>
      <c r="R9" s="93">
        <f t="shared" si="2"/>
        <v>0</v>
      </c>
      <c r="T9" s="44">
        <v>6</v>
      </c>
      <c r="U9" s="17" t="s">
        <v>22</v>
      </c>
      <c r="V9" s="93">
        <f>VLOOKUP(U9,KamiBox!$C$2:$F$54,4,0)</f>
        <v>4000</v>
      </c>
      <c r="W9" s="94">
        <v>24.200000000000003</v>
      </c>
      <c r="X9" s="93">
        <f t="shared" si="3"/>
        <v>96800.000000000015</v>
      </c>
      <c r="Z9" s="44">
        <v>6</v>
      </c>
      <c r="AA9" s="17" t="s">
        <v>22</v>
      </c>
      <c r="AB9" s="94"/>
      <c r="AC9">
        <v>24.2</v>
      </c>
    </row>
    <row r="10" spans="1:29" x14ac:dyDescent="0.35">
      <c r="B10" t="s">
        <v>108</v>
      </c>
      <c r="D10" t="s">
        <v>61</v>
      </c>
      <c r="E10" s="80">
        <f>VLOOKUP(D10,'Bu Erta'!$C$2:$E$66,3,0)</f>
        <v>800</v>
      </c>
      <c r="F10">
        <v>0.05</v>
      </c>
      <c r="G10" s="80">
        <f t="shared" si="0"/>
        <v>40</v>
      </c>
      <c r="H10" s="80">
        <f>VLOOKUP(D10,'Bu Erta'!$C$2:$F$66,4,0)*F10</f>
        <v>45</v>
      </c>
      <c r="J10" s="69" t="s">
        <v>216</v>
      </c>
      <c r="K10">
        <v>2</v>
      </c>
      <c r="L10" s="4">
        <v>7552.5</v>
      </c>
      <c r="N10" s="44">
        <v>7</v>
      </c>
      <c r="O10" s="17" t="s">
        <v>19</v>
      </c>
      <c r="P10" s="93">
        <f>VLOOKUP(O10,'Bu Erta'!$C$2:$F$66,4,0)</f>
        <v>300</v>
      </c>
      <c r="Q10" s="94">
        <f t="shared" si="1"/>
        <v>0</v>
      </c>
      <c r="R10" s="93">
        <f t="shared" si="2"/>
        <v>0</v>
      </c>
      <c r="T10" s="44">
        <v>7</v>
      </c>
      <c r="U10" s="17" t="s">
        <v>398</v>
      </c>
      <c r="V10" s="93">
        <f>VLOOKUP(U10,KamiBox!$C$2:$F$54,4,0)</f>
        <v>400</v>
      </c>
      <c r="W10" s="94"/>
      <c r="X10" s="93">
        <f t="shared" si="3"/>
        <v>0</v>
      </c>
      <c r="Z10" s="44">
        <v>7</v>
      </c>
      <c r="AA10" s="17" t="s">
        <v>398</v>
      </c>
      <c r="AB10" s="94"/>
    </row>
    <row r="11" spans="1:29" x14ac:dyDescent="0.35">
      <c r="B11" t="s">
        <v>108</v>
      </c>
      <c r="D11" t="s">
        <v>22</v>
      </c>
      <c r="E11" s="80">
        <f>VLOOKUP(D11,'Bu Erta'!$C$2:$E$66,3,0)</f>
        <v>2500</v>
      </c>
      <c r="F11">
        <f>3.75+3.55+3.55</f>
        <v>10.85</v>
      </c>
      <c r="G11" s="80">
        <f t="shared" si="0"/>
        <v>27125</v>
      </c>
      <c r="H11" s="80">
        <f>VLOOKUP(D11,'Bu Erta'!$C$2:$F$66,4,0)*F11</f>
        <v>32550</v>
      </c>
      <c r="J11" s="69" t="s">
        <v>127</v>
      </c>
      <c r="K11">
        <v>2</v>
      </c>
      <c r="L11" s="4">
        <v>17585</v>
      </c>
      <c r="N11" s="44">
        <v>8</v>
      </c>
      <c r="O11" s="17" t="s">
        <v>20</v>
      </c>
      <c r="P11" s="93">
        <f>VLOOKUP(O11,'Bu Erta'!$C$2:$F$66,4,0)</f>
        <v>8000</v>
      </c>
      <c r="Q11" s="94">
        <f t="shared" si="1"/>
        <v>0</v>
      </c>
      <c r="R11" s="93">
        <f t="shared" si="2"/>
        <v>0</v>
      </c>
      <c r="T11" s="44">
        <v>8</v>
      </c>
      <c r="U11" s="17" t="s">
        <v>404</v>
      </c>
      <c r="V11" s="93">
        <f>VLOOKUP(U11,KamiBox!$C$2:$F$54,4,0)</f>
        <v>100</v>
      </c>
      <c r="W11" s="94"/>
      <c r="X11" s="93">
        <f t="shared" si="3"/>
        <v>0</v>
      </c>
      <c r="Z11" s="44">
        <v>8</v>
      </c>
      <c r="AA11" s="17" t="s">
        <v>404</v>
      </c>
      <c r="AB11" s="94"/>
    </row>
    <row r="12" spans="1:29" x14ac:dyDescent="0.35">
      <c r="A12" s="1">
        <v>2</v>
      </c>
      <c r="B12" t="s">
        <v>114</v>
      </c>
      <c r="C12" s="5">
        <v>4</v>
      </c>
      <c r="D12" t="s">
        <v>7</v>
      </c>
      <c r="E12" s="80">
        <f>VLOOKUP(D12,'Bu Erta'!$C$2:$E$66,3,0)</f>
        <v>1400</v>
      </c>
      <c r="F12">
        <f>2.2+1.85+2.15+1.55+1.8+0.8+0.75+0.1+0.5+0.6+1.6</f>
        <v>13.9</v>
      </c>
      <c r="G12" s="80">
        <f t="shared" si="0"/>
        <v>19460</v>
      </c>
      <c r="H12" s="80">
        <f>VLOOKUP(D12,'Bu Erta'!$C$2:$F$66,4,0)*F12</f>
        <v>22240</v>
      </c>
      <c r="J12" s="69" t="s">
        <v>78</v>
      </c>
      <c r="K12">
        <v>2</v>
      </c>
      <c r="L12" s="4">
        <v>3740</v>
      </c>
      <c r="N12" s="44">
        <v>9</v>
      </c>
      <c r="O12" s="17" t="s">
        <v>21</v>
      </c>
      <c r="P12" s="93">
        <f>VLOOKUP(O12,'Bu Erta'!$C$2:$F$66,4,0)</f>
        <v>200</v>
      </c>
      <c r="Q12" s="94">
        <f t="shared" si="1"/>
        <v>0</v>
      </c>
      <c r="R12" s="93">
        <f t="shared" si="2"/>
        <v>0</v>
      </c>
      <c r="T12" s="44">
        <v>9</v>
      </c>
      <c r="U12" s="17" t="s">
        <v>414</v>
      </c>
      <c r="V12" s="93">
        <f>VLOOKUP(U12,KamiBox!$C$2:$F$54,4,0)</f>
        <v>200</v>
      </c>
      <c r="W12" s="94">
        <v>10.899999999999999</v>
      </c>
      <c r="X12" s="93">
        <f t="shared" si="3"/>
        <v>2179.9999999999995</v>
      </c>
      <c r="Z12" s="44">
        <v>9</v>
      </c>
      <c r="AA12" s="17" t="s">
        <v>414</v>
      </c>
      <c r="AB12" s="94">
        <v>10.899999999999999</v>
      </c>
    </row>
    <row r="13" spans="1:29" x14ac:dyDescent="0.35">
      <c r="B13" t="s">
        <v>114</v>
      </c>
      <c r="D13" t="s">
        <v>41</v>
      </c>
      <c r="E13" s="80">
        <f>VLOOKUP(D13,'Bu Erta'!$C$2:$E$66,3,0)</f>
        <v>1500</v>
      </c>
      <c r="F13">
        <f>0.6+0.2</f>
        <v>0.8</v>
      </c>
      <c r="G13" s="80">
        <f t="shared" si="0"/>
        <v>1200</v>
      </c>
      <c r="H13" s="80">
        <f>VLOOKUP(D13,'Bu Erta'!$C$2:$F$66,4,0)*F13</f>
        <v>1600</v>
      </c>
      <c r="J13" s="69" t="s">
        <v>108</v>
      </c>
      <c r="K13">
        <v>2</v>
      </c>
      <c r="L13" s="4">
        <v>33395</v>
      </c>
      <c r="N13" s="44">
        <v>10</v>
      </c>
      <c r="O13" s="17" t="s">
        <v>22</v>
      </c>
      <c r="P13" s="93">
        <f>VLOOKUP(O13,'Bu Erta'!$C$2:$F$66,4,0)</f>
        <v>3000</v>
      </c>
      <c r="Q13" s="94">
        <f t="shared" si="1"/>
        <v>24.200000000000003</v>
      </c>
      <c r="R13" s="93">
        <f t="shared" si="2"/>
        <v>72600.000000000015</v>
      </c>
      <c r="T13" s="44">
        <v>10</v>
      </c>
      <c r="U13" s="17" t="s">
        <v>415</v>
      </c>
      <c r="V13" s="93">
        <f>VLOOKUP(U13,KamiBox!$C$2:$F$54,4,0)</f>
        <v>100</v>
      </c>
      <c r="W13" s="94"/>
      <c r="X13" s="93">
        <f t="shared" si="3"/>
        <v>0</v>
      </c>
      <c r="Z13" s="44">
        <v>10</v>
      </c>
      <c r="AA13" s="17" t="s">
        <v>415</v>
      </c>
      <c r="AB13" s="94"/>
    </row>
    <row r="14" spans="1:29" x14ac:dyDescent="0.35">
      <c r="B14" t="s">
        <v>114</v>
      </c>
      <c r="D14" t="s">
        <v>40</v>
      </c>
      <c r="E14" s="80">
        <f>VLOOKUP(D14,'Bu Erta'!$C$2:$E$66,3,0)</f>
        <v>1800</v>
      </c>
      <c r="F14">
        <f>2.1+0.7+0.3</f>
        <v>3.0999999999999996</v>
      </c>
      <c r="G14" s="80">
        <f t="shared" si="0"/>
        <v>5579.9999999999991</v>
      </c>
      <c r="H14" s="80">
        <f>VLOOKUP(D14,'Bu Erta'!$C$2:$F$66,4,0)*F14</f>
        <v>6199.9999999999991</v>
      </c>
      <c r="J14" s="69" t="s">
        <v>178</v>
      </c>
      <c r="K14">
        <v>3</v>
      </c>
      <c r="L14" s="4">
        <v>18300</v>
      </c>
      <c r="N14" s="44">
        <v>11</v>
      </c>
      <c r="O14" s="17" t="s">
        <v>23</v>
      </c>
      <c r="P14" s="93">
        <f>VLOOKUP(O14,'Bu Erta'!$C$2:$F$66,4,0)</f>
        <v>400</v>
      </c>
      <c r="Q14" s="94">
        <f t="shared" si="1"/>
        <v>34.949999999999996</v>
      </c>
      <c r="R14" s="93">
        <f t="shared" si="2"/>
        <v>13979.999999999998</v>
      </c>
      <c r="T14" s="44">
        <v>11</v>
      </c>
      <c r="U14" s="17" t="s">
        <v>416</v>
      </c>
      <c r="V14" s="93">
        <f>VLOOKUP(U14,KamiBox!$C$2:$F$54,4,0)</f>
        <v>800</v>
      </c>
      <c r="W14" s="94"/>
      <c r="X14" s="93">
        <f t="shared" si="3"/>
        <v>0</v>
      </c>
      <c r="Z14" s="44">
        <v>11</v>
      </c>
      <c r="AA14" s="17" t="s">
        <v>416</v>
      </c>
      <c r="AB14" s="94"/>
    </row>
    <row r="15" spans="1:29" x14ac:dyDescent="0.35">
      <c r="B15" t="s">
        <v>114</v>
      </c>
      <c r="D15" t="s">
        <v>36</v>
      </c>
      <c r="E15" s="80">
        <f>VLOOKUP(D15,'Bu Erta'!$C$2:$E$66,3,0)</f>
        <v>600</v>
      </c>
      <c r="F15">
        <v>1.4</v>
      </c>
      <c r="G15" s="80">
        <f t="shared" si="0"/>
        <v>840</v>
      </c>
      <c r="H15" s="80">
        <f>VLOOKUP(D15,'Bu Erta'!$C$2:$F$66,4,0)*F15</f>
        <v>909.99999999999989</v>
      </c>
      <c r="J15" s="69" t="s">
        <v>259</v>
      </c>
      <c r="K15">
        <v>3</v>
      </c>
      <c r="L15" s="4">
        <v>2165</v>
      </c>
      <c r="N15" s="44">
        <v>12</v>
      </c>
      <c r="O15" s="17" t="s">
        <v>25</v>
      </c>
      <c r="P15" s="93">
        <f>VLOOKUP(O15,'Bu Erta'!$C$2:$F$66,4,0)</f>
        <v>1700</v>
      </c>
      <c r="Q15" s="94">
        <f t="shared" si="1"/>
        <v>6.2500000000000018</v>
      </c>
      <c r="R15" s="93">
        <f t="shared" si="2"/>
        <v>10625.000000000004</v>
      </c>
      <c r="T15" s="44">
        <v>12</v>
      </c>
      <c r="U15" s="17" t="s">
        <v>383</v>
      </c>
      <c r="V15" s="93">
        <f>VLOOKUP(U15,KamiBox!$C$2:$F$54,4,0)</f>
        <v>4000</v>
      </c>
      <c r="W15" s="94">
        <f>25.65+5</f>
        <v>30.65</v>
      </c>
      <c r="X15" s="93">
        <f t="shared" si="3"/>
        <v>122600</v>
      </c>
      <c r="Z15" s="44">
        <v>12</v>
      </c>
      <c r="AA15" s="17" t="s">
        <v>383</v>
      </c>
      <c r="AB15" s="94">
        <f>25.65+5</f>
        <v>30.65</v>
      </c>
    </row>
    <row r="16" spans="1:29" x14ac:dyDescent="0.35">
      <c r="B16" t="s">
        <v>114</v>
      </c>
      <c r="D16" t="s">
        <v>34</v>
      </c>
      <c r="E16" s="80">
        <f>VLOOKUP(D16,'Bu Erta'!$C$2:$E$66,3,0)</f>
        <v>3500</v>
      </c>
      <c r="F16">
        <v>0.2</v>
      </c>
      <c r="G16" s="80">
        <f t="shared" si="0"/>
        <v>700</v>
      </c>
      <c r="H16" s="80">
        <f>VLOOKUP(D16,'Bu Erta'!$C$2:$F$66,4,0)*F16</f>
        <v>720</v>
      </c>
      <c r="J16" s="69" t="s">
        <v>76</v>
      </c>
      <c r="K16">
        <v>3</v>
      </c>
      <c r="L16" s="4">
        <v>7790</v>
      </c>
      <c r="N16" s="44">
        <v>13</v>
      </c>
      <c r="O16" s="17" t="s">
        <v>24</v>
      </c>
      <c r="P16" s="93">
        <f>VLOOKUP(O16,'Bu Erta'!$C$2:$F$66,4,0)</f>
        <v>200</v>
      </c>
      <c r="Q16" s="94">
        <f t="shared" si="1"/>
        <v>10.899999999999999</v>
      </c>
      <c r="R16" s="93">
        <f t="shared" si="2"/>
        <v>2179.9999999999995</v>
      </c>
      <c r="T16" s="44">
        <v>13</v>
      </c>
      <c r="U16" s="17" t="s">
        <v>384</v>
      </c>
      <c r="V16" s="93">
        <f>VLOOKUP(U16,KamiBox!$C$2:$F$54,4,0)</f>
        <v>2000</v>
      </c>
      <c r="W16" s="94">
        <v>1.25</v>
      </c>
      <c r="X16" s="93">
        <f t="shared" si="3"/>
        <v>2500</v>
      </c>
      <c r="Z16" s="44">
        <v>13</v>
      </c>
      <c r="AA16" s="17" t="s">
        <v>384</v>
      </c>
      <c r="AB16" s="94">
        <v>1.25</v>
      </c>
    </row>
    <row r="17" spans="1:28" x14ac:dyDescent="0.35">
      <c r="B17" t="s">
        <v>114</v>
      </c>
      <c r="D17" t="s">
        <v>67</v>
      </c>
      <c r="E17" s="80">
        <f>VLOOKUP(D17,'Bu Erta'!$C$2:$E$66,3,0)</f>
        <v>2700</v>
      </c>
      <c r="F17">
        <v>0.55000000000000004</v>
      </c>
      <c r="G17" s="80">
        <f t="shared" si="0"/>
        <v>1485.0000000000002</v>
      </c>
      <c r="H17" s="80">
        <f>VLOOKUP(D17,'Bu Erta'!$C$2:$F$66,4,0)*F17</f>
        <v>1650.0000000000002</v>
      </c>
      <c r="J17" s="69" t="s">
        <v>94</v>
      </c>
      <c r="K17">
        <v>4</v>
      </c>
      <c r="L17" s="4">
        <v>18825</v>
      </c>
      <c r="N17" s="44">
        <v>14</v>
      </c>
      <c r="O17" s="17" t="s">
        <v>26</v>
      </c>
      <c r="P17" s="93">
        <f>VLOOKUP(O17,'Bu Erta'!$C$2:$F$66,4,0)</f>
        <v>1000</v>
      </c>
      <c r="Q17" s="94">
        <f t="shared" si="1"/>
        <v>0</v>
      </c>
      <c r="R17" s="93">
        <f t="shared" si="2"/>
        <v>0</v>
      </c>
      <c r="T17" s="44">
        <v>14</v>
      </c>
      <c r="U17" s="17" t="s">
        <v>391</v>
      </c>
      <c r="V17" s="93">
        <f>VLOOKUP(U17,KamiBox!$C$2:$F$54,4,0)</f>
        <v>1000</v>
      </c>
      <c r="W17" s="94"/>
      <c r="X17" s="93">
        <f t="shared" si="3"/>
        <v>0</v>
      </c>
      <c r="Z17" s="44">
        <v>14</v>
      </c>
      <c r="AA17" s="17" t="s">
        <v>391</v>
      </c>
      <c r="AB17" s="94"/>
    </row>
    <row r="18" spans="1:28" x14ac:dyDescent="0.35">
      <c r="B18" t="s">
        <v>114</v>
      </c>
      <c r="D18" t="s">
        <v>25</v>
      </c>
      <c r="E18" s="80">
        <f>VLOOKUP(D18,'Bu Erta'!$C$2:$E$66,3,0)</f>
        <v>1600</v>
      </c>
      <c r="F18">
        <v>0.15</v>
      </c>
      <c r="G18" s="80">
        <f t="shared" si="0"/>
        <v>240</v>
      </c>
      <c r="H18" s="80">
        <f>VLOOKUP(D18,'Bu Erta'!$C$2:$F$66,4,0)*F18</f>
        <v>255</v>
      </c>
      <c r="J18" s="69" t="s">
        <v>86</v>
      </c>
      <c r="K18">
        <v>4</v>
      </c>
      <c r="L18" s="4">
        <v>3720</v>
      </c>
      <c r="N18" s="44">
        <v>15</v>
      </c>
      <c r="O18" s="17" t="s">
        <v>27</v>
      </c>
      <c r="P18" s="93">
        <f>VLOOKUP(O18,'Bu Erta'!$C$2:$F$66,4,0)</f>
        <v>3100</v>
      </c>
      <c r="Q18" s="94">
        <f t="shared" si="1"/>
        <v>25.650000000000006</v>
      </c>
      <c r="R18" s="93">
        <f t="shared" si="2"/>
        <v>79515.000000000015</v>
      </c>
      <c r="T18" s="44">
        <v>15</v>
      </c>
      <c r="U18" s="17" t="s">
        <v>395</v>
      </c>
      <c r="V18" s="93">
        <f>VLOOKUP(U18,KamiBox!$C$2:$F$54,4,0)</f>
        <v>1000</v>
      </c>
      <c r="W18" s="94">
        <f>14.75+0.6</f>
        <v>15.35</v>
      </c>
      <c r="X18" s="93">
        <f t="shared" si="3"/>
        <v>15350</v>
      </c>
      <c r="Z18" s="44">
        <v>15</v>
      </c>
      <c r="AA18" s="17" t="s">
        <v>395</v>
      </c>
      <c r="AB18" s="94">
        <f>14.75+0.6</f>
        <v>15.35</v>
      </c>
    </row>
    <row r="19" spans="1:28" x14ac:dyDescent="0.35">
      <c r="B19" t="s">
        <v>114</v>
      </c>
      <c r="D19" t="s">
        <v>27</v>
      </c>
      <c r="E19" s="80">
        <f>VLOOKUP(D19,'Bu Erta'!$C$2:$E$66,3,0)</f>
        <v>2800</v>
      </c>
      <c r="F19">
        <v>0.25</v>
      </c>
      <c r="G19" s="80">
        <f t="shared" si="0"/>
        <v>700</v>
      </c>
      <c r="H19" s="80">
        <f>VLOOKUP(D19,'Bu Erta'!$C$2:$F$66,4,0)*F19</f>
        <v>775</v>
      </c>
      <c r="J19" s="69" t="s">
        <v>152</v>
      </c>
      <c r="K19">
        <v>4</v>
      </c>
      <c r="L19" s="4">
        <v>12775</v>
      </c>
      <c r="N19" s="44">
        <v>16</v>
      </c>
      <c r="O19" s="17" t="s">
        <v>28</v>
      </c>
      <c r="P19" s="93">
        <f>VLOOKUP(O19,'Bu Erta'!$C$2:$F$66,4,0)</f>
        <v>1300</v>
      </c>
      <c r="Q19" s="94">
        <f t="shared" si="1"/>
        <v>14.75</v>
      </c>
      <c r="R19" s="93">
        <f t="shared" si="2"/>
        <v>19175</v>
      </c>
      <c r="T19" s="44">
        <v>16</v>
      </c>
      <c r="U19" s="17" t="s">
        <v>7</v>
      </c>
      <c r="V19" s="93">
        <f>VLOOKUP(U19,KamiBox!$C$2:$F$54,4,0)</f>
        <v>1200</v>
      </c>
      <c r="W19" s="94">
        <f>68.65+1.2</f>
        <v>69.850000000000009</v>
      </c>
      <c r="X19" s="93">
        <f t="shared" si="3"/>
        <v>83820.000000000015</v>
      </c>
      <c r="Z19" s="44">
        <v>16</v>
      </c>
      <c r="AA19" s="17" t="s">
        <v>7</v>
      </c>
      <c r="AB19" s="94">
        <f>68.65+1.2</f>
        <v>69.850000000000009</v>
      </c>
    </row>
    <row r="20" spans="1:28" x14ac:dyDescent="0.35">
      <c r="B20" t="s">
        <v>114</v>
      </c>
      <c r="D20" t="s">
        <v>69</v>
      </c>
      <c r="E20" s="80">
        <f>VLOOKUP(D20,'Bu Erta'!$C$2:$E$66,3,0)</f>
        <v>2500</v>
      </c>
      <c r="F20">
        <v>0.1</v>
      </c>
      <c r="G20" s="80">
        <f t="shared" si="0"/>
        <v>250</v>
      </c>
      <c r="H20" s="80">
        <f>VLOOKUP(D20,'Bu Erta'!$C$2:$F$66,4,0)*F20</f>
        <v>300</v>
      </c>
      <c r="J20" s="69" t="s">
        <v>142</v>
      </c>
      <c r="K20">
        <v>4</v>
      </c>
      <c r="L20" s="4">
        <v>15300</v>
      </c>
      <c r="N20" s="44">
        <v>17</v>
      </c>
      <c r="O20" s="17" t="s">
        <v>29</v>
      </c>
      <c r="P20" s="93">
        <f>VLOOKUP(O20,'Bu Erta'!$C$2:$F$66,4,0)</f>
        <v>6000</v>
      </c>
      <c r="Q20" s="94">
        <f t="shared" si="1"/>
        <v>2.95</v>
      </c>
      <c r="R20" s="93">
        <f t="shared" si="2"/>
        <v>17700</v>
      </c>
      <c r="T20" s="44">
        <v>17</v>
      </c>
      <c r="U20" s="17" t="s">
        <v>31</v>
      </c>
      <c r="V20" s="93">
        <f>VLOOKUP(U20,KamiBox!$C$2:$F$54,4,0)</f>
        <v>1000</v>
      </c>
      <c r="W20" s="94">
        <v>14.999999999999998</v>
      </c>
      <c r="X20" s="93">
        <f t="shared" si="3"/>
        <v>14999.999999999998</v>
      </c>
      <c r="Z20" s="44">
        <v>17</v>
      </c>
      <c r="AA20" s="17" t="s">
        <v>31</v>
      </c>
      <c r="AB20" s="94">
        <v>14.999999999999998</v>
      </c>
    </row>
    <row r="21" spans="1:28" x14ac:dyDescent="0.35">
      <c r="B21" t="s">
        <v>114</v>
      </c>
      <c r="D21" t="s">
        <v>23</v>
      </c>
      <c r="E21" s="80">
        <f>VLOOKUP(D21,'Bu Erta'!$C$2:$E$66,3,0)</f>
        <v>300</v>
      </c>
      <c r="F21">
        <v>0.75</v>
      </c>
      <c r="G21" s="80">
        <f t="shared" si="0"/>
        <v>225</v>
      </c>
      <c r="H21" s="80">
        <f>VLOOKUP(D21,'Bu Erta'!$C$2:$F$66,4,0)*F21</f>
        <v>300</v>
      </c>
      <c r="J21" s="69" t="s">
        <v>192</v>
      </c>
      <c r="K21">
        <v>4</v>
      </c>
      <c r="L21" s="4">
        <v>12367.5</v>
      </c>
      <c r="N21" s="44">
        <v>18</v>
      </c>
      <c r="O21" s="17" t="s">
        <v>30</v>
      </c>
      <c r="P21" s="93">
        <f>VLOOKUP(O21,'Bu Erta'!$C$2:$F$66,4,0)</f>
        <v>15000</v>
      </c>
      <c r="Q21" s="94">
        <f t="shared" si="1"/>
        <v>0</v>
      </c>
      <c r="R21" s="93">
        <f t="shared" si="2"/>
        <v>0</v>
      </c>
      <c r="T21" s="44">
        <v>18</v>
      </c>
      <c r="U21" s="17" t="s">
        <v>385</v>
      </c>
      <c r="V21" s="93">
        <f>VLOOKUP(U21,KamiBox!$C$2:$F$54,4,0)</f>
        <v>3000</v>
      </c>
      <c r="W21" s="94"/>
      <c r="X21" s="93">
        <f t="shared" si="3"/>
        <v>0</v>
      </c>
      <c r="Z21" s="44">
        <v>18</v>
      </c>
      <c r="AA21" s="17" t="s">
        <v>385</v>
      </c>
      <c r="AB21" s="94"/>
    </row>
    <row r="22" spans="1:28" x14ac:dyDescent="0.35">
      <c r="B22" t="s">
        <v>114</v>
      </c>
      <c r="D22" t="s">
        <v>88</v>
      </c>
      <c r="E22" s="80">
        <f>VLOOKUP(D22,'Bu Erta'!$C$2:$E$66,3,0)</f>
        <v>300</v>
      </c>
      <c r="F22">
        <f>0.95+0.4</f>
        <v>1.35</v>
      </c>
      <c r="G22" s="80">
        <f t="shared" si="0"/>
        <v>405</v>
      </c>
      <c r="H22" s="80">
        <f>VLOOKUP(D22,'Bu Erta'!$C$2:$F$66,4,0)*F22</f>
        <v>540</v>
      </c>
      <c r="J22" s="69" t="s">
        <v>109</v>
      </c>
      <c r="K22">
        <v>4</v>
      </c>
      <c r="L22" s="4">
        <v>40495</v>
      </c>
      <c r="N22" s="44">
        <v>19</v>
      </c>
      <c r="O22" s="17" t="s">
        <v>7</v>
      </c>
      <c r="P22" s="93">
        <f>VLOOKUP(O22,'Bu Erta'!$C$2:$F$66,4,0)</f>
        <v>1600</v>
      </c>
      <c r="Q22" s="94">
        <f t="shared" si="1"/>
        <v>68.650000000000006</v>
      </c>
      <c r="R22" s="93">
        <f t="shared" si="2"/>
        <v>109840.00000000001</v>
      </c>
      <c r="T22" s="44">
        <v>19</v>
      </c>
      <c r="U22" s="17" t="s">
        <v>420</v>
      </c>
      <c r="V22" s="93">
        <f>VLOOKUP(U22,KamiBox!$C$2:$F$54,4,0)</f>
        <v>3500</v>
      </c>
      <c r="W22" s="94">
        <v>2.7</v>
      </c>
      <c r="X22" s="93">
        <f t="shared" si="3"/>
        <v>9450</v>
      </c>
      <c r="Z22" s="44">
        <v>19</v>
      </c>
      <c r="AA22" s="17" t="s">
        <v>420</v>
      </c>
      <c r="AB22" s="94">
        <v>2.7</v>
      </c>
    </row>
    <row r="23" spans="1:28" x14ac:dyDescent="0.35">
      <c r="B23" t="s">
        <v>114</v>
      </c>
      <c r="D23" t="s">
        <v>42</v>
      </c>
      <c r="E23" s="80">
        <f>VLOOKUP(D23,'Bu Erta'!$C$2:$E$66,3,0)</f>
        <v>1000</v>
      </c>
      <c r="F23">
        <v>0.85</v>
      </c>
      <c r="G23" s="80">
        <f t="shared" si="0"/>
        <v>850</v>
      </c>
      <c r="H23" s="80">
        <f>VLOOKUP(D23,'Bu Erta'!$C$2:$F$66,4,0)*F23</f>
        <v>1020</v>
      </c>
      <c r="J23" s="69" t="s">
        <v>114</v>
      </c>
      <c r="K23">
        <v>4</v>
      </c>
      <c r="L23" s="4">
        <v>31942.5</v>
      </c>
      <c r="N23" s="44">
        <v>20</v>
      </c>
      <c r="O23" s="17" t="s">
        <v>31</v>
      </c>
      <c r="P23" s="93">
        <f>VLOOKUP(O23,'Bu Erta'!$C$2:$F$66,4,0)</f>
        <v>1100</v>
      </c>
      <c r="Q23" s="94">
        <f t="shared" si="1"/>
        <v>14.999999999999998</v>
      </c>
      <c r="R23" s="93">
        <f t="shared" si="2"/>
        <v>16499.999999999996</v>
      </c>
      <c r="T23" s="44">
        <v>20</v>
      </c>
      <c r="U23" s="17" t="s">
        <v>386</v>
      </c>
      <c r="V23" s="93">
        <f>VLOOKUP(U23,KamiBox!$C$2:$F$54,4,0)</f>
        <v>2000</v>
      </c>
      <c r="W23" s="94"/>
      <c r="X23" s="93">
        <f t="shared" si="3"/>
        <v>0</v>
      </c>
      <c r="Z23" s="44">
        <v>20</v>
      </c>
      <c r="AA23" s="17" t="s">
        <v>386</v>
      </c>
      <c r="AB23" s="94"/>
    </row>
    <row r="24" spans="1:28" x14ac:dyDescent="0.35">
      <c r="B24" t="s">
        <v>114</v>
      </c>
      <c r="D24" t="s">
        <v>65</v>
      </c>
      <c r="E24" s="80">
        <f>VLOOKUP(D24,'Bu Erta'!$C$2:$E$66,3,0)</f>
        <v>150</v>
      </c>
      <c r="F24">
        <v>0.05</v>
      </c>
      <c r="G24" s="80">
        <f t="shared" si="0"/>
        <v>7.5</v>
      </c>
      <c r="H24" s="80">
        <f>VLOOKUP(D24,'Bu Erta'!$C$2:$F$66,4,0)*F24</f>
        <v>10</v>
      </c>
      <c r="J24" s="69" t="s">
        <v>182</v>
      </c>
      <c r="K24">
        <v>4</v>
      </c>
      <c r="L24" s="4">
        <v>3770</v>
      </c>
      <c r="N24" s="44">
        <v>21</v>
      </c>
      <c r="O24" s="17" t="s">
        <v>32</v>
      </c>
      <c r="P24" s="93">
        <f>VLOOKUP(O24,'Bu Erta'!$C$2:$F$66,4,0)</f>
        <v>5000</v>
      </c>
      <c r="Q24" s="94">
        <f t="shared" si="1"/>
        <v>0</v>
      </c>
      <c r="R24" s="93">
        <f t="shared" si="2"/>
        <v>0</v>
      </c>
      <c r="T24" s="44">
        <v>21</v>
      </c>
      <c r="U24" s="17" t="s">
        <v>35</v>
      </c>
      <c r="V24" s="93">
        <f>VLOOKUP(U24,KamiBox!$C$2:$F$54,4,0)</f>
        <v>5000</v>
      </c>
      <c r="W24" s="94"/>
      <c r="X24" s="93">
        <f t="shared" si="3"/>
        <v>0</v>
      </c>
      <c r="Z24" s="44">
        <v>21</v>
      </c>
      <c r="AA24" s="17" t="s">
        <v>35</v>
      </c>
      <c r="AB24" s="94"/>
    </row>
    <row r="25" spans="1:28" x14ac:dyDescent="0.35">
      <c r="A25" s="1">
        <v>3</v>
      </c>
      <c r="B25" t="s">
        <v>86</v>
      </c>
      <c r="C25" s="5">
        <v>4</v>
      </c>
      <c r="D25" t="s">
        <v>27</v>
      </c>
      <c r="E25" s="80">
        <f>VLOOKUP(D25,'Bu Erta'!$C$2:$E$66,3,0)</f>
        <v>2800</v>
      </c>
      <c r="F25">
        <f>0.15+0.25</f>
        <v>0.4</v>
      </c>
      <c r="G25" s="80">
        <f t="shared" si="0"/>
        <v>1120</v>
      </c>
      <c r="H25" s="80">
        <f>VLOOKUP(D25,'Bu Erta'!$C$2:$F$66,4,0)*F25</f>
        <v>1240</v>
      </c>
      <c r="J25" s="69" t="s">
        <v>102</v>
      </c>
      <c r="K25">
        <v>4</v>
      </c>
      <c r="L25" s="4">
        <v>28820</v>
      </c>
      <c r="N25" s="44">
        <v>22</v>
      </c>
      <c r="O25" s="17" t="s">
        <v>33</v>
      </c>
      <c r="P25" s="93">
        <f>VLOOKUP(O25,'Bu Erta'!$C$2:$F$66,4,0)</f>
        <v>1400</v>
      </c>
      <c r="Q25" s="94">
        <f t="shared" si="1"/>
        <v>0</v>
      </c>
      <c r="R25" s="93">
        <f t="shared" si="2"/>
        <v>0</v>
      </c>
      <c r="T25" s="44">
        <v>22</v>
      </c>
      <c r="U25" s="17" t="s">
        <v>419</v>
      </c>
      <c r="V25" s="93">
        <f>VLOOKUP(U25,KamiBox!$C$2:$F$54,4,0)</f>
        <v>2000</v>
      </c>
      <c r="W25" s="94">
        <v>6.5</v>
      </c>
      <c r="X25" s="93">
        <f t="shared" si="3"/>
        <v>13000</v>
      </c>
      <c r="Z25" s="44">
        <v>22</v>
      </c>
      <c r="AA25" s="17" t="s">
        <v>419</v>
      </c>
      <c r="AB25" s="94">
        <v>6.5</v>
      </c>
    </row>
    <row r="26" spans="1:28" x14ac:dyDescent="0.35">
      <c r="B26" t="s">
        <v>86</v>
      </c>
      <c r="D26" t="s">
        <v>23</v>
      </c>
      <c r="E26" s="80">
        <f>VLOOKUP(D26,'Bu Erta'!$C$2:$E$66,3,0)</f>
        <v>300</v>
      </c>
      <c r="F26">
        <v>0.25</v>
      </c>
      <c r="G26" s="80">
        <f t="shared" si="0"/>
        <v>75</v>
      </c>
      <c r="H26" s="80">
        <f>VLOOKUP(D26,'Bu Erta'!$C$2:$F$66,4,0)*F26</f>
        <v>100</v>
      </c>
      <c r="J26" s="69" t="s">
        <v>148</v>
      </c>
      <c r="K26">
        <v>4</v>
      </c>
      <c r="L26" s="4">
        <v>15330</v>
      </c>
      <c r="N26" s="44">
        <v>23</v>
      </c>
      <c r="O26" s="17" t="s">
        <v>34</v>
      </c>
      <c r="P26" s="93">
        <f>VLOOKUP(O26,'Bu Erta'!$C$2:$F$66,4,0)</f>
        <v>3600</v>
      </c>
      <c r="Q26" s="94">
        <f t="shared" si="1"/>
        <v>2.7</v>
      </c>
      <c r="R26" s="93">
        <f t="shared" si="2"/>
        <v>9720</v>
      </c>
      <c r="T26" s="44">
        <v>23</v>
      </c>
      <c r="U26" s="17" t="s">
        <v>36</v>
      </c>
      <c r="V26" s="93">
        <f>VLOOKUP(U26,KamiBox!$C$2:$F$54,4,0)</f>
        <v>700</v>
      </c>
      <c r="W26" s="94">
        <v>8.1000000000000014</v>
      </c>
      <c r="X26" s="93">
        <f t="shared" si="3"/>
        <v>5670.0000000000009</v>
      </c>
      <c r="Z26" s="44">
        <v>23</v>
      </c>
      <c r="AA26" s="17" t="s">
        <v>36</v>
      </c>
      <c r="AB26" s="94">
        <v>8.1000000000000014</v>
      </c>
    </row>
    <row r="27" spans="1:28" x14ac:dyDescent="0.35">
      <c r="B27" t="s">
        <v>86</v>
      </c>
      <c r="D27" t="s">
        <v>24</v>
      </c>
      <c r="E27" s="80">
        <f>VLOOKUP(D27,'Bu Erta'!$C$2:$E$66,3,0)</f>
        <v>150</v>
      </c>
      <c r="F27">
        <f>2.4+0.3</f>
        <v>2.6999999999999997</v>
      </c>
      <c r="G27" s="80">
        <f t="shared" si="0"/>
        <v>404.99999999999994</v>
      </c>
      <c r="H27" s="80">
        <f>VLOOKUP(D27,'Bu Erta'!$C$2:$F$66,4,0)*F27</f>
        <v>540</v>
      </c>
      <c r="J27" s="69" t="s">
        <v>245</v>
      </c>
      <c r="K27">
        <v>4</v>
      </c>
      <c r="L27" s="4">
        <v>7390</v>
      </c>
      <c r="N27" s="44">
        <v>24</v>
      </c>
      <c r="O27" s="17" t="s">
        <v>35</v>
      </c>
      <c r="P27" s="93">
        <f>VLOOKUP(O27,'Bu Erta'!$C$2:$F$66,4,0)</f>
        <v>2000</v>
      </c>
      <c r="Q27" s="94">
        <f t="shared" si="1"/>
        <v>0</v>
      </c>
      <c r="R27" s="93">
        <f t="shared" si="2"/>
        <v>0</v>
      </c>
      <c r="T27" s="44">
        <v>24</v>
      </c>
      <c r="U27" s="17" t="s">
        <v>407</v>
      </c>
      <c r="V27" s="93">
        <f>VLOOKUP(U27,KamiBox!$C$2:$F$54,4,0)</f>
        <v>7000</v>
      </c>
      <c r="W27" s="94">
        <v>14.549999999999999</v>
      </c>
      <c r="X27" s="93">
        <f t="shared" si="3"/>
        <v>101849.99999999999</v>
      </c>
      <c r="Z27" s="44">
        <v>24</v>
      </c>
      <c r="AA27" s="17" t="s">
        <v>407</v>
      </c>
      <c r="AB27" s="94">
        <v>14.549999999999999</v>
      </c>
    </row>
    <row r="28" spans="1:28" x14ac:dyDescent="0.35">
      <c r="B28" t="s">
        <v>86</v>
      </c>
      <c r="D28" t="s">
        <v>7</v>
      </c>
      <c r="E28" s="80">
        <f>VLOOKUP(D28,'Bu Erta'!$C$2:$E$66,3,0)</f>
        <v>1400</v>
      </c>
      <c r="F28">
        <f>0.3+0.9+0.1</f>
        <v>1.3</v>
      </c>
      <c r="G28" s="80">
        <f t="shared" si="0"/>
        <v>1820</v>
      </c>
      <c r="H28" s="80">
        <f>VLOOKUP(D28,'Bu Erta'!$C$2:$F$66,4,0)*F28</f>
        <v>2080</v>
      </c>
      <c r="J28" s="69" t="s">
        <v>118</v>
      </c>
      <c r="K28">
        <v>4</v>
      </c>
      <c r="L28" s="4">
        <v>5320</v>
      </c>
      <c r="N28" s="44">
        <v>25</v>
      </c>
      <c r="O28" s="17" t="s">
        <v>36</v>
      </c>
      <c r="P28" s="93">
        <f>VLOOKUP(O28,'Bu Erta'!$C$2:$F$66,4,0)</f>
        <v>650</v>
      </c>
      <c r="Q28" s="94">
        <f t="shared" si="1"/>
        <v>8.1000000000000014</v>
      </c>
      <c r="R28" s="93">
        <f t="shared" si="2"/>
        <v>5265.0000000000009</v>
      </c>
      <c r="T28" s="44">
        <v>25</v>
      </c>
      <c r="U28" s="17" t="s">
        <v>38</v>
      </c>
      <c r="V28" s="93">
        <f>VLOOKUP(U28,KamiBox!$C$2:$F$54,4,0)</f>
        <v>1500</v>
      </c>
      <c r="W28" s="94">
        <v>2.2999999999999998</v>
      </c>
      <c r="X28" s="93">
        <f t="shared" si="3"/>
        <v>3449.9999999999995</v>
      </c>
      <c r="Z28" s="44">
        <v>25</v>
      </c>
      <c r="AA28" s="17" t="s">
        <v>38</v>
      </c>
      <c r="AB28" s="94">
        <v>2.2999999999999998</v>
      </c>
    </row>
    <row r="29" spans="1:28" x14ac:dyDescent="0.35">
      <c r="B29" t="s">
        <v>86</v>
      </c>
      <c r="D29" t="s">
        <v>41</v>
      </c>
      <c r="E29" s="80">
        <f>VLOOKUP(D29,'Bu Erta'!$C$2:$E$66,3,0)</f>
        <v>1500</v>
      </c>
      <c r="F29">
        <v>0.2</v>
      </c>
      <c r="G29" s="80">
        <f t="shared" si="0"/>
        <v>300</v>
      </c>
      <c r="H29" s="80">
        <f>VLOOKUP(D29,'Bu Erta'!$C$2:$F$66,4,0)*F29</f>
        <v>400</v>
      </c>
      <c r="J29" s="69" t="s">
        <v>97</v>
      </c>
      <c r="K29">
        <v>4</v>
      </c>
      <c r="L29" s="4">
        <v>16020</v>
      </c>
      <c r="N29" s="44">
        <v>26</v>
      </c>
      <c r="O29" s="17" t="s">
        <v>37</v>
      </c>
      <c r="P29" s="93">
        <f>VLOOKUP(O29,'Bu Erta'!$C$2:$F$66,4,0)</f>
        <v>2000</v>
      </c>
      <c r="Q29" s="94">
        <f t="shared" si="1"/>
        <v>0</v>
      </c>
      <c r="R29" s="93">
        <f t="shared" si="2"/>
        <v>0</v>
      </c>
      <c r="T29" s="44">
        <v>26</v>
      </c>
      <c r="U29" s="17" t="s">
        <v>40</v>
      </c>
      <c r="V29" s="93">
        <f>VLOOKUP(U29,KamiBox!$C$2:$F$54,4,0)</f>
        <v>2000</v>
      </c>
      <c r="W29" s="94">
        <v>10.5</v>
      </c>
      <c r="X29" s="93">
        <f t="shared" si="3"/>
        <v>21000</v>
      </c>
      <c r="Z29" s="44">
        <v>26</v>
      </c>
      <c r="AA29" s="17" t="s">
        <v>40</v>
      </c>
      <c r="AB29" s="94">
        <v>10.5</v>
      </c>
    </row>
    <row r="30" spans="1:28" x14ac:dyDescent="0.35">
      <c r="A30" s="1">
        <v>4</v>
      </c>
      <c r="B30" t="s">
        <v>189</v>
      </c>
      <c r="C30" s="5">
        <v>5</v>
      </c>
      <c r="D30" t="s">
        <v>42</v>
      </c>
      <c r="E30" s="80">
        <f>VLOOKUP(D30,'Bu Erta'!$C$2:$E$66,3,0)</f>
        <v>1000</v>
      </c>
      <c r="F30">
        <f>14.3+2.85</f>
        <v>17.150000000000002</v>
      </c>
      <c r="G30" s="80">
        <f t="shared" si="0"/>
        <v>17150.000000000004</v>
      </c>
      <c r="H30" s="80">
        <f>VLOOKUP(D30,'Bu Erta'!$C$2:$F$66,4,0)*F30</f>
        <v>20580.000000000004</v>
      </c>
      <c r="J30" s="69" t="s">
        <v>89</v>
      </c>
      <c r="K30">
        <v>4</v>
      </c>
      <c r="L30" s="4">
        <v>15205</v>
      </c>
      <c r="N30" s="44">
        <v>27</v>
      </c>
      <c r="O30" s="17" t="s">
        <v>38</v>
      </c>
      <c r="P30" s="93">
        <f>VLOOKUP(O30,'Bu Erta'!$C$2:$F$66,4,0)</f>
        <v>1600</v>
      </c>
      <c r="Q30" s="94">
        <f t="shared" si="1"/>
        <v>2.2999999999999998</v>
      </c>
      <c r="R30" s="93">
        <f t="shared" si="2"/>
        <v>3679.9999999999995</v>
      </c>
      <c r="T30" s="44">
        <v>27</v>
      </c>
      <c r="U30" s="17" t="s">
        <v>405</v>
      </c>
      <c r="V30" s="93">
        <f>VLOOKUP(U30,KamiBox!$C$2:$F$54,4,0)</f>
        <v>100</v>
      </c>
      <c r="W30" s="94"/>
      <c r="X30" s="93">
        <f t="shared" si="3"/>
        <v>0</v>
      </c>
      <c r="Z30" s="44">
        <v>27</v>
      </c>
      <c r="AA30" s="17" t="s">
        <v>405</v>
      </c>
      <c r="AB30" s="94"/>
    </row>
    <row r="31" spans="1:28" x14ac:dyDescent="0.35">
      <c r="B31" t="s">
        <v>189</v>
      </c>
      <c r="D31" t="s">
        <v>27</v>
      </c>
      <c r="E31" s="80">
        <f>VLOOKUP(D31,'Bu Erta'!$C$2:$E$66,3,0)</f>
        <v>2800</v>
      </c>
      <c r="F31">
        <v>0.35</v>
      </c>
      <c r="G31" s="80">
        <f t="shared" si="0"/>
        <v>979.99999999999989</v>
      </c>
      <c r="H31" s="80">
        <f>VLOOKUP(D31,'Bu Erta'!$C$2:$F$66,4,0)*F31</f>
        <v>1085</v>
      </c>
      <c r="J31" s="69" t="s">
        <v>140</v>
      </c>
      <c r="K31">
        <v>4</v>
      </c>
      <c r="L31" s="4">
        <v>21555</v>
      </c>
      <c r="N31" s="44">
        <v>28</v>
      </c>
      <c r="O31" s="17" t="s">
        <v>39</v>
      </c>
      <c r="P31" s="93">
        <f>VLOOKUP(O31,'Bu Erta'!$C$2:$F$66,4,0)</f>
        <v>200</v>
      </c>
      <c r="Q31" s="94">
        <f t="shared" si="1"/>
        <v>0</v>
      </c>
      <c r="R31" s="93">
        <f t="shared" si="2"/>
        <v>0</v>
      </c>
      <c r="T31" s="44">
        <v>28</v>
      </c>
      <c r="U31" s="17" t="s">
        <v>41</v>
      </c>
      <c r="V31" s="93">
        <f>VLOOKUP(U31,KamiBox!$C$2:$F$54,4,0)</f>
        <v>2000</v>
      </c>
      <c r="W31" s="94">
        <v>6.2499999999999991</v>
      </c>
      <c r="X31" s="93">
        <f t="shared" si="3"/>
        <v>12499.999999999998</v>
      </c>
      <c r="Z31" s="44">
        <v>28</v>
      </c>
      <c r="AA31" s="17" t="s">
        <v>41</v>
      </c>
      <c r="AB31" s="94">
        <v>6.2499999999999991</v>
      </c>
    </row>
    <row r="32" spans="1:28" x14ac:dyDescent="0.35">
      <c r="B32" t="s">
        <v>189</v>
      </c>
      <c r="D32" t="s">
        <v>69</v>
      </c>
      <c r="E32" s="80">
        <f>VLOOKUP(D32,'Bu Erta'!$C$2:$E$66,3,0)</f>
        <v>2500</v>
      </c>
      <c r="F32">
        <v>0.25</v>
      </c>
      <c r="G32" s="80">
        <f t="shared" si="0"/>
        <v>625</v>
      </c>
      <c r="H32" s="80">
        <f>VLOOKUP(D32,'Bu Erta'!$C$2:$F$66,4,0)*F32</f>
        <v>750</v>
      </c>
      <c r="J32" s="69" t="s">
        <v>144</v>
      </c>
      <c r="K32">
        <v>4</v>
      </c>
      <c r="L32" s="4">
        <v>2920</v>
      </c>
      <c r="N32" s="44">
        <v>29</v>
      </c>
      <c r="O32" s="17" t="s">
        <v>77</v>
      </c>
      <c r="P32" s="93">
        <f>VLOOKUP(O32,'Bu Erta'!$C$2:$F$66,4,0)</f>
        <v>800</v>
      </c>
      <c r="Q32" s="94">
        <f t="shared" si="1"/>
        <v>0</v>
      </c>
      <c r="R32" s="93">
        <f t="shared" si="2"/>
        <v>0</v>
      </c>
      <c r="T32" s="44">
        <v>29</v>
      </c>
      <c r="U32" s="17" t="s">
        <v>399</v>
      </c>
      <c r="V32" s="93">
        <f>VLOOKUP(U32,KamiBox!$C$2:$F$54,4,0)</f>
        <v>1800</v>
      </c>
      <c r="W32" s="94"/>
      <c r="X32" s="93">
        <f t="shared" si="3"/>
        <v>0</v>
      </c>
      <c r="Z32" s="44">
        <v>29</v>
      </c>
      <c r="AA32" s="17" t="s">
        <v>399</v>
      </c>
      <c r="AB32" s="94"/>
    </row>
    <row r="33" spans="1:29" x14ac:dyDescent="0.35">
      <c r="B33" t="s">
        <v>189</v>
      </c>
      <c r="D33" t="s">
        <v>34</v>
      </c>
      <c r="E33" s="80">
        <f>VLOOKUP(D33,'Bu Erta'!$C$2:$E$66,3,0)</f>
        <v>3500</v>
      </c>
      <c r="F33">
        <v>2.1</v>
      </c>
      <c r="G33" s="80">
        <f t="shared" si="0"/>
        <v>7350</v>
      </c>
      <c r="H33" s="80">
        <f>VLOOKUP(D33,'Bu Erta'!$C$2:$F$66,4,0)*F33</f>
        <v>7560</v>
      </c>
      <c r="J33" s="69" t="s">
        <v>189</v>
      </c>
      <c r="K33">
        <v>5</v>
      </c>
      <c r="L33" s="4">
        <v>38800</v>
      </c>
      <c r="N33" s="44">
        <v>30</v>
      </c>
      <c r="O33" s="17" t="s">
        <v>40</v>
      </c>
      <c r="P33" s="93">
        <f>VLOOKUP(O33,'Bu Erta'!$C$2:$F$66,4,0)</f>
        <v>2000</v>
      </c>
      <c r="Q33" s="94">
        <f t="shared" si="1"/>
        <v>10.5</v>
      </c>
      <c r="R33" s="93">
        <f t="shared" si="2"/>
        <v>21000</v>
      </c>
      <c r="T33" s="44">
        <v>30</v>
      </c>
      <c r="U33" s="17" t="s">
        <v>396</v>
      </c>
      <c r="V33" s="93">
        <f>VLOOKUP(U33,KamiBox!$C$2:$F$54,4,0)</f>
        <v>1700</v>
      </c>
      <c r="W33" s="94">
        <v>96.550000000000011</v>
      </c>
      <c r="X33" s="93">
        <f t="shared" si="3"/>
        <v>164135.00000000003</v>
      </c>
      <c r="Z33" s="44">
        <v>30</v>
      </c>
      <c r="AA33" s="17" t="s">
        <v>396</v>
      </c>
      <c r="AB33" s="94">
        <v>96.550000000000011</v>
      </c>
    </row>
    <row r="34" spans="1:29" x14ac:dyDescent="0.35">
      <c r="B34" t="s">
        <v>189</v>
      </c>
      <c r="D34" t="s">
        <v>88</v>
      </c>
      <c r="E34" s="80">
        <f>VLOOKUP(D34,'Bu Erta'!$C$2:$E$66,3,0)</f>
        <v>300</v>
      </c>
      <c r="F34">
        <f>1.15+0.85</f>
        <v>2</v>
      </c>
      <c r="G34" s="80">
        <f t="shared" si="0"/>
        <v>600</v>
      </c>
      <c r="H34" s="80">
        <f>VLOOKUP(D34,'Bu Erta'!$C$2:$F$66,4,0)*F34</f>
        <v>800</v>
      </c>
      <c r="J34" s="69" t="s">
        <v>345</v>
      </c>
      <c r="K34">
        <v>5</v>
      </c>
      <c r="L34" s="4">
        <v>6055</v>
      </c>
      <c r="N34" s="44">
        <v>31</v>
      </c>
      <c r="O34" s="17" t="s">
        <v>41</v>
      </c>
      <c r="P34" s="93">
        <f>VLOOKUP(O34,'Bu Erta'!$C$2:$F$66,4,0)</f>
        <v>2000</v>
      </c>
      <c r="Q34" s="94">
        <f t="shared" si="1"/>
        <v>6.2499999999999991</v>
      </c>
      <c r="R34" s="93">
        <f t="shared" si="2"/>
        <v>12499.999999999998</v>
      </c>
      <c r="T34" s="44">
        <v>31</v>
      </c>
      <c r="U34" s="17" t="s">
        <v>379</v>
      </c>
      <c r="V34" s="93">
        <f>VLOOKUP(U34,KamiBox!$C$2:$F$54,4,0)</f>
        <v>4000</v>
      </c>
      <c r="W34" s="94">
        <v>2.95</v>
      </c>
      <c r="X34" s="93">
        <f t="shared" si="3"/>
        <v>11800</v>
      </c>
      <c r="Z34" s="44">
        <v>31</v>
      </c>
      <c r="AA34" s="17" t="s">
        <v>379</v>
      </c>
      <c r="AB34" s="94"/>
      <c r="AC34">
        <v>2.95</v>
      </c>
    </row>
    <row r="35" spans="1:29" x14ac:dyDescent="0.35">
      <c r="B35" t="s">
        <v>189</v>
      </c>
      <c r="D35" t="s">
        <v>23</v>
      </c>
      <c r="E35" s="80">
        <f>VLOOKUP(D35,'Bu Erta'!$C$2:$E$66,3,0)</f>
        <v>300</v>
      </c>
      <c r="F35">
        <v>0.8</v>
      </c>
      <c r="G35" s="80">
        <f t="shared" si="0"/>
        <v>240</v>
      </c>
      <c r="H35" s="80">
        <f>VLOOKUP(D35,'Bu Erta'!$C$2:$F$66,4,0)*F35</f>
        <v>320</v>
      </c>
      <c r="J35" s="69" t="s">
        <v>297</v>
      </c>
      <c r="K35">
        <v>5</v>
      </c>
      <c r="L35" s="4">
        <v>45495</v>
      </c>
      <c r="N35" s="44">
        <v>32</v>
      </c>
      <c r="O35" s="17" t="s">
        <v>42</v>
      </c>
      <c r="P35" s="93">
        <f>VLOOKUP(O35,'Bu Erta'!$C$2:$F$66,4,0)</f>
        <v>1200</v>
      </c>
      <c r="Q35" s="94">
        <f t="shared" si="1"/>
        <v>96.550000000000011</v>
      </c>
      <c r="R35" s="93">
        <f t="shared" si="2"/>
        <v>115860.00000000001</v>
      </c>
      <c r="T35" s="44">
        <v>32</v>
      </c>
      <c r="U35" s="17" t="s">
        <v>408</v>
      </c>
      <c r="V35" s="93">
        <f>VLOOKUP(U35,KamiBox!$C$2:$F$54,4,0)</f>
        <v>60000</v>
      </c>
      <c r="W35" s="94"/>
      <c r="X35" s="93">
        <f t="shared" si="3"/>
        <v>0</v>
      </c>
      <c r="Z35" s="44">
        <v>32</v>
      </c>
      <c r="AA35" s="17" t="s">
        <v>408</v>
      </c>
      <c r="AB35" s="94"/>
    </row>
    <row r="36" spans="1:29" x14ac:dyDescent="0.35">
      <c r="B36" t="s">
        <v>189</v>
      </c>
      <c r="D36" t="s">
        <v>22</v>
      </c>
      <c r="E36" s="80">
        <f>VLOOKUP(D36,'Bu Erta'!$C$2:$E$66,3,0)</f>
        <v>2500</v>
      </c>
      <c r="F36">
        <v>1.1499999999999999</v>
      </c>
      <c r="G36" s="80">
        <f t="shared" si="0"/>
        <v>2875</v>
      </c>
      <c r="H36" s="80">
        <f>VLOOKUP(D36,'Bu Erta'!$C$2:$F$66,4,0)*F36</f>
        <v>3449.9999999999995</v>
      </c>
      <c r="J36" s="69" t="s">
        <v>111</v>
      </c>
      <c r="K36">
        <v>5</v>
      </c>
      <c r="L36" s="4">
        <v>9475</v>
      </c>
      <c r="N36" s="44">
        <v>33</v>
      </c>
      <c r="O36" s="17" t="s">
        <v>43</v>
      </c>
      <c r="P36" s="93">
        <f>VLOOKUP(O36,'Bu Erta'!$C$2:$F$66,4,0)</f>
        <v>500</v>
      </c>
      <c r="Q36" s="94">
        <f t="shared" si="1"/>
        <v>0</v>
      </c>
      <c r="R36" s="93">
        <f t="shared" si="2"/>
        <v>0</v>
      </c>
      <c r="T36" s="44">
        <v>33</v>
      </c>
      <c r="U36" s="17" t="s">
        <v>400</v>
      </c>
      <c r="V36" s="93">
        <f>VLOOKUP(U36,KamiBox!$C$2:$F$54,4,0)</f>
        <v>700</v>
      </c>
      <c r="W36" s="94"/>
      <c r="X36" s="93">
        <f t="shared" si="3"/>
        <v>0</v>
      </c>
      <c r="Z36" s="44">
        <v>33</v>
      </c>
      <c r="AA36" s="17" t="s">
        <v>400</v>
      </c>
      <c r="AB36" s="94"/>
    </row>
    <row r="37" spans="1:29" x14ac:dyDescent="0.35">
      <c r="B37" t="s">
        <v>189</v>
      </c>
      <c r="D37" t="s">
        <v>31</v>
      </c>
      <c r="E37" s="80">
        <f>VLOOKUP(D37,'Bu Erta'!$C$2:$E$66,3,0)</f>
        <v>1000</v>
      </c>
      <c r="F37">
        <v>0.75</v>
      </c>
      <c r="G37" s="80">
        <f t="shared" si="0"/>
        <v>750</v>
      </c>
      <c r="H37" s="80">
        <f>VLOOKUP(D37,'Bu Erta'!$C$2:$F$66,4,0)*F37</f>
        <v>825</v>
      </c>
      <c r="J37" s="69" t="s">
        <v>149</v>
      </c>
      <c r="K37">
        <v>5</v>
      </c>
      <c r="L37" s="4">
        <v>14230</v>
      </c>
      <c r="N37" s="44">
        <v>34</v>
      </c>
      <c r="O37" s="17" t="s">
        <v>44</v>
      </c>
      <c r="P37" s="93">
        <f>VLOOKUP(O37,'Bu Erta'!$C$2:$F$66,4,0)</f>
        <v>500</v>
      </c>
      <c r="Q37" s="94">
        <f t="shared" si="1"/>
        <v>6.3</v>
      </c>
      <c r="R37" s="93">
        <f t="shared" si="2"/>
        <v>3150</v>
      </c>
      <c r="T37" s="44">
        <v>34</v>
      </c>
      <c r="U37" s="17" t="s">
        <v>387</v>
      </c>
      <c r="V37" s="93">
        <f>VLOOKUP(U37,KamiBox!$C$2:$F$54,4,0)</f>
        <v>4000</v>
      </c>
      <c r="W37" s="94">
        <v>1</v>
      </c>
      <c r="X37" s="93">
        <f t="shared" si="3"/>
        <v>4000</v>
      </c>
      <c r="Z37" s="44">
        <v>34</v>
      </c>
      <c r="AA37" s="17" t="s">
        <v>387</v>
      </c>
      <c r="AB37" s="94">
        <v>1</v>
      </c>
    </row>
    <row r="38" spans="1:29" x14ac:dyDescent="0.35">
      <c r="B38" t="s">
        <v>189</v>
      </c>
      <c r="D38" t="s">
        <v>25</v>
      </c>
      <c r="E38" s="80">
        <f>VLOOKUP(D38,'Bu Erta'!$C$2:$E$66,3,0)</f>
        <v>1600</v>
      </c>
      <c r="F38">
        <v>0.25</v>
      </c>
      <c r="G38" s="80">
        <f t="shared" si="0"/>
        <v>400</v>
      </c>
      <c r="H38" s="80">
        <f>VLOOKUP(D38,'Bu Erta'!$C$2:$F$66,4,0)*F38</f>
        <v>425</v>
      </c>
      <c r="J38" s="69" t="s">
        <v>107</v>
      </c>
      <c r="K38">
        <v>5</v>
      </c>
      <c r="L38" s="4">
        <v>17330</v>
      </c>
      <c r="N38" s="44">
        <v>35</v>
      </c>
      <c r="O38" s="17" t="s">
        <v>45</v>
      </c>
      <c r="P38" s="93">
        <f>VLOOKUP(O38,'Bu Erta'!$C$2:$F$66,4,0)</f>
        <v>800</v>
      </c>
      <c r="Q38" s="94">
        <f t="shared" si="1"/>
        <v>0</v>
      </c>
      <c r="R38" s="93">
        <f t="shared" si="2"/>
        <v>0</v>
      </c>
      <c r="T38" s="44">
        <v>35</v>
      </c>
      <c r="U38" s="17" t="s">
        <v>409</v>
      </c>
      <c r="V38" s="93">
        <f>VLOOKUP(U38,KamiBox!$C$2:$F$54,4,0)</f>
        <v>50000</v>
      </c>
      <c r="W38" s="94"/>
      <c r="X38" s="93">
        <f t="shared" si="3"/>
        <v>0</v>
      </c>
      <c r="Z38" s="44">
        <v>35</v>
      </c>
      <c r="AA38" s="17" t="s">
        <v>409</v>
      </c>
      <c r="AB38" s="94"/>
    </row>
    <row r="39" spans="1:29" x14ac:dyDescent="0.35">
      <c r="B39" t="s">
        <v>189</v>
      </c>
      <c r="D39" t="s">
        <v>40</v>
      </c>
      <c r="E39" s="80">
        <f>VLOOKUP(D39,'Bu Erta'!$C$2:$E$66,3,0)</f>
        <v>1800</v>
      </c>
      <c r="F39">
        <v>4.3499999999999996</v>
      </c>
      <c r="G39" s="80">
        <f t="shared" si="0"/>
        <v>7829.9999999999991</v>
      </c>
      <c r="H39" s="80">
        <f>VLOOKUP(D39,'Bu Erta'!$C$2:$F$66,4,0)*F39</f>
        <v>8700</v>
      </c>
      <c r="J39" s="69" t="s">
        <v>295</v>
      </c>
      <c r="K39">
        <v>6</v>
      </c>
      <c r="L39" s="4">
        <v>7945</v>
      </c>
      <c r="N39" s="44">
        <v>36</v>
      </c>
      <c r="O39" s="17" t="s">
        <v>46</v>
      </c>
      <c r="P39" s="93">
        <f>VLOOKUP(O39,'Bu Erta'!$C$2:$F$66,4,0)</f>
        <v>1500</v>
      </c>
      <c r="Q39" s="94">
        <f t="shared" si="1"/>
        <v>6.5</v>
      </c>
      <c r="R39" s="93">
        <f t="shared" si="2"/>
        <v>9750</v>
      </c>
      <c r="T39" s="44">
        <v>36</v>
      </c>
      <c r="U39" s="17" t="s">
        <v>52</v>
      </c>
      <c r="V39" s="93">
        <f>VLOOKUP(U39,KamiBox!$C$2:$F$54,4,0)</f>
        <v>35000</v>
      </c>
      <c r="W39" s="94"/>
      <c r="X39" s="93">
        <f t="shared" si="3"/>
        <v>0</v>
      </c>
      <c r="Z39" s="44">
        <v>36</v>
      </c>
      <c r="AA39" s="17" t="s">
        <v>52</v>
      </c>
      <c r="AB39" s="94"/>
    </row>
    <row r="40" spans="1:29" x14ac:dyDescent="0.35">
      <c r="A40" s="1">
        <v>5</v>
      </c>
      <c r="B40" t="s">
        <v>178</v>
      </c>
      <c r="C40" s="5">
        <v>3</v>
      </c>
      <c r="D40" t="s">
        <v>42</v>
      </c>
      <c r="E40" s="80">
        <f>VLOOKUP(D40,'Bu Erta'!$C$2:$E$66,3,0)</f>
        <v>1000</v>
      </c>
      <c r="F40">
        <v>11.55</v>
      </c>
      <c r="G40" s="80">
        <f t="shared" si="0"/>
        <v>11550</v>
      </c>
      <c r="H40" s="80">
        <f>VLOOKUP(D40,'Bu Erta'!$C$2:$F$66,4,0)*F40</f>
        <v>13860</v>
      </c>
      <c r="J40" s="69" t="s">
        <v>299</v>
      </c>
      <c r="K40">
        <v>6</v>
      </c>
      <c r="L40" s="4">
        <v>7105</v>
      </c>
      <c r="N40" s="44">
        <v>37</v>
      </c>
      <c r="O40" s="17" t="s">
        <v>47</v>
      </c>
      <c r="P40" s="93">
        <f>VLOOKUP(O40,'Bu Erta'!$C$2:$F$66,4,0)</f>
        <v>1500</v>
      </c>
      <c r="Q40" s="94">
        <f t="shared" si="1"/>
        <v>0</v>
      </c>
      <c r="R40" s="93">
        <f t="shared" si="2"/>
        <v>0</v>
      </c>
      <c r="T40" s="44">
        <v>37</v>
      </c>
      <c r="U40" s="17" t="s">
        <v>55</v>
      </c>
      <c r="V40" s="93">
        <f>VLOOKUP(U40,KamiBox!$C$2:$F$54,4,0)</f>
        <v>50000</v>
      </c>
      <c r="W40" s="94"/>
      <c r="X40" s="93">
        <f t="shared" si="3"/>
        <v>0</v>
      </c>
      <c r="Z40" s="44">
        <v>37</v>
      </c>
      <c r="AA40" s="17" t="s">
        <v>55</v>
      </c>
      <c r="AB40" s="94"/>
    </row>
    <row r="41" spans="1:29" x14ac:dyDescent="0.35">
      <c r="B41" t="s">
        <v>178</v>
      </c>
      <c r="D41" t="s">
        <v>31</v>
      </c>
      <c r="E41" s="80">
        <f>VLOOKUP(D41,'Bu Erta'!$C$2:$E$66,3,0)</f>
        <v>1000</v>
      </c>
      <c r="F41">
        <v>0.2</v>
      </c>
      <c r="G41" s="80">
        <f t="shared" si="0"/>
        <v>200</v>
      </c>
      <c r="H41" s="80">
        <f>VLOOKUP(D41,'Bu Erta'!$C$2:$F$66,4,0)*F41</f>
        <v>220</v>
      </c>
      <c r="J41" s="69" t="s">
        <v>81</v>
      </c>
      <c r="K41">
        <v>130</v>
      </c>
      <c r="L41" s="4">
        <v>543322.5</v>
      </c>
      <c r="N41" s="44">
        <v>38</v>
      </c>
      <c r="O41" s="17" t="s">
        <v>48</v>
      </c>
      <c r="P41" s="93">
        <f>VLOOKUP(O41,'Bu Erta'!$C$2:$F$66,4,0)</f>
        <v>15000</v>
      </c>
      <c r="Q41" s="94">
        <f t="shared" si="1"/>
        <v>0</v>
      </c>
      <c r="R41" s="93">
        <f t="shared" si="2"/>
        <v>0</v>
      </c>
      <c r="T41" s="44">
        <v>38</v>
      </c>
      <c r="U41" s="17" t="s">
        <v>380</v>
      </c>
      <c r="V41" s="93"/>
      <c r="W41" s="94"/>
      <c r="X41" s="93">
        <f t="shared" si="3"/>
        <v>0</v>
      </c>
      <c r="Z41" s="44">
        <v>38</v>
      </c>
      <c r="AA41" s="17" t="s">
        <v>380</v>
      </c>
      <c r="AB41" s="94"/>
    </row>
    <row r="42" spans="1:29" x14ac:dyDescent="0.35">
      <c r="B42" t="s">
        <v>178</v>
      </c>
      <c r="D42" t="s">
        <v>23</v>
      </c>
      <c r="E42" s="80">
        <f>VLOOKUP(D42,'Bu Erta'!$C$2:$E$66,3,0)</f>
        <v>300</v>
      </c>
      <c r="F42">
        <v>1.05</v>
      </c>
      <c r="G42" s="80">
        <f t="shared" si="0"/>
        <v>315</v>
      </c>
      <c r="H42" s="80">
        <f>VLOOKUP(D42,'Bu Erta'!$C$2:$F$66,4,0)*F42</f>
        <v>420</v>
      </c>
      <c r="N42" s="44">
        <v>39</v>
      </c>
      <c r="O42" s="17" t="s">
        <v>49</v>
      </c>
      <c r="P42" s="93">
        <f>VLOOKUP(O42,'Bu Erta'!$C$2:$F$66,4,0)</f>
        <v>900</v>
      </c>
      <c r="Q42" s="94">
        <f t="shared" si="1"/>
        <v>0.6</v>
      </c>
      <c r="R42" s="93">
        <f t="shared" si="2"/>
        <v>540</v>
      </c>
      <c r="T42" s="44">
        <v>39</v>
      </c>
      <c r="U42" s="17" t="s">
        <v>397</v>
      </c>
      <c r="V42" s="93">
        <f>VLOOKUP(U42,KamiBox!$C$2:$F$54,4,0)</f>
        <v>700</v>
      </c>
      <c r="W42" s="94">
        <v>34.949999999999996</v>
      </c>
      <c r="X42" s="93">
        <f t="shared" si="3"/>
        <v>24464.999999999996</v>
      </c>
      <c r="Z42" s="44">
        <v>39</v>
      </c>
      <c r="AA42" s="17" t="s">
        <v>397</v>
      </c>
      <c r="AB42" s="94">
        <v>34.949999999999996</v>
      </c>
    </row>
    <row r="43" spans="1:29" x14ac:dyDescent="0.35">
      <c r="B43" t="s">
        <v>178</v>
      </c>
      <c r="D43" t="s">
        <v>27</v>
      </c>
      <c r="E43" s="80">
        <f>VLOOKUP(D43,'Bu Erta'!$C$2:$E$66,3,0)</f>
        <v>2800</v>
      </c>
      <c r="F43">
        <f>0.25+1.7</f>
        <v>1.95</v>
      </c>
      <c r="G43" s="80">
        <f t="shared" si="0"/>
        <v>5460</v>
      </c>
      <c r="H43" s="80">
        <f>VLOOKUP(D43,'Bu Erta'!$C$2:$F$66,4,0)*F43</f>
        <v>6045</v>
      </c>
      <c r="N43" s="44">
        <v>40</v>
      </c>
      <c r="O43" s="17" t="s">
        <v>50</v>
      </c>
      <c r="P43" s="93">
        <f>VLOOKUP(O43,'Bu Erta'!$C$2:$F$66,4,0)</f>
        <v>45000</v>
      </c>
      <c r="Q43" s="94">
        <f t="shared" si="1"/>
        <v>0</v>
      </c>
      <c r="R43" s="93">
        <f t="shared" si="2"/>
        <v>0</v>
      </c>
      <c r="T43" s="44">
        <v>40</v>
      </c>
      <c r="U43" s="17" t="s">
        <v>389</v>
      </c>
      <c r="V43" s="93"/>
      <c r="W43" s="94"/>
      <c r="X43" s="93">
        <f t="shared" si="3"/>
        <v>0</v>
      </c>
      <c r="Z43" s="44">
        <v>40</v>
      </c>
      <c r="AA43" s="17" t="s">
        <v>389</v>
      </c>
      <c r="AB43" s="94"/>
    </row>
    <row r="44" spans="1:29" x14ac:dyDescent="0.35">
      <c r="B44" t="s">
        <v>178</v>
      </c>
      <c r="D44" t="s">
        <v>88</v>
      </c>
      <c r="E44" s="80">
        <f>VLOOKUP(D44,'Bu Erta'!$C$2:$E$66,3,0)</f>
        <v>300</v>
      </c>
      <c r="F44">
        <v>0.5</v>
      </c>
      <c r="G44" s="80">
        <f t="shared" si="0"/>
        <v>150</v>
      </c>
      <c r="H44" s="80">
        <f>VLOOKUP(D44,'Bu Erta'!$C$2:$F$66,4,0)*F44</f>
        <v>200</v>
      </c>
      <c r="N44" s="44">
        <v>41</v>
      </c>
      <c r="O44" s="17" t="s">
        <v>51</v>
      </c>
      <c r="P44" s="93">
        <f>VLOOKUP(O44,'Bu Erta'!$C$2:$F$66,4,0)</f>
        <v>55000</v>
      </c>
      <c r="Q44" s="94">
        <f t="shared" si="1"/>
        <v>0</v>
      </c>
      <c r="R44" s="93">
        <f t="shared" si="2"/>
        <v>0</v>
      </c>
      <c r="T44" s="44">
        <v>41</v>
      </c>
      <c r="U44" s="17" t="s">
        <v>393</v>
      </c>
      <c r="V44" s="93">
        <f>VLOOKUP(U44,KamiBox!$C$2:$F$54,4,0)</f>
        <v>500</v>
      </c>
      <c r="W44" s="94">
        <f>25.75+50.8</f>
        <v>76.55</v>
      </c>
      <c r="X44" s="93">
        <f t="shared" si="3"/>
        <v>38275</v>
      </c>
      <c r="Z44" s="44">
        <v>41</v>
      </c>
      <c r="AA44" s="17" t="s">
        <v>393</v>
      </c>
      <c r="AB44" s="94">
        <f>25.75+50.8</f>
        <v>76.55</v>
      </c>
    </row>
    <row r="45" spans="1:29" x14ac:dyDescent="0.35">
      <c r="B45" t="s">
        <v>178</v>
      </c>
      <c r="D45" t="s">
        <v>69</v>
      </c>
      <c r="E45" s="80">
        <f>VLOOKUP(D45,'Bu Erta'!$C$2:$E$66,3,0)</f>
        <v>2500</v>
      </c>
      <c r="F45">
        <v>0.25</v>
      </c>
      <c r="G45" s="80">
        <f t="shared" si="0"/>
        <v>625</v>
      </c>
      <c r="H45" s="80">
        <f>VLOOKUP(D45,'Bu Erta'!$C$2:$F$66,4,0)*F45</f>
        <v>750</v>
      </c>
      <c r="J45" s="69" t="s">
        <v>228</v>
      </c>
      <c r="N45" s="44">
        <v>42</v>
      </c>
      <c r="O45" s="17" t="s">
        <v>52</v>
      </c>
      <c r="P45" s="93">
        <f>VLOOKUP(O45,'Bu Erta'!$C$2:$F$66,4,0)</f>
        <v>30000</v>
      </c>
      <c r="Q45" s="94">
        <f t="shared" si="1"/>
        <v>0</v>
      </c>
      <c r="R45" s="93">
        <f t="shared" si="2"/>
        <v>0</v>
      </c>
      <c r="T45" s="44">
        <v>42</v>
      </c>
      <c r="U45" s="17" t="s">
        <v>388</v>
      </c>
      <c r="V45" s="93">
        <f>VLOOKUP(U45,KamiBox!$C$2:$F$54,4,0)</f>
        <v>1000</v>
      </c>
      <c r="W45" s="94">
        <v>3.65</v>
      </c>
      <c r="X45" s="93">
        <f t="shared" si="3"/>
        <v>3650</v>
      </c>
      <c r="Z45" s="44">
        <v>42</v>
      </c>
      <c r="AA45" s="17" t="s">
        <v>388</v>
      </c>
      <c r="AB45" s="94">
        <v>3.65</v>
      </c>
    </row>
    <row r="46" spans="1:29" x14ac:dyDescent="0.35">
      <c r="A46" s="1">
        <v>6</v>
      </c>
      <c r="B46" t="s">
        <v>149</v>
      </c>
      <c r="C46" s="5">
        <v>5</v>
      </c>
      <c r="D46" t="s">
        <v>36</v>
      </c>
      <c r="E46" s="80">
        <f>VLOOKUP(D46,'Bu Erta'!$C$2:$E$66,3,0)</f>
        <v>600</v>
      </c>
      <c r="F46">
        <f>2.7+0.55</f>
        <v>3.25</v>
      </c>
      <c r="G46" s="80">
        <f t="shared" si="0"/>
        <v>1950</v>
      </c>
      <c r="H46" s="80">
        <f>VLOOKUP(D46,'Bu Erta'!$C$2:$F$66,4,0)*F46</f>
        <v>2112.5</v>
      </c>
      <c r="J46" s="4">
        <f>R68-GETPIVOTDATA("Sum of Total Harga",$J$2)</f>
        <v>99932.5</v>
      </c>
      <c r="N46" s="44">
        <v>43</v>
      </c>
      <c r="O46" s="17" t="s">
        <v>53</v>
      </c>
      <c r="P46" s="93">
        <f>VLOOKUP(O46,'Bu Erta'!$C$2:$F$66,4,0)</f>
        <v>12000</v>
      </c>
      <c r="Q46" s="94">
        <f t="shared" si="1"/>
        <v>0</v>
      </c>
      <c r="R46" s="93">
        <f t="shared" si="2"/>
        <v>0</v>
      </c>
      <c r="T46" s="44">
        <v>43</v>
      </c>
      <c r="U46" s="17" t="s">
        <v>381</v>
      </c>
      <c r="V46" s="93">
        <f>VLOOKUP(U46,KamiBox!$C$2:$F$54,4,0)</f>
        <v>900</v>
      </c>
      <c r="W46" s="94"/>
      <c r="X46" s="93">
        <f t="shared" si="3"/>
        <v>0</v>
      </c>
      <c r="Z46" s="44">
        <v>43</v>
      </c>
      <c r="AA46" s="17" t="s">
        <v>381</v>
      </c>
      <c r="AB46" s="94"/>
    </row>
    <row r="47" spans="1:29" x14ac:dyDescent="0.35">
      <c r="B47" t="s">
        <v>149</v>
      </c>
      <c r="D47" t="s">
        <v>31</v>
      </c>
      <c r="E47" s="80">
        <f>VLOOKUP(D47,'Bu Erta'!$C$2:$E$66,3,0)</f>
        <v>1000</v>
      </c>
      <c r="F47">
        <v>1</v>
      </c>
      <c r="G47" s="80">
        <f t="shared" si="0"/>
        <v>1000</v>
      </c>
      <c r="H47" s="80">
        <f>VLOOKUP(D47,'Bu Erta'!$C$2:$F$66,4,0)*F47</f>
        <v>1100</v>
      </c>
      <c r="J47" s="4">
        <f>X56-GETPIVOTDATA("Sum of Total Harga",$J$2)</f>
        <v>238782.5</v>
      </c>
      <c r="N47" s="44">
        <v>44</v>
      </c>
      <c r="O47" s="17" t="s">
        <v>54</v>
      </c>
      <c r="P47" s="93">
        <f>VLOOKUP(O47,'Bu Erta'!$C$2:$F$66,4,0)</f>
        <v>650</v>
      </c>
      <c r="Q47" s="94">
        <f t="shared" si="1"/>
        <v>0</v>
      </c>
      <c r="R47" s="93">
        <f t="shared" si="2"/>
        <v>0</v>
      </c>
      <c r="T47" s="44">
        <v>44</v>
      </c>
      <c r="U47" s="17" t="s">
        <v>403</v>
      </c>
      <c r="V47" s="93">
        <f>VLOOKUP(U47,KamiBox!$C$2:$F$54,4,0)</f>
        <v>700</v>
      </c>
      <c r="W47" s="94">
        <v>1.85</v>
      </c>
      <c r="X47" s="93">
        <f t="shared" si="3"/>
        <v>1295</v>
      </c>
      <c r="Z47" s="44">
        <v>44</v>
      </c>
      <c r="AA47" s="17" t="s">
        <v>403</v>
      </c>
      <c r="AB47" s="94">
        <v>1.85</v>
      </c>
    </row>
    <row r="48" spans="1:29" x14ac:dyDescent="0.35">
      <c r="B48" t="s">
        <v>149</v>
      </c>
      <c r="D48" t="s">
        <v>29</v>
      </c>
      <c r="E48" s="80">
        <f>VLOOKUP(D48,'Bu Erta'!$C$2:$E$66,3,0)</f>
        <v>5000</v>
      </c>
      <c r="F48">
        <f>0.75</f>
        <v>0.75</v>
      </c>
      <c r="G48" s="80">
        <f t="shared" si="0"/>
        <v>3750</v>
      </c>
      <c r="H48" s="80">
        <f>VLOOKUP(D48,'Bu Erta'!$C$2:$F$66,4,0)*F48</f>
        <v>4500</v>
      </c>
      <c r="N48" s="44">
        <v>45</v>
      </c>
      <c r="O48" s="17" t="s">
        <v>55</v>
      </c>
      <c r="P48" s="93">
        <f>VLOOKUP(O48,'Bu Erta'!$C$2:$F$66,4,0)</f>
        <v>40000</v>
      </c>
      <c r="Q48" s="94">
        <f t="shared" si="1"/>
        <v>0</v>
      </c>
      <c r="R48" s="93">
        <f t="shared" si="2"/>
        <v>0</v>
      </c>
      <c r="T48" s="44">
        <v>45</v>
      </c>
      <c r="U48" s="17" t="s">
        <v>390</v>
      </c>
      <c r="V48" s="93">
        <f>VLOOKUP(U48,KamiBox!$C$2:$F$54,4,0)</f>
        <v>400</v>
      </c>
      <c r="W48" s="94">
        <v>1.45</v>
      </c>
      <c r="X48" s="93">
        <f t="shared" si="3"/>
        <v>580</v>
      </c>
      <c r="Z48" s="44">
        <v>45</v>
      </c>
      <c r="AA48" s="17" t="s">
        <v>390</v>
      </c>
      <c r="AB48" s="94">
        <v>1.45</v>
      </c>
    </row>
    <row r="49" spans="1:28" x14ac:dyDescent="0.35">
      <c r="B49" t="s">
        <v>149</v>
      </c>
      <c r="D49" t="s">
        <v>7</v>
      </c>
      <c r="E49" s="80">
        <f>VLOOKUP(D49,'Bu Erta'!$C$2:$E$66,3,0)</f>
        <v>1400</v>
      </c>
      <c r="F49">
        <v>0.95</v>
      </c>
      <c r="G49" s="80">
        <f t="shared" si="0"/>
        <v>1330</v>
      </c>
      <c r="H49" s="80">
        <f>VLOOKUP(D49,'Bu Erta'!$C$2:$F$66,4,0)*F49</f>
        <v>1520</v>
      </c>
      <c r="N49" s="44">
        <v>46</v>
      </c>
      <c r="O49" s="17" t="s">
        <v>56</v>
      </c>
      <c r="P49" s="93">
        <f>VLOOKUP(O49,'Bu Erta'!$C$2:$F$66,4,0)</f>
        <v>5500</v>
      </c>
      <c r="Q49" s="94">
        <f t="shared" si="1"/>
        <v>14.549999999999999</v>
      </c>
      <c r="R49" s="93">
        <f t="shared" si="2"/>
        <v>80025</v>
      </c>
      <c r="T49" s="44">
        <v>46</v>
      </c>
      <c r="U49" s="17" t="s">
        <v>66</v>
      </c>
      <c r="V49" s="93">
        <f>VLOOKUP(U49,KamiBox!$C$2:$F$54,4,0)</f>
        <v>60000</v>
      </c>
      <c r="W49" s="94"/>
      <c r="X49" s="93">
        <f t="shared" si="3"/>
        <v>0</v>
      </c>
      <c r="Z49" s="44">
        <v>46</v>
      </c>
      <c r="AA49" s="17" t="s">
        <v>66</v>
      </c>
      <c r="AB49" s="94"/>
    </row>
    <row r="50" spans="1:28" x14ac:dyDescent="0.35">
      <c r="B50" t="s">
        <v>149</v>
      </c>
      <c r="D50" t="s">
        <v>42</v>
      </c>
      <c r="E50" s="80">
        <f>VLOOKUP(D50,'Bu Erta'!$C$2:$E$66,3,0)</f>
        <v>1000</v>
      </c>
      <c r="F50">
        <v>6.2</v>
      </c>
      <c r="G50" s="80">
        <f t="shared" si="0"/>
        <v>6200</v>
      </c>
      <c r="H50" s="80">
        <f>VLOOKUP(D50,'Bu Erta'!$C$2:$F$66,4,0)*F50</f>
        <v>7440</v>
      </c>
      <c r="N50" s="44">
        <v>47</v>
      </c>
      <c r="O50" s="17" t="s">
        <v>88</v>
      </c>
      <c r="P50" s="93">
        <f>VLOOKUP(O50,'Bu Erta'!$C$2:$F$66,4,0)</f>
        <v>400</v>
      </c>
      <c r="Q50" s="94">
        <f t="shared" si="1"/>
        <v>25.75</v>
      </c>
      <c r="R50" s="93">
        <f t="shared" si="2"/>
        <v>10300</v>
      </c>
      <c r="T50" s="44">
        <v>47</v>
      </c>
      <c r="U50" s="17" t="s">
        <v>401</v>
      </c>
      <c r="V50" s="93">
        <f>VLOOKUP(U50,KamiBox!$C$2:$F$54,4,0)</f>
        <v>150</v>
      </c>
      <c r="W50" s="94"/>
      <c r="X50" s="93">
        <f t="shared" si="3"/>
        <v>0</v>
      </c>
      <c r="Z50" s="44">
        <v>47</v>
      </c>
      <c r="AA50" s="17" t="s">
        <v>401</v>
      </c>
      <c r="AB50" s="94"/>
    </row>
    <row r="51" spans="1:28" x14ac:dyDescent="0.35">
      <c r="A51" s="1">
        <v>7</v>
      </c>
      <c r="B51" t="s">
        <v>78</v>
      </c>
      <c r="C51" s="5">
        <v>2</v>
      </c>
      <c r="D51" t="s">
        <v>27</v>
      </c>
      <c r="E51" s="80">
        <f>VLOOKUP(D51,'Bu Erta'!$C$2:$E$66,3,0)</f>
        <v>2800</v>
      </c>
      <c r="F51">
        <v>0.5</v>
      </c>
      <c r="G51" s="80">
        <f t="shared" si="0"/>
        <v>1400</v>
      </c>
      <c r="H51" s="80">
        <f>VLOOKUP(D51,'Bu Erta'!$C$2:$F$66,4,0)*F51</f>
        <v>1550</v>
      </c>
      <c r="N51" s="44">
        <v>48</v>
      </c>
      <c r="O51" s="17" t="s">
        <v>57</v>
      </c>
      <c r="P51" s="93">
        <f>VLOOKUP(O51,'Bu Erta'!$C$2:$F$66,4,0)</f>
        <v>10000</v>
      </c>
      <c r="Q51" s="94">
        <f t="shared" si="1"/>
        <v>0</v>
      </c>
      <c r="R51" s="93">
        <f t="shared" si="2"/>
        <v>0</v>
      </c>
      <c r="T51" s="44">
        <v>48</v>
      </c>
      <c r="U51" s="17" t="s">
        <v>69</v>
      </c>
      <c r="V51" s="93">
        <f>VLOOKUP(U51,KamiBox!$C$2:$F$54,4,0)</f>
        <v>3000</v>
      </c>
      <c r="W51" s="94">
        <f>4.8-1.8</f>
        <v>3</v>
      </c>
      <c r="X51" s="93">
        <f t="shared" si="3"/>
        <v>9000</v>
      </c>
      <c r="Z51" s="44">
        <v>48</v>
      </c>
      <c r="AA51" s="17" t="s">
        <v>69</v>
      </c>
      <c r="AB51" s="94">
        <f>4.8-1.8</f>
        <v>3</v>
      </c>
    </row>
    <row r="52" spans="1:28" x14ac:dyDescent="0.35">
      <c r="B52" t="s">
        <v>78</v>
      </c>
      <c r="D52" t="s">
        <v>88</v>
      </c>
      <c r="E52" s="80">
        <f>VLOOKUP(D52,'Bu Erta'!$C$2:$E$66,3,0)</f>
        <v>300</v>
      </c>
      <c r="F52">
        <v>0.1</v>
      </c>
      <c r="G52" s="80">
        <f t="shared" si="0"/>
        <v>30</v>
      </c>
      <c r="H52" s="80">
        <f>VLOOKUP(D52,'Bu Erta'!$C$2:$F$66,4,0)*F52</f>
        <v>40</v>
      </c>
      <c r="N52" s="44">
        <v>49</v>
      </c>
      <c r="O52" s="17" t="s">
        <v>58</v>
      </c>
      <c r="P52" s="93">
        <f>VLOOKUP(O52,'Bu Erta'!$C$2:$F$66,4,0)</f>
        <v>15000</v>
      </c>
      <c r="Q52" s="94">
        <f t="shared" si="1"/>
        <v>0</v>
      </c>
      <c r="R52" s="93">
        <f t="shared" si="2"/>
        <v>0</v>
      </c>
      <c r="T52" s="44">
        <v>49</v>
      </c>
      <c r="U52" s="17" t="s">
        <v>70</v>
      </c>
      <c r="V52" s="93">
        <f>VLOOKUP(U52,KamiBox!$C$2:$F$54,4,0)</f>
        <v>4500</v>
      </c>
      <c r="W52" s="94">
        <f>0.35+1.8</f>
        <v>2.15</v>
      </c>
      <c r="X52" s="93">
        <f t="shared" si="3"/>
        <v>9675</v>
      </c>
      <c r="Z52" s="44">
        <v>49</v>
      </c>
      <c r="AA52" s="17" t="s">
        <v>70</v>
      </c>
      <c r="AB52" s="94">
        <f>0.35+1.8</f>
        <v>2.15</v>
      </c>
    </row>
    <row r="53" spans="1:28" x14ac:dyDescent="0.35">
      <c r="B53" t="s">
        <v>78</v>
      </c>
      <c r="D53" t="s">
        <v>7</v>
      </c>
      <c r="E53" s="80">
        <f>VLOOKUP(D53,'Bu Erta'!$C$2:$E$66,3,0)</f>
        <v>1400</v>
      </c>
      <c r="F53">
        <v>1.65</v>
      </c>
      <c r="G53" s="80">
        <f t="shared" si="0"/>
        <v>2310</v>
      </c>
      <c r="H53" s="80">
        <f>VLOOKUP(D53,'Bu Erta'!$C$2:$F$66,4,0)*F53</f>
        <v>2640</v>
      </c>
      <c r="N53" s="44">
        <v>50</v>
      </c>
      <c r="O53" s="17" t="s">
        <v>6</v>
      </c>
      <c r="P53" s="93">
        <f>VLOOKUP(O53,'Bu Erta'!$C$2:$F$66,4,0)</f>
        <v>2500</v>
      </c>
      <c r="Q53" s="94">
        <f t="shared" si="1"/>
        <v>1.2</v>
      </c>
      <c r="R53" s="93">
        <f t="shared" si="2"/>
        <v>3000</v>
      </c>
      <c r="T53" s="44">
        <v>50</v>
      </c>
      <c r="U53" s="17" t="s">
        <v>410</v>
      </c>
      <c r="V53" s="93">
        <f>VLOOKUP(U53,KamiBox!$C$2:$F$54,4,0)</f>
        <v>20000</v>
      </c>
      <c r="W53" s="94"/>
      <c r="X53" s="93">
        <f t="shared" si="3"/>
        <v>0</v>
      </c>
      <c r="Z53" s="44">
        <v>50</v>
      </c>
      <c r="AA53" s="17" t="s">
        <v>410</v>
      </c>
      <c r="AB53" s="94"/>
    </row>
    <row r="54" spans="1:28" x14ac:dyDescent="0.35">
      <c r="A54" s="1">
        <v>8</v>
      </c>
      <c r="B54" t="s">
        <v>111</v>
      </c>
      <c r="C54" s="5">
        <v>5</v>
      </c>
      <c r="D54" t="s">
        <v>7</v>
      </c>
      <c r="E54" s="80">
        <f>VLOOKUP(D54,'Bu Erta'!$C$2:$E$66,3,0)</f>
        <v>1400</v>
      </c>
      <c r="F54">
        <f>0.4+0.85+0.2</f>
        <v>1.45</v>
      </c>
      <c r="G54" s="80">
        <f t="shared" si="0"/>
        <v>2030</v>
      </c>
      <c r="H54" s="80">
        <f>VLOOKUP(D54,'Bu Erta'!$C$2:$F$66,4,0)*F54</f>
        <v>2320</v>
      </c>
      <c r="N54" s="44">
        <v>51</v>
      </c>
      <c r="O54" s="17" t="s">
        <v>59</v>
      </c>
      <c r="P54" s="93">
        <f>VLOOKUP(O54,'Bu Erta'!$C$2:$F$66,4,0)</f>
        <v>600</v>
      </c>
      <c r="Q54" s="94">
        <f t="shared" si="1"/>
        <v>0</v>
      </c>
      <c r="R54" s="93">
        <f t="shared" si="2"/>
        <v>0</v>
      </c>
      <c r="T54" s="44">
        <v>51</v>
      </c>
      <c r="U54" s="17" t="s">
        <v>392</v>
      </c>
      <c r="V54" s="93">
        <f>VLOOKUP(U54,KamiBox!$C$2:$F$54,4,0)</f>
        <v>1000</v>
      </c>
      <c r="W54" s="94"/>
      <c r="X54" s="93">
        <f t="shared" si="3"/>
        <v>0</v>
      </c>
      <c r="Z54" s="44">
        <v>51</v>
      </c>
      <c r="AA54" s="17" t="s">
        <v>392</v>
      </c>
      <c r="AB54" s="94"/>
    </row>
    <row r="55" spans="1:28" x14ac:dyDescent="0.35">
      <c r="B55" t="s">
        <v>111</v>
      </c>
      <c r="D55" t="s">
        <v>41</v>
      </c>
      <c r="E55" s="80">
        <f>VLOOKUP(D55,'Bu Erta'!$C$2:$E$66,3,0)</f>
        <v>1500</v>
      </c>
      <c r="F55">
        <v>0.15</v>
      </c>
      <c r="G55" s="80">
        <f t="shared" si="0"/>
        <v>225</v>
      </c>
      <c r="H55" s="80">
        <f>VLOOKUP(D55,'Bu Erta'!$C$2:$F$66,4,0)*F55</f>
        <v>300</v>
      </c>
      <c r="N55" s="44">
        <v>52</v>
      </c>
      <c r="O55" s="17" t="s">
        <v>60</v>
      </c>
      <c r="P55" s="93">
        <f>VLOOKUP(O55,'Bu Erta'!$C$2:$F$66,4,0)</f>
        <v>1500</v>
      </c>
      <c r="Q55" s="94">
        <f t="shared" si="1"/>
        <v>0</v>
      </c>
      <c r="R55" s="93">
        <f t="shared" si="2"/>
        <v>0</v>
      </c>
      <c r="T55" s="44">
        <v>52</v>
      </c>
      <c r="U55" s="17" t="s">
        <v>44</v>
      </c>
      <c r="V55" s="93">
        <f>VLOOKUP(U55,KamiBox!$C$2:$F$54,4,0)</f>
        <v>1200</v>
      </c>
      <c r="W55" s="94">
        <v>6.3</v>
      </c>
      <c r="X55" s="93">
        <f t="shared" si="3"/>
        <v>7560</v>
      </c>
      <c r="Z55" s="44">
        <v>52</v>
      </c>
      <c r="AA55" s="17" t="s">
        <v>44</v>
      </c>
      <c r="AB55" s="94">
        <v>6.3</v>
      </c>
    </row>
    <row r="56" spans="1:28" x14ac:dyDescent="0.35">
      <c r="B56" t="s">
        <v>111</v>
      </c>
      <c r="D56" t="s">
        <v>42</v>
      </c>
      <c r="E56" s="80">
        <f>VLOOKUP(D56,'Bu Erta'!$C$2:$E$66,3,0)</f>
        <v>1000</v>
      </c>
      <c r="F56">
        <f>2.3+0.1</f>
        <v>2.4</v>
      </c>
      <c r="G56" s="80">
        <f t="shared" si="0"/>
        <v>2400</v>
      </c>
      <c r="H56" s="80">
        <f>VLOOKUP(D56,'Bu Erta'!$C$2:$F$66,4,0)*F56</f>
        <v>2880</v>
      </c>
      <c r="N56" s="44">
        <v>53</v>
      </c>
      <c r="O56" s="17" t="s">
        <v>61</v>
      </c>
      <c r="P56" s="93">
        <f>VLOOKUP(O56,'Bu Erta'!$C$2:$F$66,4,0)</f>
        <v>900</v>
      </c>
      <c r="Q56" s="94">
        <f t="shared" si="1"/>
        <v>3.65</v>
      </c>
      <c r="R56" s="93">
        <f t="shared" si="2"/>
        <v>3285</v>
      </c>
      <c r="T56" s="17"/>
      <c r="U56" s="17"/>
      <c r="V56" s="95" t="s">
        <v>130</v>
      </c>
      <c r="W56" s="95">
        <f>SUM(W4:W55)</f>
        <v>448.74999999999994</v>
      </c>
      <c r="X56" s="87">
        <f>SUM(X4:X55)</f>
        <v>782105</v>
      </c>
      <c r="Z56" s="44"/>
      <c r="AA56" s="98" t="s">
        <v>12</v>
      </c>
      <c r="AB56" s="95">
        <f>SUM(AB4:AB55)</f>
        <v>421.6</v>
      </c>
    </row>
    <row r="57" spans="1:28" x14ac:dyDescent="0.35">
      <c r="B57" t="s">
        <v>111</v>
      </c>
      <c r="D57" t="s">
        <v>23</v>
      </c>
      <c r="E57" s="80">
        <f>VLOOKUP(D57,'Bu Erta'!$C$2:$E$66,3,0)</f>
        <v>300</v>
      </c>
      <c r="F57">
        <f>0.3+0.45+0.55+0.65+0.05</f>
        <v>2</v>
      </c>
      <c r="G57" s="80">
        <f t="shared" ref="G57:G120" si="4">E57*F57</f>
        <v>600</v>
      </c>
      <c r="H57" s="80">
        <f>VLOOKUP(D57,'Bu Erta'!$C$2:$F$66,4,0)*F57</f>
        <v>800</v>
      </c>
      <c r="N57" s="44">
        <v>54</v>
      </c>
      <c r="O57" s="17" t="s">
        <v>62</v>
      </c>
      <c r="P57" s="93">
        <f>VLOOKUP(O57,'Bu Erta'!$C$2:$F$66,4,0)</f>
        <v>500</v>
      </c>
      <c r="Q57" s="94">
        <f t="shared" si="1"/>
        <v>0</v>
      </c>
      <c r="R57" s="93">
        <f t="shared" si="2"/>
        <v>0</v>
      </c>
      <c r="T57" s="1"/>
      <c r="V57" s="101"/>
      <c r="W57" s="99"/>
      <c r="X57" s="101"/>
      <c r="Z57" s="1"/>
      <c r="AB57" s="99"/>
    </row>
    <row r="58" spans="1:28" x14ac:dyDescent="0.35">
      <c r="B58" t="s">
        <v>111</v>
      </c>
      <c r="D58" t="s">
        <v>24</v>
      </c>
      <c r="E58" s="80">
        <f>VLOOKUP(D58,'Bu Erta'!$C$2:$E$66,3,0)</f>
        <v>150</v>
      </c>
      <c r="F58">
        <f>0.2+0.1+0.6</f>
        <v>0.9</v>
      </c>
      <c r="G58" s="80">
        <f t="shared" si="4"/>
        <v>135</v>
      </c>
      <c r="H58" s="80">
        <f>VLOOKUP(D58,'Bu Erta'!$C$2:$F$66,4,0)*F58</f>
        <v>180</v>
      </c>
      <c r="N58" s="44">
        <v>55</v>
      </c>
      <c r="O58" s="17" t="s">
        <v>63</v>
      </c>
      <c r="P58" s="93">
        <f>VLOOKUP(O58,'Bu Erta'!$C$2:$F$66,4,0)</f>
        <v>1000</v>
      </c>
      <c r="Q58" s="94">
        <f t="shared" si="1"/>
        <v>1.85</v>
      </c>
      <c r="R58" s="93">
        <f t="shared" si="2"/>
        <v>1850</v>
      </c>
      <c r="T58" s="1"/>
      <c r="V58" s="101"/>
      <c r="W58" s="99"/>
      <c r="X58" s="101"/>
      <c r="Z58" s="1"/>
      <c r="AB58" s="99"/>
    </row>
    <row r="59" spans="1:28" x14ac:dyDescent="0.35">
      <c r="B59" t="s">
        <v>111</v>
      </c>
      <c r="D59" t="s">
        <v>88</v>
      </c>
      <c r="E59" s="80">
        <f>VLOOKUP(D59,'Bu Erta'!$C$2:$E$66,3,0)</f>
        <v>300</v>
      </c>
      <c r="F59">
        <v>0.85</v>
      </c>
      <c r="G59" s="80">
        <f t="shared" si="4"/>
        <v>255</v>
      </c>
      <c r="H59" s="80">
        <f>VLOOKUP(D59,'Bu Erta'!$C$2:$F$66,4,0)*F59</f>
        <v>340</v>
      </c>
      <c r="N59" s="44">
        <v>56</v>
      </c>
      <c r="O59" s="17" t="s">
        <v>64</v>
      </c>
      <c r="P59" s="93">
        <f>VLOOKUP(O59,'Bu Erta'!$C$2:$F$66,4,0)</f>
        <v>900</v>
      </c>
      <c r="Q59" s="94">
        <f t="shared" si="1"/>
        <v>0</v>
      </c>
      <c r="R59" s="93">
        <f t="shared" si="2"/>
        <v>0</v>
      </c>
      <c r="T59" s="1"/>
      <c r="V59" s="101"/>
      <c r="W59" s="99"/>
      <c r="X59" s="101"/>
      <c r="Z59" s="1"/>
      <c r="AB59" s="99"/>
    </row>
    <row r="60" spans="1:28" x14ac:dyDescent="0.35">
      <c r="B60" t="s">
        <v>111</v>
      </c>
      <c r="D60" t="s">
        <v>27</v>
      </c>
      <c r="E60" s="80">
        <f>VLOOKUP(D60,'Bu Erta'!$C$2:$E$66,3,0)</f>
        <v>2800</v>
      </c>
      <c r="F60">
        <v>1.2</v>
      </c>
      <c r="G60" s="80">
        <f t="shared" si="4"/>
        <v>3360</v>
      </c>
      <c r="H60" s="80">
        <f>VLOOKUP(D60,'Bu Erta'!$C$2:$F$66,4,0)*F60</f>
        <v>3720</v>
      </c>
      <c r="N60" s="44">
        <v>57</v>
      </c>
      <c r="O60" s="17" t="s">
        <v>65</v>
      </c>
      <c r="P60" s="93">
        <f>VLOOKUP(O60,'Bu Erta'!$C$2:$F$66,4,0)</f>
        <v>200</v>
      </c>
      <c r="Q60" s="94">
        <f t="shared" si="1"/>
        <v>1.45</v>
      </c>
      <c r="R60" s="93">
        <f t="shared" si="2"/>
        <v>290</v>
      </c>
      <c r="T60" s="1"/>
      <c r="V60" s="101"/>
      <c r="W60" s="99"/>
      <c r="X60" s="101"/>
      <c r="Z60" s="1"/>
      <c r="AB60" s="99"/>
    </row>
    <row r="61" spans="1:28" x14ac:dyDescent="0.35">
      <c r="B61" t="s">
        <v>111</v>
      </c>
      <c r="D61" t="s">
        <v>25</v>
      </c>
      <c r="E61" s="80">
        <f>VLOOKUP(D61,'Bu Erta'!$C$2:$E$66,3,0)</f>
        <v>1600</v>
      </c>
      <c r="F61">
        <v>0.2</v>
      </c>
      <c r="G61" s="80">
        <f t="shared" si="4"/>
        <v>320</v>
      </c>
      <c r="H61" s="80">
        <f>VLOOKUP(D61,'Bu Erta'!$C$2:$F$66,4,0)*F61</f>
        <v>340</v>
      </c>
      <c r="N61" s="44">
        <v>58</v>
      </c>
      <c r="O61" s="17" t="s">
        <v>66</v>
      </c>
      <c r="P61" s="93">
        <f>VLOOKUP(O61,'Bu Erta'!$C$2:$F$66,4,0)</f>
        <v>55000</v>
      </c>
      <c r="Q61" s="94">
        <f t="shared" si="1"/>
        <v>0</v>
      </c>
      <c r="R61" s="93">
        <f t="shared" si="2"/>
        <v>0</v>
      </c>
      <c r="T61" s="1"/>
      <c r="V61" s="101"/>
      <c r="W61" s="99"/>
      <c r="X61" s="101"/>
      <c r="Z61" s="1"/>
      <c r="AB61" s="99"/>
    </row>
    <row r="62" spans="1:28" x14ac:dyDescent="0.35">
      <c r="B62" t="s">
        <v>111</v>
      </c>
      <c r="D62" t="s">
        <v>31</v>
      </c>
      <c r="E62" s="80">
        <f>VLOOKUP(D62,'Bu Erta'!$C$2:$E$66,3,0)</f>
        <v>1000</v>
      </c>
      <c r="F62">
        <v>0.15</v>
      </c>
      <c r="G62" s="80">
        <f t="shared" si="4"/>
        <v>150</v>
      </c>
      <c r="H62" s="80">
        <f>VLOOKUP(D62,'Bu Erta'!$C$2:$F$66,4,0)*F62</f>
        <v>165</v>
      </c>
      <c r="N62" s="44">
        <v>59</v>
      </c>
      <c r="O62" s="17" t="s">
        <v>67</v>
      </c>
      <c r="P62" s="93">
        <f>VLOOKUP(O62,'Bu Erta'!$C$2:$F$66,4,0)</f>
        <v>3000</v>
      </c>
      <c r="Q62" s="94">
        <f t="shared" si="1"/>
        <v>1</v>
      </c>
      <c r="R62" s="93">
        <f t="shared" si="2"/>
        <v>3000</v>
      </c>
      <c r="T62" s="1"/>
      <c r="V62" s="101"/>
      <c r="W62" s="99"/>
      <c r="X62" s="101"/>
      <c r="Z62" s="1"/>
      <c r="AB62" s="99"/>
    </row>
    <row r="63" spans="1:28" x14ac:dyDescent="0.35">
      <c r="A63" s="1">
        <v>9</v>
      </c>
      <c r="B63" t="s">
        <v>195</v>
      </c>
      <c r="C63" s="5">
        <v>1</v>
      </c>
      <c r="D63" t="s">
        <v>25</v>
      </c>
      <c r="E63" s="80">
        <f>VLOOKUP(D63,'Bu Erta'!$C$2:$E$66,3,0)</f>
        <v>1600</v>
      </c>
      <c r="F63">
        <f>1.3+1.1</f>
        <v>2.4000000000000004</v>
      </c>
      <c r="G63" s="80">
        <f t="shared" si="4"/>
        <v>3840.0000000000005</v>
      </c>
      <c r="H63" s="80">
        <f>VLOOKUP(D63,'Bu Erta'!$C$2:$F$66,4,0)*F63</f>
        <v>4080.0000000000005</v>
      </c>
      <c r="N63" s="44">
        <v>60</v>
      </c>
      <c r="O63" s="17" t="s">
        <v>68</v>
      </c>
      <c r="P63" s="93">
        <f>VLOOKUP(O63,'Bu Erta'!$C$2:$F$66,4,0)</f>
        <v>200</v>
      </c>
      <c r="Q63" s="94">
        <f t="shared" si="1"/>
        <v>0</v>
      </c>
      <c r="R63" s="93">
        <f t="shared" si="2"/>
        <v>0</v>
      </c>
      <c r="T63" s="1"/>
      <c r="V63" s="101"/>
      <c r="W63" s="99"/>
      <c r="X63" s="101"/>
      <c r="Z63" s="1"/>
      <c r="AB63" s="99"/>
    </row>
    <row r="64" spans="1:28" x14ac:dyDescent="0.35">
      <c r="B64" t="s">
        <v>195</v>
      </c>
      <c r="D64" t="s">
        <v>31</v>
      </c>
      <c r="E64" s="80">
        <f>VLOOKUP(D64,'Bu Erta'!$C$2:$E$66,3,0)</f>
        <v>1000</v>
      </c>
      <c r="F64">
        <v>1.65</v>
      </c>
      <c r="G64" s="80">
        <f t="shared" si="4"/>
        <v>1650</v>
      </c>
      <c r="H64" s="80">
        <f>VLOOKUP(D64,'Bu Erta'!$C$2:$F$66,4,0)*F64</f>
        <v>1815</v>
      </c>
      <c r="N64" s="44">
        <v>61</v>
      </c>
      <c r="O64" s="17" t="s">
        <v>69</v>
      </c>
      <c r="P64" s="93">
        <f>VLOOKUP(O64,'Bu Erta'!$C$2:$F$66,4,0)</f>
        <v>3000</v>
      </c>
      <c r="Q64" s="94">
        <f t="shared" si="1"/>
        <v>4.8000000000000007</v>
      </c>
      <c r="R64" s="93">
        <f t="shared" si="2"/>
        <v>14400.000000000002</v>
      </c>
      <c r="T64" s="1"/>
      <c r="V64" s="101"/>
      <c r="W64" s="99"/>
      <c r="X64" s="101"/>
      <c r="Z64" s="1"/>
      <c r="AB64" s="99"/>
    </row>
    <row r="65" spans="1:28" x14ac:dyDescent="0.35">
      <c r="B65" t="s">
        <v>195</v>
      </c>
      <c r="D65" t="s">
        <v>88</v>
      </c>
      <c r="E65" s="80">
        <f>VLOOKUP(D65,'Bu Erta'!$C$2:$E$66,3,0)</f>
        <v>300</v>
      </c>
      <c r="F65">
        <v>4.6500000000000004</v>
      </c>
      <c r="G65" s="80">
        <f t="shared" si="4"/>
        <v>1395</v>
      </c>
      <c r="H65" s="80">
        <f>VLOOKUP(D65,'Bu Erta'!$C$2:$F$66,4,0)*F65</f>
        <v>1860.0000000000002</v>
      </c>
      <c r="N65" s="44">
        <v>62</v>
      </c>
      <c r="O65" s="17" t="s">
        <v>70</v>
      </c>
      <c r="P65" s="93">
        <f>VLOOKUP(O65,'Bu Erta'!$C$2:$F$66,4,0)</f>
        <v>4000</v>
      </c>
      <c r="Q65" s="94">
        <f t="shared" si="1"/>
        <v>0.35</v>
      </c>
      <c r="R65" s="93">
        <f t="shared" si="2"/>
        <v>1400</v>
      </c>
      <c r="T65" s="1"/>
      <c r="V65" s="101"/>
      <c r="W65" s="99"/>
      <c r="X65" s="101"/>
      <c r="Z65" s="1"/>
      <c r="AB65" s="99"/>
    </row>
    <row r="66" spans="1:28" x14ac:dyDescent="0.35">
      <c r="B66" t="s">
        <v>195</v>
      </c>
      <c r="D66" t="s">
        <v>42</v>
      </c>
      <c r="E66" s="80">
        <f>VLOOKUP(D66,'Bu Erta'!$C$2:$E$66,3,0)</f>
        <v>1000</v>
      </c>
      <c r="F66">
        <v>0.4</v>
      </c>
      <c r="G66" s="80">
        <f t="shared" si="4"/>
        <v>400</v>
      </c>
      <c r="H66" s="80">
        <f>VLOOKUP(D66,'Bu Erta'!$C$2:$F$66,4,0)*F66</f>
        <v>480</v>
      </c>
      <c r="N66" s="44">
        <v>63</v>
      </c>
      <c r="O66" s="17" t="s">
        <v>71</v>
      </c>
      <c r="P66" s="93">
        <f>VLOOKUP(O66,'Bu Erta'!$C$2:$F$66,4,0)</f>
        <v>10000</v>
      </c>
      <c r="Q66" s="94">
        <f t="shared" si="1"/>
        <v>0</v>
      </c>
      <c r="R66" s="93">
        <f t="shared" si="2"/>
        <v>0</v>
      </c>
      <c r="T66" s="1"/>
      <c r="V66" s="101"/>
      <c r="W66" s="99"/>
      <c r="X66" s="101"/>
      <c r="Z66" s="1"/>
      <c r="AB66" s="99"/>
    </row>
    <row r="67" spans="1:28" x14ac:dyDescent="0.35">
      <c r="B67" t="s">
        <v>195</v>
      </c>
      <c r="D67" t="s">
        <v>7</v>
      </c>
      <c r="E67" s="80">
        <f>VLOOKUP(D67,'Bu Erta'!$C$2:$E$66,3,0)</f>
        <v>1400</v>
      </c>
      <c r="F67">
        <f>1.65+0.25</f>
        <v>1.9</v>
      </c>
      <c r="G67" s="80">
        <f t="shared" si="4"/>
        <v>2660</v>
      </c>
      <c r="H67" s="80">
        <f>VLOOKUP(D67,'Bu Erta'!$C$2:$F$66,4,0)*F67</f>
        <v>3040</v>
      </c>
      <c r="N67" s="44">
        <v>64</v>
      </c>
      <c r="O67" s="17" t="s">
        <v>72</v>
      </c>
      <c r="P67" s="93">
        <f>VLOOKUP(O67,'Bu Erta'!$C$2:$F$66,4,0)</f>
        <v>15000</v>
      </c>
      <c r="Q67" s="94">
        <f t="shared" si="1"/>
        <v>0</v>
      </c>
      <c r="R67" s="93">
        <f t="shared" si="2"/>
        <v>0</v>
      </c>
      <c r="T67" s="1"/>
      <c r="V67" s="101"/>
      <c r="W67" s="99"/>
      <c r="X67" s="101"/>
      <c r="Z67" s="1"/>
      <c r="AB67" s="99"/>
    </row>
    <row r="68" spans="1:28" x14ac:dyDescent="0.35">
      <c r="B68" t="s">
        <v>195</v>
      </c>
      <c r="C68" s="1" t="s">
        <v>371</v>
      </c>
      <c r="D68" t="s">
        <v>42</v>
      </c>
      <c r="E68" s="80">
        <f>VLOOKUP(D68,'Bu Erta'!$C$2:$E$66,3,0)</f>
        <v>1000</v>
      </c>
      <c r="F68">
        <v>2</v>
      </c>
      <c r="G68" s="80">
        <f t="shared" si="4"/>
        <v>2000</v>
      </c>
      <c r="H68" s="80">
        <f>VLOOKUP(D68,'Bu Erta'!$C$2:$F$66,4,0)*F68</f>
        <v>2400</v>
      </c>
      <c r="N68" s="17"/>
      <c r="O68" s="17"/>
      <c r="P68" s="95" t="s">
        <v>130</v>
      </c>
      <c r="Q68" s="95">
        <f>SUM(Q4:Q67)</f>
        <v>397.9500000000001</v>
      </c>
      <c r="R68" s="87">
        <f>SUM(R4:R67)</f>
        <v>643255</v>
      </c>
    </row>
    <row r="69" spans="1:28" x14ac:dyDescent="0.35">
      <c r="A69" s="1">
        <v>10</v>
      </c>
      <c r="B69" t="s">
        <v>142</v>
      </c>
      <c r="C69" s="5">
        <v>4</v>
      </c>
      <c r="D69" t="s">
        <v>27</v>
      </c>
      <c r="E69" s="80">
        <f>VLOOKUP(D69,'Bu Erta'!$C$2:$E$66,3,0)</f>
        <v>2800</v>
      </c>
      <c r="F69">
        <f>0.7+0.55</f>
        <v>1.25</v>
      </c>
      <c r="G69" s="80">
        <f t="shared" si="4"/>
        <v>3500</v>
      </c>
      <c r="H69" s="80">
        <f>VLOOKUP(D69,'Bu Erta'!$C$2:$F$66,4,0)*F69</f>
        <v>3875</v>
      </c>
    </row>
    <row r="70" spans="1:28" x14ac:dyDescent="0.35">
      <c r="B70" t="s">
        <v>142</v>
      </c>
      <c r="D70" t="s">
        <v>69</v>
      </c>
      <c r="E70" s="80">
        <f>VLOOKUP(D70,'Bu Erta'!$C$2:$E$66,3,0)</f>
        <v>2500</v>
      </c>
      <c r="F70">
        <v>0.1</v>
      </c>
      <c r="G70" s="80">
        <f t="shared" si="4"/>
        <v>250</v>
      </c>
      <c r="H70" s="80">
        <f>VLOOKUP(D70,'Bu Erta'!$C$2:$F$66,4,0)*F70</f>
        <v>300</v>
      </c>
    </row>
    <row r="71" spans="1:28" x14ac:dyDescent="0.35">
      <c r="B71" t="s">
        <v>142</v>
      </c>
      <c r="D71" t="s">
        <v>56</v>
      </c>
      <c r="E71" s="80">
        <f>VLOOKUP(D71,'Bu Erta'!$C$2:$E$66,3,0)</f>
        <v>4000</v>
      </c>
      <c r="F71">
        <v>1.35</v>
      </c>
      <c r="G71" s="80">
        <f t="shared" si="4"/>
        <v>5400</v>
      </c>
      <c r="H71" s="80">
        <f>VLOOKUP(D71,'Bu Erta'!$C$2:$F$66,4,0)*F71</f>
        <v>7425.0000000000009</v>
      </c>
      <c r="R71" s="4">
        <f>X56-R68</f>
        <v>138850</v>
      </c>
    </row>
    <row r="72" spans="1:28" x14ac:dyDescent="0.35">
      <c r="B72" t="s">
        <v>142</v>
      </c>
      <c r="D72" t="s">
        <v>88</v>
      </c>
      <c r="E72" s="80">
        <f>VLOOKUP(D72,'Bu Erta'!$C$2:$E$66,3,0)</f>
        <v>300</v>
      </c>
      <c r="F72">
        <v>0.25</v>
      </c>
      <c r="G72" s="80">
        <f t="shared" si="4"/>
        <v>75</v>
      </c>
      <c r="H72" s="80">
        <f>VLOOKUP(D72,'Bu Erta'!$C$2:$F$66,4,0)*F72</f>
        <v>100</v>
      </c>
    </row>
    <row r="73" spans="1:28" x14ac:dyDescent="0.35">
      <c r="B73" t="s">
        <v>142</v>
      </c>
      <c r="D73" t="s">
        <v>61</v>
      </c>
      <c r="E73" s="80">
        <f>VLOOKUP(D73,'Bu Erta'!$C$2:$E$66,3,0)</f>
        <v>800</v>
      </c>
      <c r="F73">
        <v>0.15</v>
      </c>
      <c r="G73" s="80">
        <f t="shared" si="4"/>
        <v>120</v>
      </c>
      <c r="H73" s="80">
        <f>VLOOKUP(D73,'Bu Erta'!$C$2:$F$66,4,0)*F73</f>
        <v>135</v>
      </c>
    </row>
    <row r="74" spans="1:28" x14ac:dyDescent="0.35">
      <c r="B74" t="s">
        <v>142</v>
      </c>
      <c r="D74" t="s">
        <v>7</v>
      </c>
      <c r="E74" s="80">
        <f>VLOOKUP(D74,'Bu Erta'!$C$2:$E$66,3,0)</f>
        <v>1400</v>
      </c>
      <c r="F74">
        <f>0.55+0.4</f>
        <v>0.95000000000000007</v>
      </c>
      <c r="G74" s="80">
        <f t="shared" si="4"/>
        <v>1330</v>
      </c>
      <c r="H74" s="80">
        <f>VLOOKUP(D74,'Bu Erta'!$C$2:$F$66,4,0)*F74</f>
        <v>1520</v>
      </c>
    </row>
    <row r="75" spans="1:28" x14ac:dyDescent="0.35">
      <c r="B75" t="s">
        <v>142</v>
      </c>
      <c r="D75" t="s">
        <v>22</v>
      </c>
      <c r="E75" s="80">
        <f>VLOOKUP(D75,'Bu Erta'!$C$2:$E$66,3,0)</f>
        <v>2500</v>
      </c>
      <c r="F75">
        <v>1.7</v>
      </c>
      <c r="G75" s="80">
        <f t="shared" si="4"/>
        <v>4250</v>
      </c>
      <c r="H75" s="80">
        <f>VLOOKUP(D75,'Bu Erta'!$C$2:$F$66,4,0)*F75</f>
        <v>5100</v>
      </c>
    </row>
    <row r="76" spans="1:28" x14ac:dyDescent="0.35">
      <c r="B76" t="s">
        <v>142</v>
      </c>
      <c r="D76" t="s">
        <v>41</v>
      </c>
      <c r="E76" s="80">
        <f>VLOOKUP(D76,'Bu Erta'!$C$2:$E$66,3,0)</f>
        <v>1500</v>
      </c>
      <c r="F76">
        <v>0.25</v>
      </c>
      <c r="G76" s="80">
        <f t="shared" si="4"/>
        <v>375</v>
      </c>
      <c r="H76" s="80">
        <f>VLOOKUP(D76,'Bu Erta'!$C$2:$F$66,4,0)*F76</f>
        <v>500</v>
      </c>
    </row>
    <row r="77" spans="1:28" x14ac:dyDescent="0.35">
      <c r="A77" s="1">
        <v>11</v>
      </c>
      <c r="B77" t="s">
        <v>102</v>
      </c>
      <c r="C77" s="5">
        <v>4</v>
      </c>
      <c r="D77" t="s">
        <v>27</v>
      </c>
      <c r="E77" s="80">
        <f>VLOOKUP(D77,'Bu Erta'!$C$2:$E$66,3,0)</f>
        <v>2800</v>
      </c>
      <c r="F77">
        <v>3.25</v>
      </c>
      <c r="G77" s="80">
        <f t="shared" si="4"/>
        <v>9100</v>
      </c>
      <c r="H77" s="80">
        <f>VLOOKUP(D77,'Bu Erta'!$C$2:$F$66,4,0)*F77</f>
        <v>10075</v>
      </c>
    </row>
    <row r="78" spans="1:28" x14ac:dyDescent="0.35">
      <c r="B78" t="s">
        <v>102</v>
      </c>
      <c r="D78" t="s">
        <v>7</v>
      </c>
      <c r="E78" s="80">
        <f>VLOOKUP(D78,'Bu Erta'!$C$2:$E$66,3,0)</f>
        <v>1400</v>
      </c>
      <c r="F78">
        <f>1.9+0.7+0.95+0.35</f>
        <v>3.9</v>
      </c>
      <c r="G78" s="80">
        <f t="shared" si="4"/>
        <v>5460</v>
      </c>
      <c r="H78" s="80">
        <f>VLOOKUP(D78,'Bu Erta'!$C$2:$F$66,4,0)*F78</f>
        <v>6240</v>
      </c>
    </row>
    <row r="79" spans="1:28" x14ac:dyDescent="0.35">
      <c r="B79" t="s">
        <v>102</v>
      </c>
      <c r="D79" t="s">
        <v>69</v>
      </c>
      <c r="E79" s="80">
        <f>VLOOKUP(D79,'Bu Erta'!$C$2:$E$66,3,0)</f>
        <v>2500</v>
      </c>
      <c r="F79">
        <v>0.65</v>
      </c>
      <c r="G79" s="80">
        <f t="shared" si="4"/>
        <v>1625</v>
      </c>
      <c r="H79" s="80">
        <f>VLOOKUP(D79,'Bu Erta'!$C$2:$F$66,4,0)*F79</f>
        <v>1950</v>
      </c>
    </row>
    <row r="80" spans="1:28" x14ac:dyDescent="0.35">
      <c r="B80" t="s">
        <v>102</v>
      </c>
      <c r="D80" t="s">
        <v>41</v>
      </c>
      <c r="E80" s="80">
        <f>VLOOKUP(D80,'Bu Erta'!$C$2:$E$66,3,0)</f>
        <v>1500</v>
      </c>
      <c r="F80">
        <v>0.75</v>
      </c>
      <c r="G80" s="80">
        <f t="shared" si="4"/>
        <v>1125</v>
      </c>
      <c r="H80" s="80">
        <f>VLOOKUP(D80,'Bu Erta'!$C$2:$F$66,4,0)*F80</f>
        <v>1500</v>
      </c>
    </row>
    <row r="81" spans="1:8" x14ac:dyDescent="0.35">
      <c r="B81" t="s">
        <v>102</v>
      </c>
      <c r="D81" t="s">
        <v>42</v>
      </c>
      <c r="E81" s="80">
        <f>VLOOKUP(D81,'Bu Erta'!$C$2:$E$66,3,0)</f>
        <v>1000</v>
      </c>
      <c r="F81">
        <v>4.7</v>
      </c>
      <c r="G81" s="80">
        <f t="shared" si="4"/>
        <v>4700</v>
      </c>
      <c r="H81" s="80">
        <f>VLOOKUP(D81,'Bu Erta'!$C$2:$F$66,4,0)*F81</f>
        <v>5640</v>
      </c>
    </row>
    <row r="82" spans="1:8" x14ac:dyDescent="0.35">
      <c r="B82" t="s">
        <v>102</v>
      </c>
      <c r="D82" t="s">
        <v>88</v>
      </c>
      <c r="E82" s="80">
        <f>VLOOKUP(D82,'Bu Erta'!$C$2:$E$66,3,0)</f>
        <v>300</v>
      </c>
      <c r="F82">
        <v>2</v>
      </c>
      <c r="G82" s="80">
        <f t="shared" si="4"/>
        <v>600</v>
      </c>
      <c r="H82" s="80">
        <f>VLOOKUP(D82,'Bu Erta'!$C$2:$F$66,4,0)*F82</f>
        <v>800</v>
      </c>
    </row>
    <row r="83" spans="1:8" x14ac:dyDescent="0.35">
      <c r="B83" t="s">
        <v>102</v>
      </c>
      <c r="D83" t="s">
        <v>6</v>
      </c>
      <c r="E83" s="80">
        <f>VLOOKUP(D83,'Bu Erta'!$C$2:$E$66,3,0)</f>
        <v>2000</v>
      </c>
      <c r="F83">
        <v>0.2</v>
      </c>
      <c r="G83" s="80">
        <f t="shared" si="4"/>
        <v>400</v>
      </c>
      <c r="H83" s="80">
        <f>VLOOKUP(D83,'Bu Erta'!$C$2:$F$66,4,0)*F83</f>
        <v>500</v>
      </c>
    </row>
    <row r="84" spans="1:8" x14ac:dyDescent="0.35">
      <c r="B84" t="s">
        <v>102</v>
      </c>
      <c r="D84" t="s">
        <v>22</v>
      </c>
      <c r="E84" s="80">
        <f>VLOOKUP(D84,'Bu Erta'!$C$2:$E$66,3,0)</f>
        <v>2500</v>
      </c>
      <c r="F84">
        <v>2.2999999999999998</v>
      </c>
      <c r="G84" s="80">
        <f t="shared" si="4"/>
        <v>5750</v>
      </c>
      <c r="H84" s="80">
        <f>VLOOKUP(D84,'Bu Erta'!$C$2:$F$66,4,0)*F84</f>
        <v>6899.9999999999991</v>
      </c>
    </row>
    <row r="85" spans="1:8" x14ac:dyDescent="0.35">
      <c r="B85" t="s">
        <v>102</v>
      </c>
      <c r="D85" t="s">
        <v>24</v>
      </c>
      <c r="E85" s="80">
        <f>VLOOKUP(D85,'Bu Erta'!$C$2:$E$66,3,0)</f>
        <v>150</v>
      </c>
      <c r="F85">
        <v>0.4</v>
      </c>
      <c r="G85" s="80">
        <f t="shared" si="4"/>
        <v>60</v>
      </c>
      <c r="H85" s="80">
        <f>VLOOKUP(D85,'Bu Erta'!$C$2:$F$66,4,0)*F85</f>
        <v>80</v>
      </c>
    </row>
    <row r="86" spans="1:8" x14ac:dyDescent="0.35">
      <c r="A86" s="1">
        <v>12</v>
      </c>
      <c r="B86" t="s">
        <v>83</v>
      </c>
      <c r="C86" s="5">
        <v>1</v>
      </c>
      <c r="D86" t="s">
        <v>27</v>
      </c>
      <c r="E86" s="80">
        <f>VLOOKUP(D86,'Bu Erta'!$C$2:$E$66,3,0)</f>
        <v>2800</v>
      </c>
      <c r="F86">
        <v>1.05</v>
      </c>
      <c r="G86" s="80">
        <f t="shared" si="4"/>
        <v>2940</v>
      </c>
      <c r="H86" s="80">
        <f>VLOOKUP(D86,'Bu Erta'!$C$2:$F$66,4,0)*F86</f>
        <v>3255</v>
      </c>
    </row>
    <row r="87" spans="1:8" x14ac:dyDescent="0.35">
      <c r="B87" t="s">
        <v>83</v>
      </c>
      <c r="D87" t="s">
        <v>88</v>
      </c>
      <c r="E87" s="80">
        <f>VLOOKUP(D87,'Bu Erta'!$C$2:$E$66,3,0)</f>
        <v>300</v>
      </c>
      <c r="F87">
        <v>1.25</v>
      </c>
      <c r="G87" s="80">
        <f t="shared" si="4"/>
        <v>375</v>
      </c>
      <c r="H87" s="80">
        <f>VLOOKUP(D87,'Bu Erta'!$C$2:$F$66,4,0)*F87</f>
        <v>500</v>
      </c>
    </row>
    <row r="88" spans="1:8" x14ac:dyDescent="0.35">
      <c r="B88" t="s">
        <v>83</v>
      </c>
      <c r="D88" t="s">
        <v>23</v>
      </c>
      <c r="E88" s="80">
        <f>VLOOKUP(D88,'Bu Erta'!$C$2:$E$66,3,0)</f>
        <v>300</v>
      </c>
      <c r="F88">
        <f>1.25+0.85+0.5</f>
        <v>2.6</v>
      </c>
      <c r="G88" s="80">
        <f t="shared" si="4"/>
        <v>780</v>
      </c>
      <c r="H88" s="80">
        <f>VLOOKUP(D88,'Bu Erta'!$C$2:$F$66,4,0)*F88</f>
        <v>1040</v>
      </c>
    </row>
    <row r="89" spans="1:8" x14ac:dyDescent="0.35">
      <c r="B89" t="s">
        <v>83</v>
      </c>
      <c r="D89" t="s">
        <v>42</v>
      </c>
      <c r="E89" s="80">
        <f>VLOOKUP(D89,'Bu Erta'!$C$2:$E$66,3,0)</f>
        <v>1000</v>
      </c>
      <c r="F89">
        <v>0.9</v>
      </c>
      <c r="G89" s="80">
        <f t="shared" si="4"/>
        <v>900</v>
      </c>
      <c r="H89" s="80">
        <f>VLOOKUP(D89,'Bu Erta'!$C$2:$F$66,4,0)*F89</f>
        <v>1080</v>
      </c>
    </row>
    <row r="90" spans="1:8" x14ac:dyDescent="0.35">
      <c r="B90" t="s">
        <v>83</v>
      </c>
      <c r="D90" t="s">
        <v>31</v>
      </c>
      <c r="E90" s="80">
        <f>VLOOKUP(D90,'Bu Erta'!$C$2:$E$66,3,0)</f>
        <v>1000</v>
      </c>
      <c r="F90">
        <v>1.9</v>
      </c>
      <c r="G90" s="80">
        <f t="shared" si="4"/>
        <v>1900</v>
      </c>
      <c r="H90" s="80">
        <f>VLOOKUP(D90,'Bu Erta'!$C$2:$F$66,4,0)*F90</f>
        <v>2090</v>
      </c>
    </row>
    <row r="91" spans="1:8" x14ac:dyDescent="0.35">
      <c r="B91" t="s">
        <v>83</v>
      </c>
      <c r="D91" t="s">
        <v>38</v>
      </c>
      <c r="E91" s="80">
        <f>VLOOKUP(D91,'Bu Erta'!$C$2:$E$66,3,0)</f>
        <v>1400</v>
      </c>
      <c r="F91">
        <v>0.25</v>
      </c>
      <c r="G91" s="80">
        <f t="shared" si="4"/>
        <v>350</v>
      </c>
      <c r="H91" s="80">
        <f>VLOOKUP(D91,'Bu Erta'!$C$2:$F$66,4,0)*F91</f>
        <v>400</v>
      </c>
    </row>
    <row r="92" spans="1:8" x14ac:dyDescent="0.35">
      <c r="A92" s="1">
        <v>13</v>
      </c>
      <c r="B92" t="s">
        <v>197</v>
      </c>
      <c r="C92" s="5">
        <v>1</v>
      </c>
      <c r="D92" t="s">
        <v>31</v>
      </c>
      <c r="E92" s="80">
        <f>VLOOKUP(D92,'Bu Erta'!$C$2:$E$66,3,0)</f>
        <v>1000</v>
      </c>
      <c r="F92">
        <f>0.6+0.95</f>
        <v>1.5499999999999998</v>
      </c>
      <c r="G92" s="80">
        <f t="shared" si="4"/>
        <v>1549.9999999999998</v>
      </c>
      <c r="H92" s="80">
        <f>VLOOKUP(D92,'Bu Erta'!$C$2:$F$66,4,0)*F92</f>
        <v>1704.9999999999998</v>
      </c>
    </row>
    <row r="93" spans="1:8" x14ac:dyDescent="0.35">
      <c r="B93" t="s">
        <v>197</v>
      </c>
      <c r="D93" t="s">
        <v>65</v>
      </c>
      <c r="E93" s="80">
        <f>VLOOKUP(D93,'Bu Erta'!$C$2:$E$66,3,0)</f>
        <v>150</v>
      </c>
      <c r="F93">
        <f>0.35+0.35</f>
        <v>0.7</v>
      </c>
      <c r="G93" s="80">
        <f t="shared" si="4"/>
        <v>105</v>
      </c>
      <c r="H93" s="80">
        <f>VLOOKUP(D93,'Bu Erta'!$C$2:$F$66,4,0)*F93</f>
        <v>140</v>
      </c>
    </row>
    <row r="94" spans="1:8" x14ac:dyDescent="0.35">
      <c r="B94" t="s">
        <v>197</v>
      </c>
      <c r="D94" t="s">
        <v>61</v>
      </c>
      <c r="E94" s="80">
        <f>VLOOKUP(D94,'Bu Erta'!$C$2:$E$66,3,0)</f>
        <v>800</v>
      </c>
      <c r="F94">
        <v>1.65</v>
      </c>
      <c r="G94" s="80">
        <f t="shared" si="4"/>
        <v>1320</v>
      </c>
      <c r="H94" s="80">
        <f>VLOOKUP(D94,'Bu Erta'!$C$2:$F$66,4,0)*F94</f>
        <v>1485</v>
      </c>
    </row>
    <row r="95" spans="1:8" x14ac:dyDescent="0.35">
      <c r="B95" t="s">
        <v>197</v>
      </c>
      <c r="D95" t="s">
        <v>88</v>
      </c>
      <c r="E95" s="80">
        <f>VLOOKUP(D95,'Bu Erta'!$C$2:$E$66,3,0)</f>
        <v>300</v>
      </c>
      <c r="F95">
        <v>1.1000000000000001</v>
      </c>
      <c r="G95" s="80">
        <f t="shared" si="4"/>
        <v>330</v>
      </c>
      <c r="H95" s="80">
        <f>VLOOKUP(D95,'Bu Erta'!$C$2:$F$66,4,0)*F95</f>
        <v>440.00000000000006</v>
      </c>
    </row>
    <row r="96" spans="1:8" x14ac:dyDescent="0.35">
      <c r="B96" t="s">
        <v>197</v>
      </c>
      <c r="D96" t="s">
        <v>23</v>
      </c>
      <c r="E96" s="80">
        <f>VLOOKUP(D96,'Bu Erta'!$C$2:$E$66,3,0)</f>
        <v>300</v>
      </c>
      <c r="F96">
        <v>0.55000000000000004</v>
      </c>
      <c r="G96" s="80">
        <f t="shared" si="4"/>
        <v>165</v>
      </c>
      <c r="H96" s="80">
        <f>VLOOKUP(D96,'Bu Erta'!$C$2:$F$66,4,0)*F96</f>
        <v>220.00000000000003</v>
      </c>
    </row>
    <row r="97" spans="1:8" x14ac:dyDescent="0.35">
      <c r="B97" t="s">
        <v>197</v>
      </c>
      <c r="D97" t="s">
        <v>41</v>
      </c>
      <c r="E97" s="80">
        <f>VLOOKUP(D97,'Bu Erta'!$C$2:$E$66,3,0)</f>
        <v>1500</v>
      </c>
      <c r="F97">
        <v>0.15</v>
      </c>
      <c r="G97" s="80">
        <f t="shared" si="4"/>
        <v>225</v>
      </c>
      <c r="H97" s="80">
        <f>VLOOKUP(D97,'Bu Erta'!$C$2:$F$66,4,0)*F97</f>
        <v>300</v>
      </c>
    </row>
    <row r="98" spans="1:8" x14ac:dyDescent="0.35">
      <c r="B98" t="s">
        <v>197</v>
      </c>
      <c r="D98" t="s">
        <v>17</v>
      </c>
      <c r="E98" s="80">
        <f>VLOOKUP(D98,'Bu Erta'!$C$2:$E$66,3,0)</f>
        <v>8000</v>
      </c>
      <c r="F98">
        <v>0.15</v>
      </c>
      <c r="G98" s="80">
        <f t="shared" si="4"/>
        <v>1200</v>
      </c>
      <c r="H98" s="80">
        <f>VLOOKUP(D98,'Bu Erta'!$C$2:$F$66,4,0)*F98</f>
        <v>1275</v>
      </c>
    </row>
    <row r="99" spans="1:8" x14ac:dyDescent="0.35">
      <c r="B99" t="s">
        <v>197</v>
      </c>
      <c r="D99" t="s">
        <v>40</v>
      </c>
      <c r="E99" s="80">
        <f>VLOOKUP(D99,'Bu Erta'!$C$2:$E$66,3,0)</f>
        <v>1800</v>
      </c>
      <c r="F99">
        <v>1</v>
      </c>
      <c r="G99" s="80">
        <f t="shared" si="4"/>
        <v>1800</v>
      </c>
      <c r="H99" s="80">
        <f>VLOOKUP(D99,'Bu Erta'!$C$2:$F$66,4,0)*F99</f>
        <v>2000</v>
      </c>
    </row>
    <row r="100" spans="1:8" x14ac:dyDescent="0.35">
      <c r="B100" t="s">
        <v>197</v>
      </c>
      <c r="D100" t="s">
        <v>7</v>
      </c>
      <c r="E100" s="80">
        <f>VLOOKUP(D100,'Bu Erta'!$C$2:$E$66,3,0)</f>
        <v>1400</v>
      </c>
      <c r="F100">
        <v>0.15</v>
      </c>
      <c r="G100" s="80">
        <f t="shared" si="4"/>
        <v>210</v>
      </c>
      <c r="H100" s="80">
        <f>VLOOKUP(D100,'Bu Erta'!$C$2:$F$66,4,0)*F100</f>
        <v>240</v>
      </c>
    </row>
    <row r="101" spans="1:8" x14ac:dyDescent="0.35">
      <c r="A101" s="1">
        <v>14</v>
      </c>
      <c r="B101" t="s">
        <v>217</v>
      </c>
      <c r="C101" s="5">
        <v>1</v>
      </c>
      <c r="D101" t="s">
        <v>42</v>
      </c>
      <c r="E101" s="80">
        <f>VLOOKUP(D101,'Bu Erta'!$C$2:$E$66,3,0)</f>
        <v>1000</v>
      </c>
      <c r="F101">
        <f>6.5+3.5</f>
        <v>10</v>
      </c>
      <c r="G101" s="80">
        <f t="shared" si="4"/>
        <v>10000</v>
      </c>
      <c r="H101" s="80">
        <f>VLOOKUP(D101,'Bu Erta'!$C$2:$F$66,4,0)*F101</f>
        <v>12000</v>
      </c>
    </row>
    <row r="102" spans="1:8" x14ac:dyDescent="0.35">
      <c r="B102" t="s">
        <v>217</v>
      </c>
      <c r="D102" t="s">
        <v>88</v>
      </c>
      <c r="E102" s="80">
        <f>VLOOKUP(D102,'Bu Erta'!$C$2:$E$66,3,0)</f>
        <v>300</v>
      </c>
      <c r="F102">
        <v>2.85</v>
      </c>
      <c r="G102" s="80">
        <f t="shared" si="4"/>
        <v>855</v>
      </c>
      <c r="H102" s="80">
        <f>VLOOKUP(D102,'Bu Erta'!$C$2:$F$66,4,0)*F102</f>
        <v>1140</v>
      </c>
    </row>
    <row r="103" spans="1:8" x14ac:dyDescent="0.35">
      <c r="B103" t="s">
        <v>217</v>
      </c>
      <c r="D103" t="s">
        <v>23</v>
      </c>
      <c r="E103" s="80">
        <f>VLOOKUP(D103,'Bu Erta'!$C$2:$E$66,3,0)</f>
        <v>300</v>
      </c>
      <c r="F103">
        <v>4.5</v>
      </c>
      <c r="G103" s="80">
        <f t="shared" si="4"/>
        <v>1350</v>
      </c>
      <c r="H103" s="80">
        <f>VLOOKUP(D103,'Bu Erta'!$C$2:$F$66,4,0)*F103</f>
        <v>1800</v>
      </c>
    </row>
    <row r="104" spans="1:8" x14ac:dyDescent="0.35">
      <c r="B104" t="s">
        <v>217</v>
      </c>
      <c r="D104" t="s">
        <v>31</v>
      </c>
      <c r="E104" s="80">
        <f>VLOOKUP(D104,'Bu Erta'!$C$2:$E$66,3,0)</f>
        <v>1000</v>
      </c>
      <c r="F104">
        <v>0.75</v>
      </c>
      <c r="G104" s="80">
        <f t="shared" si="4"/>
        <v>750</v>
      </c>
      <c r="H104" s="80">
        <f>VLOOKUP(D104,'Bu Erta'!$C$2:$F$66,4,0)*F104</f>
        <v>825</v>
      </c>
    </row>
    <row r="105" spans="1:8" x14ac:dyDescent="0.35">
      <c r="B105" t="s">
        <v>217</v>
      </c>
      <c r="D105" t="s">
        <v>41</v>
      </c>
      <c r="E105" s="80">
        <f>VLOOKUP(D105,'Bu Erta'!$C$2:$E$66,3,0)</f>
        <v>1500</v>
      </c>
      <c r="F105">
        <v>0.9</v>
      </c>
      <c r="G105" s="80">
        <f t="shared" si="4"/>
        <v>1350</v>
      </c>
      <c r="H105" s="80">
        <f>VLOOKUP(D105,'Bu Erta'!$C$2:$F$66,4,0)*F105</f>
        <v>1800</v>
      </c>
    </row>
    <row r="106" spans="1:8" x14ac:dyDescent="0.35">
      <c r="A106" s="1">
        <v>15</v>
      </c>
      <c r="B106" t="s">
        <v>297</v>
      </c>
      <c r="C106" s="5">
        <v>5</v>
      </c>
      <c r="D106" t="s">
        <v>23</v>
      </c>
      <c r="E106" s="80">
        <f>VLOOKUP(D106,'Bu Erta'!$C$2:$E$66,3,0)</f>
        <v>300</v>
      </c>
      <c r="F106">
        <v>4.2</v>
      </c>
      <c r="G106" s="80">
        <f t="shared" si="4"/>
        <v>1260</v>
      </c>
      <c r="H106" s="80">
        <f>VLOOKUP(D106,'Bu Erta'!$C$2:$F$66,4,0)*F106</f>
        <v>1680</v>
      </c>
    </row>
    <row r="107" spans="1:8" x14ac:dyDescent="0.35">
      <c r="B107" t="s">
        <v>297</v>
      </c>
      <c r="D107" t="s">
        <v>88</v>
      </c>
      <c r="E107" s="80">
        <f>VLOOKUP(D107,'Bu Erta'!$C$2:$E$66,3,0)</f>
        <v>300</v>
      </c>
      <c r="F107">
        <v>3.55</v>
      </c>
      <c r="G107" s="80">
        <f t="shared" si="4"/>
        <v>1065</v>
      </c>
      <c r="H107" s="80">
        <f>VLOOKUP(D107,'Bu Erta'!$C$2:$F$66,4,0)*F107</f>
        <v>1420</v>
      </c>
    </row>
    <row r="108" spans="1:8" x14ac:dyDescent="0.35">
      <c r="B108" t="s">
        <v>297</v>
      </c>
      <c r="D108" t="s">
        <v>61</v>
      </c>
      <c r="E108" s="80">
        <f>VLOOKUP(D108,'Bu Erta'!$C$2:$E$66,3,0)</f>
        <v>800</v>
      </c>
      <c r="F108">
        <v>0.8</v>
      </c>
      <c r="G108" s="80">
        <f t="shared" si="4"/>
        <v>640</v>
      </c>
      <c r="H108" s="80">
        <f>VLOOKUP(D108,'Bu Erta'!$C$2:$F$66,4,0)*F108</f>
        <v>720</v>
      </c>
    </row>
    <row r="109" spans="1:8" x14ac:dyDescent="0.35">
      <c r="B109" t="s">
        <v>297</v>
      </c>
      <c r="D109" t="s">
        <v>7</v>
      </c>
      <c r="E109" s="80">
        <f>VLOOKUP(D109,'Bu Erta'!$C$2:$E$66,3,0)</f>
        <v>1400</v>
      </c>
      <c r="F109">
        <f>3.7+6.7+3.95</f>
        <v>14.350000000000001</v>
      </c>
      <c r="G109" s="80">
        <f t="shared" si="4"/>
        <v>20090.000000000004</v>
      </c>
      <c r="H109" s="80">
        <f>VLOOKUP(D109,'Bu Erta'!$C$2:$F$66,4,0)*F109</f>
        <v>22960.000000000004</v>
      </c>
    </row>
    <row r="110" spans="1:8" x14ac:dyDescent="0.35">
      <c r="B110" t="s">
        <v>297</v>
      </c>
      <c r="D110" t="s">
        <v>69</v>
      </c>
      <c r="E110" s="80">
        <f>VLOOKUP(D110,'Bu Erta'!$C$2:$E$66,3,0)</f>
        <v>2500</v>
      </c>
      <c r="F110">
        <v>1.3</v>
      </c>
      <c r="G110" s="80">
        <f t="shared" si="4"/>
        <v>3250</v>
      </c>
      <c r="H110" s="80">
        <f>VLOOKUP(D110,'Bu Erta'!$C$2:$F$66,4,0)*F110</f>
        <v>3900</v>
      </c>
    </row>
    <row r="111" spans="1:8" x14ac:dyDescent="0.35">
      <c r="B111" t="s">
        <v>297</v>
      </c>
      <c r="D111" t="s">
        <v>24</v>
      </c>
      <c r="E111" s="80">
        <f>VLOOKUP(D111,'Bu Erta'!$C$2:$E$66,3,0)</f>
        <v>150</v>
      </c>
      <c r="F111">
        <v>2.2999999999999998</v>
      </c>
      <c r="G111" s="80">
        <f t="shared" si="4"/>
        <v>345</v>
      </c>
      <c r="H111" s="80">
        <f>VLOOKUP(D111,'Bu Erta'!$C$2:$F$66,4,0)*F111</f>
        <v>459.99999999999994</v>
      </c>
    </row>
    <row r="112" spans="1:8" x14ac:dyDescent="0.35">
      <c r="B112" t="s">
        <v>297</v>
      </c>
      <c r="D112" t="s">
        <v>41</v>
      </c>
      <c r="E112" s="80">
        <f>VLOOKUP(D112,'Bu Erta'!$C$2:$E$66,3,0)</f>
        <v>1500</v>
      </c>
      <c r="F112">
        <v>0.85</v>
      </c>
      <c r="G112" s="80">
        <f t="shared" si="4"/>
        <v>1275</v>
      </c>
      <c r="H112" s="80">
        <f>VLOOKUP(D112,'Bu Erta'!$C$2:$F$66,4,0)*F112</f>
        <v>1700</v>
      </c>
    </row>
    <row r="113" spans="1:8" x14ac:dyDescent="0.35">
      <c r="B113" t="s">
        <v>297</v>
      </c>
      <c r="D113" t="s">
        <v>46</v>
      </c>
      <c r="E113" s="80">
        <f>VLOOKUP(D113,'Bu Erta'!$C$2:$E$66,3,0)</f>
        <v>1400</v>
      </c>
      <c r="F113">
        <v>0.85</v>
      </c>
      <c r="G113" s="80">
        <f t="shared" si="4"/>
        <v>1190</v>
      </c>
      <c r="H113" s="80">
        <f>VLOOKUP(D113,'Bu Erta'!$C$2:$F$66,4,0)*F113</f>
        <v>1275</v>
      </c>
    </row>
    <row r="114" spans="1:8" x14ac:dyDescent="0.35">
      <c r="B114" t="s">
        <v>297</v>
      </c>
      <c r="D114" t="s">
        <v>27</v>
      </c>
      <c r="E114" s="80">
        <f>VLOOKUP(D114,'Bu Erta'!$C$2:$E$66,3,0)</f>
        <v>2800</v>
      </c>
      <c r="F114">
        <f>2.8+3.05</f>
        <v>5.85</v>
      </c>
      <c r="G114" s="80">
        <f t="shared" si="4"/>
        <v>16379.999999999998</v>
      </c>
      <c r="H114" s="80">
        <f>VLOOKUP(D114,'Bu Erta'!$C$2:$F$66,4,0)*F114</f>
        <v>18135</v>
      </c>
    </row>
    <row r="115" spans="1:8" x14ac:dyDescent="0.35">
      <c r="A115" s="1">
        <v>16</v>
      </c>
      <c r="B115" t="s">
        <v>345</v>
      </c>
      <c r="C115" s="5">
        <v>5</v>
      </c>
      <c r="D115" t="s">
        <v>7</v>
      </c>
      <c r="E115" s="80">
        <f>VLOOKUP(D115,'Bu Erta'!$C$2:$E$66,3,0)</f>
        <v>1400</v>
      </c>
      <c r="F115">
        <f>1.75+2.45</f>
        <v>4.2</v>
      </c>
      <c r="G115" s="80">
        <f t="shared" si="4"/>
        <v>5880</v>
      </c>
      <c r="H115" s="80">
        <f>VLOOKUP(D115,'Bu Erta'!$C$2:$F$66,4,0)*F115</f>
        <v>6720</v>
      </c>
    </row>
    <row r="116" spans="1:8" x14ac:dyDescent="0.35">
      <c r="B116" t="s">
        <v>345</v>
      </c>
      <c r="D116" t="s">
        <v>34</v>
      </c>
      <c r="E116" s="80">
        <f>VLOOKUP(D116,'Bu Erta'!$C$2:$E$66,3,0)</f>
        <v>3500</v>
      </c>
      <c r="F116">
        <v>0.05</v>
      </c>
      <c r="G116" s="80">
        <f t="shared" si="4"/>
        <v>175</v>
      </c>
      <c r="H116" s="80">
        <f>VLOOKUP(D116,'Bu Erta'!$C$2:$F$66,4,0)*F116</f>
        <v>180</v>
      </c>
    </row>
    <row r="117" spans="1:8" x14ac:dyDescent="0.35">
      <c r="A117" s="1">
        <v>17</v>
      </c>
      <c r="B117" t="s">
        <v>107</v>
      </c>
      <c r="C117" s="5">
        <v>5</v>
      </c>
      <c r="D117" t="s">
        <v>23</v>
      </c>
      <c r="E117" s="80">
        <f>VLOOKUP(D117,'Bu Erta'!$C$2:$E$66,3,0)</f>
        <v>300</v>
      </c>
      <c r="F117">
        <v>3.7</v>
      </c>
      <c r="G117" s="80">
        <f t="shared" si="4"/>
        <v>1110</v>
      </c>
      <c r="H117" s="80">
        <f>VLOOKUP(D117,'Bu Erta'!$C$2:$F$66,4,0)*F117</f>
        <v>1480</v>
      </c>
    </row>
    <row r="118" spans="1:8" x14ac:dyDescent="0.35">
      <c r="B118" t="s">
        <v>107</v>
      </c>
      <c r="D118" t="s">
        <v>42</v>
      </c>
      <c r="E118" s="80">
        <f>VLOOKUP(D118,'Bu Erta'!$C$2:$E$66,3,0)</f>
        <v>1000</v>
      </c>
      <c r="F118">
        <v>4.55</v>
      </c>
      <c r="G118" s="80">
        <f t="shared" si="4"/>
        <v>4550</v>
      </c>
      <c r="H118" s="80">
        <f>VLOOKUP(D118,'Bu Erta'!$C$2:$F$66,4,0)*F118</f>
        <v>5460</v>
      </c>
    </row>
    <row r="119" spans="1:8" x14ac:dyDescent="0.35">
      <c r="B119" t="s">
        <v>107</v>
      </c>
      <c r="D119" t="s">
        <v>88</v>
      </c>
      <c r="E119" s="80">
        <f>VLOOKUP(D119,'Bu Erta'!$C$2:$E$66,3,0)</f>
        <v>300</v>
      </c>
      <c r="F119">
        <v>0.4</v>
      </c>
      <c r="G119" s="80">
        <f t="shared" si="4"/>
        <v>120</v>
      </c>
      <c r="H119" s="80">
        <f>VLOOKUP(D119,'Bu Erta'!$C$2:$F$66,4,0)*F119</f>
        <v>160</v>
      </c>
    </row>
    <row r="120" spans="1:8" x14ac:dyDescent="0.35">
      <c r="B120" t="s">
        <v>107</v>
      </c>
      <c r="D120" t="s">
        <v>27</v>
      </c>
      <c r="E120" s="80">
        <f>VLOOKUP(D120,'Bu Erta'!$C$2:$E$66,3,0)</f>
        <v>2800</v>
      </c>
      <c r="F120">
        <v>1.2</v>
      </c>
      <c r="G120" s="80">
        <f t="shared" si="4"/>
        <v>3360</v>
      </c>
      <c r="H120" s="80">
        <f>VLOOKUP(D120,'Bu Erta'!$C$2:$F$66,4,0)*F120</f>
        <v>3720</v>
      </c>
    </row>
    <row r="121" spans="1:8" x14ac:dyDescent="0.35">
      <c r="B121" t="s">
        <v>107</v>
      </c>
      <c r="D121" t="s">
        <v>69</v>
      </c>
      <c r="E121" s="80">
        <f>VLOOKUP(D121,'Bu Erta'!$C$2:$E$66,3,0)</f>
        <v>2500</v>
      </c>
      <c r="F121">
        <f>0.2+0.3</f>
        <v>0.5</v>
      </c>
      <c r="G121" s="80">
        <f t="shared" ref="G121:G184" si="5">E121*F121</f>
        <v>1250</v>
      </c>
      <c r="H121" s="80">
        <f>VLOOKUP(D121,'Bu Erta'!$C$2:$F$66,4,0)*F121</f>
        <v>1500</v>
      </c>
    </row>
    <row r="122" spans="1:8" x14ac:dyDescent="0.35">
      <c r="B122" t="s">
        <v>107</v>
      </c>
      <c r="D122" t="s">
        <v>7</v>
      </c>
      <c r="E122" s="80">
        <f>VLOOKUP(D122,'Bu Erta'!$C$2:$E$66,3,0)</f>
        <v>1400</v>
      </c>
      <c r="F122">
        <f>0.1+1.35+0.35+0.05</f>
        <v>1.8500000000000003</v>
      </c>
      <c r="G122" s="80">
        <f t="shared" si="5"/>
        <v>2590.0000000000005</v>
      </c>
      <c r="H122" s="80">
        <f>VLOOKUP(D122,'Bu Erta'!$C$2:$F$66,4,0)*F122</f>
        <v>2960.0000000000005</v>
      </c>
    </row>
    <row r="123" spans="1:8" x14ac:dyDescent="0.35">
      <c r="B123" t="s">
        <v>107</v>
      </c>
      <c r="D123" t="s">
        <v>6</v>
      </c>
      <c r="E123" s="80">
        <f>VLOOKUP(D123,'Bu Erta'!$C$2:$E$66,3,0)</f>
        <v>2000</v>
      </c>
      <c r="F123">
        <v>0.3</v>
      </c>
      <c r="G123" s="80">
        <f t="shared" si="5"/>
        <v>600</v>
      </c>
      <c r="H123" s="80">
        <f>VLOOKUP(D123,'Bu Erta'!$C$2:$F$66,4,0)*F123</f>
        <v>750</v>
      </c>
    </row>
    <row r="124" spans="1:8" x14ac:dyDescent="0.35">
      <c r="B124" t="s">
        <v>107</v>
      </c>
      <c r="D124" t="s">
        <v>63</v>
      </c>
      <c r="E124" s="80">
        <f>VLOOKUP(D124,'Bu Erta'!$C$2:$E$66,3,0)</f>
        <v>800</v>
      </c>
      <c r="F124">
        <v>1.85</v>
      </c>
      <c r="G124" s="80">
        <f t="shared" si="5"/>
        <v>1480</v>
      </c>
      <c r="H124" s="80">
        <f>VLOOKUP(D124,'Bu Erta'!$C$2:$F$66,4,0)*F124</f>
        <v>1850</v>
      </c>
    </row>
    <row r="125" spans="1:8" x14ac:dyDescent="0.35">
      <c r="B125" t="s">
        <v>107</v>
      </c>
      <c r="D125" t="s">
        <v>41</v>
      </c>
      <c r="E125" s="80">
        <f>VLOOKUP(D125,'Bu Erta'!$C$2:$E$66,3,0)</f>
        <v>1500</v>
      </c>
      <c r="F125">
        <f>0.35+0.15</f>
        <v>0.5</v>
      </c>
      <c r="G125" s="80">
        <f t="shared" si="5"/>
        <v>750</v>
      </c>
      <c r="H125" s="80">
        <f>VLOOKUP(D125,'Bu Erta'!$C$2:$F$66,4,0)*F125</f>
        <v>1000</v>
      </c>
    </row>
    <row r="126" spans="1:8" x14ac:dyDescent="0.35">
      <c r="B126" t="s">
        <v>107</v>
      </c>
      <c r="D126" t="s">
        <v>25</v>
      </c>
      <c r="E126" s="80">
        <f>VLOOKUP(D126,'Bu Erta'!$C$2:$E$66,3,0)</f>
        <v>1600</v>
      </c>
      <c r="F126">
        <v>0.95</v>
      </c>
      <c r="G126" s="80">
        <f t="shared" si="5"/>
        <v>1520</v>
      </c>
      <c r="H126" s="80">
        <f>VLOOKUP(D126,'Bu Erta'!$C$2:$F$66,4,0)*F126</f>
        <v>1615</v>
      </c>
    </row>
    <row r="127" spans="1:8" x14ac:dyDescent="0.35">
      <c r="A127" s="1">
        <v>18</v>
      </c>
      <c r="B127" t="s">
        <v>127</v>
      </c>
      <c r="C127" s="5">
        <v>2</v>
      </c>
      <c r="D127" t="s">
        <v>88</v>
      </c>
      <c r="E127" s="80">
        <f>VLOOKUP(D127,'Bu Erta'!$C$2:$E$66,3,0)</f>
        <v>300</v>
      </c>
      <c r="F127">
        <f>0.55+0.4</f>
        <v>0.95000000000000007</v>
      </c>
      <c r="G127" s="80">
        <f t="shared" si="5"/>
        <v>285</v>
      </c>
      <c r="H127" s="80">
        <f>VLOOKUP(D127,'Bu Erta'!$C$2:$F$66,4,0)*F127</f>
        <v>380</v>
      </c>
    </row>
    <row r="128" spans="1:8" x14ac:dyDescent="0.35">
      <c r="B128" t="s">
        <v>127</v>
      </c>
      <c r="D128" t="s">
        <v>41</v>
      </c>
      <c r="E128" s="80">
        <f>VLOOKUP(D128,'Bu Erta'!$C$2:$E$66,3,0)</f>
        <v>1500</v>
      </c>
      <c r="F128">
        <v>0.35</v>
      </c>
      <c r="G128" s="80">
        <f t="shared" si="5"/>
        <v>525</v>
      </c>
      <c r="H128" s="80">
        <f>VLOOKUP(D128,'Bu Erta'!$C$2:$F$66,4,0)*F128</f>
        <v>700</v>
      </c>
    </row>
    <row r="129" spans="1:8" x14ac:dyDescent="0.35">
      <c r="B129" t="s">
        <v>127</v>
      </c>
      <c r="D129" t="s">
        <v>27</v>
      </c>
      <c r="E129" s="80">
        <f>VLOOKUP(D129,'Bu Erta'!$C$2:$E$66,3,0)</f>
        <v>2800</v>
      </c>
      <c r="F129">
        <v>0.85</v>
      </c>
      <c r="G129" s="80">
        <f t="shared" si="5"/>
        <v>2380</v>
      </c>
      <c r="H129" s="80">
        <f>VLOOKUP(D129,'Bu Erta'!$C$2:$F$66,4,0)*F129</f>
        <v>2635</v>
      </c>
    </row>
    <row r="130" spans="1:8" x14ac:dyDescent="0.35">
      <c r="B130" t="s">
        <v>127</v>
      </c>
      <c r="D130" t="s">
        <v>25</v>
      </c>
      <c r="E130" s="80">
        <f>VLOOKUP(D130,'Bu Erta'!$C$2:$E$66,3,0)</f>
        <v>1600</v>
      </c>
      <c r="F130">
        <v>0.15</v>
      </c>
      <c r="G130" s="80">
        <f t="shared" si="5"/>
        <v>240</v>
      </c>
      <c r="H130" s="80">
        <f>VLOOKUP(D130,'Bu Erta'!$C$2:$F$66,4,0)*F130</f>
        <v>255</v>
      </c>
    </row>
    <row r="131" spans="1:8" x14ac:dyDescent="0.35">
      <c r="B131" t="s">
        <v>127</v>
      </c>
      <c r="D131" t="s">
        <v>23</v>
      </c>
      <c r="E131" s="80">
        <f>VLOOKUP(D131,'Bu Erta'!$C$2:$E$66,3,0)</f>
        <v>300</v>
      </c>
      <c r="F131">
        <v>1.25</v>
      </c>
      <c r="G131" s="80">
        <f t="shared" si="5"/>
        <v>375</v>
      </c>
      <c r="H131" s="80">
        <f>VLOOKUP(D131,'Bu Erta'!$C$2:$F$66,4,0)*F131</f>
        <v>500</v>
      </c>
    </row>
    <row r="132" spans="1:8" x14ac:dyDescent="0.35">
      <c r="B132" t="s">
        <v>127</v>
      </c>
      <c r="D132" t="s">
        <v>42</v>
      </c>
      <c r="E132" s="80">
        <f>VLOOKUP(D132,'Bu Erta'!$C$2:$E$66,3,0)</f>
        <v>1000</v>
      </c>
      <c r="F132">
        <v>2.5499999999999998</v>
      </c>
      <c r="G132" s="80">
        <f t="shared" si="5"/>
        <v>2550</v>
      </c>
      <c r="H132" s="80">
        <f>VLOOKUP(D132,'Bu Erta'!$C$2:$F$66,4,0)*F132</f>
        <v>3060</v>
      </c>
    </row>
    <row r="133" spans="1:8" x14ac:dyDescent="0.35">
      <c r="B133" t="s">
        <v>127</v>
      </c>
      <c r="D133" t="s">
        <v>69</v>
      </c>
      <c r="E133" s="80">
        <f>VLOOKUP(D133,'Bu Erta'!$C$2:$E$66,3,0)</f>
        <v>2500</v>
      </c>
      <c r="F133">
        <v>0.1</v>
      </c>
      <c r="G133" s="80">
        <f t="shared" si="5"/>
        <v>250</v>
      </c>
      <c r="H133" s="80">
        <f>VLOOKUP(D133,'Bu Erta'!$C$2:$F$66,4,0)*F133</f>
        <v>300</v>
      </c>
    </row>
    <row r="134" spans="1:8" x14ac:dyDescent="0.35">
      <c r="B134" t="s">
        <v>127</v>
      </c>
      <c r="D134" t="s">
        <v>70</v>
      </c>
      <c r="E134" s="80">
        <f>VLOOKUP(D134,'Bu Erta'!$C$2:$E$66,3,0)</f>
        <v>3500</v>
      </c>
      <c r="F134">
        <v>0.1</v>
      </c>
      <c r="G134" s="80">
        <f t="shared" si="5"/>
        <v>350</v>
      </c>
      <c r="H134" s="80">
        <f>VLOOKUP(D134,'Bu Erta'!$C$2:$F$66,4,0)*F134</f>
        <v>400</v>
      </c>
    </row>
    <row r="135" spans="1:8" x14ac:dyDescent="0.35">
      <c r="B135" t="s">
        <v>127</v>
      </c>
      <c r="D135" t="s">
        <v>40</v>
      </c>
      <c r="E135" s="80">
        <f>VLOOKUP(D135,'Bu Erta'!$C$2:$E$66,3,0)</f>
        <v>1800</v>
      </c>
      <c r="F135">
        <v>0.65</v>
      </c>
      <c r="G135" s="80">
        <f t="shared" si="5"/>
        <v>1170</v>
      </c>
      <c r="H135" s="80">
        <f>VLOOKUP(D135,'Bu Erta'!$C$2:$F$66,4,0)*F135</f>
        <v>1300</v>
      </c>
    </row>
    <row r="136" spans="1:8" x14ac:dyDescent="0.35">
      <c r="B136" t="s">
        <v>127</v>
      </c>
      <c r="D136" t="s">
        <v>6</v>
      </c>
      <c r="E136" s="80">
        <f>VLOOKUP(D136,'Bu Erta'!$C$2:$E$66,3,0)</f>
        <v>2000</v>
      </c>
      <c r="F136">
        <v>0.25</v>
      </c>
      <c r="G136" s="80">
        <f t="shared" si="5"/>
        <v>500</v>
      </c>
      <c r="H136" s="80">
        <f>VLOOKUP(D136,'Bu Erta'!$C$2:$F$66,4,0)*F136</f>
        <v>625</v>
      </c>
    </row>
    <row r="137" spans="1:8" x14ac:dyDescent="0.35">
      <c r="B137" t="s">
        <v>127</v>
      </c>
      <c r="D137" t="s">
        <v>7</v>
      </c>
      <c r="E137" s="80">
        <f>VLOOKUP(D137,'Bu Erta'!$C$2:$E$66,3,0)</f>
        <v>1400</v>
      </c>
      <c r="F137">
        <v>6.4</v>
      </c>
      <c r="G137" s="80">
        <f t="shared" si="5"/>
        <v>8960</v>
      </c>
      <c r="H137" s="80">
        <f>VLOOKUP(D137,'Bu Erta'!$C$2:$F$66,4,0)*F137</f>
        <v>10240</v>
      </c>
    </row>
    <row r="138" spans="1:8" x14ac:dyDescent="0.35">
      <c r="A138" s="1">
        <v>19</v>
      </c>
      <c r="B138" t="s">
        <v>118</v>
      </c>
      <c r="C138" s="5">
        <v>4</v>
      </c>
      <c r="D138" t="s">
        <v>42</v>
      </c>
      <c r="E138" s="80">
        <f>VLOOKUP(D138,'Bu Erta'!$C$2:$E$66,3,0)</f>
        <v>1000</v>
      </c>
      <c r="F138">
        <v>2.7</v>
      </c>
      <c r="G138" s="80">
        <f t="shared" si="5"/>
        <v>2700</v>
      </c>
      <c r="H138" s="80">
        <f>VLOOKUP(D138,'Bu Erta'!$C$2:$F$66,4,0)*F138</f>
        <v>3240</v>
      </c>
    </row>
    <row r="139" spans="1:8" x14ac:dyDescent="0.35">
      <c r="B139" t="s">
        <v>118</v>
      </c>
      <c r="D139" t="s">
        <v>88</v>
      </c>
      <c r="E139" s="80">
        <f>VLOOKUP(D139,'Bu Erta'!$C$2:$E$66,3,0)</f>
        <v>300</v>
      </c>
      <c r="F139">
        <f>0.9+0.2</f>
        <v>1.1000000000000001</v>
      </c>
      <c r="G139" s="80">
        <f t="shared" si="5"/>
        <v>330</v>
      </c>
      <c r="H139" s="80">
        <f>VLOOKUP(D139,'Bu Erta'!$C$2:$F$66,4,0)*F139</f>
        <v>440.00000000000006</v>
      </c>
    </row>
    <row r="140" spans="1:8" x14ac:dyDescent="0.35">
      <c r="B140" t="s">
        <v>118</v>
      </c>
      <c r="D140" t="s">
        <v>27</v>
      </c>
      <c r="E140" s="80">
        <f>VLOOKUP(D140,'Bu Erta'!$C$2:$E$66,3,0)</f>
        <v>2800</v>
      </c>
      <c r="F140">
        <v>0.3</v>
      </c>
      <c r="G140" s="80">
        <f t="shared" si="5"/>
        <v>840</v>
      </c>
      <c r="H140" s="80">
        <f>VLOOKUP(D140,'Bu Erta'!$C$2:$F$66,4,0)*F140</f>
        <v>930</v>
      </c>
    </row>
    <row r="141" spans="1:8" x14ac:dyDescent="0.35">
      <c r="B141" t="s">
        <v>118</v>
      </c>
      <c r="D141" t="s">
        <v>34</v>
      </c>
      <c r="E141" s="80">
        <f>VLOOKUP(D141,'Bu Erta'!$C$2:$E$66,3,0)</f>
        <v>3500</v>
      </c>
      <c r="F141">
        <v>0.15</v>
      </c>
      <c r="G141" s="80">
        <f t="shared" si="5"/>
        <v>525</v>
      </c>
      <c r="H141" s="80">
        <f>VLOOKUP(D141,'Bu Erta'!$C$2:$F$66,4,0)*F141</f>
        <v>540</v>
      </c>
    </row>
    <row r="142" spans="1:8" x14ac:dyDescent="0.35">
      <c r="B142" t="s">
        <v>118</v>
      </c>
      <c r="D142" t="s">
        <v>7</v>
      </c>
      <c r="E142" s="80">
        <f>VLOOKUP(D142,'Bu Erta'!$C$2:$E$66,3,0)</f>
        <v>1400</v>
      </c>
      <c r="F142">
        <v>0.55000000000000004</v>
      </c>
      <c r="G142" s="80">
        <f t="shared" si="5"/>
        <v>770.00000000000011</v>
      </c>
      <c r="H142" s="80">
        <f>VLOOKUP(D142,'Bu Erta'!$C$2:$F$66,4,0)*F142</f>
        <v>880.00000000000011</v>
      </c>
    </row>
    <row r="143" spans="1:8" x14ac:dyDescent="0.35">
      <c r="B143" t="s">
        <v>118</v>
      </c>
      <c r="D143" t="s">
        <v>61</v>
      </c>
      <c r="E143" s="80">
        <f>VLOOKUP(D143,'Bu Erta'!$C$2:$E$66,3,0)</f>
        <v>800</v>
      </c>
      <c r="F143">
        <v>0.1</v>
      </c>
      <c r="G143" s="80">
        <f t="shared" si="5"/>
        <v>80</v>
      </c>
      <c r="H143" s="80">
        <f>VLOOKUP(D143,'Bu Erta'!$C$2:$F$66,4,0)*F143</f>
        <v>90</v>
      </c>
    </row>
    <row r="144" spans="1:8" x14ac:dyDescent="0.35">
      <c r="B144" t="s">
        <v>118</v>
      </c>
      <c r="D144" t="s">
        <v>23</v>
      </c>
      <c r="E144" s="80">
        <f>VLOOKUP(D144,'Bu Erta'!$C$2:$E$66,3,0)</f>
        <v>300</v>
      </c>
      <c r="F144">
        <v>0.25</v>
      </c>
      <c r="G144" s="80">
        <f t="shared" si="5"/>
        <v>75</v>
      </c>
      <c r="H144" s="80">
        <f>VLOOKUP(D144,'Bu Erta'!$C$2:$F$66,4,0)*F144</f>
        <v>100</v>
      </c>
    </row>
    <row r="145" spans="1:8" x14ac:dyDescent="0.35">
      <c r="A145" s="1">
        <v>20</v>
      </c>
      <c r="B145" t="s">
        <v>259</v>
      </c>
      <c r="C145" s="5">
        <v>3</v>
      </c>
      <c r="D145" t="s">
        <v>41</v>
      </c>
      <c r="E145" s="80">
        <f>VLOOKUP(D145,'Bu Erta'!$C$2:$E$66,3,0)</f>
        <v>1500</v>
      </c>
      <c r="F145">
        <v>0.25</v>
      </c>
      <c r="G145" s="80">
        <f t="shared" si="5"/>
        <v>375</v>
      </c>
      <c r="H145" s="80">
        <f>VLOOKUP(D145,'Bu Erta'!$C$2:$F$66,4,0)*F145</f>
        <v>500</v>
      </c>
    </row>
    <row r="146" spans="1:8" x14ac:dyDescent="0.35">
      <c r="B146" t="s">
        <v>259</v>
      </c>
      <c r="D146" t="s">
        <v>69</v>
      </c>
      <c r="E146" s="80">
        <f>VLOOKUP(D146,'Bu Erta'!$C$2:$E$66,3,0)</f>
        <v>2500</v>
      </c>
      <c r="F146">
        <v>0.1</v>
      </c>
      <c r="G146" s="80">
        <f t="shared" si="5"/>
        <v>250</v>
      </c>
      <c r="H146" s="80">
        <f>VLOOKUP(D146,'Bu Erta'!$C$2:$F$66,4,0)*F146</f>
        <v>300</v>
      </c>
    </row>
    <row r="147" spans="1:8" x14ac:dyDescent="0.35">
      <c r="B147" t="s">
        <v>259</v>
      </c>
      <c r="D147" t="s">
        <v>27</v>
      </c>
      <c r="E147" s="80">
        <f>VLOOKUP(D147,'Bu Erta'!$C$2:$E$66,3,0)</f>
        <v>2800</v>
      </c>
      <c r="F147">
        <v>0.55000000000000004</v>
      </c>
      <c r="G147" s="80">
        <f t="shared" si="5"/>
        <v>1540.0000000000002</v>
      </c>
      <c r="H147" s="80">
        <f>VLOOKUP(D147,'Bu Erta'!$C$2:$F$66,4,0)*F147</f>
        <v>1705.0000000000002</v>
      </c>
    </row>
    <row r="148" spans="1:8" x14ac:dyDescent="0.35">
      <c r="A148" s="1">
        <v>21</v>
      </c>
      <c r="B148" t="s">
        <v>182</v>
      </c>
      <c r="C148" s="5">
        <v>4</v>
      </c>
      <c r="D148" t="s">
        <v>42</v>
      </c>
      <c r="E148" s="80">
        <f>VLOOKUP(D148,'Bu Erta'!$C$2:$E$66,3,0)</f>
        <v>1000</v>
      </c>
      <c r="F148">
        <v>3.25</v>
      </c>
      <c r="G148" s="80">
        <f t="shared" si="5"/>
        <v>3250</v>
      </c>
      <c r="H148" s="80">
        <f>VLOOKUP(D148,'Bu Erta'!$C$2:$F$66,4,0)*F148</f>
        <v>3900</v>
      </c>
    </row>
    <row r="149" spans="1:8" x14ac:dyDescent="0.35">
      <c r="B149" t="s">
        <v>182</v>
      </c>
      <c r="D149" t="s">
        <v>25</v>
      </c>
      <c r="E149" s="80">
        <f>VLOOKUP(D149,'Bu Erta'!$C$2:$E$66,3,0)</f>
        <v>1600</v>
      </c>
      <c r="F149">
        <v>0.2</v>
      </c>
      <c r="G149" s="80">
        <f t="shared" si="5"/>
        <v>320</v>
      </c>
      <c r="H149" s="80">
        <f>VLOOKUP(D149,'Bu Erta'!$C$2:$F$66,4,0)*F149</f>
        <v>340</v>
      </c>
    </row>
    <row r="150" spans="1:8" x14ac:dyDescent="0.35">
      <c r="B150" t="s">
        <v>182</v>
      </c>
      <c r="D150" t="s">
        <v>31</v>
      </c>
      <c r="E150" s="80">
        <f>VLOOKUP(D150,'Bu Erta'!$C$2:$E$66,3,0)</f>
        <v>1000</v>
      </c>
      <c r="F150">
        <v>0.2</v>
      </c>
      <c r="G150" s="80">
        <f t="shared" si="5"/>
        <v>200</v>
      </c>
      <c r="H150" s="80">
        <f>VLOOKUP(D150,'Bu Erta'!$C$2:$F$66,4,0)*F150</f>
        <v>220</v>
      </c>
    </row>
    <row r="151" spans="1:8" x14ac:dyDescent="0.35">
      <c r="A151" s="1">
        <v>22</v>
      </c>
      <c r="B151" t="s">
        <v>109</v>
      </c>
      <c r="C151" s="5">
        <v>4</v>
      </c>
      <c r="D151" t="s">
        <v>56</v>
      </c>
      <c r="E151" s="80">
        <f>VLOOKUP(D151,'Bu Erta'!$C$2:$E$66,3,0)</f>
        <v>4000</v>
      </c>
      <c r="F151">
        <v>9.1</v>
      </c>
      <c r="G151" s="80">
        <f t="shared" si="5"/>
        <v>36400</v>
      </c>
      <c r="H151" s="80">
        <f>VLOOKUP(D151,'Bu Erta'!$C$2:$F$66,4,0)*F151</f>
        <v>50050</v>
      </c>
    </row>
    <row r="152" spans="1:8" x14ac:dyDescent="0.35">
      <c r="B152" t="s">
        <v>109</v>
      </c>
      <c r="D152" t="s">
        <v>27</v>
      </c>
      <c r="E152" s="80">
        <f>VLOOKUP(D152,'Bu Erta'!$C$2:$E$66,3,0)</f>
        <v>2800</v>
      </c>
      <c r="F152">
        <v>0.6</v>
      </c>
      <c r="G152" s="80">
        <f t="shared" si="5"/>
        <v>1680</v>
      </c>
      <c r="H152" s="80">
        <f>VLOOKUP(D152,'Bu Erta'!$C$2:$F$66,4,0)*F152</f>
        <v>1860</v>
      </c>
    </row>
    <row r="153" spans="1:8" x14ac:dyDescent="0.35">
      <c r="B153" t="s">
        <v>109</v>
      </c>
      <c r="D153" t="s">
        <v>23</v>
      </c>
      <c r="E153" s="80">
        <f>VLOOKUP(D153,'Bu Erta'!$C$2:$E$66,3,0)</f>
        <v>300</v>
      </c>
      <c r="F153">
        <f>0.2+0.05+0.2</f>
        <v>0.45</v>
      </c>
      <c r="G153" s="80">
        <f t="shared" si="5"/>
        <v>135</v>
      </c>
      <c r="H153" s="80">
        <f>VLOOKUP(D153,'Bu Erta'!$C$2:$F$66,4,0)*F153</f>
        <v>180</v>
      </c>
    </row>
    <row r="154" spans="1:8" x14ac:dyDescent="0.35">
      <c r="B154" t="s">
        <v>109</v>
      </c>
      <c r="D154" t="s">
        <v>7</v>
      </c>
      <c r="E154" s="80">
        <f>VLOOKUP(D154,'Bu Erta'!$C$2:$E$66,3,0)</f>
        <v>1400</v>
      </c>
      <c r="F154">
        <v>0.2</v>
      </c>
      <c r="G154" s="80">
        <f t="shared" si="5"/>
        <v>280</v>
      </c>
      <c r="H154" s="80">
        <f>VLOOKUP(D154,'Bu Erta'!$C$2:$F$66,4,0)*F154</f>
        <v>320</v>
      </c>
    </row>
    <row r="155" spans="1:8" x14ac:dyDescent="0.35">
      <c r="B155" t="s">
        <v>109</v>
      </c>
      <c r="D155" t="s">
        <v>31</v>
      </c>
      <c r="E155" s="80">
        <f>VLOOKUP(D155,'Bu Erta'!$C$2:$E$66,3,0)</f>
        <v>1000</v>
      </c>
      <c r="F155">
        <v>0.8</v>
      </c>
      <c r="G155" s="80">
        <f t="shared" si="5"/>
        <v>800</v>
      </c>
      <c r="H155" s="80">
        <f>VLOOKUP(D155,'Bu Erta'!$C$2:$F$66,4,0)*F155</f>
        <v>880</v>
      </c>
    </row>
    <row r="156" spans="1:8" x14ac:dyDescent="0.35">
      <c r="B156" t="s">
        <v>109</v>
      </c>
      <c r="D156" t="s">
        <v>61</v>
      </c>
      <c r="E156" s="80">
        <f>VLOOKUP(D156,'Bu Erta'!$C$2:$E$66,3,0)</f>
        <v>800</v>
      </c>
      <c r="F156">
        <v>0.5</v>
      </c>
      <c r="G156" s="80">
        <f t="shared" si="5"/>
        <v>400</v>
      </c>
      <c r="H156" s="80">
        <f>VLOOKUP(D156,'Bu Erta'!$C$2:$F$66,4,0)*F156</f>
        <v>450</v>
      </c>
    </row>
    <row r="157" spans="1:8" x14ac:dyDescent="0.35">
      <c r="B157" t="s">
        <v>109</v>
      </c>
      <c r="D157" t="s">
        <v>69</v>
      </c>
      <c r="E157" s="80">
        <f>VLOOKUP(D157,'Bu Erta'!$C$2:$E$66,3,0)</f>
        <v>2500</v>
      </c>
      <c r="F157">
        <v>0.1</v>
      </c>
      <c r="G157" s="80">
        <f t="shared" si="5"/>
        <v>250</v>
      </c>
      <c r="H157" s="80">
        <f>VLOOKUP(D157,'Bu Erta'!$C$2:$F$66,4,0)*F157</f>
        <v>300</v>
      </c>
    </row>
    <row r="158" spans="1:8" x14ac:dyDescent="0.35">
      <c r="B158" t="s">
        <v>109</v>
      </c>
      <c r="D158" t="s">
        <v>42</v>
      </c>
      <c r="E158" s="80">
        <f>VLOOKUP(D158,'Bu Erta'!$C$2:$E$66,3,0)</f>
        <v>1000</v>
      </c>
      <c r="F158">
        <v>0.55000000000000004</v>
      </c>
      <c r="G158" s="80">
        <f t="shared" si="5"/>
        <v>550</v>
      </c>
      <c r="H158" s="80">
        <f>VLOOKUP(D158,'Bu Erta'!$C$2:$F$66,4,0)*F158</f>
        <v>660</v>
      </c>
    </row>
    <row r="159" spans="1:8" x14ac:dyDescent="0.35">
      <c r="A159" s="1">
        <v>23</v>
      </c>
      <c r="B159" t="s">
        <v>216</v>
      </c>
      <c r="C159" s="5">
        <v>2</v>
      </c>
      <c r="D159" t="s">
        <v>23</v>
      </c>
      <c r="E159" s="80">
        <f>VLOOKUP(D159,'Bu Erta'!$C$2:$E$66,3,0)</f>
        <v>300</v>
      </c>
      <c r="F159">
        <v>2.0499999999999998</v>
      </c>
      <c r="G159" s="80">
        <f t="shared" si="5"/>
        <v>615</v>
      </c>
      <c r="H159" s="80">
        <f>VLOOKUP(D159,'Bu Erta'!$C$2:$F$66,4,0)*F159</f>
        <v>819.99999999999989</v>
      </c>
    </row>
    <row r="160" spans="1:8" x14ac:dyDescent="0.35">
      <c r="B160" t="s">
        <v>216</v>
      </c>
      <c r="D160" t="s">
        <v>42</v>
      </c>
      <c r="E160" s="80">
        <f>VLOOKUP(D160,'Bu Erta'!$C$2:$E$66,3,0)</f>
        <v>1000</v>
      </c>
      <c r="F160">
        <v>0.45</v>
      </c>
      <c r="G160" s="80">
        <f t="shared" si="5"/>
        <v>450</v>
      </c>
      <c r="H160" s="80">
        <f>VLOOKUP(D160,'Bu Erta'!$C$2:$F$66,4,0)*F160</f>
        <v>540</v>
      </c>
    </row>
    <row r="161" spans="1:8" x14ac:dyDescent="0.35">
      <c r="B161" t="s">
        <v>216</v>
      </c>
      <c r="D161" t="s">
        <v>70</v>
      </c>
      <c r="E161" s="80">
        <f>VLOOKUP(D161,'Bu Erta'!$C$2:$E$66,3,0)</f>
        <v>3500</v>
      </c>
      <c r="F161">
        <v>0.25</v>
      </c>
      <c r="G161" s="80">
        <f t="shared" si="5"/>
        <v>875</v>
      </c>
      <c r="H161" s="80">
        <f>VLOOKUP(D161,'Bu Erta'!$C$2:$F$66,4,0)*F161</f>
        <v>1000</v>
      </c>
    </row>
    <row r="162" spans="1:8" x14ac:dyDescent="0.35">
      <c r="B162" t="s">
        <v>216</v>
      </c>
      <c r="D162" t="s">
        <v>69</v>
      </c>
      <c r="E162" s="80">
        <f>VLOOKUP(D162,'Bu Erta'!$C$2:$E$66,3,0)</f>
        <v>2500</v>
      </c>
      <c r="F162">
        <v>0.1</v>
      </c>
      <c r="G162" s="80">
        <f t="shared" si="5"/>
        <v>250</v>
      </c>
      <c r="H162" s="80">
        <f>VLOOKUP(D162,'Bu Erta'!$C$2:$F$66,4,0)*F162</f>
        <v>300</v>
      </c>
    </row>
    <row r="163" spans="1:8" x14ac:dyDescent="0.35">
      <c r="B163" t="s">
        <v>216</v>
      </c>
      <c r="D163" t="s">
        <v>41</v>
      </c>
      <c r="E163" s="80">
        <f>VLOOKUP(D163,'Bu Erta'!$C$2:$E$66,3,0)</f>
        <v>1500</v>
      </c>
      <c r="F163">
        <v>0.25</v>
      </c>
      <c r="G163" s="80">
        <f t="shared" si="5"/>
        <v>375</v>
      </c>
      <c r="H163" s="80">
        <f>VLOOKUP(D163,'Bu Erta'!$C$2:$F$66,4,0)*F163</f>
        <v>500</v>
      </c>
    </row>
    <row r="164" spans="1:8" x14ac:dyDescent="0.35">
      <c r="B164" t="s">
        <v>216</v>
      </c>
      <c r="D164" t="s">
        <v>6</v>
      </c>
      <c r="E164" s="80">
        <f>VLOOKUP(D164,'Bu Erta'!$C$2:$E$66,3,0)</f>
        <v>2000</v>
      </c>
      <c r="F164">
        <v>0.25</v>
      </c>
      <c r="G164" s="80">
        <f t="shared" si="5"/>
        <v>500</v>
      </c>
      <c r="H164" s="80">
        <f>VLOOKUP(D164,'Bu Erta'!$C$2:$F$66,4,0)*F164</f>
        <v>625</v>
      </c>
    </row>
    <row r="165" spans="1:8" x14ac:dyDescent="0.35">
      <c r="B165" t="s">
        <v>216</v>
      </c>
      <c r="D165" t="s">
        <v>7</v>
      </c>
      <c r="E165" s="80">
        <f>VLOOKUP(D165,'Bu Erta'!$C$2:$E$66,3,0)</f>
        <v>1400</v>
      </c>
      <c r="F165">
        <v>0.25</v>
      </c>
      <c r="G165" s="80">
        <f t="shared" si="5"/>
        <v>350</v>
      </c>
      <c r="H165" s="80">
        <f>VLOOKUP(D165,'Bu Erta'!$C$2:$F$66,4,0)*F165</f>
        <v>400</v>
      </c>
    </row>
    <row r="166" spans="1:8" x14ac:dyDescent="0.35">
      <c r="B166" t="s">
        <v>216</v>
      </c>
      <c r="D166" t="s">
        <v>24</v>
      </c>
      <c r="E166" s="80">
        <f>VLOOKUP(D166,'Bu Erta'!$C$2:$E$66,3,0)</f>
        <v>150</v>
      </c>
      <c r="F166">
        <v>0.65</v>
      </c>
      <c r="G166" s="80">
        <f t="shared" si="5"/>
        <v>97.5</v>
      </c>
      <c r="H166" s="80">
        <f>VLOOKUP(D166,'Bu Erta'!$C$2:$F$66,4,0)*F166</f>
        <v>130</v>
      </c>
    </row>
    <row r="167" spans="1:8" x14ac:dyDescent="0.35">
      <c r="B167" t="s">
        <v>216</v>
      </c>
      <c r="D167" t="s">
        <v>27</v>
      </c>
      <c r="E167" s="80">
        <f>VLOOKUP(D167,'Bu Erta'!$C$2:$E$66,3,0)</f>
        <v>2800</v>
      </c>
      <c r="F167">
        <f>0.75+0.3</f>
        <v>1.05</v>
      </c>
      <c r="G167" s="80">
        <f t="shared" si="5"/>
        <v>2940</v>
      </c>
      <c r="H167" s="80">
        <f>VLOOKUP(D167,'Bu Erta'!$C$2:$F$66,4,0)*F167</f>
        <v>3255</v>
      </c>
    </row>
    <row r="168" spans="1:8" x14ac:dyDescent="0.35">
      <c r="B168" t="s">
        <v>216</v>
      </c>
      <c r="D168" t="s">
        <v>7</v>
      </c>
      <c r="E168" s="80">
        <f>VLOOKUP(D168,'Bu Erta'!$C$2:$E$66,3,0)</f>
        <v>1400</v>
      </c>
      <c r="F168">
        <f>0.45+0.05</f>
        <v>0.5</v>
      </c>
      <c r="G168" s="80">
        <f t="shared" si="5"/>
        <v>700</v>
      </c>
      <c r="H168" s="80">
        <f>VLOOKUP(D168,'Bu Erta'!$C$2:$F$66,4,0)*F168</f>
        <v>800</v>
      </c>
    </row>
    <row r="169" spans="1:8" x14ac:dyDescent="0.35">
      <c r="B169" t="s">
        <v>216</v>
      </c>
      <c r="D169" t="s">
        <v>25</v>
      </c>
      <c r="E169" s="80">
        <f>VLOOKUP(D169,'Bu Erta'!$C$2:$E$66,3,0)</f>
        <v>1600</v>
      </c>
      <c r="F169">
        <v>0.25</v>
      </c>
      <c r="G169" s="80">
        <f t="shared" si="5"/>
        <v>400</v>
      </c>
      <c r="H169" s="80">
        <f>VLOOKUP(D169,'Bu Erta'!$C$2:$F$66,4,0)*F169</f>
        <v>425</v>
      </c>
    </row>
    <row r="170" spans="1:8" x14ac:dyDescent="0.35">
      <c r="A170" s="1">
        <v>24</v>
      </c>
      <c r="B170" t="s">
        <v>360</v>
      </c>
      <c r="C170" s="5" t="s">
        <v>361</v>
      </c>
      <c r="D170" t="s">
        <v>61</v>
      </c>
      <c r="E170" s="80">
        <f>VLOOKUP(D170,'Bu Erta'!$C$2:$E$66,3,0)</f>
        <v>800</v>
      </c>
      <c r="F170">
        <v>0.1</v>
      </c>
      <c r="G170" s="80">
        <f t="shared" si="5"/>
        <v>80</v>
      </c>
      <c r="H170" s="80">
        <f>VLOOKUP(D170,'Bu Erta'!$C$2:$F$66,4,0)*F170</f>
        <v>90</v>
      </c>
    </row>
    <row r="171" spans="1:8" x14ac:dyDescent="0.35">
      <c r="B171" t="s">
        <v>360</v>
      </c>
      <c r="D171" t="s">
        <v>36</v>
      </c>
      <c r="E171" s="80">
        <f>VLOOKUP(D171,'Bu Erta'!$C$2:$E$66,3,0)</f>
        <v>600</v>
      </c>
      <c r="F171">
        <f>0.5+0.9</f>
        <v>1.4</v>
      </c>
      <c r="G171" s="80">
        <f t="shared" si="5"/>
        <v>840</v>
      </c>
      <c r="H171" s="80">
        <f>VLOOKUP(D171,'Bu Erta'!$C$2:$F$66,4,0)*F171</f>
        <v>909.99999999999989</v>
      </c>
    </row>
    <row r="172" spans="1:8" x14ac:dyDescent="0.35">
      <c r="B172" t="s">
        <v>360</v>
      </c>
      <c r="D172" t="s">
        <v>31</v>
      </c>
      <c r="E172" s="80">
        <f>VLOOKUP(D172,'Bu Erta'!$C$2:$E$66,3,0)</f>
        <v>1000</v>
      </c>
      <c r="F172">
        <f>0.35+0.55+0.55</f>
        <v>1.4500000000000002</v>
      </c>
      <c r="G172" s="80">
        <f t="shared" si="5"/>
        <v>1450.0000000000002</v>
      </c>
      <c r="H172" s="80">
        <f>VLOOKUP(D172,'Bu Erta'!$C$2:$F$66,4,0)*F172</f>
        <v>1595.0000000000002</v>
      </c>
    </row>
    <row r="173" spans="1:8" x14ac:dyDescent="0.35">
      <c r="B173" t="s">
        <v>360</v>
      </c>
      <c r="D173" t="s">
        <v>67</v>
      </c>
      <c r="E173" s="80">
        <f>VLOOKUP(D173,'Bu Erta'!$C$2:$E$66,3,0)</f>
        <v>2700</v>
      </c>
      <c r="F173">
        <v>0.15</v>
      </c>
      <c r="G173" s="80">
        <f t="shared" si="5"/>
        <v>405</v>
      </c>
      <c r="H173" s="80">
        <f>VLOOKUP(D173,'Bu Erta'!$C$2:$F$66,4,0)*F173</f>
        <v>450</v>
      </c>
    </row>
    <row r="174" spans="1:8" x14ac:dyDescent="0.35">
      <c r="B174" t="s">
        <v>360</v>
      </c>
      <c r="D174" t="s">
        <v>7</v>
      </c>
      <c r="E174" s="80">
        <f>VLOOKUP(D174,'Bu Erta'!$C$2:$E$66,3,0)</f>
        <v>1400</v>
      </c>
      <c r="F174">
        <v>1</v>
      </c>
      <c r="G174" s="80">
        <f t="shared" si="5"/>
        <v>1400</v>
      </c>
      <c r="H174" s="80">
        <f>VLOOKUP(D174,'Bu Erta'!$C$2:$F$66,4,0)*F174</f>
        <v>1600</v>
      </c>
    </row>
    <row r="175" spans="1:8" x14ac:dyDescent="0.35">
      <c r="B175" t="s">
        <v>360</v>
      </c>
      <c r="D175" t="s">
        <v>41</v>
      </c>
      <c r="E175" s="80">
        <f>VLOOKUP(D175,'Bu Erta'!$C$2:$E$66,3,0)</f>
        <v>1500</v>
      </c>
      <c r="F175">
        <v>0.35</v>
      </c>
      <c r="G175" s="80">
        <f t="shared" si="5"/>
        <v>525</v>
      </c>
      <c r="H175" s="80">
        <f>VLOOKUP(D175,'Bu Erta'!$C$2:$F$66,4,0)*F175</f>
        <v>700</v>
      </c>
    </row>
    <row r="176" spans="1:8" x14ac:dyDescent="0.35">
      <c r="B176" t="s">
        <v>360</v>
      </c>
      <c r="D176" t="s">
        <v>24</v>
      </c>
      <c r="E176" s="80">
        <f>VLOOKUP(D176,'Bu Erta'!$C$2:$E$66,3,0)</f>
        <v>150</v>
      </c>
      <c r="F176">
        <v>0.5</v>
      </c>
      <c r="G176" s="80">
        <f t="shared" si="5"/>
        <v>75</v>
      </c>
      <c r="H176" s="80">
        <f>VLOOKUP(D176,'Bu Erta'!$C$2:$F$66,4,0)*F176</f>
        <v>100</v>
      </c>
    </row>
    <row r="177" spans="1:8" x14ac:dyDescent="0.35">
      <c r="A177" s="1">
        <v>25</v>
      </c>
      <c r="B177" t="s">
        <v>89</v>
      </c>
      <c r="C177" s="5">
        <v>4</v>
      </c>
      <c r="D177" t="s">
        <v>7</v>
      </c>
      <c r="E177" s="80">
        <f>VLOOKUP(D177,'Bu Erta'!$C$2:$E$66,3,0)</f>
        <v>1400</v>
      </c>
      <c r="F177">
        <f>3.05+0.85+0.05+0.2+0.65</f>
        <v>4.8</v>
      </c>
      <c r="G177" s="80">
        <f t="shared" si="5"/>
        <v>6720</v>
      </c>
      <c r="H177" s="80">
        <f>VLOOKUP(D177,'Bu Erta'!$C$2:$F$66,4,0)*F177</f>
        <v>7680</v>
      </c>
    </row>
    <row r="178" spans="1:8" x14ac:dyDescent="0.35">
      <c r="B178" t="s">
        <v>89</v>
      </c>
      <c r="D178" t="s">
        <v>36</v>
      </c>
      <c r="E178" s="80">
        <f>VLOOKUP(D178,'Bu Erta'!$C$2:$E$66,3,0)</f>
        <v>600</v>
      </c>
      <c r="F178">
        <v>0.5</v>
      </c>
      <c r="G178" s="80">
        <f t="shared" si="5"/>
        <v>300</v>
      </c>
      <c r="H178" s="80">
        <f>VLOOKUP(D178,'Bu Erta'!$C$2:$F$66,4,0)*F178</f>
        <v>325</v>
      </c>
    </row>
    <row r="179" spans="1:8" x14ac:dyDescent="0.35">
      <c r="B179" t="s">
        <v>89</v>
      </c>
      <c r="D179" t="s">
        <v>27</v>
      </c>
      <c r="E179" s="80">
        <f>VLOOKUP(D179,'Bu Erta'!$C$2:$E$66,3,0)</f>
        <v>2800</v>
      </c>
      <c r="F179">
        <v>0.35</v>
      </c>
      <c r="G179" s="80">
        <f t="shared" si="5"/>
        <v>979.99999999999989</v>
      </c>
      <c r="H179" s="80">
        <f>VLOOKUP(D179,'Bu Erta'!$C$2:$F$66,4,0)*F179</f>
        <v>1085</v>
      </c>
    </row>
    <row r="180" spans="1:8" x14ac:dyDescent="0.35">
      <c r="B180" t="s">
        <v>89</v>
      </c>
      <c r="D180" t="s">
        <v>34</v>
      </c>
      <c r="E180" s="80">
        <f>VLOOKUP(D180,'Bu Erta'!$C$2:$E$66,3,0)</f>
        <v>3500</v>
      </c>
      <c r="F180">
        <v>0.2</v>
      </c>
      <c r="G180" s="80">
        <f t="shared" si="5"/>
        <v>700</v>
      </c>
      <c r="H180" s="80">
        <f>VLOOKUP(D180,'Bu Erta'!$C$2:$F$66,4,0)*F180</f>
        <v>720</v>
      </c>
    </row>
    <row r="181" spans="1:8" x14ac:dyDescent="0.35">
      <c r="B181" t="s">
        <v>89</v>
      </c>
      <c r="D181" t="s">
        <v>25</v>
      </c>
      <c r="E181" s="80">
        <f>VLOOKUP(D181,'Bu Erta'!$C$2:$E$66,3,0)</f>
        <v>1600</v>
      </c>
      <c r="F181">
        <v>0.1</v>
      </c>
      <c r="G181" s="80">
        <f t="shared" si="5"/>
        <v>160</v>
      </c>
      <c r="H181" s="80">
        <f>VLOOKUP(D181,'Bu Erta'!$C$2:$F$66,4,0)*F181</f>
        <v>170</v>
      </c>
    </row>
    <row r="182" spans="1:8" x14ac:dyDescent="0.35">
      <c r="B182" t="s">
        <v>89</v>
      </c>
      <c r="D182" t="s">
        <v>42</v>
      </c>
      <c r="E182" s="80">
        <f>VLOOKUP(D182,'Bu Erta'!$C$2:$E$66,3,0)</f>
        <v>1000</v>
      </c>
      <c r="F182">
        <v>0.5</v>
      </c>
      <c r="G182" s="80">
        <f t="shared" si="5"/>
        <v>500</v>
      </c>
      <c r="H182" s="80">
        <f>VLOOKUP(D182,'Bu Erta'!$C$2:$F$66,4,0)*F182</f>
        <v>600</v>
      </c>
    </row>
    <row r="183" spans="1:8" x14ac:dyDescent="0.35">
      <c r="B183" t="s">
        <v>89</v>
      </c>
      <c r="D183" t="s">
        <v>23</v>
      </c>
      <c r="E183" s="80">
        <f>VLOOKUP(D183,'Bu Erta'!$C$2:$E$66,3,0)</f>
        <v>300</v>
      </c>
      <c r="F183">
        <f>0.85+0.3</f>
        <v>1.1499999999999999</v>
      </c>
      <c r="G183" s="80">
        <f t="shared" si="5"/>
        <v>345</v>
      </c>
      <c r="H183" s="80">
        <f>VLOOKUP(D183,'Bu Erta'!$C$2:$F$66,4,0)*F183</f>
        <v>459.99999999999994</v>
      </c>
    </row>
    <row r="184" spans="1:8" x14ac:dyDescent="0.35">
      <c r="B184" t="s">
        <v>89</v>
      </c>
      <c r="D184" t="s">
        <v>29</v>
      </c>
      <c r="E184" s="80">
        <f>VLOOKUP(D184,'Bu Erta'!$C$2:$E$66,3,0)</f>
        <v>5000</v>
      </c>
      <c r="F184">
        <v>1.1000000000000001</v>
      </c>
      <c r="G184" s="80">
        <f t="shared" si="5"/>
        <v>5500</v>
      </c>
      <c r="H184" s="80">
        <f>VLOOKUP(D184,'Bu Erta'!$C$2:$F$66,4,0)*F184</f>
        <v>6600.0000000000009</v>
      </c>
    </row>
    <row r="185" spans="1:8" x14ac:dyDescent="0.35">
      <c r="A185" s="1">
        <v>26</v>
      </c>
      <c r="B185" t="s">
        <v>94</v>
      </c>
      <c r="C185" s="5">
        <v>4</v>
      </c>
      <c r="D185" t="s">
        <v>42</v>
      </c>
      <c r="E185" s="80">
        <f>VLOOKUP(D185,'Bu Erta'!$C$2:$E$66,3,0)</f>
        <v>1000</v>
      </c>
      <c r="F185">
        <v>2.2000000000000002</v>
      </c>
      <c r="G185" s="80">
        <f t="shared" ref="G185:G248" si="6">E185*F185</f>
        <v>2200</v>
      </c>
      <c r="H185" s="80">
        <f>VLOOKUP(D185,'Bu Erta'!$C$2:$F$66,4,0)*F185</f>
        <v>2640</v>
      </c>
    </row>
    <row r="186" spans="1:8" x14ac:dyDescent="0.35">
      <c r="B186" t="s">
        <v>94</v>
      </c>
      <c r="D186" t="s">
        <v>56</v>
      </c>
      <c r="E186" s="80">
        <f>VLOOKUP(D186,'Bu Erta'!$C$2:$E$66,3,0)</f>
        <v>4000</v>
      </c>
      <c r="F186">
        <v>3.2</v>
      </c>
      <c r="G186" s="80">
        <f t="shared" si="6"/>
        <v>12800</v>
      </c>
      <c r="H186" s="80">
        <f>VLOOKUP(D186,'Bu Erta'!$C$2:$F$66,4,0)*F186</f>
        <v>17600</v>
      </c>
    </row>
    <row r="187" spans="1:8" x14ac:dyDescent="0.35">
      <c r="B187" t="s">
        <v>94</v>
      </c>
      <c r="D187" t="s">
        <v>7</v>
      </c>
      <c r="E187" s="80">
        <f>VLOOKUP(D187,'Bu Erta'!$C$2:$E$66,3,0)</f>
        <v>1400</v>
      </c>
      <c r="F187">
        <v>2</v>
      </c>
      <c r="G187" s="80">
        <f t="shared" si="6"/>
        <v>2800</v>
      </c>
      <c r="H187" s="80">
        <f>VLOOKUP(D187,'Bu Erta'!$C$2:$F$66,4,0)*F187</f>
        <v>3200</v>
      </c>
    </row>
    <row r="188" spans="1:8" x14ac:dyDescent="0.35">
      <c r="B188" t="s">
        <v>94</v>
      </c>
      <c r="D188" t="s">
        <v>61</v>
      </c>
      <c r="E188" s="80">
        <f>VLOOKUP(D188,'Bu Erta'!$C$2:$E$66,3,0)</f>
        <v>800</v>
      </c>
      <c r="F188">
        <v>0.05</v>
      </c>
      <c r="G188" s="80">
        <f t="shared" si="6"/>
        <v>40</v>
      </c>
      <c r="H188" s="80">
        <f>VLOOKUP(D188,'Bu Erta'!$C$2:$F$66,4,0)*F188</f>
        <v>45</v>
      </c>
    </row>
    <row r="189" spans="1:8" x14ac:dyDescent="0.35">
      <c r="B189" t="s">
        <v>94</v>
      </c>
      <c r="D189" t="s">
        <v>88</v>
      </c>
      <c r="E189" s="80">
        <f>VLOOKUP(D189,'Bu Erta'!$C$2:$E$66,3,0)</f>
        <v>300</v>
      </c>
      <c r="F189">
        <v>0.35</v>
      </c>
      <c r="G189" s="80">
        <f t="shared" si="6"/>
        <v>105</v>
      </c>
      <c r="H189" s="80">
        <f>VLOOKUP(D189,'Bu Erta'!$C$2:$F$66,4,0)*F189</f>
        <v>140</v>
      </c>
    </row>
    <row r="190" spans="1:8" x14ac:dyDescent="0.35">
      <c r="B190" t="s">
        <v>94</v>
      </c>
      <c r="C190" s="1" t="s">
        <v>371</v>
      </c>
      <c r="D190" t="s">
        <v>49</v>
      </c>
      <c r="E190" s="80">
        <f>VLOOKUP(D190,'Bu Erta'!$C$2:$E$66,3,0)</f>
        <v>800</v>
      </c>
      <c r="F190">
        <v>0.6</v>
      </c>
      <c r="G190" s="80">
        <f t="shared" si="6"/>
        <v>480</v>
      </c>
      <c r="H190" s="80">
        <f>VLOOKUP(D190,'Bu Erta'!$C$2:$F$66,4,0)*F190</f>
        <v>540</v>
      </c>
    </row>
    <row r="191" spans="1:8" x14ac:dyDescent="0.35">
      <c r="B191" t="s">
        <v>94</v>
      </c>
      <c r="D191" t="s">
        <v>31</v>
      </c>
      <c r="E191" s="80">
        <f>VLOOKUP(D191,'Bu Erta'!$C$2:$E$66,3,0)</f>
        <v>1000</v>
      </c>
      <c r="F191">
        <v>0.4</v>
      </c>
      <c r="G191" s="80">
        <f t="shared" si="6"/>
        <v>400</v>
      </c>
      <c r="H191" s="80">
        <f>VLOOKUP(D191,'Bu Erta'!$C$2:$F$66,4,0)*F191</f>
        <v>440</v>
      </c>
    </row>
    <row r="192" spans="1:8" x14ac:dyDescent="0.35">
      <c r="A192" s="1">
        <v>27</v>
      </c>
      <c r="B192" t="s">
        <v>76</v>
      </c>
      <c r="C192" s="5">
        <v>3</v>
      </c>
      <c r="D192" t="s">
        <v>23</v>
      </c>
      <c r="E192" s="80">
        <f>VLOOKUP(D192,'Bu Erta'!$C$2:$E$66,3,0)</f>
        <v>300</v>
      </c>
      <c r="F192">
        <v>0.8</v>
      </c>
      <c r="G192" s="80">
        <f t="shared" si="6"/>
        <v>240</v>
      </c>
      <c r="H192" s="80">
        <f>VLOOKUP(D192,'Bu Erta'!$C$2:$F$66,4,0)*F192</f>
        <v>320</v>
      </c>
    </row>
    <row r="193" spans="1:8" x14ac:dyDescent="0.35">
      <c r="B193" t="s">
        <v>76</v>
      </c>
      <c r="D193" t="s">
        <v>28</v>
      </c>
      <c r="E193" s="80">
        <f>VLOOKUP(D193,'Bu Erta'!$C$2:$E$66,3,0)</f>
        <v>1200</v>
      </c>
      <c r="F193">
        <v>4.6500000000000004</v>
      </c>
      <c r="G193" s="80">
        <f t="shared" si="6"/>
        <v>5580</v>
      </c>
      <c r="H193" s="80">
        <f>VLOOKUP(D193,'Bu Erta'!$C$2:$F$66,4,0)*F193</f>
        <v>6045.0000000000009</v>
      </c>
    </row>
    <row r="194" spans="1:8" x14ac:dyDescent="0.35">
      <c r="B194" t="s">
        <v>76</v>
      </c>
      <c r="D194" t="s">
        <v>42</v>
      </c>
      <c r="E194" s="80">
        <f>VLOOKUP(D194,'Bu Erta'!$C$2:$E$66,3,0)</f>
        <v>1000</v>
      </c>
      <c r="F194">
        <v>0.95</v>
      </c>
      <c r="G194" s="80">
        <f t="shared" si="6"/>
        <v>950</v>
      </c>
      <c r="H194" s="80">
        <f>VLOOKUP(D194,'Bu Erta'!$C$2:$F$66,4,0)*F194</f>
        <v>1140</v>
      </c>
    </row>
    <row r="195" spans="1:8" x14ac:dyDescent="0.35">
      <c r="B195" t="s">
        <v>76</v>
      </c>
      <c r="D195" t="s">
        <v>27</v>
      </c>
      <c r="E195" s="80">
        <f>VLOOKUP(D195,'Bu Erta'!$C$2:$E$66,3,0)</f>
        <v>2800</v>
      </c>
      <c r="F195">
        <v>0.3</v>
      </c>
      <c r="G195" s="80">
        <f t="shared" si="6"/>
        <v>840</v>
      </c>
      <c r="H195" s="80">
        <f>VLOOKUP(D195,'Bu Erta'!$C$2:$F$66,4,0)*F195</f>
        <v>930</v>
      </c>
    </row>
    <row r="196" spans="1:8" x14ac:dyDescent="0.35">
      <c r="B196" t="s">
        <v>76</v>
      </c>
      <c r="D196" t="s">
        <v>88</v>
      </c>
      <c r="E196" s="80">
        <f>VLOOKUP(D196,'Bu Erta'!$C$2:$E$66,3,0)</f>
        <v>300</v>
      </c>
      <c r="F196">
        <v>0.3</v>
      </c>
      <c r="G196" s="80">
        <f t="shared" si="6"/>
        <v>90</v>
      </c>
      <c r="H196" s="80">
        <f>VLOOKUP(D196,'Bu Erta'!$C$2:$F$66,4,0)*F196</f>
        <v>120</v>
      </c>
    </row>
    <row r="197" spans="1:8" x14ac:dyDescent="0.35">
      <c r="B197" t="s">
        <v>76</v>
      </c>
      <c r="D197" t="s">
        <v>36</v>
      </c>
      <c r="E197" s="80">
        <f>VLOOKUP(D197,'Bu Erta'!$C$2:$E$66,3,0)</f>
        <v>600</v>
      </c>
      <c r="F197">
        <v>0.15</v>
      </c>
      <c r="G197" s="80">
        <f t="shared" si="6"/>
        <v>90</v>
      </c>
      <c r="H197" s="80">
        <f>VLOOKUP(D197,'Bu Erta'!$C$2:$F$66,4,0)*F197</f>
        <v>97.5</v>
      </c>
    </row>
    <row r="198" spans="1:8" x14ac:dyDescent="0.35">
      <c r="A198" s="1">
        <v>28</v>
      </c>
      <c r="B198" t="s">
        <v>148</v>
      </c>
      <c r="C198" s="5">
        <v>4</v>
      </c>
      <c r="D198" t="s">
        <v>44</v>
      </c>
      <c r="E198" s="80">
        <f>VLOOKUP(D198,'Bu Erta'!$C$2:$E$66,3,0)</f>
        <v>400</v>
      </c>
      <c r="F198">
        <f>2.25+3.75</f>
        <v>6</v>
      </c>
      <c r="G198" s="80">
        <f t="shared" si="6"/>
        <v>2400</v>
      </c>
      <c r="H198" s="80">
        <f>VLOOKUP(D198,'Bu Erta'!$C$2:$F$66,4,0)*F198</f>
        <v>3000</v>
      </c>
    </row>
    <row r="199" spans="1:8" x14ac:dyDescent="0.35">
      <c r="B199" t="s">
        <v>148</v>
      </c>
      <c r="D199" t="s">
        <v>88</v>
      </c>
      <c r="E199" s="80">
        <f>VLOOKUP(D199,'Bu Erta'!$C$2:$E$66,3,0)</f>
        <v>300</v>
      </c>
      <c r="F199">
        <v>0.1</v>
      </c>
      <c r="G199" s="80">
        <f t="shared" si="6"/>
        <v>30</v>
      </c>
      <c r="H199" s="80">
        <f>VLOOKUP(D199,'Bu Erta'!$C$2:$F$66,4,0)*F199</f>
        <v>40</v>
      </c>
    </row>
    <row r="200" spans="1:8" x14ac:dyDescent="0.35">
      <c r="B200" t="s">
        <v>148</v>
      </c>
      <c r="D200" t="s">
        <v>25</v>
      </c>
      <c r="E200" s="80">
        <f>VLOOKUP(D200,'Bu Erta'!$C$2:$E$66,3,0)</f>
        <v>1600</v>
      </c>
      <c r="F200">
        <v>0.15</v>
      </c>
      <c r="G200" s="80">
        <f t="shared" si="6"/>
        <v>240</v>
      </c>
      <c r="H200" s="80">
        <f>VLOOKUP(D200,'Bu Erta'!$C$2:$F$66,4,0)*F200</f>
        <v>255</v>
      </c>
    </row>
    <row r="201" spans="1:8" x14ac:dyDescent="0.35">
      <c r="B201" t="s">
        <v>148</v>
      </c>
      <c r="D201" t="s">
        <v>7</v>
      </c>
      <c r="E201" s="80">
        <f>VLOOKUP(D201,'Bu Erta'!$C$2:$E$66,3,0)</f>
        <v>1400</v>
      </c>
      <c r="F201">
        <v>0.1</v>
      </c>
      <c r="G201" s="80">
        <f t="shared" si="6"/>
        <v>140</v>
      </c>
      <c r="H201" s="80">
        <f>VLOOKUP(D201,'Bu Erta'!$C$2:$F$66,4,0)*F201</f>
        <v>160</v>
      </c>
    </row>
    <row r="202" spans="1:8" x14ac:dyDescent="0.35">
      <c r="B202" t="s">
        <v>148</v>
      </c>
      <c r="D202" t="s">
        <v>42</v>
      </c>
      <c r="E202" s="80">
        <f>VLOOKUP(D202,'Bu Erta'!$C$2:$E$66,3,0)</f>
        <v>1000</v>
      </c>
      <c r="F202">
        <f>3.65+0.55</f>
        <v>4.2</v>
      </c>
      <c r="G202" s="80">
        <f t="shared" si="6"/>
        <v>4200</v>
      </c>
      <c r="H202" s="80">
        <f>VLOOKUP(D202,'Bu Erta'!$C$2:$F$66,4,0)*F202</f>
        <v>5040</v>
      </c>
    </row>
    <row r="203" spans="1:8" x14ac:dyDescent="0.35">
      <c r="B203" t="s">
        <v>148</v>
      </c>
      <c r="D203" t="s">
        <v>46</v>
      </c>
      <c r="E203" s="80">
        <f>VLOOKUP(D203,'Bu Erta'!$C$2:$E$66,3,0)</f>
        <v>1400</v>
      </c>
      <c r="F203">
        <v>0.8</v>
      </c>
      <c r="G203" s="80">
        <f t="shared" si="6"/>
        <v>1120</v>
      </c>
      <c r="H203" s="80">
        <f>VLOOKUP(D203,'Bu Erta'!$C$2:$F$66,4,0)*F203</f>
        <v>1200</v>
      </c>
    </row>
    <row r="204" spans="1:8" x14ac:dyDescent="0.35">
      <c r="B204" t="s">
        <v>148</v>
      </c>
      <c r="D204" t="s">
        <v>28</v>
      </c>
      <c r="E204" s="80">
        <f>VLOOKUP(D204,'Bu Erta'!$C$2:$E$66,3,0)</f>
        <v>1200</v>
      </c>
      <c r="F204">
        <v>6</v>
      </c>
      <c r="G204" s="80">
        <f t="shared" si="6"/>
        <v>7200</v>
      </c>
      <c r="H204" s="80">
        <f>VLOOKUP(D204,'Bu Erta'!$C$2:$F$66,4,0)*F204</f>
        <v>7800</v>
      </c>
    </row>
    <row r="205" spans="1:8" x14ac:dyDescent="0.35">
      <c r="A205" s="1">
        <v>29</v>
      </c>
      <c r="B205" t="s">
        <v>139</v>
      </c>
      <c r="C205" s="5">
        <v>1</v>
      </c>
      <c r="D205" t="s">
        <v>23</v>
      </c>
      <c r="E205" s="80">
        <f>VLOOKUP(D205,'Bu Erta'!$C$2:$E$66,3,0)</f>
        <v>300</v>
      </c>
      <c r="F205">
        <v>0.5</v>
      </c>
      <c r="G205" s="80">
        <f t="shared" si="6"/>
        <v>150</v>
      </c>
      <c r="H205" s="80">
        <f>VLOOKUP(D205,'Bu Erta'!$C$2:$F$66,4,0)*F205</f>
        <v>200</v>
      </c>
    </row>
    <row r="206" spans="1:8" x14ac:dyDescent="0.35">
      <c r="B206" t="s">
        <v>139</v>
      </c>
      <c r="D206" t="s">
        <v>88</v>
      </c>
      <c r="E206" s="80">
        <f>VLOOKUP(D206,'Bu Erta'!$C$2:$E$66,3,0)</f>
        <v>300</v>
      </c>
      <c r="F206">
        <v>0.6</v>
      </c>
      <c r="G206" s="80">
        <f t="shared" si="6"/>
        <v>180</v>
      </c>
      <c r="H206" s="80">
        <f>VLOOKUP(D206,'Bu Erta'!$C$2:$F$66,4,0)*F206</f>
        <v>240</v>
      </c>
    </row>
    <row r="207" spans="1:8" x14ac:dyDescent="0.35">
      <c r="B207" t="s">
        <v>139</v>
      </c>
      <c r="D207" t="s">
        <v>42</v>
      </c>
      <c r="E207" s="80">
        <f>VLOOKUP(D207,'Bu Erta'!$C$2:$E$66,3,0)</f>
        <v>1000</v>
      </c>
      <c r="F207">
        <v>1.3</v>
      </c>
      <c r="G207" s="80">
        <f t="shared" si="6"/>
        <v>1300</v>
      </c>
      <c r="H207" s="80">
        <f>VLOOKUP(D207,'Bu Erta'!$C$2:$F$66,4,0)*F207</f>
        <v>1560</v>
      </c>
    </row>
    <row r="208" spans="1:8" x14ac:dyDescent="0.35">
      <c r="B208" t="s">
        <v>139</v>
      </c>
      <c r="D208" t="s">
        <v>31</v>
      </c>
      <c r="E208" s="80">
        <f>VLOOKUP(D208,'Bu Erta'!$C$2:$E$66,3,0)</f>
        <v>1000</v>
      </c>
      <c r="F208">
        <v>0.3</v>
      </c>
      <c r="G208" s="80">
        <f t="shared" si="6"/>
        <v>300</v>
      </c>
      <c r="H208" s="80">
        <f>VLOOKUP(D208,'Bu Erta'!$C$2:$F$66,4,0)*F208</f>
        <v>330</v>
      </c>
    </row>
    <row r="209" spans="1:8" x14ac:dyDescent="0.35">
      <c r="A209" s="1">
        <v>30</v>
      </c>
      <c r="B209" t="s">
        <v>152</v>
      </c>
      <c r="C209" s="5">
        <v>4</v>
      </c>
      <c r="D209" t="s">
        <v>42</v>
      </c>
      <c r="E209" s="80">
        <f>VLOOKUP(D209,'Bu Erta'!$C$2:$E$66,3,0)</f>
        <v>1000</v>
      </c>
      <c r="F209">
        <v>0.75</v>
      </c>
      <c r="G209" s="80">
        <f t="shared" si="6"/>
        <v>750</v>
      </c>
      <c r="H209" s="80">
        <f>VLOOKUP(D209,'Bu Erta'!$C$2:$F$66,4,0)*F209</f>
        <v>900</v>
      </c>
    </row>
    <row r="210" spans="1:8" x14ac:dyDescent="0.35">
      <c r="B210" t="s">
        <v>152</v>
      </c>
      <c r="D210" t="s">
        <v>25</v>
      </c>
      <c r="E210" s="80">
        <f>VLOOKUP(D210,'Bu Erta'!$C$2:$E$66,3,0)</f>
        <v>1600</v>
      </c>
      <c r="F210">
        <v>0.15</v>
      </c>
      <c r="G210" s="80">
        <f t="shared" si="6"/>
        <v>240</v>
      </c>
      <c r="H210" s="80">
        <f>VLOOKUP(D210,'Bu Erta'!$C$2:$F$66,4,0)*F210</f>
        <v>255</v>
      </c>
    </row>
    <row r="211" spans="1:8" x14ac:dyDescent="0.35">
      <c r="B211" t="s">
        <v>152</v>
      </c>
      <c r="D211" t="s">
        <v>88</v>
      </c>
      <c r="E211" s="80">
        <f>VLOOKUP(D211,'Bu Erta'!$C$2:$E$66,3,0)</f>
        <v>300</v>
      </c>
      <c r="F211">
        <v>0.2</v>
      </c>
      <c r="G211" s="80">
        <f t="shared" si="6"/>
        <v>60</v>
      </c>
      <c r="H211" s="80">
        <f>VLOOKUP(D211,'Bu Erta'!$C$2:$F$66,4,0)*F211</f>
        <v>80</v>
      </c>
    </row>
    <row r="212" spans="1:8" x14ac:dyDescent="0.35">
      <c r="B212" t="s">
        <v>152</v>
      </c>
      <c r="D212" t="s">
        <v>61</v>
      </c>
      <c r="E212" s="80">
        <f>VLOOKUP(D212,'Bu Erta'!$C$2:$E$66,3,0)</f>
        <v>800</v>
      </c>
      <c r="F212">
        <v>0.1</v>
      </c>
      <c r="G212" s="80">
        <f t="shared" si="6"/>
        <v>80</v>
      </c>
      <c r="H212" s="80">
        <f>VLOOKUP(D212,'Bu Erta'!$C$2:$F$66,4,0)*F212</f>
        <v>90</v>
      </c>
    </row>
    <row r="213" spans="1:8" x14ac:dyDescent="0.35">
      <c r="B213" t="s">
        <v>152</v>
      </c>
      <c r="D213" t="s">
        <v>29</v>
      </c>
      <c r="E213" s="80">
        <f>VLOOKUP(D213,'Bu Erta'!$C$2:$E$66,3,0)</f>
        <v>5000</v>
      </c>
      <c r="F213">
        <v>1.1000000000000001</v>
      </c>
      <c r="G213" s="80">
        <f t="shared" si="6"/>
        <v>5500</v>
      </c>
      <c r="H213" s="80">
        <f>VLOOKUP(D213,'Bu Erta'!$C$2:$F$66,4,0)*F213</f>
        <v>6600.0000000000009</v>
      </c>
    </row>
    <row r="214" spans="1:8" x14ac:dyDescent="0.35">
      <c r="B214" t="s">
        <v>152</v>
      </c>
      <c r="D214" t="s">
        <v>23</v>
      </c>
      <c r="E214" s="80">
        <f>VLOOKUP(D214,'Bu Erta'!$C$2:$E$66,3,0)</f>
        <v>300</v>
      </c>
      <c r="F214">
        <f>0.05+2</f>
        <v>2.0499999999999998</v>
      </c>
      <c r="G214" s="80">
        <f t="shared" si="6"/>
        <v>615</v>
      </c>
      <c r="H214" s="80">
        <f>VLOOKUP(D214,'Bu Erta'!$C$2:$F$66,4,0)*F214</f>
        <v>819.99999999999989</v>
      </c>
    </row>
    <row r="215" spans="1:8" x14ac:dyDescent="0.35">
      <c r="B215" t="s">
        <v>152</v>
      </c>
      <c r="D215" t="s">
        <v>7</v>
      </c>
      <c r="E215" s="80">
        <f>VLOOKUP(D215,'Bu Erta'!$C$2:$E$66,3,0)</f>
        <v>1400</v>
      </c>
      <c r="F215">
        <v>1.9</v>
      </c>
      <c r="G215" s="80">
        <f t="shared" si="6"/>
        <v>2660</v>
      </c>
      <c r="H215" s="80">
        <f>VLOOKUP(D215,'Bu Erta'!$C$2:$F$66,4,0)*F215</f>
        <v>3040</v>
      </c>
    </row>
    <row r="216" spans="1:8" x14ac:dyDescent="0.35">
      <c r="B216" t="s">
        <v>152</v>
      </c>
      <c r="D216" t="s">
        <v>38</v>
      </c>
      <c r="E216" s="80">
        <f>VLOOKUP(D216,'Bu Erta'!$C$2:$E$66,3,0)</f>
        <v>1400</v>
      </c>
      <c r="F216">
        <v>2.0499999999999998</v>
      </c>
      <c r="G216" s="80">
        <f t="shared" si="6"/>
        <v>2869.9999999999995</v>
      </c>
      <c r="H216" s="80">
        <f>VLOOKUP(D216,'Bu Erta'!$C$2:$F$66,4,0)*F216</f>
        <v>3279.9999999999995</v>
      </c>
    </row>
    <row r="217" spans="1:8" x14ac:dyDescent="0.35">
      <c r="A217" s="1">
        <v>31</v>
      </c>
      <c r="B217" t="s">
        <v>295</v>
      </c>
      <c r="C217" s="5">
        <v>6</v>
      </c>
      <c r="D217" t="s">
        <v>23</v>
      </c>
      <c r="E217" s="80">
        <f>VLOOKUP(D217,'Bu Erta'!$C$2:$E$66,3,0)</f>
        <v>300</v>
      </c>
      <c r="F217">
        <v>0.15</v>
      </c>
      <c r="G217" s="80">
        <f t="shared" si="6"/>
        <v>45</v>
      </c>
      <c r="H217" s="80">
        <f>VLOOKUP(D217,'Bu Erta'!$C$2:$F$66,4,0)*F217</f>
        <v>60</v>
      </c>
    </row>
    <row r="218" spans="1:8" x14ac:dyDescent="0.35">
      <c r="B218" t="s">
        <v>295</v>
      </c>
      <c r="D218" t="s">
        <v>25</v>
      </c>
      <c r="E218" s="80">
        <f>VLOOKUP(D218,'Bu Erta'!$C$2:$E$66,3,0)</f>
        <v>1600</v>
      </c>
      <c r="F218">
        <v>0.15</v>
      </c>
      <c r="G218" s="80">
        <f t="shared" si="6"/>
        <v>240</v>
      </c>
      <c r="H218" s="80">
        <f>VLOOKUP(D218,'Bu Erta'!$C$2:$F$66,4,0)*F218</f>
        <v>255</v>
      </c>
    </row>
    <row r="219" spans="1:8" x14ac:dyDescent="0.35">
      <c r="B219" t="s">
        <v>295</v>
      </c>
      <c r="D219" t="s">
        <v>31</v>
      </c>
      <c r="E219" s="80">
        <f>VLOOKUP(D219,'Bu Erta'!$C$2:$E$66,3,0)</f>
        <v>1000</v>
      </c>
      <c r="F219">
        <v>0.55000000000000004</v>
      </c>
      <c r="G219" s="80">
        <f t="shared" si="6"/>
        <v>550</v>
      </c>
      <c r="H219" s="80">
        <f>VLOOKUP(D219,'Bu Erta'!$C$2:$F$66,4,0)*F219</f>
        <v>605</v>
      </c>
    </row>
    <row r="220" spans="1:8" x14ac:dyDescent="0.35">
      <c r="B220" t="s">
        <v>295</v>
      </c>
      <c r="D220" t="s">
        <v>56</v>
      </c>
      <c r="E220" s="80">
        <f>VLOOKUP(D220,'Bu Erta'!$C$2:$E$66,3,0)</f>
        <v>4000</v>
      </c>
      <c r="F220">
        <v>0.9</v>
      </c>
      <c r="G220" s="80">
        <f t="shared" si="6"/>
        <v>3600</v>
      </c>
      <c r="H220" s="80">
        <f>VLOOKUP(D220,'Bu Erta'!$C$2:$F$66,4,0)*F220</f>
        <v>4950</v>
      </c>
    </row>
    <row r="221" spans="1:8" x14ac:dyDescent="0.35">
      <c r="B221" t="s">
        <v>295</v>
      </c>
      <c r="D221" t="s">
        <v>7</v>
      </c>
      <c r="E221" s="80">
        <f>VLOOKUP(D221,'Bu Erta'!$C$2:$E$66,3,0)</f>
        <v>1400</v>
      </c>
      <c r="F221">
        <v>0.15</v>
      </c>
      <c r="G221" s="80">
        <f t="shared" si="6"/>
        <v>210</v>
      </c>
      <c r="H221" s="80">
        <f>VLOOKUP(D221,'Bu Erta'!$C$2:$F$66,4,0)*F221</f>
        <v>240</v>
      </c>
    </row>
    <row r="222" spans="1:8" x14ac:dyDescent="0.35">
      <c r="B222" t="s">
        <v>295</v>
      </c>
      <c r="D222" t="s">
        <v>28</v>
      </c>
      <c r="E222" s="80">
        <f>VLOOKUP(D222,'Bu Erta'!$C$2:$E$66,3,0)</f>
        <v>1200</v>
      </c>
      <c r="F222">
        <v>2.75</v>
      </c>
      <c r="G222" s="80">
        <f t="shared" si="6"/>
        <v>3300</v>
      </c>
      <c r="H222" s="80">
        <f>VLOOKUP(D222,'Bu Erta'!$C$2:$F$66,4,0)*F222</f>
        <v>3575</v>
      </c>
    </row>
    <row r="223" spans="1:8" x14ac:dyDescent="0.35">
      <c r="A223" s="1">
        <v>32</v>
      </c>
      <c r="B223" t="s">
        <v>144</v>
      </c>
      <c r="C223" s="5">
        <v>4</v>
      </c>
      <c r="D223" t="s">
        <v>36</v>
      </c>
      <c r="E223" s="80">
        <f>VLOOKUP(D223,'Bu Erta'!$C$2:$E$66,3,0)</f>
        <v>600</v>
      </c>
      <c r="F223">
        <v>1.4</v>
      </c>
      <c r="G223" s="80">
        <f t="shared" si="6"/>
        <v>840</v>
      </c>
      <c r="H223" s="80">
        <f>VLOOKUP(D223,'Bu Erta'!$C$2:$F$66,4,0)*F223</f>
        <v>909.99999999999989</v>
      </c>
    </row>
    <row r="224" spans="1:8" x14ac:dyDescent="0.35">
      <c r="B224" t="s">
        <v>144</v>
      </c>
      <c r="D224" t="s">
        <v>23</v>
      </c>
      <c r="E224" s="80">
        <f>VLOOKUP(D224,'Bu Erta'!$C$2:$E$66,3,0)</f>
        <v>300</v>
      </c>
      <c r="F224">
        <v>0.4</v>
      </c>
      <c r="G224" s="80">
        <f t="shared" si="6"/>
        <v>120</v>
      </c>
      <c r="H224" s="80">
        <f>VLOOKUP(D224,'Bu Erta'!$C$2:$F$66,4,0)*F224</f>
        <v>160</v>
      </c>
    </row>
    <row r="225" spans="1:8" x14ac:dyDescent="0.35">
      <c r="B225" t="s">
        <v>144</v>
      </c>
      <c r="D225" t="s">
        <v>7</v>
      </c>
      <c r="E225" s="80">
        <f>VLOOKUP(D225,'Bu Erta'!$C$2:$E$66,3,0)</f>
        <v>1400</v>
      </c>
      <c r="F225">
        <f>0.35+0.4+0.65</f>
        <v>1.4</v>
      </c>
      <c r="G225" s="80">
        <f t="shared" si="6"/>
        <v>1959.9999999999998</v>
      </c>
      <c r="H225" s="80">
        <f>VLOOKUP(D225,'Bu Erta'!$C$2:$F$66,4,0)*F225</f>
        <v>2240</v>
      </c>
    </row>
    <row r="226" spans="1:8" x14ac:dyDescent="0.35">
      <c r="A226" s="1">
        <v>33</v>
      </c>
      <c r="B226" t="s">
        <v>245</v>
      </c>
      <c r="C226" s="5">
        <v>4</v>
      </c>
      <c r="D226" t="s">
        <v>22</v>
      </c>
      <c r="E226" s="80">
        <f>VLOOKUP(D226,'Bu Erta'!$C$2:$E$66,3,0)</f>
        <v>2500</v>
      </c>
      <c r="F226">
        <v>1.85</v>
      </c>
      <c r="G226" s="80">
        <f t="shared" si="6"/>
        <v>4625</v>
      </c>
      <c r="H226" s="80">
        <f>VLOOKUP(D226,'Bu Erta'!$C$2:$F$66,4,0)*F226</f>
        <v>5550</v>
      </c>
    </row>
    <row r="227" spans="1:8" x14ac:dyDescent="0.35">
      <c r="B227" t="s">
        <v>245</v>
      </c>
      <c r="D227" t="s">
        <v>42</v>
      </c>
      <c r="E227" s="80">
        <f>VLOOKUP(D227,'Bu Erta'!$C$2:$E$66,3,0)</f>
        <v>1000</v>
      </c>
      <c r="F227">
        <v>1</v>
      </c>
      <c r="G227" s="80">
        <f t="shared" si="6"/>
        <v>1000</v>
      </c>
      <c r="H227" s="80">
        <f>VLOOKUP(D227,'Bu Erta'!$C$2:$F$66,4,0)*F227</f>
        <v>1200</v>
      </c>
    </row>
    <row r="228" spans="1:8" x14ac:dyDescent="0.35">
      <c r="B228" t="s">
        <v>245</v>
      </c>
      <c r="D228" t="s">
        <v>23</v>
      </c>
      <c r="E228" s="80">
        <f>VLOOKUP(D228,'Bu Erta'!$C$2:$E$66,3,0)</f>
        <v>300</v>
      </c>
      <c r="F228">
        <v>0.55000000000000004</v>
      </c>
      <c r="G228" s="80">
        <f t="shared" si="6"/>
        <v>165</v>
      </c>
      <c r="H228" s="80">
        <f>VLOOKUP(D228,'Bu Erta'!$C$2:$F$66,4,0)*F228</f>
        <v>220.00000000000003</v>
      </c>
    </row>
    <row r="229" spans="1:8" x14ac:dyDescent="0.35">
      <c r="B229" t="s">
        <v>245</v>
      </c>
      <c r="D229" t="s">
        <v>88</v>
      </c>
      <c r="E229" s="80">
        <f>VLOOKUP(D229,'Bu Erta'!$C$2:$E$66,3,0)</f>
        <v>300</v>
      </c>
      <c r="F229">
        <v>0.15</v>
      </c>
      <c r="G229" s="80">
        <f t="shared" si="6"/>
        <v>45</v>
      </c>
      <c r="H229" s="80">
        <f>VLOOKUP(D229,'Bu Erta'!$C$2:$F$66,4,0)*F229</f>
        <v>60</v>
      </c>
    </row>
    <row r="230" spans="1:8" x14ac:dyDescent="0.35">
      <c r="B230" t="s">
        <v>245</v>
      </c>
      <c r="D230" t="s">
        <v>31</v>
      </c>
      <c r="E230" s="80">
        <f>VLOOKUP(D230,'Bu Erta'!$C$2:$E$66,3,0)</f>
        <v>1000</v>
      </c>
      <c r="F230">
        <v>0.35</v>
      </c>
      <c r="G230" s="80">
        <f t="shared" si="6"/>
        <v>350</v>
      </c>
      <c r="H230" s="80">
        <f>VLOOKUP(D230,'Bu Erta'!$C$2:$F$66,4,0)*F230</f>
        <v>385</v>
      </c>
    </row>
    <row r="231" spans="1:8" x14ac:dyDescent="0.35">
      <c r="B231" t="s">
        <v>245</v>
      </c>
      <c r="D231" t="s">
        <v>7</v>
      </c>
      <c r="E231" s="80">
        <f>VLOOKUP(D231,'Bu Erta'!$C$2:$E$66,3,0)</f>
        <v>1400</v>
      </c>
      <c r="F231">
        <v>0.35</v>
      </c>
      <c r="G231" s="80">
        <f t="shared" si="6"/>
        <v>489.99999999999994</v>
      </c>
      <c r="H231" s="80">
        <f>VLOOKUP(D231,'Bu Erta'!$C$2:$F$66,4,0)*F231</f>
        <v>560</v>
      </c>
    </row>
    <row r="232" spans="1:8" x14ac:dyDescent="0.35">
      <c r="B232" t="s">
        <v>245</v>
      </c>
      <c r="D232" t="s">
        <v>24</v>
      </c>
      <c r="E232" s="80">
        <f>VLOOKUP(D232,'Bu Erta'!$C$2:$E$66,3,0)</f>
        <v>150</v>
      </c>
      <c r="F232">
        <v>1.3</v>
      </c>
      <c r="G232" s="80">
        <f t="shared" si="6"/>
        <v>195</v>
      </c>
      <c r="H232" s="80">
        <f>VLOOKUP(D232,'Bu Erta'!$C$2:$F$66,4,0)*F232</f>
        <v>260</v>
      </c>
    </row>
    <row r="233" spans="1:8" x14ac:dyDescent="0.35">
      <c r="B233" t="s">
        <v>245</v>
      </c>
      <c r="D233" t="s">
        <v>40</v>
      </c>
      <c r="E233" s="80">
        <f>VLOOKUP(D233,'Bu Erta'!$C$2:$E$66,3,0)</f>
        <v>1800</v>
      </c>
      <c r="F233">
        <v>0.15</v>
      </c>
      <c r="G233" s="80">
        <f t="shared" si="6"/>
        <v>270</v>
      </c>
      <c r="H233" s="80">
        <f>VLOOKUP(D233,'Bu Erta'!$C$2:$F$66,4,0)*F233</f>
        <v>300</v>
      </c>
    </row>
    <row r="234" spans="1:8" x14ac:dyDescent="0.35">
      <c r="B234" t="s">
        <v>245</v>
      </c>
      <c r="D234" t="s">
        <v>69</v>
      </c>
      <c r="E234" s="80">
        <f>VLOOKUP(D234,'Bu Erta'!$C$2:$E$66,3,0)</f>
        <v>2500</v>
      </c>
      <c r="F234">
        <v>0.1</v>
      </c>
      <c r="G234" s="80">
        <f t="shared" si="6"/>
        <v>250</v>
      </c>
      <c r="H234" s="80">
        <f>VLOOKUP(D234,'Bu Erta'!$C$2:$F$66,4,0)*F234</f>
        <v>300</v>
      </c>
    </row>
    <row r="235" spans="1:8" x14ac:dyDescent="0.35">
      <c r="A235" s="1">
        <v>34</v>
      </c>
      <c r="B235" t="s">
        <v>140</v>
      </c>
      <c r="C235" s="5">
        <v>4</v>
      </c>
      <c r="D235" t="s">
        <v>22</v>
      </c>
      <c r="E235" s="80">
        <f>VLOOKUP(D235,'Bu Erta'!$C$2:$E$66,3,0)</f>
        <v>2500</v>
      </c>
      <c r="F235">
        <v>5.8</v>
      </c>
      <c r="G235" s="80">
        <f t="shared" si="6"/>
        <v>14500</v>
      </c>
      <c r="H235" s="80">
        <f>VLOOKUP(D235,'Bu Erta'!$C$2:$F$66,4,0)*F235</f>
        <v>17400</v>
      </c>
    </row>
    <row r="236" spans="1:8" x14ac:dyDescent="0.35">
      <c r="B236" t="s">
        <v>140</v>
      </c>
      <c r="D236" t="s">
        <v>67</v>
      </c>
      <c r="E236" s="80">
        <f>VLOOKUP(D236,'Bu Erta'!$C$2:$E$66,3,0)</f>
        <v>2700</v>
      </c>
      <c r="F236">
        <v>0.3</v>
      </c>
      <c r="G236" s="80">
        <f t="shared" si="6"/>
        <v>810</v>
      </c>
      <c r="H236" s="80">
        <f>VLOOKUP(D236,'Bu Erta'!$C$2:$F$66,4,0)*F236</f>
        <v>900</v>
      </c>
    </row>
    <row r="237" spans="1:8" x14ac:dyDescent="0.35">
      <c r="B237" t="s">
        <v>140</v>
      </c>
      <c r="D237" t="s">
        <v>7</v>
      </c>
      <c r="E237" s="80">
        <f>VLOOKUP(D237,'Bu Erta'!$C$2:$E$66,3,0)</f>
        <v>1400</v>
      </c>
      <c r="F237">
        <v>1.55</v>
      </c>
      <c r="G237" s="80">
        <f t="shared" si="6"/>
        <v>2170</v>
      </c>
      <c r="H237" s="80">
        <f>VLOOKUP(D237,'Bu Erta'!$C$2:$F$66,4,0)*F237</f>
        <v>2480</v>
      </c>
    </row>
    <row r="238" spans="1:8" x14ac:dyDescent="0.35">
      <c r="B238" t="s">
        <v>140</v>
      </c>
      <c r="D238" t="s">
        <v>41</v>
      </c>
      <c r="E238" s="80">
        <f>VLOOKUP(D238,'Bu Erta'!$C$2:$E$66,3,0)</f>
        <v>1500</v>
      </c>
      <c r="F238">
        <v>0.15</v>
      </c>
      <c r="G238" s="80">
        <f t="shared" si="6"/>
        <v>225</v>
      </c>
      <c r="H238" s="80">
        <f>VLOOKUP(D238,'Bu Erta'!$C$2:$F$66,4,0)*F238</f>
        <v>300</v>
      </c>
    </row>
    <row r="239" spans="1:8" x14ac:dyDescent="0.35">
      <c r="B239" t="s">
        <v>140</v>
      </c>
      <c r="D239" t="s">
        <v>27</v>
      </c>
      <c r="E239" s="80">
        <f>VLOOKUP(D239,'Bu Erta'!$C$2:$E$66,3,0)</f>
        <v>2800</v>
      </c>
      <c r="F239">
        <v>0.1</v>
      </c>
      <c r="G239" s="80">
        <f t="shared" si="6"/>
        <v>280</v>
      </c>
      <c r="H239" s="80">
        <f>VLOOKUP(D239,'Bu Erta'!$C$2:$F$66,4,0)*F239</f>
        <v>310</v>
      </c>
    </row>
    <row r="240" spans="1:8" x14ac:dyDescent="0.35">
      <c r="B240" t="s">
        <v>140</v>
      </c>
      <c r="D240" t="s">
        <v>28</v>
      </c>
      <c r="E240" s="80">
        <f>VLOOKUP(D240,'Bu Erta'!$C$2:$E$66,3,0)</f>
        <v>1200</v>
      </c>
      <c r="F240">
        <v>1.35</v>
      </c>
      <c r="G240" s="80">
        <f t="shared" si="6"/>
        <v>1620</v>
      </c>
      <c r="H240" s="80">
        <f>VLOOKUP(D240,'Bu Erta'!$C$2:$F$66,4,0)*F240</f>
        <v>1755.0000000000002</v>
      </c>
    </row>
    <row r="241" spans="1:8" x14ac:dyDescent="0.35">
      <c r="B241" t="s">
        <v>140</v>
      </c>
      <c r="D241" t="s">
        <v>42</v>
      </c>
      <c r="E241" s="80">
        <f>VLOOKUP(D241,'Bu Erta'!$C$2:$E$66,3,0)</f>
        <v>1000</v>
      </c>
      <c r="F241">
        <v>1.95</v>
      </c>
      <c r="G241" s="80">
        <f t="shared" si="6"/>
        <v>1950</v>
      </c>
      <c r="H241" s="80">
        <f>VLOOKUP(D241,'Bu Erta'!$C$2:$F$66,4,0)*F241</f>
        <v>2340</v>
      </c>
    </row>
    <row r="242" spans="1:8" x14ac:dyDescent="0.35">
      <c r="A242" s="1">
        <v>35</v>
      </c>
      <c r="B242" t="s">
        <v>299</v>
      </c>
      <c r="C242" s="1">
        <v>6</v>
      </c>
      <c r="D242" t="s">
        <v>31</v>
      </c>
      <c r="E242" s="80">
        <f>VLOOKUP(D242,'Bu Erta'!$C$2:$E$66,3,0)</f>
        <v>1000</v>
      </c>
      <c r="F242">
        <f>0.5+0.35</f>
        <v>0.85</v>
      </c>
      <c r="G242" s="80">
        <f t="shared" si="6"/>
        <v>850</v>
      </c>
      <c r="H242" s="80">
        <f>VLOOKUP(D242,'Bu Erta'!$C$2:$F$66,4,0)*F242</f>
        <v>935</v>
      </c>
    </row>
    <row r="243" spans="1:8" x14ac:dyDescent="0.35">
      <c r="B243" t="s">
        <v>299</v>
      </c>
      <c r="D243" t="s">
        <v>27</v>
      </c>
      <c r="E243" s="80">
        <f>VLOOKUP(D243,'Bu Erta'!$C$2:$E$66,3,0)</f>
        <v>2800</v>
      </c>
      <c r="F243">
        <f>0.6+0.65</f>
        <v>1.25</v>
      </c>
      <c r="G243" s="80">
        <f t="shared" si="6"/>
        <v>3500</v>
      </c>
      <c r="H243" s="80">
        <f>VLOOKUP(D243,'Bu Erta'!$C$2:$F$66,4,0)*F243</f>
        <v>3875</v>
      </c>
    </row>
    <row r="244" spans="1:8" x14ac:dyDescent="0.35">
      <c r="B244" t="s">
        <v>299</v>
      </c>
      <c r="D244" t="s">
        <v>69</v>
      </c>
      <c r="E244" s="80">
        <f>VLOOKUP(D244,'Bu Erta'!$C$2:$E$66,3,0)</f>
        <v>2500</v>
      </c>
      <c r="F244">
        <v>0.25</v>
      </c>
      <c r="G244" s="80">
        <f t="shared" si="6"/>
        <v>625</v>
      </c>
      <c r="H244" s="80">
        <f>VLOOKUP(D244,'Bu Erta'!$C$2:$F$66,4,0)*F244</f>
        <v>750</v>
      </c>
    </row>
    <row r="245" spans="1:8" x14ac:dyDescent="0.35">
      <c r="B245" t="s">
        <v>299</v>
      </c>
      <c r="D245" t="s">
        <v>23</v>
      </c>
      <c r="E245" s="80">
        <f>VLOOKUP(D245,'Bu Erta'!$C$2:$E$66,3,0)</f>
        <v>300</v>
      </c>
      <c r="F245">
        <v>0.2</v>
      </c>
      <c r="G245" s="80">
        <f t="shared" si="6"/>
        <v>60</v>
      </c>
      <c r="H245" s="80">
        <f>VLOOKUP(D245,'Bu Erta'!$C$2:$F$66,4,0)*F245</f>
        <v>80</v>
      </c>
    </row>
    <row r="246" spans="1:8" x14ac:dyDescent="0.35">
      <c r="B246" t="s">
        <v>299</v>
      </c>
      <c r="D246" t="s">
        <v>40</v>
      </c>
      <c r="E246" s="80">
        <f>VLOOKUP(D246,'Bu Erta'!$C$2:$E$66,3,0)</f>
        <v>1800</v>
      </c>
      <c r="F246">
        <v>1.1499999999999999</v>
      </c>
      <c r="G246" s="80">
        <f t="shared" si="6"/>
        <v>2070</v>
      </c>
      <c r="H246" s="80">
        <f>VLOOKUP(D246,'Bu Erta'!$C$2:$F$66,4,0)*F246</f>
        <v>2300</v>
      </c>
    </row>
    <row r="247" spans="1:8" x14ac:dyDescent="0.35">
      <c r="A247" s="1">
        <v>36</v>
      </c>
      <c r="B247" t="s">
        <v>5</v>
      </c>
      <c r="C247" s="5">
        <v>2</v>
      </c>
      <c r="D247" t="s">
        <v>27</v>
      </c>
      <c r="E247" s="80">
        <f>VLOOKUP(D247,'Bu Erta'!$C$2:$E$66,3,0)</f>
        <v>2800</v>
      </c>
      <c r="F247">
        <v>1.5</v>
      </c>
      <c r="G247" s="80">
        <f t="shared" si="6"/>
        <v>4200</v>
      </c>
      <c r="H247" s="80">
        <f>VLOOKUP(D247,'Bu Erta'!$C$2:$F$66,4,0)*F247</f>
        <v>4650</v>
      </c>
    </row>
    <row r="248" spans="1:8" x14ac:dyDescent="0.35">
      <c r="B248" t="s">
        <v>5</v>
      </c>
      <c r="D248" t="s">
        <v>42</v>
      </c>
      <c r="E248" s="80">
        <f>VLOOKUP(D248,'Bu Erta'!$C$2:$E$66,3,0)</f>
        <v>1000</v>
      </c>
      <c r="F248">
        <v>3.3</v>
      </c>
      <c r="G248" s="80">
        <f t="shared" si="6"/>
        <v>3300</v>
      </c>
      <c r="H248" s="80">
        <f>VLOOKUP(D248,'Bu Erta'!$C$2:$F$66,4,0)*F248</f>
        <v>3960</v>
      </c>
    </row>
    <row r="249" spans="1:8" x14ac:dyDescent="0.35">
      <c r="A249" s="1">
        <v>37</v>
      </c>
      <c r="B249" t="s">
        <v>97</v>
      </c>
      <c r="C249" s="5">
        <v>4</v>
      </c>
      <c r="D249" t="s">
        <v>42</v>
      </c>
      <c r="E249" s="80">
        <f>VLOOKUP(D249,'Bu Erta'!$C$2:$E$66,3,0)</f>
        <v>1000</v>
      </c>
      <c r="F249">
        <f>3.95+3</f>
        <v>6.95</v>
      </c>
      <c r="G249" s="80">
        <f t="shared" ref="G249:G271" si="7">E249*F249</f>
        <v>6950</v>
      </c>
      <c r="H249" s="80">
        <f>VLOOKUP(D249,'Bu Erta'!$C$2:$F$66,4,0)*F249</f>
        <v>8340</v>
      </c>
    </row>
    <row r="250" spans="1:8" x14ac:dyDescent="0.35">
      <c r="B250" t="s">
        <v>97</v>
      </c>
      <c r="D250" t="s">
        <v>27</v>
      </c>
      <c r="E250" s="80">
        <f>VLOOKUP(D250,'Bu Erta'!$C$2:$E$66,3,0)</f>
        <v>2800</v>
      </c>
      <c r="F250">
        <v>0.7</v>
      </c>
      <c r="G250" s="80">
        <f t="shared" si="7"/>
        <v>1959.9999999999998</v>
      </c>
      <c r="H250" s="80">
        <f>VLOOKUP(D250,'Bu Erta'!$C$2:$F$66,4,0)*F250</f>
        <v>2170</v>
      </c>
    </row>
    <row r="251" spans="1:8" x14ac:dyDescent="0.35">
      <c r="B251" t="s">
        <v>97</v>
      </c>
      <c r="D251" t="s">
        <v>25</v>
      </c>
      <c r="E251" s="80">
        <f>VLOOKUP(D251,'Bu Erta'!$C$2:$E$66,3,0)</f>
        <v>1600</v>
      </c>
      <c r="F251">
        <v>0.25</v>
      </c>
      <c r="G251" s="80">
        <f t="shared" si="7"/>
        <v>400</v>
      </c>
      <c r="H251" s="80">
        <f>VLOOKUP(D251,'Bu Erta'!$C$2:$F$66,4,0)*F251</f>
        <v>425</v>
      </c>
    </row>
    <row r="252" spans="1:8" x14ac:dyDescent="0.35">
      <c r="B252" t="s">
        <v>97</v>
      </c>
      <c r="D252" t="s">
        <v>17</v>
      </c>
      <c r="E252" s="80">
        <f>VLOOKUP(D252,'Bu Erta'!$C$2:$E$66,3,0)</f>
        <v>8000</v>
      </c>
      <c r="F252">
        <v>0.1</v>
      </c>
      <c r="G252" s="80">
        <f t="shared" si="7"/>
        <v>800</v>
      </c>
      <c r="H252" s="80">
        <f>VLOOKUP(D252,'Bu Erta'!$C$2:$F$66,4,0)*F252</f>
        <v>850</v>
      </c>
    </row>
    <row r="253" spans="1:8" x14ac:dyDescent="0.35">
      <c r="B253" t="s">
        <v>97</v>
      </c>
      <c r="D253" t="s">
        <v>23</v>
      </c>
      <c r="E253" s="80">
        <f>VLOOKUP(D253,'Bu Erta'!$C$2:$E$66,3,0)</f>
        <v>300</v>
      </c>
      <c r="F253">
        <f>1.4+2.4</f>
        <v>3.8</v>
      </c>
      <c r="G253" s="80">
        <f t="shared" si="7"/>
        <v>1140</v>
      </c>
      <c r="H253" s="80">
        <f>VLOOKUP(D253,'Bu Erta'!$C$2:$F$66,4,0)*F253</f>
        <v>1520</v>
      </c>
    </row>
    <row r="254" spans="1:8" x14ac:dyDescent="0.35">
      <c r="B254" t="s">
        <v>97</v>
      </c>
      <c r="D254" t="s">
        <v>69</v>
      </c>
      <c r="E254" s="80">
        <f>VLOOKUP(D254,'Bu Erta'!$C$2:$E$66,3,0)</f>
        <v>2500</v>
      </c>
      <c r="F254">
        <v>0.4</v>
      </c>
      <c r="G254" s="80">
        <f t="shared" si="7"/>
        <v>1000</v>
      </c>
      <c r="H254" s="80">
        <f>VLOOKUP(D254,'Bu Erta'!$C$2:$F$66,4,0)*F254</f>
        <v>1200</v>
      </c>
    </row>
    <row r="255" spans="1:8" x14ac:dyDescent="0.35">
      <c r="B255" t="s">
        <v>97</v>
      </c>
      <c r="D255" t="s">
        <v>24</v>
      </c>
      <c r="E255" s="80">
        <f>VLOOKUP(D255,'Bu Erta'!$C$2:$E$66,3,0)</f>
        <v>150</v>
      </c>
      <c r="F255">
        <v>0.7</v>
      </c>
      <c r="G255" s="80">
        <f t="shared" si="7"/>
        <v>105</v>
      </c>
      <c r="H255" s="80">
        <f>VLOOKUP(D255,'Bu Erta'!$C$2:$F$66,4,0)*F255</f>
        <v>140</v>
      </c>
    </row>
    <row r="256" spans="1:8" x14ac:dyDescent="0.35">
      <c r="B256" t="s">
        <v>97</v>
      </c>
      <c r="D256" t="s">
        <v>61</v>
      </c>
      <c r="E256" s="80">
        <f>VLOOKUP(D256,'Bu Erta'!$C$2:$E$66,3,0)</f>
        <v>800</v>
      </c>
      <c r="F256">
        <v>0.15</v>
      </c>
      <c r="G256" s="80">
        <f t="shared" si="7"/>
        <v>120</v>
      </c>
      <c r="H256" s="80">
        <f>VLOOKUP(D256,'Bu Erta'!$C$2:$F$66,4,0)*F256</f>
        <v>135</v>
      </c>
    </row>
    <row r="257" spans="1:8" x14ac:dyDescent="0.35">
      <c r="B257" t="s">
        <v>97</v>
      </c>
      <c r="D257" t="s">
        <v>7</v>
      </c>
      <c r="E257" s="80">
        <f>VLOOKUP(D257,'Bu Erta'!$C$2:$E$66,3,0)</f>
        <v>1400</v>
      </c>
      <c r="F257">
        <v>0.95</v>
      </c>
      <c r="G257" s="80">
        <f t="shared" si="7"/>
        <v>1330</v>
      </c>
      <c r="H257" s="80">
        <f>VLOOKUP(D257,'Bu Erta'!$C$2:$F$66,4,0)*F257</f>
        <v>1520</v>
      </c>
    </row>
    <row r="258" spans="1:8" x14ac:dyDescent="0.35">
      <c r="B258" t="s">
        <v>97</v>
      </c>
      <c r="D258" t="s">
        <v>88</v>
      </c>
      <c r="E258" s="80">
        <f>VLOOKUP(D258,'Bu Erta'!$C$2:$E$66,3,0)</f>
        <v>300</v>
      </c>
      <c r="F258">
        <v>0.65</v>
      </c>
      <c r="G258" s="80">
        <f t="shared" si="7"/>
        <v>195</v>
      </c>
      <c r="H258" s="80">
        <f>VLOOKUP(D258,'Bu Erta'!$C$2:$F$66,4,0)*F258</f>
        <v>260</v>
      </c>
    </row>
    <row r="259" spans="1:8" x14ac:dyDescent="0.35">
      <c r="B259" t="s">
        <v>97</v>
      </c>
      <c r="D259" t="s">
        <v>44</v>
      </c>
      <c r="E259" s="80">
        <f>VLOOKUP(D259,'Bu Erta'!$C$2:$E$66,3,0)</f>
        <v>400</v>
      </c>
      <c r="F259">
        <v>0.3</v>
      </c>
      <c r="G259" s="80">
        <f t="shared" si="7"/>
        <v>120</v>
      </c>
      <c r="H259" s="80">
        <f>VLOOKUP(D259,'Bu Erta'!$C$2:$F$66,4,0)*F259</f>
        <v>150</v>
      </c>
    </row>
    <row r="260" spans="1:8" x14ac:dyDescent="0.35">
      <c r="B260" t="s">
        <v>97</v>
      </c>
      <c r="D260" t="s">
        <v>41</v>
      </c>
      <c r="E260" s="80">
        <f>VLOOKUP(D260,'Bu Erta'!$C$2:$E$66,3,0)</f>
        <v>1500</v>
      </c>
      <c r="F260">
        <v>0.35</v>
      </c>
      <c r="G260" s="80">
        <f t="shared" si="7"/>
        <v>525</v>
      </c>
      <c r="H260" s="80">
        <f>VLOOKUP(D260,'Bu Erta'!$C$2:$F$66,4,0)*F260</f>
        <v>700</v>
      </c>
    </row>
    <row r="261" spans="1:8" x14ac:dyDescent="0.35">
      <c r="B261" t="s">
        <v>97</v>
      </c>
      <c r="D261" t="s">
        <v>22</v>
      </c>
      <c r="E261" s="80">
        <f>VLOOKUP(D261,'Bu Erta'!$C$2:$E$66,3,0)</f>
        <v>2500</v>
      </c>
      <c r="F261">
        <v>0.55000000000000004</v>
      </c>
      <c r="G261" s="80">
        <f t="shared" si="7"/>
        <v>1375</v>
      </c>
      <c r="H261" s="80">
        <f>VLOOKUP(D261,'Bu Erta'!$C$2:$F$66,4,0)*F261</f>
        <v>1650.0000000000002</v>
      </c>
    </row>
    <row r="262" spans="1:8" x14ac:dyDescent="0.35">
      <c r="A262" s="1">
        <v>38</v>
      </c>
      <c r="B262" t="s">
        <v>192</v>
      </c>
      <c r="C262" s="5">
        <v>4</v>
      </c>
      <c r="D262" t="s">
        <v>31</v>
      </c>
      <c r="E262" s="80">
        <f>VLOOKUP(D262,'Bu Erta'!$C$2:$E$66,3,0)</f>
        <v>1000</v>
      </c>
      <c r="F262">
        <f>0.85+0.35</f>
        <v>1.2</v>
      </c>
      <c r="G262" s="80">
        <f t="shared" si="7"/>
        <v>1200</v>
      </c>
      <c r="H262" s="80">
        <f>VLOOKUP(D262,'Bu Erta'!$C$2:$F$66,4,0)*F262</f>
        <v>1320</v>
      </c>
    </row>
    <row r="263" spans="1:8" x14ac:dyDescent="0.35">
      <c r="B263" t="s">
        <v>192</v>
      </c>
      <c r="D263" t="s">
        <v>27</v>
      </c>
      <c r="E263" s="80">
        <f>VLOOKUP(D263,'Bu Erta'!$C$2:$E$66,3,0)</f>
        <v>2800</v>
      </c>
      <c r="F263">
        <v>0.4</v>
      </c>
      <c r="G263" s="80">
        <f t="shared" si="7"/>
        <v>1120</v>
      </c>
      <c r="H263" s="80">
        <f>VLOOKUP(D263,'Bu Erta'!$C$2:$F$66,4,0)*F263</f>
        <v>1240</v>
      </c>
    </row>
    <row r="264" spans="1:8" x14ac:dyDescent="0.35">
      <c r="B264" t="s">
        <v>192</v>
      </c>
      <c r="D264" t="s">
        <v>24</v>
      </c>
      <c r="E264" s="80">
        <f>VLOOKUP(D264,'Bu Erta'!$C$2:$E$66,3,0)</f>
        <v>150</v>
      </c>
      <c r="F264">
        <v>1.45</v>
      </c>
      <c r="G264" s="80">
        <f t="shared" si="7"/>
        <v>217.5</v>
      </c>
      <c r="H264" s="80">
        <f>VLOOKUP(D264,'Bu Erta'!$C$2:$F$66,4,0)*F264</f>
        <v>290</v>
      </c>
    </row>
    <row r="265" spans="1:8" x14ac:dyDescent="0.35">
      <c r="B265" t="s">
        <v>192</v>
      </c>
      <c r="D265" t="s">
        <v>69</v>
      </c>
      <c r="E265" s="80">
        <f>VLOOKUP(D265,'Bu Erta'!$C$2:$E$66,3,0)</f>
        <v>2500</v>
      </c>
      <c r="F265">
        <v>0.25</v>
      </c>
      <c r="G265" s="80">
        <f t="shared" si="7"/>
        <v>625</v>
      </c>
      <c r="H265" s="80">
        <f>VLOOKUP(D265,'Bu Erta'!$C$2:$F$66,4,0)*F265</f>
        <v>750</v>
      </c>
    </row>
    <row r="266" spans="1:8" x14ac:dyDescent="0.35">
      <c r="B266" t="s">
        <v>192</v>
      </c>
      <c r="D266" t="s">
        <v>40</v>
      </c>
      <c r="E266" s="80">
        <f>VLOOKUP(D266,'Bu Erta'!$C$2:$E$66,3,0)</f>
        <v>1800</v>
      </c>
      <c r="F266">
        <v>0.1</v>
      </c>
      <c r="G266" s="80">
        <f t="shared" si="7"/>
        <v>180</v>
      </c>
      <c r="H266" s="80">
        <f>VLOOKUP(D266,'Bu Erta'!$C$2:$F$66,4,0)*F266</f>
        <v>200</v>
      </c>
    </row>
    <row r="267" spans="1:8" x14ac:dyDescent="0.35">
      <c r="B267" t="s">
        <v>192</v>
      </c>
      <c r="D267" t="s">
        <v>6</v>
      </c>
      <c r="E267" s="80">
        <f>VLOOKUP(D267,'Bu Erta'!$C$2:$E$66,3,0)</f>
        <v>2000</v>
      </c>
      <c r="F267">
        <v>0.2</v>
      </c>
      <c r="G267" s="80">
        <f t="shared" si="7"/>
        <v>400</v>
      </c>
      <c r="H267" s="80">
        <f>VLOOKUP(D267,'Bu Erta'!$C$2:$F$66,4,0)*F267</f>
        <v>500</v>
      </c>
    </row>
    <row r="268" spans="1:8" x14ac:dyDescent="0.35">
      <c r="B268" t="s">
        <v>192</v>
      </c>
      <c r="D268" t="s">
        <v>65</v>
      </c>
      <c r="E268" s="80">
        <f>VLOOKUP(D268,'Bu Erta'!$C$2:$E$66,3,0)</f>
        <v>150</v>
      </c>
      <c r="F268">
        <f>0.25+0.45</f>
        <v>0.7</v>
      </c>
      <c r="G268" s="80">
        <f t="shared" si="7"/>
        <v>105</v>
      </c>
      <c r="H268" s="80">
        <f>VLOOKUP(D268,'Bu Erta'!$C$2:$F$66,4,0)*F268</f>
        <v>140</v>
      </c>
    </row>
    <row r="269" spans="1:8" x14ac:dyDescent="0.35">
      <c r="B269" t="s">
        <v>192</v>
      </c>
      <c r="D269" t="s">
        <v>23</v>
      </c>
      <c r="E269" s="80">
        <f>VLOOKUP(D269,'Bu Erta'!$C$2:$E$66,3,0)</f>
        <v>300</v>
      </c>
      <c r="F269">
        <f>0.1+0.5</f>
        <v>0.6</v>
      </c>
      <c r="G269" s="80">
        <f t="shared" si="7"/>
        <v>180</v>
      </c>
      <c r="H269" s="80">
        <f>VLOOKUP(D269,'Bu Erta'!$C$2:$F$66,4,0)*F269</f>
        <v>240</v>
      </c>
    </row>
    <row r="270" spans="1:8" x14ac:dyDescent="0.35">
      <c r="B270" t="s">
        <v>192</v>
      </c>
      <c r="D270" t="s">
        <v>46</v>
      </c>
      <c r="E270" s="80">
        <f>VLOOKUP(D270,'Bu Erta'!$C$2:$E$66,3,0)</f>
        <v>1400</v>
      </c>
      <c r="F270">
        <f>4.5+0.35</f>
        <v>4.8499999999999996</v>
      </c>
      <c r="G270" s="80">
        <f t="shared" si="7"/>
        <v>6789.9999999999991</v>
      </c>
      <c r="H270" s="80">
        <f>VLOOKUP(D270,'Bu Erta'!$C$2:$F$66,4,0)*F270</f>
        <v>7274.9999999999991</v>
      </c>
    </row>
    <row r="271" spans="1:8" x14ac:dyDescent="0.35">
      <c r="B271" t="s">
        <v>192</v>
      </c>
      <c r="D271" t="s">
        <v>42</v>
      </c>
      <c r="E271" s="80">
        <f>VLOOKUP(D271,'Bu Erta'!$C$2:$E$66,3,0)</f>
        <v>1000</v>
      </c>
      <c r="F271">
        <v>1.55</v>
      </c>
      <c r="G271" s="80">
        <f t="shared" si="7"/>
        <v>1550</v>
      </c>
      <c r="H271" s="80">
        <f>VLOOKUP(D271,'Bu Erta'!$C$2:$F$66,4,0)*F271</f>
        <v>1860</v>
      </c>
    </row>
    <row r="272" spans="1:8" x14ac:dyDescent="0.35">
      <c r="E272" s="80"/>
      <c r="G272" s="80"/>
      <c r="H272" s="80"/>
    </row>
    <row r="273" spans="5:8" x14ac:dyDescent="0.35">
      <c r="E273" s="80"/>
      <c r="G273" s="80"/>
      <c r="H273" s="80"/>
    </row>
    <row r="274" spans="5:8" x14ac:dyDescent="0.35">
      <c r="E274" s="80"/>
      <c r="G274" s="80"/>
      <c r="H274" s="80"/>
    </row>
    <row r="275" spans="5:8" x14ac:dyDescent="0.35">
      <c r="E275" s="80"/>
      <c r="G275" s="80"/>
      <c r="H275" s="80"/>
    </row>
    <row r="276" spans="5:8" x14ac:dyDescent="0.35">
      <c r="E276" s="80"/>
      <c r="G276" s="80"/>
      <c r="H276" s="80"/>
    </row>
    <row r="277" spans="5:8" x14ac:dyDescent="0.35">
      <c r="E277" s="80"/>
      <c r="G277" s="80"/>
      <c r="H277" s="80"/>
    </row>
    <row r="278" spans="5:8" x14ac:dyDescent="0.35">
      <c r="E278" s="80"/>
      <c r="G278" s="80"/>
      <c r="H278" s="80"/>
    </row>
    <row r="279" spans="5:8" x14ac:dyDescent="0.35">
      <c r="E279" s="80"/>
      <c r="G279" s="80"/>
      <c r="H279" s="80"/>
    </row>
    <row r="280" spans="5:8" x14ac:dyDescent="0.35">
      <c r="E280" s="80"/>
      <c r="G280" s="80"/>
      <c r="H280" s="80"/>
    </row>
    <row r="281" spans="5:8" x14ac:dyDescent="0.35">
      <c r="E281" s="80"/>
      <c r="G281" s="80"/>
      <c r="H281" s="80"/>
    </row>
    <row r="282" spans="5:8" x14ac:dyDescent="0.35">
      <c r="E282" s="80"/>
      <c r="G282" s="80"/>
      <c r="H282" s="80"/>
    </row>
    <row r="283" spans="5:8" x14ac:dyDescent="0.35">
      <c r="E283" s="80"/>
      <c r="G283" s="80"/>
      <c r="H283" s="80"/>
    </row>
    <row r="284" spans="5:8" x14ac:dyDescent="0.35">
      <c r="E284" s="80"/>
      <c r="G284" s="80"/>
      <c r="H284" s="80"/>
    </row>
    <row r="285" spans="5:8" x14ac:dyDescent="0.35">
      <c r="E285" s="80"/>
      <c r="G285" s="80"/>
      <c r="H285" s="80"/>
    </row>
    <row r="286" spans="5:8" x14ac:dyDescent="0.35">
      <c r="E286" s="80"/>
      <c r="G286" s="80"/>
      <c r="H286" s="80"/>
    </row>
    <row r="287" spans="5:8" x14ac:dyDescent="0.35">
      <c r="E287" s="80"/>
      <c r="G287" s="80"/>
      <c r="H287" s="80"/>
    </row>
    <row r="288" spans="5:8" x14ac:dyDescent="0.35">
      <c r="E288" s="80"/>
      <c r="G288" s="80"/>
      <c r="H288" s="80"/>
    </row>
    <row r="289" spans="5:8" x14ac:dyDescent="0.35">
      <c r="E289" s="80"/>
      <c r="G289" s="80"/>
      <c r="H289" s="80"/>
    </row>
    <row r="290" spans="5:8" x14ac:dyDescent="0.35">
      <c r="E290" s="80"/>
      <c r="G290" s="80"/>
      <c r="H290" s="80"/>
    </row>
    <row r="291" spans="5:8" x14ac:dyDescent="0.35">
      <c r="E291" s="80"/>
      <c r="G291" s="80"/>
      <c r="H291" s="80"/>
    </row>
    <row r="292" spans="5:8" x14ac:dyDescent="0.35">
      <c r="E292" s="80"/>
      <c r="G292" s="80"/>
      <c r="H292" s="80"/>
    </row>
    <row r="293" spans="5:8" x14ac:dyDescent="0.35">
      <c r="E293" s="80"/>
      <c r="G293" s="80"/>
      <c r="H293" s="80"/>
    </row>
    <row r="294" spans="5:8" x14ac:dyDescent="0.35">
      <c r="E294" s="80"/>
      <c r="G294" s="80"/>
      <c r="H294" s="80"/>
    </row>
    <row r="295" spans="5:8" x14ac:dyDescent="0.35">
      <c r="E295" s="80"/>
      <c r="G295" s="80"/>
      <c r="H295" s="80"/>
    </row>
    <row r="296" spans="5:8" x14ac:dyDescent="0.35">
      <c r="E296" s="80"/>
      <c r="G296" s="80"/>
      <c r="H296" s="80"/>
    </row>
    <row r="297" spans="5:8" x14ac:dyDescent="0.35">
      <c r="E297" s="80"/>
      <c r="G297" s="80"/>
      <c r="H297" s="80"/>
    </row>
    <row r="298" spans="5:8" x14ac:dyDescent="0.35">
      <c r="E298" s="80"/>
      <c r="G298" s="80"/>
      <c r="H298" s="80"/>
    </row>
    <row r="299" spans="5:8" x14ac:dyDescent="0.35">
      <c r="E299" s="80"/>
      <c r="G299" s="80"/>
      <c r="H299" s="80"/>
    </row>
    <row r="300" spans="5:8" x14ac:dyDescent="0.35">
      <c r="E300" s="80"/>
      <c r="G300" s="80"/>
      <c r="H300" s="80"/>
    </row>
    <row r="301" spans="5:8" x14ac:dyDescent="0.35">
      <c r="E301" s="80"/>
      <c r="G301" s="80"/>
      <c r="H301" s="80"/>
    </row>
    <row r="302" spans="5:8" x14ac:dyDescent="0.35">
      <c r="E302" s="80"/>
      <c r="G302" s="80"/>
      <c r="H302" s="80"/>
    </row>
    <row r="303" spans="5:8" x14ac:dyDescent="0.35">
      <c r="E303" s="80"/>
      <c r="G303" s="80"/>
      <c r="H303" s="80"/>
    </row>
    <row r="304" spans="5:8" x14ac:dyDescent="0.35">
      <c r="E304" s="80"/>
      <c r="G304" s="80"/>
      <c r="H304" s="80"/>
    </row>
    <row r="305" spans="5:8" x14ac:dyDescent="0.35">
      <c r="E305" s="80"/>
      <c r="G305" s="80"/>
      <c r="H305" s="80"/>
    </row>
    <row r="306" spans="5:8" x14ac:dyDescent="0.35">
      <c r="E306" s="80"/>
      <c r="G306" s="80"/>
      <c r="H306" s="80"/>
    </row>
    <row r="307" spans="5:8" x14ac:dyDescent="0.35">
      <c r="E307" s="80"/>
      <c r="G307" s="80"/>
      <c r="H307" s="80"/>
    </row>
    <row r="308" spans="5:8" x14ac:dyDescent="0.35">
      <c r="E308" s="80"/>
      <c r="G308" s="80"/>
      <c r="H308" s="80"/>
    </row>
    <row r="309" spans="5:8" x14ac:dyDescent="0.35">
      <c r="E309" s="80"/>
      <c r="G309" s="80"/>
      <c r="H309" s="80"/>
    </row>
    <row r="310" spans="5:8" x14ac:dyDescent="0.35">
      <c r="E310" s="80"/>
      <c r="G310" s="80"/>
      <c r="H310" s="80"/>
    </row>
    <row r="311" spans="5:8" x14ac:dyDescent="0.35">
      <c r="E311" s="80"/>
      <c r="G311" s="80"/>
      <c r="H311" s="80"/>
    </row>
    <row r="312" spans="5:8" x14ac:dyDescent="0.35">
      <c r="E312" s="80"/>
      <c r="G312" s="80"/>
      <c r="H312" s="80"/>
    </row>
    <row r="313" spans="5:8" x14ac:dyDescent="0.35">
      <c r="E313" s="80"/>
      <c r="G313" s="80"/>
      <c r="H313" s="80"/>
    </row>
    <row r="314" spans="5:8" x14ac:dyDescent="0.35">
      <c r="E314" s="80"/>
      <c r="G314" s="80"/>
      <c r="H314" s="80"/>
    </row>
    <row r="315" spans="5:8" x14ac:dyDescent="0.35">
      <c r="E315" s="80"/>
      <c r="G315" s="80"/>
      <c r="H315" s="80"/>
    </row>
    <row r="316" spans="5:8" x14ac:dyDescent="0.35">
      <c r="E316" s="80"/>
      <c r="G316" s="80"/>
      <c r="H316" s="80"/>
    </row>
    <row r="317" spans="5:8" x14ac:dyDescent="0.35">
      <c r="E317" s="80"/>
      <c r="G317" s="80"/>
      <c r="H317" s="80"/>
    </row>
    <row r="318" spans="5:8" x14ac:dyDescent="0.35">
      <c r="E318" s="80"/>
      <c r="G318" s="80"/>
      <c r="H318" s="80"/>
    </row>
    <row r="319" spans="5:8" x14ac:dyDescent="0.35">
      <c r="E319" s="80"/>
      <c r="G319" s="80"/>
      <c r="H319" s="80"/>
    </row>
    <row r="320" spans="5:8" x14ac:dyDescent="0.35">
      <c r="E320" s="80"/>
      <c r="G320" s="80"/>
      <c r="H320" s="80"/>
    </row>
    <row r="321" spans="5:8" x14ac:dyDescent="0.35">
      <c r="E321" s="80"/>
      <c r="G321" s="80"/>
      <c r="H321" s="80"/>
    </row>
    <row r="322" spans="5:8" x14ac:dyDescent="0.35">
      <c r="E322" s="80"/>
      <c r="G322" s="80"/>
      <c r="H322" s="80"/>
    </row>
    <row r="323" spans="5:8" x14ac:dyDescent="0.35">
      <c r="E323" s="80"/>
      <c r="G323" s="80"/>
      <c r="H323" s="80"/>
    </row>
    <row r="324" spans="5:8" x14ac:dyDescent="0.35">
      <c r="E324" s="80"/>
      <c r="G324" s="80"/>
      <c r="H324" s="80"/>
    </row>
    <row r="325" spans="5:8" x14ac:dyDescent="0.35">
      <c r="E325" s="80"/>
      <c r="G325" s="80"/>
      <c r="H325" s="80"/>
    </row>
    <row r="326" spans="5:8" x14ac:dyDescent="0.35">
      <c r="E326" s="80"/>
      <c r="G326" s="80"/>
      <c r="H326" s="80"/>
    </row>
    <row r="327" spans="5:8" x14ac:dyDescent="0.35">
      <c r="E327" s="80"/>
      <c r="G327" s="80"/>
      <c r="H327" s="80"/>
    </row>
    <row r="328" spans="5:8" x14ac:dyDescent="0.35">
      <c r="E328" s="80"/>
      <c r="G328" s="80"/>
      <c r="H328" s="80"/>
    </row>
    <row r="329" spans="5:8" x14ac:dyDescent="0.35">
      <c r="E329" s="80"/>
      <c r="G329" s="80"/>
      <c r="H329" s="80"/>
    </row>
    <row r="330" spans="5:8" x14ac:dyDescent="0.35">
      <c r="E330" s="80"/>
      <c r="G330" s="80"/>
      <c r="H330" s="80"/>
    </row>
    <row r="331" spans="5:8" x14ac:dyDescent="0.35">
      <c r="E331" s="80"/>
      <c r="G331" s="80"/>
      <c r="H331" s="80"/>
    </row>
    <row r="332" spans="5:8" x14ac:dyDescent="0.35">
      <c r="E332" s="80"/>
      <c r="G332" s="80"/>
      <c r="H332" s="80"/>
    </row>
    <row r="333" spans="5:8" x14ac:dyDescent="0.35">
      <c r="E333" s="80"/>
      <c r="G333" s="80"/>
      <c r="H333" s="80"/>
    </row>
    <row r="334" spans="5:8" x14ac:dyDescent="0.35">
      <c r="E334" s="80"/>
      <c r="G334" s="80"/>
      <c r="H334" s="80"/>
    </row>
    <row r="335" spans="5:8" x14ac:dyDescent="0.35">
      <c r="E335" s="80"/>
      <c r="G335" s="80"/>
      <c r="H335" s="80"/>
    </row>
    <row r="336" spans="5:8" x14ac:dyDescent="0.35">
      <c r="E336" s="80"/>
      <c r="G336" s="80"/>
      <c r="H336" s="80"/>
    </row>
    <row r="337" spans="5:8" x14ac:dyDescent="0.35">
      <c r="E337" s="80"/>
      <c r="G337" s="80"/>
      <c r="H337" s="80"/>
    </row>
    <row r="338" spans="5:8" x14ac:dyDescent="0.35">
      <c r="E338" s="80"/>
      <c r="G338" s="80"/>
      <c r="H338" s="80"/>
    </row>
    <row r="339" spans="5:8" x14ac:dyDescent="0.35">
      <c r="E339" s="80"/>
      <c r="G339" s="80"/>
      <c r="H339" s="80"/>
    </row>
    <row r="340" spans="5:8" x14ac:dyDescent="0.35">
      <c r="E340" s="80"/>
      <c r="G340" s="80"/>
      <c r="H340" s="80"/>
    </row>
    <row r="341" spans="5:8" x14ac:dyDescent="0.35">
      <c r="E341" s="80"/>
      <c r="G341" s="80"/>
      <c r="H341" s="80"/>
    </row>
    <row r="342" spans="5:8" x14ac:dyDescent="0.35">
      <c r="E342" s="80"/>
      <c r="G342" s="80"/>
      <c r="H342" s="80"/>
    </row>
    <row r="343" spans="5:8" x14ac:dyDescent="0.35">
      <c r="E343" s="80"/>
      <c r="G343" s="80"/>
      <c r="H343" s="80"/>
    </row>
    <row r="344" spans="5:8" x14ac:dyDescent="0.35">
      <c r="E344" s="80"/>
      <c r="G344" s="80"/>
      <c r="H344" s="80"/>
    </row>
    <row r="345" spans="5:8" x14ac:dyDescent="0.35">
      <c r="E345" s="80"/>
      <c r="G345" s="80"/>
      <c r="H345" s="80"/>
    </row>
    <row r="346" spans="5:8" x14ac:dyDescent="0.35">
      <c r="E346" s="80"/>
      <c r="G346" s="80"/>
      <c r="H346" s="80"/>
    </row>
    <row r="347" spans="5:8" x14ac:dyDescent="0.35">
      <c r="E347" s="80"/>
      <c r="G347" s="80"/>
      <c r="H347" s="80"/>
    </row>
    <row r="348" spans="5:8" x14ac:dyDescent="0.35">
      <c r="E348" s="80"/>
      <c r="G348" s="80"/>
      <c r="H348" s="80"/>
    </row>
    <row r="349" spans="5:8" x14ac:dyDescent="0.35">
      <c r="E349" s="80"/>
      <c r="G349" s="80"/>
      <c r="H349" s="80"/>
    </row>
    <row r="350" spans="5:8" x14ac:dyDescent="0.35">
      <c r="E350" s="80"/>
      <c r="G350" s="80"/>
      <c r="H350" s="80"/>
    </row>
    <row r="351" spans="5:8" x14ac:dyDescent="0.35">
      <c r="E351" s="80"/>
      <c r="G351" s="80"/>
      <c r="H351" s="80"/>
    </row>
    <row r="352" spans="5:8" x14ac:dyDescent="0.35">
      <c r="E352" s="80"/>
      <c r="G352" s="80"/>
      <c r="H352" s="80"/>
    </row>
    <row r="353" spans="5:8" x14ac:dyDescent="0.35">
      <c r="E353" s="80"/>
      <c r="G353" s="80"/>
      <c r="H353" s="80"/>
    </row>
    <row r="354" spans="5:8" x14ac:dyDescent="0.35">
      <c r="E354" s="80"/>
      <c r="G354" s="80"/>
      <c r="H354" s="80"/>
    </row>
    <row r="355" spans="5:8" x14ac:dyDescent="0.35">
      <c r="E355" s="80"/>
      <c r="G355" s="80"/>
      <c r="H355" s="80"/>
    </row>
    <row r="356" spans="5:8" x14ac:dyDescent="0.35">
      <c r="E356" s="80"/>
      <c r="G356" s="80"/>
      <c r="H356" s="80"/>
    </row>
    <row r="357" spans="5:8" x14ac:dyDescent="0.35">
      <c r="E357" s="80"/>
      <c r="G357" s="80"/>
      <c r="H357" s="80"/>
    </row>
    <row r="358" spans="5:8" x14ac:dyDescent="0.35">
      <c r="E358" s="80"/>
      <c r="G358" s="80"/>
      <c r="H358" s="80"/>
    </row>
    <row r="359" spans="5:8" x14ac:dyDescent="0.35">
      <c r="E359" s="80"/>
      <c r="G359" s="80"/>
      <c r="H359" s="80"/>
    </row>
    <row r="360" spans="5:8" x14ac:dyDescent="0.35">
      <c r="E360" s="80"/>
      <c r="G360" s="80"/>
      <c r="H360" s="80"/>
    </row>
    <row r="361" spans="5:8" x14ac:dyDescent="0.35">
      <c r="E361" s="80"/>
      <c r="G361" s="80"/>
      <c r="H361" s="80"/>
    </row>
    <row r="362" spans="5:8" x14ac:dyDescent="0.35">
      <c r="E362" s="80"/>
      <c r="G362" s="80"/>
      <c r="H362" s="80"/>
    </row>
    <row r="363" spans="5:8" x14ac:dyDescent="0.35">
      <c r="E363" s="80"/>
      <c r="G363" s="80"/>
      <c r="H363" s="80"/>
    </row>
    <row r="364" spans="5:8" x14ac:dyDescent="0.35">
      <c r="E364" s="80"/>
      <c r="G364" s="80"/>
      <c r="H364" s="80"/>
    </row>
    <row r="365" spans="5:8" x14ac:dyDescent="0.35">
      <c r="E365" s="80"/>
      <c r="G365" s="80"/>
      <c r="H365" s="80"/>
    </row>
    <row r="366" spans="5:8" x14ac:dyDescent="0.35">
      <c r="E366" s="80"/>
      <c r="G366" s="80"/>
      <c r="H366" s="80"/>
    </row>
    <row r="367" spans="5:8" x14ac:dyDescent="0.35">
      <c r="E367" s="80"/>
      <c r="G367" s="80"/>
      <c r="H367" s="80"/>
    </row>
    <row r="368" spans="5:8" x14ac:dyDescent="0.35">
      <c r="E368" s="80"/>
      <c r="G368" s="80"/>
      <c r="H368" s="80"/>
    </row>
    <row r="369" spans="5:8" x14ac:dyDescent="0.35">
      <c r="E369" s="80"/>
      <c r="G369" s="80"/>
      <c r="H369" s="80"/>
    </row>
    <row r="370" spans="5:8" x14ac:dyDescent="0.35">
      <c r="E370" s="80"/>
      <c r="G370" s="80"/>
      <c r="H370" s="80"/>
    </row>
    <row r="371" spans="5:8" x14ac:dyDescent="0.35">
      <c r="E371" s="80"/>
      <c r="G371" s="80"/>
      <c r="H371" s="80"/>
    </row>
    <row r="372" spans="5:8" x14ac:dyDescent="0.35">
      <c r="E372" s="80"/>
      <c r="G372" s="80"/>
      <c r="H372" s="80"/>
    </row>
    <row r="373" spans="5:8" x14ac:dyDescent="0.35">
      <c r="E373" s="80"/>
      <c r="G373" s="80"/>
      <c r="H373" s="80"/>
    </row>
    <row r="374" spans="5:8" x14ac:dyDescent="0.35">
      <c r="E374" s="80"/>
      <c r="G374" s="80"/>
      <c r="H374" s="80"/>
    </row>
    <row r="375" spans="5:8" x14ac:dyDescent="0.35">
      <c r="E375" s="80"/>
      <c r="G375" s="80"/>
      <c r="H375" s="80"/>
    </row>
    <row r="376" spans="5:8" x14ac:dyDescent="0.35">
      <c r="E376" s="80"/>
      <c r="G376" s="80"/>
      <c r="H376" s="80"/>
    </row>
    <row r="377" spans="5:8" x14ac:dyDescent="0.35">
      <c r="E377" s="80"/>
      <c r="G377" s="80"/>
      <c r="H377" s="80"/>
    </row>
    <row r="378" spans="5:8" x14ac:dyDescent="0.35">
      <c r="E378" s="80"/>
      <c r="G378" s="80"/>
      <c r="H378" s="80"/>
    </row>
    <row r="379" spans="5:8" x14ac:dyDescent="0.35">
      <c r="E379" s="80"/>
      <c r="G379" s="80"/>
      <c r="H379" s="80"/>
    </row>
    <row r="380" spans="5:8" x14ac:dyDescent="0.35">
      <c r="E380" s="80"/>
      <c r="G380" s="80"/>
      <c r="H380" s="80"/>
    </row>
    <row r="381" spans="5:8" x14ac:dyDescent="0.35">
      <c r="E381" s="80"/>
      <c r="G381" s="80"/>
      <c r="H381" s="80"/>
    </row>
    <row r="382" spans="5:8" x14ac:dyDescent="0.35">
      <c r="E382" s="80"/>
      <c r="G382" s="80"/>
      <c r="H382" s="80"/>
    </row>
    <row r="383" spans="5:8" x14ac:dyDescent="0.35">
      <c r="E383" s="80"/>
      <c r="G383" s="80"/>
      <c r="H383" s="80"/>
    </row>
    <row r="384" spans="5:8" x14ac:dyDescent="0.35">
      <c r="E384" s="80"/>
      <c r="G384" s="80"/>
      <c r="H384" s="80"/>
    </row>
    <row r="385" spans="5:8" x14ac:dyDescent="0.35">
      <c r="E385" s="80"/>
      <c r="G385" s="80"/>
      <c r="H385" s="80"/>
    </row>
    <row r="386" spans="5:8" x14ac:dyDescent="0.35">
      <c r="E386" s="80"/>
      <c r="G386" s="80"/>
      <c r="H386" s="80"/>
    </row>
    <row r="387" spans="5:8" x14ac:dyDescent="0.35">
      <c r="E387" s="80"/>
      <c r="G387" s="80"/>
      <c r="H387" s="80"/>
    </row>
    <row r="388" spans="5:8" x14ac:dyDescent="0.35">
      <c r="E388" s="80"/>
      <c r="G388" s="80"/>
      <c r="H388" s="80"/>
    </row>
    <row r="389" spans="5:8" x14ac:dyDescent="0.35">
      <c r="E389" s="80"/>
      <c r="G389" s="80"/>
      <c r="H389" s="80"/>
    </row>
    <row r="390" spans="5:8" x14ac:dyDescent="0.35">
      <c r="E390" s="80"/>
      <c r="G390" s="80"/>
      <c r="H390" s="80"/>
    </row>
    <row r="391" spans="5:8" x14ac:dyDescent="0.35">
      <c r="E391" s="80"/>
      <c r="G391" s="80"/>
      <c r="H391" s="80"/>
    </row>
    <row r="392" spans="5:8" x14ac:dyDescent="0.35">
      <c r="E392" s="80"/>
      <c r="G392" s="80"/>
      <c r="H392" s="80"/>
    </row>
    <row r="393" spans="5:8" x14ac:dyDescent="0.35">
      <c r="E393" s="80"/>
      <c r="G393" s="80"/>
      <c r="H393" s="80"/>
    </row>
    <row r="394" spans="5:8" x14ac:dyDescent="0.35">
      <c r="E394" s="80"/>
      <c r="G394" s="80"/>
      <c r="H394" s="80"/>
    </row>
    <row r="395" spans="5:8" x14ac:dyDescent="0.35">
      <c r="E395" s="80"/>
      <c r="G395" s="80"/>
      <c r="H395" s="80"/>
    </row>
    <row r="396" spans="5:8" x14ac:dyDescent="0.35">
      <c r="E396" s="80"/>
      <c r="G396" s="80"/>
      <c r="H396" s="80"/>
    </row>
    <row r="397" spans="5:8" x14ac:dyDescent="0.35">
      <c r="E397" s="80"/>
      <c r="G397" s="80"/>
      <c r="H397" s="80"/>
    </row>
    <row r="398" spans="5:8" x14ac:dyDescent="0.35">
      <c r="E398" s="80"/>
      <c r="G398" s="80"/>
      <c r="H398" s="80"/>
    </row>
    <row r="399" spans="5:8" x14ac:dyDescent="0.35">
      <c r="E399" s="80"/>
      <c r="G399" s="80"/>
      <c r="H399" s="80"/>
    </row>
    <row r="400" spans="5:8" x14ac:dyDescent="0.35">
      <c r="E400" s="80"/>
      <c r="G400" s="80"/>
      <c r="H400" s="80"/>
    </row>
    <row r="401" spans="5:8" x14ac:dyDescent="0.35">
      <c r="E401" s="80"/>
      <c r="G401" s="80"/>
      <c r="H401" s="80"/>
    </row>
    <row r="402" spans="5:8" x14ac:dyDescent="0.35">
      <c r="E402" s="80"/>
      <c r="G402" s="80"/>
      <c r="H402" s="80"/>
    </row>
    <row r="403" spans="5:8" x14ac:dyDescent="0.35">
      <c r="E403" s="80"/>
      <c r="G403" s="80"/>
      <c r="H403" s="80"/>
    </row>
    <row r="404" spans="5:8" x14ac:dyDescent="0.35">
      <c r="E404" s="80"/>
      <c r="G404" s="80"/>
      <c r="H404" s="80"/>
    </row>
    <row r="405" spans="5:8" x14ac:dyDescent="0.35">
      <c r="E405" s="80"/>
      <c r="G405" s="80"/>
      <c r="H405" s="80"/>
    </row>
    <row r="406" spans="5:8" x14ac:dyDescent="0.35">
      <c r="E406" s="80"/>
      <c r="G406" s="80"/>
      <c r="H406" s="80"/>
    </row>
    <row r="407" spans="5:8" x14ac:dyDescent="0.35">
      <c r="E407" s="80"/>
      <c r="G407" s="80"/>
      <c r="H407" s="80"/>
    </row>
    <row r="408" spans="5:8" x14ac:dyDescent="0.35">
      <c r="E408" s="80"/>
      <c r="G408" s="80"/>
      <c r="H408" s="80"/>
    </row>
    <row r="409" spans="5:8" x14ac:dyDescent="0.35">
      <c r="E409" s="80"/>
      <c r="G409" s="80"/>
      <c r="H409" s="80"/>
    </row>
    <row r="410" spans="5:8" x14ac:dyDescent="0.35">
      <c r="E410" s="80"/>
      <c r="G410" s="80"/>
      <c r="H410" s="80"/>
    </row>
    <row r="411" spans="5:8" x14ac:dyDescent="0.35">
      <c r="E411" s="80"/>
      <c r="G411" s="80"/>
      <c r="H411" s="80"/>
    </row>
    <row r="412" spans="5:8" x14ac:dyDescent="0.35">
      <c r="E412" s="80"/>
      <c r="G412" s="80"/>
      <c r="H412" s="80"/>
    </row>
    <row r="413" spans="5:8" x14ac:dyDescent="0.35">
      <c r="E413" s="80"/>
      <c r="G413" s="80"/>
      <c r="H413" s="80"/>
    </row>
    <row r="414" spans="5:8" x14ac:dyDescent="0.35">
      <c r="E414" s="80"/>
      <c r="G414" s="80"/>
      <c r="H414" s="80"/>
    </row>
    <row r="415" spans="5:8" x14ac:dyDescent="0.35">
      <c r="E415" s="80"/>
      <c r="G415" s="80"/>
      <c r="H415" s="80"/>
    </row>
    <row r="416" spans="5:8" x14ac:dyDescent="0.35">
      <c r="E416" s="80"/>
      <c r="G416" s="80"/>
      <c r="H416" s="80"/>
    </row>
    <row r="417" spans="5:8" x14ac:dyDescent="0.35">
      <c r="E417" s="80"/>
      <c r="G417" s="80"/>
      <c r="H417" s="80"/>
    </row>
    <row r="418" spans="5:8" x14ac:dyDescent="0.35">
      <c r="E418" s="80"/>
      <c r="G418" s="80"/>
      <c r="H418" s="80"/>
    </row>
    <row r="419" spans="5:8" x14ac:dyDescent="0.35">
      <c r="E419" s="80"/>
      <c r="G419" s="80"/>
      <c r="H419" s="80"/>
    </row>
    <row r="420" spans="5:8" x14ac:dyDescent="0.35">
      <c r="E420" s="80"/>
      <c r="G420" s="80"/>
      <c r="H420" s="80"/>
    </row>
    <row r="421" spans="5:8" x14ac:dyDescent="0.35">
      <c r="E421" s="80"/>
      <c r="G421" s="80"/>
      <c r="H421" s="80"/>
    </row>
    <row r="422" spans="5:8" x14ac:dyDescent="0.35">
      <c r="E422" s="80"/>
      <c r="G422" s="80"/>
      <c r="H422" s="80"/>
    </row>
    <row r="423" spans="5:8" x14ac:dyDescent="0.35">
      <c r="E423" s="80"/>
      <c r="G423" s="80"/>
      <c r="H423" s="80"/>
    </row>
    <row r="424" spans="5:8" x14ac:dyDescent="0.35">
      <c r="E424" s="80"/>
      <c r="G424" s="80"/>
      <c r="H424" s="80"/>
    </row>
    <row r="425" spans="5:8" x14ac:dyDescent="0.35">
      <c r="E425" s="80"/>
      <c r="G425" s="80"/>
      <c r="H425" s="80"/>
    </row>
    <row r="426" spans="5:8" x14ac:dyDescent="0.35">
      <c r="E426" s="80"/>
      <c r="G426" s="80"/>
      <c r="H426" s="80"/>
    </row>
    <row r="427" spans="5:8" x14ac:dyDescent="0.35">
      <c r="E427" s="80"/>
      <c r="G427" s="80"/>
      <c r="H427" s="80"/>
    </row>
    <row r="428" spans="5:8" x14ac:dyDescent="0.35">
      <c r="E428" s="80"/>
      <c r="G428" s="80"/>
      <c r="H428" s="80"/>
    </row>
    <row r="429" spans="5:8" x14ac:dyDescent="0.35">
      <c r="E429" s="80"/>
      <c r="G429" s="80"/>
      <c r="H429" s="80"/>
    </row>
    <row r="430" spans="5:8" x14ac:dyDescent="0.35">
      <c r="E430" s="80"/>
      <c r="G430" s="80"/>
      <c r="H430" s="80"/>
    </row>
    <row r="431" spans="5:8" x14ac:dyDescent="0.35">
      <c r="E431" s="80"/>
      <c r="G431" s="80"/>
      <c r="H431" s="80"/>
    </row>
    <row r="432" spans="5:8" x14ac:dyDescent="0.35">
      <c r="E432" s="80"/>
      <c r="G432" s="80"/>
      <c r="H432" s="80"/>
    </row>
    <row r="433" spans="5:8" x14ac:dyDescent="0.35">
      <c r="E433" s="80"/>
      <c r="G433" s="80"/>
      <c r="H433" s="80"/>
    </row>
    <row r="434" spans="5:8" x14ac:dyDescent="0.35">
      <c r="E434" s="80"/>
      <c r="G434" s="80"/>
      <c r="H434" s="80"/>
    </row>
    <row r="435" spans="5:8" x14ac:dyDescent="0.35">
      <c r="E435" s="80"/>
      <c r="G435" s="80"/>
      <c r="H435" s="80"/>
    </row>
    <row r="436" spans="5:8" x14ac:dyDescent="0.35">
      <c r="E436" s="80"/>
      <c r="G436" s="80"/>
      <c r="H436" s="80"/>
    </row>
    <row r="437" spans="5:8" x14ac:dyDescent="0.35">
      <c r="E437" s="80"/>
      <c r="G437" s="80"/>
      <c r="H437" s="80"/>
    </row>
    <row r="438" spans="5:8" x14ac:dyDescent="0.35">
      <c r="E438" s="80"/>
      <c r="G438" s="80"/>
      <c r="H438" s="80"/>
    </row>
    <row r="439" spans="5:8" x14ac:dyDescent="0.35">
      <c r="E439" s="80"/>
      <c r="G439" s="80"/>
      <c r="H439" s="80"/>
    </row>
    <row r="440" spans="5:8" x14ac:dyDescent="0.35">
      <c r="E440" s="80"/>
      <c r="G440" s="80"/>
      <c r="H440" s="80"/>
    </row>
    <row r="441" spans="5:8" x14ac:dyDescent="0.35">
      <c r="E441" s="80"/>
      <c r="G441" s="80"/>
      <c r="H441" s="80"/>
    </row>
    <row r="442" spans="5:8" x14ac:dyDescent="0.35">
      <c r="E442" s="80"/>
      <c r="G442" s="80"/>
      <c r="H442" s="80"/>
    </row>
    <row r="443" spans="5:8" x14ac:dyDescent="0.35">
      <c r="E443" s="80"/>
      <c r="G443" s="80"/>
      <c r="H443" s="80"/>
    </row>
    <row r="444" spans="5:8" x14ac:dyDescent="0.35">
      <c r="E444" s="80"/>
      <c r="G444" s="80"/>
      <c r="H444" s="80"/>
    </row>
    <row r="445" spans="5:8" x14ac:dyDescent="0.35">
      <c r="E445" s="80"/>
      <c r="G445" s="80"/>
      <c r="H445" s="80"/>
    </row>
    <row r="446" spans="5:8" x14ac:dyDescent="0.35">
      <c r="E446" s="80"/>
      <c r="G446" s="80"/>
      <c r="H446" s="80"/>
    </row>
    <row r="447" spans="5:8" x14ac:dyDescent="0.35">
      <c r="E447" s="80"/>
      <c r="G447" s="80"/>
      <c r="H447" s="80"/>
    </row>
    <row r="448" spans="5:8" x14ac:dyDescent="0.35">
      <c r="E448" s="80"/>
      <c r="G448" s="80"/>
      <c r="H448" s="80"/>
    </row>
    <row r="449" spans="5:8" x14ac:dyDescent="0.35">
      <c r="E449" s="80"/>
      <c r="G449" s="80"/>
      <c r="H449" s="80"/>
    </row>
    <row r="450" spans="5:8" x14ac:dyDescent="0.35">
      <c r="E450" s="80"/>
      <c r="G450" s="80"/>
      <c r="H450" s="80"/>
    </row>
    <row r="451" spans="5:8" x14ac:dyDescent="0.35">
      <c r="E451" s="80"/>
      <c r="G451" s="80"/>
      <c r="H451" s="80"/>
    </row>
    <row r="452" spans="5:8" x14ac:dyDescent="0.35">
      <c r="E452" s="80"/>
      <c r="G452" s="80"/>
      <c r="H452" s="80"/>
    </row>
    <row r="453" spans="5:8" x14ac:dyDescent="0.35">
      <c r="E453" s="80"/>
      <c r="G453" s="80"/>
      <c r="H453" s="80"/>
    </row>
    <row r="454" spans="5:8" x14ac:dyDescent="0.35">
      <c r="E454" s="80"/>
      <c r="G454" s="80"/>
      <c r="H454" s="80"/>
    </row>
    <row r="455" spans="5:8" x14ac:dyDescent="0.35">
      <c r="E455" s="80"/>
      <c r="G455" s="80"/>
      <c r="H455" s="80"/>
    </row>
    <row r="456" spans="5:8" x14ac:dyDescent="0.35">
      <c r="E456" s="80"/>
      <c r="G456" s="80"/>
      <c r="H456" s="80"/>
    </row>
    <row r="457" spans="5:8" x14ac:dyDescent="0.35">
      <c r="E457" s="80"/>
      <c r="G457" s="80"/>
      <c r="H457" s="80"/>
    </row>
    <row r="458" spans="5:8" x14ac:dyDescent="0.35">
      <c r="E458" s="80"/>
      <c r="G458" s="80"/>
      <c r="H458" s="80"/>
    </row>
    <row r="459" spans="5:8" x14ac:dyDescent="0.35">
      <c r="E459" s="80"/>
      <c r="G459" s="80"/>
      <c r="H459" s="80"/>
    </row>
    <row r="460" spans="5:8" x14ac:dyDescent="0.35">
      <c r="E460" s="80"/>
      <c r="G460" s="80"/>
      <c r="H460" s="80"/>
    </row>
    <row r="461" spans="5:8" x14ac:dyDescent="0.35">
      <c r="E461" s="80"/>
      <c r="G461" s="80"/>
      <c r="H461" s="80"/>
    </row>
    <row r="462" spans="5:8" x14ac:dyDescent="0.35">
      <c r="E462" s="80"/>
      <c r="G462" s="80"/>
      <c r="H462" s="80"/>
    </row>
    <row r="463" spans="5:8" x14ac:dyDescent="0.35">
      <c r="E463" s="80"/>
      <c r="G463" s="80"/>
      <c r="H463" s="80"/>
    </row>
    <row r="464" spans="5:8" x14ac:dyDescent="0.35">
      <c r="E464" s="80"/>
      <c r="G464" s="80"/>
      <c r="H464" s="80"/>
    </row>
    <row r="465" spans="5:8" x14ac:dyDescent="0.35">
      <c r="E465" s="80"/>
      <c r="G465" s="80"/>
      <c r="H465" s="80"/>
    </row>
    <row r="466" spans="5:8" x14ac:dyDescent="0.35">
      <c r="E466" s="80"/>
      <c r="G466" s="80"/>
      <c r="H466" s="80"/>
    </row>
    <row r="467" spans="5:8" x14ac:dyDescent="0.35">
      <c r="E467" s="80"/>
      <c r="G467" s="80"/>
      <c r="H467" s="80"/>
    </row>
    <row r="468" spans="5:8" x14ac:dyDescent="0.35">
      <c r="E468" s="80"/>
      <c r="G468" s="80"/>
      <c r="H468" s="80"/>
    </row>
    <row r="469" spans="5:8" x14ac:dyDescent="0.35">
      <c r="E469" s="80"/>
      <c r="G469" s="80"/>
      <c r="H469" s="80"/>
    </row>
    <row r="470" spans="5:8" x14ac:dyDescent="0.35">
      <c r="E470" s="80"/>
      <c r="G470" s="80"/>
      <c r="H470" s="80"/>
    </row>
    <row r="471" spans="5:8" x14ac:dyDescent="0.35">
      <c r="E471" s="80"/>
      <c r="G471" s="80"/>
      <c r="H471" s="80"/>
    </row>
    <row r="472" spans="5:8" x14ac:dyDescent="0.35">
      <c r="E472" s="80"/>
      <c r="G472" s="80"/>
      <c r="H472" s="80"/>
    </row>
    <row r="473" spans="5:8" x14ac:dyDescent="0.35">
      <c r="E473" s="80"/>
      <c r="G473" s="80"/>
      <c r="H473" s="80"/>
    </row>
    <row r="474" spans="5:8" x14ac:dyDescent="0.35">
      <c r="E474" s="80"/>
      <c r="G474" s="80"/>
      <c r="H474" s="80"/>
    </row>
    <row r="475" spans="5:8" x14ac:dyDescent="0.35">
      <c r="E475" s="80"/>
      <c r="G475" s="80"/>
      <c r="H475" s="80"/>
    </row>
    <row r="476" spans="5:8" x14ac:dyDescent="0.35">
      <c r="E476" s="80"/>
      <c r="G476" s="80"/>
      <c r="H476" s="80"/>
    </row>
    <row r="477" spans="5:8" x14ac:dyDescent="0.35">
      <c r="E477" s="80"/>
      <c r="G477" s="80"/>
      <c r="H477" s="80"/>
    </row>
    <row r="478" spans="5:8" x14ac:dyDescent="0.35">
      <c r="E478" s="80"/>
      <c r="G478" s="80"/>
      <c r="H478" s="80"/>
    </row>
    <row r="479" spans="5:8" x14ac:dyDescent="0.35">
      <c r="E479" s="80"/>
      <c r="G479" s="80"/>
      <c r="H479" s="80"/>
    </row>
    <row r="480" spans="5:8" x14ac:dyDescent="0.35">
      <c r="E480" s="80"/>
      <c r="G480" s="80"/>
      <c r="H480" s="80"/>
    </row>
    <row r="481" spans="5:8" x14ac:dyDescent="0.35">
      <c r="E481" s="80"/>
      <c r="G481" s="80"/>
      <c r="H481" s="80"/>
    </row>
    <row r="482" spans="5:8" x14ac:dyDescent="0.35">
      <c r="E482" s="80"/>
      <c r="G482" s="80"/>
      <c r="H482" s="80"/>
    </row>
    <row r="483" spans="5:8" x14ac:dyDescent="0.35">
      <c r="E483" s="80"/>
      <c r="G483" s="80"/>
      <c r="H483" s="80"/>
    </row>
    <row r="484" spans="5:8" x14ac:dyDescent="0.35">
      <c r="E484" s="80"/>
      <c r="G484" s="80"/>
      <c r="H484" s="80"/>
    </row>
    <row r="485" spans="5:8" x14ac:dyDescent="0.35">
      <c r="E485" s="80"/>
      <c r="G485" s="80"/>
      <c r="H485" s="80"/>
    </row>
    <row r="486" spans="5:8" x14ac:dyDescent="0.35">
      <c r="E486" s="80"/>
      <c r="G486" s="80"/>
      <c r="H486" s="80"/>
    </row>
    <row r="487" spans="5:8" x14ac:dyDescent="0.35">
      <c r="E487" s="80"/>
      <c r="G487" s="80"/>
      <c r="H487" s="80"/>
    </row>
    <row r="488" spans="5:8" x14ac:dyDescent="0.35">
      <c r="E488" s="80"/>
      <c r="G488" s="80"/>
      <c r="H488" s="80"/>
    </row>
    <row r="489" spans="5:8" x14ac:dyDescent="0.35">
      <c r="E489" s="80"/>
      <c r="G489" s="80"/>
      <c r="H489" s="80"/>
    </row>
    <row r="490" spans="5:8" x14ac:dyDescent="0.35">
      <c r="E490" s="80"/>
      <c r="G490" s="80"/>
      <c r="H490" s="80"/>
    </row>
    <row r="491" spans="5:8" x14ac:dyDescent="0.35">
      <c r="E491" s="80"/>
      <c r="G491" s="80"/>
      <c r="H491" s="80"/>
    </row>
    <row r="492" spans="5:8" x14ac:dyDescent="0.35">
      <c r="E492" s="80"/>
      <c r="G492" s="80"/>
      <c r="H492" s="80"/>
    </row>
    <row r="493" spans="5:8" x14ac:dyDescent="0.35">
      <c r="E493" s="80"/>
      <c r="G493" s="80"/>
      <c r="H493" s="80"/>
    </row>
    <row r="494" spans="5:8" x14ac:dyDescent="0.35">
      <c r="E494" s="80"/>
      <c r="G494" s="80"/>
      <c r="H494" s="80"/>
    </row>
    <row r="495" spans="5:8" x14ac:dyDescent="0.35">
      <c r="E495" s="80"/>
      <c r="G495" s="80"/>
      <c r="H495" s="80"/>
    </row>
    <row r="496" spans="5:8" x14ac:dyDescent="0.35">
      <c r="E496" s="80"/>
      <c r="G496" s="80"/>
      <c r="H496" s="80"/>
    </row>
    <row r="497" spans="5:8" x14ac:dyDescent="0.35">
      <c r="E497" s="80"/>
      <c r="G497" s="80"/>
      <c r="H497" s="80"/>
    </row>
    <row r="498" spans="5:8" x14ac:dyDescent="0.35">
      <c r="E498" s="80"/>
      <c r="G498" s="80"/>
      <c r="H498" s="80"/>
    </row>
    <row r="499" spans="5:8" x14ac:dyDescent="0.35">
      <c r="E499" s="80"/>
      <c r="G499" s="80"/>
      <c r="H499" s="80"/>
    </row>
    <row r="500" spans="5:8" x14ac:dyDescent="0.35">
      <c r="E500" s="80"/>
      <c r="G500" s="80"/>
      <c r="H500" s="80"/>
    </row>
    <row r="501" spans="5:8" x14ac:dyDescent="0.35">
      <c r="E501" s="80"/>
      <c r="G501" s="80"/>
      <c r="H501" s="80"/>
    </row>
    <row r="502" spans="5:8" x14ac:dyDescent="0.35">
      <c r="E502" s="80"/>
      <c r="G502" s="80"/>
      <c r="H502" s="80"/>
    </row>
    <row r="503" spans="5:8" x14ac:dyDescent="0.35">
      <c r="E503" s="80"/>
      <c r="G503" s="80"/>
      <c r="H503" s="80"/>
    </row>
    <row r="504" spans="5:8" x14ac:dyDescent="0.35">
      <c r="E504" s="80"/>
      <c r="G504" s="80"/>
      <c r="H504" s="80"/>
    </row>
    <row r="505" spans="5:8" x14ac:dyDescent="0.35">
      <c r="E505" s="80"/>
      <c r="G505" s="80"/>
      <c r="H505" s="80"/>
    </row>
    <row r="506" spans="5:8" x14ac:dyDescent="0.35">
      <c r="E506" s="80"/>
      <c r="G506" s="80"/>
      <c r="H506" s="80"/>
    </row>
    <row r="507" spans="5:8" x14ac:dyDescent="0.35">
      <c r="E507" s="80"/>
      <c r="G507" s="80"/>
      <c r="H507" s="80"/>
    </row>
    <row r="508" spans="5:8" x14ac:dyDescent="0.35">
      <c r="E508" s="80"/>
      <c r="G508" s="80"/>
      <c r="H508" s="80"/>
    </row>
    <row r="509" spans="5:8" x14ac:dyDescent="0.35">
      <c r="E509" s="80"/>
      <c r="G509" s="80"/>
      <c r="H509" s="80"/>
    </row>
    <row r="510" spans="5:8" x14ac:dyDescent="0.35">
      <c r="E510" s="80"/>
      <c r="G510" s="80"/>
      <c r="H510" s="80"/>
    </row>
    <row r="511" spans="5:8" x14ac:dyDescent="0.35">
      <c r="E511" s="80"/>
      <c r="G511" s="80"/>
      <c r="H511" s="80"/>
    </row>
    <row r="512" spans="5:8" x14ac:dyDescent="0.35">
      <c r="E512" s="80"/>
      <c r="G512" s="80"/>
      <c r="H512" s="80"/>
    </row>
    <row r="513" spans="5:8" x14ac:dyDescent="0.35">
      <c r="E513" s="80"/>
      <c r="G513" s="80"/>
      <c r="H513" s="80"/>
    </row>
    <row r="514" spans="5:8" x14ac:dyDescent="0.35">
      <c r="E514" s="80"/>
      <c r="G514" s="80"/>
      <c r="H514" s="80"/>
    </row>
    <row r="515" spans="5:8" x14ac:dyDescent="0.35">
      <c r="E515" s="80"/>
      <c r="G515" s="80"/>
      <c r="H515" s="80"/>
    </row>
    <row r="516" spans="5:8" x14ac:dyDescent="0.35">
      <c r="E516" s="80"/>
      <c r="G516" s="80"/>
      <c r="H516" s="80"/>
    </row>
    <row r="517" spans="5:8" x14ac:dyDescent="0.35">
      <c r="E517" s="80"/>
      <c r="G517" s="80"/>
      <c r="H517" s="80"/>
    </row>
    <row r="518" spans="5:8" x14ac:dyDescent="0.35">
      <c r="E518" s="80"/>
      <c r="G518" s="80"/>
      <c r="H518" s="80"/>
    </row>
    <row r="519" spans="5:8" x14ac:dyDescent="0.35">
      <c r="E519" s="80"/>
      <c r="G519" s="80"/>
      <c r="H519" s="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DCB9-6728-4B61-BE76-A42A7BC5132D}">
  <dimension ref="A2:Y465"/>
  <sheetViews>
    <sheetView topLeftCell="J47" zoomScale="75" zoomScaleNormal="62" zoomScaleSheetLayoutView="75" workbookViewId="0">
      <selection activeCell="Y50" sqref="Y50"/>
    </sheetView>
  </sheetViews>
  <sheetFormatPr defaultRowHeight="14.5" x14ac:dyDescent="0.35"/>
  <cols>
    <col min="1" max="1" width="8.7265625" style="5"/>
    <col min="2" max="2" width="18.26953125" customWidth="1"/>
    <col min="3" max="3" width="8.7265625" style="5"/>
    <col min="4" max="4" width="25.54296875" customWidth="1"/>
    <col min="7" max="7" width="11.81640625" bestFit="1" customWidth="1"/>
    <col min="8" max="8" width="10.453125" bestFit="1" customWidth="1"/>
    <col min="10" max="10" width="14.90625" bestFit="1" customWidth="1"/>
    <col min="11" max="11" width="9.6328125" bestFit="1" customWidth="1"/>
    <col min="12" max="12" width="18.54296875" style="3" bestFit="1" customWidth="1"/>
    <col min="14" max="14" width="5.90625" customWidth="1"/>
    <col min="15" max="15" width="23.6328125" bestFit="1" customWidth="1"/>
    <col min="16" max="16" width="10.7265625" customWidth="1"/>
    <col min="17" max="17" width="8" customWidth="1"/>
    <col min="18" max="18" width="11.81640625" bestFit="1" customWidth="1"/>
    <col min="19" max="19" width="7.1796875" bestFit="1" customWidth="1"/>
    <col min="20" max="20" width="6.26953125" customWidth="1"/>
    <col min="21" max="21" width="23.6328125" bestFit="1" customWidth="1"/>
    <col min="22" max="22" width="11.453125" customWidth="1"/>
    <col min="23" max="23" width="8.81640625" customWidth="1"/>
    <col min="24" max="24" width="11.81640625" bestFit="1" customWidth="1"/>
  </cols>
  <sheetData>
    <row r="2" spans="1:25" x14ac:dyDescent="0.35">
      <c r="A2" s="56" t="s">
        <v>8</v>
      </c>
      <c r="B2" s="56" t="s">
        <v>2</v>
      </c>
      <c r="C2" s="56" t="s">
        <v>4</v>
      </c>
      <c r="D2" s="44" t="s">
        <v>128</v>
      </c>
      <c r="E2" s="90" t="s">
        <v>1</v>
      </c>
      <c r="F2" s="44" t="s">
        <v>0</v>
      </c>
      <c r="G2" s="90" t="s">
        <v>3</v>
      </c>
      <c r="N2" s="40" t="s">
        <v>131</v>
      </c>
      <c r="Q2" t="s">
        <v>365</v>
      </c>
      <c r="T2" s="40" t="s">
        <v>169</v>
      </c>
      <c r="W2" t="s">
        <v>346</v>
      </c>
    </row>
    <row r="3" spans="1:25" x14ac:dyDescent="0.35">
      <c r="A3" s="5">
        <v>1</v>
      </c>
      <c r="B3" t="s">
        <v>180</v>
      </c>
      <c r="C3" s="5">
        <v>4</v>
      </c>
      <c r="D3" t="s">
        <v>28</v>
      </c>
      <c r="E3" s="80">
        <f>VLOOKUP(D3,'Bu Erta'!$C$2:$E$66,3,0)</f>
        <v>1200</v>
      </c>
      <c r="F3">
        <f>3.5+5.1</f>
        <v>8.6</v>
      </c>
      <c r="G3" s="80">
        <f>E3*F3</f>
        <v>10320</v>
      </c>
      <c r="H3" s="80">
        <f>VLOOKUP(D3,'Bu Erta'!$C$2:$F$66,4,0)*F3</f>
        <v>11180</v>
      </c>
      <c r="N3" s="56" t="s">
        <v>8</v>
      </c>
      <c r="O3" s="44" t="s">
        <v>128</v>
      </c>
      <c r="P3" s="90" t="s">
        <v>1</v>
      </c>
      <c r="Q3" s="44" t="s">
        <v>0</v>
      </c>
      <c r="R3" s="90" t="s">
        <v>3</v>
      </c>
      <c r="T3" s="56" t="s">
        <v>8</v>
      </c>
      <c r="U3" s="44" t="s">
        <v>128</v>
      </c>
      <c r="V3" s="90" t="s">
        <v>1</v>
      </c>
      <c r="W3" s="44" t="s">
        <v>0</v>
      </c>
      <c r="X3" s="90" t="s">
        <v>3</v>
      </c>
    </row>
    <row r="4" spans="1:25" x14ac:dyDescent="0.35">
      <c r="B4" t="s">
        <v>180</v>
      </c>
      <c r="D4" t="s">
        <v>46</v>
      </c>
      <c r="E4" s="80">
        <f>VLOOKUP(D4,'Bu Erta'!$C$2:$E$66,3,0)</f>
        <v>1400</v>
      </c>
      <c r="F4">
        <v>1.8</v>
      </c>
      <c r="G4" s="80">
        <f t="shared" ref="G4:G67" si="0">E4*F4</f>
        <v>2520</v>
      </c>
      <c r="H4" s="80">
        <f>VLOOKUP(D4,'Bu Erta'!$C$2:$F$66,4,0)*F4</f>
        <v>2700</v>
      </c>
      <c r="J4" s="68" t="s">
        <v>170</v>
      </c>
      <c r="K4" t="s">
        <v>172</v>
      </c>
      <c r="L4" s="4" t="s">
        <v>82</v>
      </c>
      <c r="N4" s="44">
        <v>1</v>
      </c>
      <c r="O4" s="17" t="s">
        <v>13</v>
      </c>
      <c r="P4" s="93">
        <f>VLOOKUP(O4,'Bu Erta'!$C$2:$F$66,4,0)</f>
        <v>1500</v>
      </c>
      <c r="Q4" s="94">
        <f t="shared" ref="Q4:Q12" si="1">SUMIF($D$3:$D$332,O4,$F$3:$F$332)</f>
        <v>0</v>
      </c>
      <c r="R4" s="93">
        <f>P4*Q4</f>
        <v>0</v>
      </c>
      <c r="T4" s="44">
        <v>1</v>
      </c>
      <c r="U4" s="17" t="s">
        <v>13</v>
      </c>
      <c r="V4" s="93"/>
      <c r="W4" s="94"/>
      <c r="X4" s="93">
        <f>V4*W4</f>
        <v>0</v>
      </c>
    </row>
    <row r="5" spans="1:25" x14ac:dyDescent="0.35">
      <c r="B5" t="s">
        <v>180</v>
      </c>
      <c r="D5" t="s">
        <v>49</v>
      </c>
      <c r="E5" s="80">
        <f>VLOOKUP(D5,'Bu Erta'!$C$2:$E$66,3,0)</f>
        <v>800</v>
      </c>
      <c r="F5">
        <v>7</v>
      </c>
      <c r="G5" s="80">
        <f t="shared" si="0"/>
        <v>5600</v>
      </c>
      <c r="H5" s="80">
        <f>VLOOKUP(D5,'Bu Erta'!$C$2:$F$66,4,0)*F5</f>
        <v>6300</v>
      </c>
      <c r="J5" s="69" t="s">
        <v>358</v>
      </c>
      <c r="K5">
        <v>0</v>
      </c>
      <c r="L5" s="4">
        <v>1260</v>
      </c>
      <c r="N5" s="44">
        <v>2</v>
      </c>
      <c r="O5" s="17" t="s">
        <v>14</v>
      </c>
      <c r="P5" s="93">
        <f>VLOOKUP(O5,'Bu Erta'!$C$2:$F$66,4,0)</f>
        <v>100000</v>
      </c>
      <c r="Q5" s="94">
        <f t="shared" si="1"/>
        <v>0</v>
      </c>
      <c r="R5" s="93">
        <f t="shared" ref="R5:R67" si="2">P5*Q5</f>
        <v>0</v>
      </c>
      <c r="T5" s="44">
        <v>2</v>
      </c>
      <c r="U5" s="17" t="s">
        <v>14</v>
      </c>
      <c r="V5" s="93"/>
      <c r="W5" s="94"/>
      <c r="X5" s="93">
        <f t="shared" ref="X5:X67" si="3">V5*W5</f>
        <v>0</v>
      </c>
    </row>
    <row r="6" spans="1:25" x14ac:dyDescent="0.35">
      <c r="B6" t="s">
        <v>180</v>
      </c>
      <c r="D6" t="s">
        <v>42</v>
      </c>
      <c r="E6" s="80">
        <f>VLOOKUP(D6,'Bu Erta'!$C$2:$E$66,3,0)</f>
        <v>1000</v>
      </c>
      <c r="F6">
        <f>0.05+1.6</f>
        <v>1.6500000000000001</v>
      </c>
      <c r="G6" s="80">
        <f t="shared" si="0"/>
        <v>1650.0000000000002</v>
      </c>
      <c r="H6" s="80">
        <f>VLOOKUP(D6,'Bu Erta'!$C$2:$F$66,4,0)*F6</f>
        <v>1980.0000000000002</v>
      </c>
      <c r="J6" s="69" t="s">
        <v>360</v>
      </c>
      <c r="K6">
        <v>0</v>
      </c>
      <c r="L6" s="4">
        <v>99935</v>
      </c>
      <c r="N6" s="44">
        <v>3</v>
      </c>
      <c r="O6" s="17" t="s">
        <v>15</v>
      </c>
      <c r="P6" s="93">
        <f>VLOOKUP(O6,'Bu Erta'!$C$2:$F$66,4,0)</f>
        <v>40000</v>
      </c>
      <c r="Q6" s="94">
        <f t="shared" si="1"/>
        <v>0</v>
      </c>
      <c r="R6" s="93">
        <f t="shared" si="2"/>
        <v>0</v>
      </c>
      <c r="T6" s="44">
        <v>3</v>
      </c>
      <c r="U6" s="17" t="s">
        <v>15</v>
      </c>
      <c r="V6" s="93"/>
      <c r="W6" s="94"/>
      <c r="X6" s="93">
        <f t="shared" si="3"/>
        <v>0</v>
      </c>
    </row>
    <row r="7" spans="1:25" x14ac:dyDescent="0.35">
      <c r="B7" t="s">
        <v>180</v>
      </c>
      <c r="D7" t="s">
        <v>69</v>
      </c>
      <c r="E7" s="80">
        <f>VLOOKUP(D7,'Bu Erta'!$C$2:$E$66,3,0)</f>
        <v>2500</v>
      </c>
      <c r="F7">
        <v>0.15</v>
      </c>
      <c r="G7" s="80">
        <f t="shared" si="0"/>
        <v>375</v>
      </c>
      <c r="H7" s="80">
        <f>VLOOKUP(D7,'Bu Erta'!$C$2:$F$66,4,0)*F7</f>
        <v>450</v>
      </c>
      <c r="J7" s="69" t="s">
        <v>363</v>
      </c>
      <c r="L7" s="4"/>
      <c r="N7" s="44">
        <v>4</v>
      </c>
      <c r="O7" s="17" t="s">
        <v>16</v>
      </c>
      <c r="P7" s="93">
        <f>VLOOKUP(O7,'Bu Erta'!$C$2:$F$66,4,0)</f>
        <v>6500</v>
      </c>
      <c r="Q7" s="94">
        <f t="shared" si="1"/>
        <v>0</v>
      </c>
      <c r="R7" s="93">
        <f t="shared" si="2"/>
        <v>0</v>
      </c>
      <c r="T7" s="44">
        <v>4</v>
      </c>
      <c r="U7" s="17" t="s">
        <v>16</v>
      </c>
      <c r="V7" s="93"/>
      <c r="W7" s="94"/>
      <c r="X7" s="93">
        <f t="shared" si="3"/>
        <v>0</v>
      </c>
    </row>
    <row r="8" spans="1:25" x14ac:dyDescent="0.35">
      <c r="B8" t="s">
        <v>180</v>
      </c>
      <c r="D8" t="s">
        <v>23</v>
      </c>
      <c r="E8" s="80">
        <f>VLOOKUP(D8,'Bu Erta'!$C$2:$E$66,3,0)</f>
        <v>300</v>
      </c>
      <c r="F8">
        <v>0.45</v>
      </c>
      <c r="G8" s="80">
        <f t="shared" si="0"/>
        <v>135</v>
      </c>
      <c r="H8" s="80">
        <f>VLOOKUP(D8,'Bu Erta'!$C$2:$F$66,4,0)*F8</f>
        <v>180</v>
      </c>
      <c r="J8" s="69" t="s">
        <v>138</v>
      </c>
      <c r="K8">
        <v>1</v>
      </c>
      <c r="L8" s="4">
        <v>17270</v>
      </c>
      <c r="N8" s="44">
        <v>5</v>
      </c>
      <c r="O8" s="17" t="s">
        <v>17</v>
      </c>
      <c r="P8" s="93">
        <f>VLOOKUP(O8,'Bu Erta'!$C$2:$F$66,4,0)</f>
        <v>8500</v>
      </c>
      <c r="Q8" s="94">
        <f t="shared" si="1"/>
        <v>0</v>
      </c>
      <c r="R8" s="93">
        <f t="shared" si="2"/>
        <v>0</v>
      </c>
      <c r="T8" s="44">
        <v>5</v>
      </c>
      <c r="U8" s="17" t="s">
        <v>17</v>
      </c>
      <c r="V8" s="93"/>
      <c r="W8" s="94"/>
      <c r="X8" s="93">
        <f t="shared" si="3"/>
        <v>0</v>
      </c>
    </row>
    <row r="9" spans="1:25" x14ac:dyDescent="0.35">
      <c r="B9" t="s">
        <v>180</v>
      </c>
      <c r="D9" t="s">
        <v>27</v>
      </c>
      <c r="E9" s="80">
        <f>VLOOKUP(D9,'Bu Erta'!$C$2:$E$66,3,0)</f>
        <v>2800</v>
      </c>
      <c r="F9">
        <v>0.4</v>
      </c>
      <c r="G9" s="80">
        <f t="shared" si="0"/>
        <v>1120</v>
      </c>
      <c r="H9" s="80">
        <f>VLOOKUP(D9,'Bu Erta'!$C$2:$F$66,4,0)*F9</f>
        <v>1240</v>
      </c>
      <c r="J9" s="69" t="s">
        <v>359</v>
      </c>
      <c r="K9">
        <v>1</v>
      </c>
      <c r="L9" s="4">
        <v>9497.5</v>
      </c>
      <c r="N9" s="44">
        <v>6</v>
      </c>
      <c r="O9" s="17" t="s">
        <v>18</v>
      </c>
      <c r="P9" s="93">
        <f>VLOOKUP(O9,'Bu Erta'!$C$2:$F$66,4,0)</f>
        <v>4000</v>
      </c>
      <c r="Q9" s="94">
        <f t="shared" si="1"/>
        <v>0</v>
      </c>
      <c r="R9" s="93">
        <f t="shared" si="2"/>
        <v>0</v>
      </c>
      <c r="T9" s="44">
        <v>6</v>
      </c>
      <c r="U9" s="17" t="s">
        <v>18</v>
      </c>
      <c r="V9" s="93"/>
      <c r="W9" s="94"/>
      <c r="X9" s="93">
        <f t="shared" si="3"/>
        <v>0</v>
      </c>
    </row>
    <row r="10" spans="1:25" x14ac:dyDescent="0.35">
      <c r="B10" t="s">
        <v>180</v>
      </c>
      <c r="D10" t="s">
        <v>7</v>
      </c>
      <c r="E10" s="80">
        <f>VLOOKUP(D10,'Bu Erta'!$C$2:$E$66,3,0)</f>
        <v>1400</v>
      </c>
      <c r="F10">
        <v>0.1</v>
      </c>
      <c r="G10" s="80">
        <f t="shared" si="0"/>
        <v>140</v>
      </c>
      <c r="H10" s="80">
        <f>VLOOKUP(D10,'Bu Erta'!$C$2:$F$66,4,0)*F10</f>
        <v>160</v>
      </c>
      <c r="J10" s="69" t="s">
        <v>139</v>
      </c>
      <c r="K10">
        <v>1</v>
      </c>
      <c r="L10" s="4">
        <v>5145</v>
      </c>
      <c r="N10" s="44">
        <v>7</v>
      </c>
      <c r="O10" s="17" t="s">
        <v>19</v>
      </c>
      <c r="P10" s="93">
        <f>VLOOKUP(O10,'Bu Erta'!$C$2:$F$66,4,0)</f>
        <v>300</v>
      </c>
      <c r="Q10" s="94">
        <f t="shared" si="1"/>
        <v>24.9</v>
      </c>
      <c r="R10" s="93">
        <f t="shared" si="2"/>
        <v>7470</v>
      </c>
      <c r="T10" s="44">
        <v>7</v>
      </c>
      <c r="U10" s="17" t="s">
        <v>19</v>
      </c>
      <c r="V10" s="93"/>
      <c r="W10" s="94"/>
      <c r="X10" s="93">
        <f t="shared" si="3"/>
        <v>0</v>
      </c>
    </row>
    <row r="11" spans="1:25" x14ac:dyDescent="0.35">
      <c r="B11" t="s">
        <v>180</v>
      </c>
      <c r="D11" t="s">
        <v>19</v>
      </c>
      <c r="E11" s="80">
        <f>VLOOKUP(D11,'Bu Erta'!$C$2:$E$66,3,0)</f>
        <v>200</v>
      </c>
      <c r="F11">
        <v>0.05</v>
      </c>
      <c r="G11" s="80">
        <f t="shared" si="0"/>
        <v>10</v>
      </c>
      <c r="H11" s="80">
        <f>VLOOKUP(D11,'Bu Erta'!$C$2:$F$66,4,0)*F11</f>
        <v>15</v>
      </c>
      <c r="J11" s="69" t="s">
        <v>327</v>
      </c>
      <c r="K11">
        <v>1</v>
      </c>
      <c r="L11" s="4">
        <v>6072.5</v>
      </c>
      <c r="N11" s="44">
        <v>8</v>
      </c>
      <c r="O11" s="17" t="s">
        <v>20</v>
      </c>
      <c r="P11" s="93">
        <f>VLOOKUP(O11,'Bu Erta'!$C$2:$F$66,4,0)</f>
        <v>8000</v>
      </c>
      <c r="Q11" s="94">
        <f t="shared" si="1"/>
        <v>0</v>
      </c>
      <c r="R11" s="93">
        <f t="shared" si="2"/>
        <v>0</v>
      </c>
      <c r="T11" s="44">
        <v>8</v>
      </c>
      <c r="U11" s="17" t="s">
        <v>20</v>
      </c>
      <c r="V11" s="93"/>
      <c r="W11" s="94"/>
      <c r="X11" s="93">
        <f t="shared" si="3"/>
        <v>0</v>
      </c>
    </row>
    <row r="12" spans="1:25" x14ac:dyDescent="0.35">
      <c r="B12" t="s">
        <v>180</v>
      </c>
      <c r="D12" t="s">
        <v>88</v>
      </c>
      <c r="E12" s="80">
        <f>VLOOKUP(D12,'Bu Erta'!$C$2:$E$66,3,0)</f>
        <v>300</v>
      </c>
      <c r="F12">
        <v>0.05</v>
      </c>
      <c r="G12" s="80">
        <f t="shared" si="0"/>
        <v>15</v>
      </c>
      <c r="H12" s="80">
        <f>VLOOKUP(D12,'Bu Erta'!$C$2:$F$66,4,0)*F12</f>
        <v>20</v>
      </c>
      <c r="J12" s="69" t="s">
        <v>217</v>
      </c>
      <c r="K12">
        <v>1</v>
      </c>
      <c r="L12" s="4">
        <v>32960</v>
      </c>
      <c r="N12" s="44">
        <v>9</v>
      </c>
      <c r="O12" s="17" t="s">
        <v>21</v>
      </c>
      <c r="P12" s="93">
        <f>VLOOKUP(O12,'Bu Erta'!$C$2:$F$66,4,0)</f>
        <v>200</v>
      </c>
      <c r="Q12" s="94">
        <f t="shared" si="1"/>
        <v>0</v>
      </c>
      <c r="R12" s="93">
        <f t="shared" si="2"/>
        <v>0</v>
      </c>
      <c r="T12" s="44">
        <v>9</v>
      </c>
      <c r="U12" s="17" t="s">
        <v>21</v>
      </c>
      <c r="V12" s="93"/>
      <c r="W12" s="94"/>
      <c r="X12" s="93">
        <f t="shared" si="3"/>
        <v>0</v>
      </c>
    </row>
    <row r="13" spans="1:25" x14ac:dyDescent="0.35">
      <c r="B13" t="s">
        <v>180</v>
      </c>
      <c r="D13" t="s">
        <v>40</v>
      </c>
      <c r="E13" s="80">
        <f>VLOOKUP(D13,'Bu Erta'!$C$2:$E$66,3,0)</f>
        <v>1800</v>
      </c>
      <c r="F13">
        <v>1.95</v>
      </c>
      <c r="G13" s="80">
        <f t="shared" si="0"/>
        <v>3510</v>
      </c>
      <c r="H13" s="80">
        <f>VLOOKUP(D13,'Bu Erta'!$C$2:$F$66,4,0)*F13</f>
        <v>3900</v>
      </c>
      <c r="J13" s="69" t="s">
        <v>197</v>
      </c>
      <c r="K13">
        <v>1</v>
      </c>
      <c r="L13" s="4">
        <v>3050</v>
      </c>
      <c r="N13" s="44">
        <v>10</v>
      </c>
      <c r="O13" s="17" t="s">
        <v>22</v>
      </c>
      <c r="P13" s="93">
        <f>VLOOKUP(O13,'Bu Erta'!$C$2:$F$66,4,0)</f>
        <v>3000</v>
      </c>
      <c r="Q13" s="94">
        <f>SUMIF($D$3:$D$332,O13,$F$3:$F$332)-17.4</f>
        <v>0</v>
      </c>
      <c r="R13" s="93">
        <f t="shared" si="2"/>
        <v>0</v>
      </c>
      <c r="T13" s="44">
        <v>10</v>
      </c>
      <c r="U13" s="17" t="s">
        <v>22</v>
      </c>
      <c r="V13" s="93"/>
      <c r="W13" s="58">
        <v>17.399999999999999</v>
      </c>
      <c r="X13" s="93">
        <v>54000</v>
      </c>
    </row>
    <row r="14" spans="1:25" x14ac:dyDescent="0.35">
      <c r="A14" s="5">
        <v>2</v>
      </c>
      <c r="B14" t="s">
        <v>250</v>
      </c>
      <c r="C14" s="5">
        <v>4</v>
      </c>
      <c r="D14" t="s">
        <v>7</v>
      </c>
      <c r="E14" s="80">
        <f>VLOOKUP(D14,'Bu Erta'!$C$2:$E$66,3,0)</f>
        <v>1400</v>
      </c>
      <c r="F14">
        <v>0.5</v>
      </c>
      <c r="G14" s="80">
        <f t="shared" si="0"/>
        <v>700</v>
      </c>
      <c r="H14" s="80">
        <f>VLOOKUP(D14,'Bu Erta'!$C$2:$F$66,4,0)*F14</f>
        <v>800</v>
      </c>
      <c r="J14" s="69" t="s">
        <v>78</v>
      </c>
      <c r="K14">
        <v>2</v>
      </c>
      <c r="L14" s="4">
        <v>13200</v>
      </c>
      <c r="N14" s="44">
        <v>11</v>
      </c>
      <c r="O14" s="17" t="s">
        <v>23</v>
      </c>
      <c r="P14" s="93">
        <f>VLOOKUP(O14,'Bu Erta'!$C$2:$F$66,4,0)</f>
        <v>400</v>
      </c>
      <c r="Q14" s="94">
        <f>SUMIF($D$3:$D$332,O14,$F$3:$F$332)</f>
        <v>49.699999999999989</v>
      </c>
      <c r="R14" s="93">
        <f t="shared" si="2"/>
        <v>19879.999999999996</v>
      </c>
      <c r="T14" s="44">
        <v>11</v>
      </c>
      <c r="U14" s="17" t="s">
        <v>23</v>
      </c>
      <c r="V14" s="93"/>
      <c r="W14" s="94"/>
      <c r="X14" s="93">
        <f t="shared" si="3"/>
        <v>0</v>
      </c>
    </row>
    <row r="15" spans="1:25" x14ac:dyDescent="0.35">
      <c r="B15" t="s">
        <v>250</v>
      </c>
      <c r="D15" t="s">
        <v>70</v>
      </c>
      <c r="E15" s="80">
        <f>VLOOKUP(D15,'Bu Erta'!$C$2:$E$66,3,0)</f>
        <v>3500</v>
      </c>
      <c r="F15">
        <v>0.05</v>
      </c>
      <c r="G15" s="80">
        <f t="shared" si="0"/>
        <v>175</v>
      </c>
      <c r="H15" s="80">
        <f>VLOOKUP(D15,'Bu Erta'!$C$2:$F$66,4,0)*F15</f>
        <v>200</v>
      </c>
      <c r="J15" s="69" t="s">
        <v>108</v>
      </c>
      <c r="K15">
        <v>2</v>
      </c>
      <c r="L15" s="4">
        <v>2642.5</v>
      </c>
      <c r="N15" s="44">
        <v>12</v>
      </c>
      <c r="O15" s="17" t="s">
        <v>25</v>
      </c>
      <c r="P15" s="93">
        <f>VLOOKUP(O15,'Bu Erta'!$C$2:$F$66,4,0)</f>
        <v>1700</v>
      </c>
      <c r="Q15" s="94">
        <f>SUMIF($D$3:$D$332,O15,$F$3:$F$332)-5</f>
        <v>1.5999999999999996</v>
      </c>
      <c r="R15" s="93">
        <f t="shared" si="2"/>
        <v>2719.9999999999995</v>
      </c>
      <c r="T15" s="44">
        <v>12</v>
      </c>
      <c r="U15" s="17" t="s">
        <v>25</v>
      </c>
      <c r="V15" s="93"/>
      <c r="W15" s="94">
        <v>5</v>
      </c>
      <c r="X15" s="93">
        <f t="shared" si="3"/>
        <v>0</v>
      </c>
      <c r="Y15" t="s">
        <v>364</v>
      </c>
    </row>
    <row r="16" spans="1:25" x14ac:dyDescent="0.35">
      <c r="B16" t="s">
        <v>250</v>
      </c>
      <c r="D16" t="s">
        <v>88</v>
      </c>
      <c r="E16" s="80">
        <f>VLOOKUP(D16,'Bu Erta'!$C$2:$E$66,3,0)</f>
        <v>300</v>
      </c>
      <c r="F16">
        <f>1.75+0.35</f>
        <v>2.1</v>
      </c>
      <c r="G16" s="80">
        <f t="shared" si="0"/>
        <v>630</v>
      </c>
      <c r="H16" s="80">
        <f>VLOOKUP(D16,'Bu Erta'!$C$2:$F$66,4,0)*F16</f>
        <v>840</v>
      </c>
      <c r="J16" s="69" t="s">
        <v>181</v>
      </c>
      <c r="K16">
        <v>2</v>
      </c>
      <c r="L16" s="4">
        <v>4760</v>
      </c>
      <c r="N16" s="44">
        <v>13</v>
      </c>
      <c r="O16" s="17" t="s">
        <v>24</v>
      </c>
      <c r="P16" s="93">
        <f>VLOOKUP(O16,'Bu Erta'!$C$2:$F$66,4,0)</f>
        <v>200</v>
      </c>
      <c r="Q16" s="94">
        <f>SUMIF($D$3:$D$332,O16,$F$3:$F$332)</f>
        <v>12.549999999999999</v>
      </c>
      <c r="R16" s="93">
        <f t="shared" si="2"/>
        <v>2510</v>
      </c>
      <c r="T16" s="44">
        <v>13</v>
      </c>
      <c r="U16" s="17" t="s">
        <v>24</v>
      </c>
      <c r="V16" s="93"/>
      <c r="W16" s="94"/>
      <c r="X16" s="93">
        <f t="shared" si="3"/>
        <v>0</v>
      </c>
    </row>
    <row r="17" spans="1:24" x14ac:dyDescent="0.35">
      <c r="A17" s="5">
        <v>3</v>
      </c>
      <c r="B17" t="s">
        <v>86</v>
      </c>
      <c r="C17" s="5">
        <v>4</v>
      </c>
      <c r="D17" t="s">
        <v>31</v>
      </c>
      <c r="E17" s="80">
        <f>VLOOKUP(D17,'Bu Erta'!$C$2:$E$66,3,0)</f>
        <v>1000</v>
      </c>
      <c r="F17">
        <f>1+2.6</f>
        <v>3.6</v>
      </c>
      <c r="G17" s="80">
        <f t="shared" si="0"/>
        <v>3600</v>
      </c>
      <c r="H17" s="80">
        <f>VLOOKUP(D17,'Bu Erta'!$C$2:$F$66,4,0)*F17</f>
        <v>3960</v>
      </c>
      <c r="J17" s="69" t="s">
        <v>127</v>
      </c>
      <c r="K17">
        <v>2</v>
      </c>
      <c r="L17" s="4">
        <v>23787.5</v>
      </c>
      <c r="N17" s="44">
        <v>14</v>
      </c>
      <c r="O17" s="17" t="s">
        <v>26</v>
      </c>
      <c r="P17" s="93">
        <f>VLOOKUP(O17,'Bu Erta'!$C$2:$F$66,4,0)</f>
        <v>1000</v>
      </c>
      <c r="Q17" s="94">
        <f>SUMIF($D$3:$D$332,O17,$F$3:$F$332)</f>
        <v>0</v>
      </c>
      <c r="R17" s="93">
        <f t="shared" si="2"/>
        <v>0</v>
      </c>
      <c r="T17" s="44">
        <v>14</v>
      </c>
      <c r="U17" s="17" t="s">
        <v>26</v>
      </c>
      <c r="V17" s="93"/>
      <c r="W17" s="94"/>
      <c r="X17" s="93">
        <f t="shared" si="3"/>
        <v>0</v>
      </c>
    </row>
    <row r="18" spans="1:24" x14ac:dyDescent="0.35">
      <c r="B18" t="s">
        <v>86</v>
      </c>
      <c r="D18" t="s">
        <v>19</v>
      </c>
      <c r="E18" s="80">
        <f>VLOOKUP(D18,'Bu Erta'!$C$2:$E$66,3,0)</f>
        <v>200</v>
      </c>
      <c r="F18">
        <v>0.45</v>
      </c>
      <c r="G18" s="80">
        <f t="shared" si="0"/>
        <v>90</v>
      </c>
      <c r="H18" s="80">
        <f>VLOOKUP(D18,'Bu Erta'!$C$2:$F$66,4,0)*F18</f>
        <v>135</v>
      </c>
      <c r="J18" s="69" t="s">
        <v>116</v>
      </c>
      <c r="K18">
        <v>2</v>
      </c>
      <c r="L18" s="4">
        <v>9472.5</v>
      </c>
      <c r="N18" s="44">
        <v>15</v>
      </c>
      <c r="O18" s="17" t="s">
        <v>27</v>
      </c>
      <c r="P18" s="93">
        <f>VLOOKUP(O18,'Bu Erta'!$C$2:$F$66,4,0)</f>
        <v>3100</v>
      </c>
      <c r="Q18" s="94">
        <f>SUMIF($D$3:$D$332,O18,$F$3:$F$332)+0.2</f>
        <v>30.85</v>
      </c>
      <c r="R18" s="93">
        <f t="shared" si="2"/>
        <v>95635</v>
      </c>
      <c r="T18" s="44">
        <v>15</v>
      </c>
      <c r="U18" s="17" t="s">
        <v>27</v>
      </c>
      <c r="V18" s="93"/>
      <c r="W18" s="94"/>
      <c r="X18" s="93">
        <f t="shared" si="3"/>
        <v>0</v>
      </c>
    </row>
    <row r="19" spans="1:24" x14ac:dyDescent="0.35">
      <c r="B19" t="s">
        <v>86</v>
      </c>
      <c r="D19" t="s">
        <v>25</v>
      </c>
      <c r="E19" s="80">
        <f>VLOOKUP(D19,'Bu Erta'!$C$2:$E$66,3,0)</f>
        <v>1600</v>
      </c>
      <c r="F19">
        <v>0.05</v>
      </c>
      <c r="G19" s="80">
        <f t="shared" si="0"/>
        <v>80</v>
      </c>
      <c r="H19" s="80">
        <f>VLOOKUP(D19,'Bu Erta'!$C$2:$F$66,4,0)*F19</f>
        <v>85</v>
      </c>
      <c r="J19" s="69" t="s">
        <v>5</v>
      </c>
      <c r="K19">
        <v>2</v>
      </c>
      <c r="L19" s="4">
        <v>7760</v>
      </c>
      <c r="N19" s="44">
        <v>16</v>
      </c>
      <c r="O19" s="17" t="s">
        <v>28</v>
      </c>
      <c r="P19" s="93">
        <f>VLOOKUP(O19,'Bu Erta'!$C$2:$F$66,4,0)</f>
        <v>1300</v>
      </c>
      <c r="Q19" s="94">
        <f t="shared" ref="Q19:Q40" si="4">SUMIF($D$3:$D$332,O19,$F$3:$F$332)</f>
        <v>69.3</v>
      </c>
      <c r="R19" s="93">
        <f t="shared" si="2"/>
        <v>90090</v>
      </c>
      <c r="T19" s="44">
        <v>16</v>
      </c>
      <c r="U19" s="17" t="s">
        <v>28</v>
      </c>
      <c r="V19" s="93"/>
      <c r="W19" s="94"/>
      <c r="X19" s="93">
        <f t="shared" si="3"/>
        <v>0</v>
      </c>
    </row>
    <row r="20" spans="1:24" x14ac:dyDescent="0.35">
      <c r="B20" t="s">
        <v>86</v>
      </c>
      <c r="D20" t="s">
        <v>88</v>
      </c>
      <c r="E20" s="80">
        <f>VLOOKUP(D20,'Bu Erta'!$C$2:$E$66,3,0)</f>
        <v>300</v>
      </c>
      <c r="F20">
        <v>0.35</v>
      </c>
      <c r="G20" s="80">
        <f t="shared" si="0"/>
        <v>105</v>
      </c>
      <c r="H20" s="80">
        <f>VLOOKUP(D20,'Bu Erta'!$C$2:$F$66,4,0)*F20</f>
        <v>140</v>
      </c>
      <c r="J20" s="69" t="s">
        <v>147</v>
      </c>
      <c r="K20">
        <v>3</v>
      </c>
      <c r="L20" s="4">
        <v>4970</v>
      </c>
      <c r="N20" s="44">
        <v>17</v>
      </c>
      <c r="O20" s="17" t="s">
        <v>29</v>
      </c>
      <c r="P20" s="93">
        <f>VLOOKUP(O20,'Bu Erta'!$C$2:$F$66,4,0)</f>
        <v>6000</v>
      </c>
      <c r="Q20" s="94">
        <f t="shared" si="4"/>
        <v>0</v>
      </c>
      <c r="R20" s="93">
        <f t="shared" si="2"/>
        <v>0</v>
      </c>
      <c r="T20" s="44">
        <v>17</v>
      </c>
      <c r="U20" s="17" t="s">
        <v>29</v>
      </c>
      <c r="V20" s="93"/>
      <c r="W20" s="94"/>
      <c r="X20" s="93">
        <f t="shared" si="3"/>
        <v>0</v>
      </c>
    </row>
    <row r="21" spans="1:24" x14ac:dyDescent="0.35">
      <c r="B21" t="s">
        <v>86</v>
      </c>
      <c r="D21" t="s">
        <v>7</v>
      </c>
      <c r="E21" s="80">
        <f>VLOOKUP(D21,'Bu Erta'!$C$2:$E$66,3,0)</f>
        <v>1400</v>
      </c>
      <c r="F21">
        <v>1.55</v>
      </c>
      <c r="G21" s="80">
        <f t="shared" si="0"/>
        <v>2170</v>
      </c>
      <c r="H21" s="80">
        <f>VLOOKUP(D21,'Bu Erta'!$C$2:$F$66,4,0)*F21</f>
        <v>2480</v>
      </c>
      <c r="J21" s="69" t="s">
        <v>76</v>
      </c>
      <c r="K21">
        <v>3</v>
      </c>
      <c r="L21" s="4">
        <v>10145</v>
      </c>
      <c r="N21" s="44">
        <v>18</v>
      </c>
      <c r="O21" s="17" t="s">
        <v>30</v>
      </c>
      <c r="P21" s="93">
        <f>VLOOKUP(O21,'Bu Erta'!$C$2:$F$66,4,0)</f>
        <v>15000</v>
      </c>
      <c r="Q21" s="94">
        <f t="shared" si="4"/>
        <v>0</v>
      </c>
      <c r="R21" s="93">
        <f t="shared" si="2"/>
        <v>0</v>
      </c>
      <c r="T21" s="44">
        <v>18</v>
      </c>
      <c r="U21" s="17" t="s">
        <v>30</v>
      </c>
      <c r="V21" s="93"/>
      <c r="W21" s="94"/>
      <c r="X21" s="93">
        <f t="shared" si="3"/>
        <v>0</v>
      </c>
    </row>
    <row r="22" spans="1:24" x14ac:dyDescent="0.35">
      <c r="B22" t="s">
        <v>86</v>
      </c>
      <c r="D22" t="s">
        <v>22</v>
      </c>
      <c r="E22" s="80">
        <f>VLOOKUP(D22,'Bu Erta'!$C$2:$E$66,3,0)</f>
        <v>2500</v>
      </c>
      <c r="F22">
        <v>1.5</v>
      </c>
      <c r="G22" s="80">
        <f t="shared" si="0"/>
        <v>3750</v>
      </c>
      <c r="H22" s="80">
        <f>VLOOKUP(D22,'Bu Erta'!$C$2:$F$66,4,0)*F22</f>
        <v>4500</v>
      </c>
      <c r="J22" s="69" t="s">
        <v>178</v>
      </c>
      <c r="K22">
        <v>3</v>
      </c>
      <c r="L22" s="4">
        <v>11955</v>
      </c>
      <c r="N22" s="44">
        <v>19</v>
      </c>
      <c r="O22" s="17" t="s">
        <v>7</v>
      </c>
      <c r="P22" s="93">
        <f>VLOOKUP(O22,'Bu Erta'!$C$2:$F$66,4,0)</f>
        <v>1600</v>
      </c>
      <c r="Q22" s="94">
        <f t="shared" si="4"/>
        <v>45.70000000000001</v>
      </c>
      <c r="R22" s="93">
        <f t="shared" si="2"/>
        <v>73120.000000000015</v>
      </c>
      <c r="T22" s="44">
        <v>19</v>
      </c>
      <c r="U22" s="17" t="s">
        <v>7</v>
      </c>
      <c r="V22" s="93"/>
      <c r="W22" s="94"/>
      <c r="X22" s="93">
        <f t="shared" si="3"/>
        <v>0</v>
      </c>
    </row>
    <row r="23" spans="1:24" x14ac:dyDescent="0.35">
      <c r="B23" t="s">
        <v>86</v>
      </c>
      <c r="D23" t="s">
        <v>42</v>
      </c>
      <c r="E23" s="80">
        <f>VLOOKUP(D23,'Bu Erta'!$C$2:$E$66,3,0)</f>
        <v>1000</v>
      </c>
      <c r="F23">
        <v>0.05</v>
      </c>
      <c r="G23" s="80">
        <f t="shared" si="0"/>
        <v>50</v>
      </c>
      <c r="H23" s="80">
        <f>VLOOKUP(D23,'Bu Erta'!$C$2:$F$66,4,0)*F23</f>
        <v>60</v>
      </c>
      <c r="J23" s="69" t="s">
        <v>259</v>
      </c>
      <c r="K23">
        <v>3</v>
      </c>
      <c r="L23" s="4">
        <v>7447.5</v>
      </c>
      <c r="N23" s="44">
        <v>20</v>
      </c>
      <c r="O23" s="17" t="s">
        <v>31</v>
      </c>
      <c r="P23" s="93">
        <f>VLOOKUP(O23,'Bu Erta'!$C$2:$F$66,4,0)</f>
        <v>1100</v>
      </c>
      <c r="Q23" s="94">
        <f t="shared" si="4"/>
        <v>45.53</v>
      </c>
      <c r="R23" s="93">
        <f t="shared" si="2"/>
        <v>50083</v>
      </c>
      <c r="T23" s="44">
        <v>20</v>
      </c>
      <c r="U23" s="17" t="s">
        <v>31</v>
      </c>
      <c r="V23" s="93"/>
      <c r="W23" s="94"/>
      <c r="X23" s="93">
        <f t="shared" si="3"/>
        <v>0</v>
      </c>
    </row>
    <row r="24" spans="1:24" x14ac:dyDescent="0.35">
      <c r="A24" s="5">
        <v>4</v>
      </c>
      <c r="B24" t="s">
        <v>136</v>
      </c>
      <c r="C24" s="5">
        <v>4</v>
      </c>
      <c r="D24" t="s">
        <v>69</v>
      </c>
      <c r="E24" s="80">
        <f>VLOOKUP(D24,'Bu Erta'!$C$2:$E$66,3,0)</f>
        <v>2500</v>
      </c>
      <c r="F24">
        <v>0.2</v>
      </c>
      <c r="G24" s="80">
        <f t="shared" si="0"/>
        <v>500</v>
      </c>
      <c r="H24" s="80">
        <f>VLOOKUP(D24,'Bu Erta'!$C$2:$F$66,4,0)*F24</f>
        <v>600</v>
      </c>
      <c r="J24" s="69" t="s">
        <v>105</v>
      </c>
      <c r="K24">
        <v>4</v>
      </c>
      <c r="L24" s="4">
        <v>3872.5</v>
      </c>
      <c r="N24" s="44">
        <v>21</v>
      </c>
      <c r="O24" s="17" t="s">
        <v>32</v>
      </c>
      <c r="P24" s="93">
        <f>VLOOKUP(O24,'Bu Erta'!$C$2:$F$66,4,0)</f>
        <v>5000</v>
      </c>
      <c r="Q24" s="94">
        <f t="shared" si="4"/>
        <v>0</v>
      </c>
      <c r="R24" s="93">
        <f t="shared" si="2"/>
        <v>0</v>
      </c>
      <c r="T24" s="44">
        <v>21</v>
      </c>
      <c r="U24" s="17" t="s">
        <v>32</v>
      </c>
      <c r="V24" s="93"/>
      <c r="W24" s="94"/>
      <c r="X24" s="93">
        <f t="shared" si="3"/>
        <v>0</v>
      </c>
    </row>
    <row r="25" spans="1:24" x14ac:dyDescent="0.35">
      <c r="B25" t="s">
        <v>136</v>
      </c>
      <c r="D25" t="s">
        <v>19</v>
      </c>
      <c r="E25" s="80">
        <f>VLOOKUP(D25,'Bu Erta'!$C$2:$E$66,3,0)</f>
        <v>200</v>
      </c>
      <c r="F25">
        <f>0.4+1.3</f>
        <v>1.7000000000000002</v>
      </c>
      <c r="G25" s="80">
        <f t="shared" si="0"/>
        <v>340.00000000000006</v>
      </c>
      <c r="H25" s="80">
        <f>VLOOKUP(D25,'Bu Erta'!$C$2:$F$66,4,0)*F25</f>
        <v>510.00000000000006</v>
      </c>
      <c r="J25" s="69" t="s">
        <v>86</v>
      </c>
      <c r="K25">
        <v>4</v>
      </c>
      <c r="L25" s="4">
        <v>9845</v>
      </c>
      <c r="N25" s="44">
        <v>22</v>
      </c>
      <c r="O25" s="17" t="s">
        <v>33</v>
      </c>
      <c r="P25" s="93">
        <f>VLOOKUP(O25,'Bu Erta'!$C$2:$F$66,4,0)</f>
        <v>1400</v>
      </c>
      <c r="Q25" s="94">
        <f t="shared" si="4"/>
        <v>0</v>
      </c>
      <c r="R25" s="93">
        <f t="shared" si="2"/>
        <v>0</v>
      </c>
      <c r="T25" s="44">
        <v>22</v>
      </c>
      <c r="U25" s="17" t="s">
        <v>33</v>
      </c>
      <c r="V25" s="93"/>
      <c r="W25" s="94"/>
      <c r="X25" s="93">
        <f t="shared" si="3"/>
        <v>0</v>
      </c>
    </row>
    <row r="26" spans="1:24" x14ac:dyDescent="0.35">
      <c r="B26" t="s">
        <v>136</v>
      </c>
      <c r="D26" t="s">
        <v>27</v>
      </c>
      <c r="E26" s="80">
        <f>VLOOKUP(D26,'Bu Erta'!$C$2:$E$66,3,0)</f>
        <v>2800</v>
      </c>
      <c r="F26">
        <f>1.3+0.2</f>
        <v>1.5</v>
      </c>
      <c r="G26" s="80">
        <f t="shared" si="0"/>
        <v>4200</v>
      </c>
      <c r="H26" s="80">
        <f>VLOOKUP(D26,'Bu Erta'!$C$2:$F$66,4,0)*F26</f>
        <v>4650</v>
      </c>
      <c r="J26" s="69" t="s">
        <v>97</v>
      </c>
      <c r="K26">
        <v>4</v>
      </c>
      <c r="L26" s="4">
        <v>6650</v>
      </c>
      <c r="N26" s="44">
        <v>23</v>
      </c>
      <c r="O26" s="17" t="s">
        <v>34</v>
      </c>
      <c r="P26" s="93">
        <f>VLOOKUP(O26,'Bu Erta'!$C$2:$F$66,4,0)</f>
        <v>3600</v>
      </c>
      <c r="Q26" s="94">
        <f t="shared" si="4"/>
        <v>1.1000000000000001</v>
      </c>
      <c r="R26" s="93">
        <f t="shared" si="2"/>
        <v>3960.0000000000005</v>
      </c>
      <c r="T26" s="44">
        <v>23</v>
      </c>
      <c r="U26" s="17" t="s">
        <v>34</v>
      </c>
      <c r="V26" s="93"/>
      <c r="W26" s="94"/>
      <c r="X26" s="93">
        <f t="shared" si="3"/>
        <v>0</v>
      </c>
    </row>
    <row r="27" spans="1:24" x14ac:dyDescent="0.35">
      <c r="B27" t="s">
        <v>136</v>
      </c>
      <c r="D27" t="s">
        <v>7</v>
      </c>
      <c r="E27" s="80">
        <f>VLOOKUP(D27,'Bu Erta'!$C$2:$E$66,3,0)</f>
        <v>1400</v>
      </c>
      <c r="F27">
        <f>2.3+1.75</f>
        <v>4.05</v>
      </c>
      <c r="G27" s="80">
        <f t="shared" si="0"/>
        <v>5670</v>
      </c>
      <c r="H27" s="80">
        <f>VLOOKUP(D27,'Bu Erta'!$C$2:$F$66,4,0)*F27</f>
        <v>6480</v>
      </c>
      <c r="J27" s="69" t="s">
        <v>133</v>
      </c>
      <c r="K27">
        <v>4</v>
      </c>
      <c r="L27" s="4">
        <v>13035</v>
      </c>
      <c r="N27" s="44">
        <v>24</v>
      </c>
      <c r="O27" s="17" t="s">
        <v>35</v>
      </c>
      <c r="P27" s="93">
        <f>VLOOKUP(O27,'Bu Erta'!$C$2:$F$66,4,0)</f>
        <v>2000</v>
      </c>
      <c r="Q27" s="94">
        <f t="shared" si="4"/>
        <v>0</v>
      </c>
      <c r="R27" s="93">
        <f t="shared" si="2"/>
        <v>0</v>
      </c>
      <c r="T27" s="44">
        <v>24</v>
      </c>
      <c r="U27" s="17" t="s">
        <v>35</v>
      </c>
      <c r="V27" s="93"/>
      <c r="W27" s="94"/>
      <c r="X27" s="93">
        <f t="shared" si="3"/>
        <v>0</v>
      </c>
    </row>
    <row r="28" spans="1:24" x14ac:dyDescent="0.35">
      <c r="B28" t="s">
        <v>136</v>
      </c>
      <c r="D28" t="s">
        <v>37</v>
      </c>
      <c r="E28" s="80">
        <f>VLOOKUP(D28,'Bu Erta'!$C$2:$E$66,3,0)</f>
        <v>1600</v>
      </c>
      <c r="F28">
        <v>0.55000000000000004</v>
      </c>
      <c r="G28" s="80">
        <f t="shared" si="0"/>
        <v>880.00000000000011</v>
      </c>
      <c r="H28" s="80">
        <f>VLOOKUP(D28,'Bu Erta'!$C$2:$F$66,4,0)*F28</f>
        <v>1100</v>
      </c>
      <c r="J28" s="69" t="s">
        <v>148</v>
      </c>
      <c r="K28">
        <v>4</v>
      </c>
      <c r="L28" s="4">
        <v>7520</v>
      </c>
      <c r="N28" s="44">
        <v>25</v>
      </c>
      <c r="O28" s="17" t="s">
        <v>36</v>
      </c>
      <c r="P28" s="93">
        <f>VLOOKUP(O28,'Bu Erta'!$C$2:$F$66,4,0)</f>
        <v>650</v>
      </c>
      <c r="Q28" s="94">
        <f t="shared" si="4"/>
        <v>0</v>
      </c>
      <c r="R28" s="93">
        <f t="shared" si="2"/>
        <v>0</v>
      </c>
      <c r="T28" s="44">
        <v>25</v>
      </c>
      <c r="U28" s="17" t="s">
        <v>36</v>
      </c>
      <c r="V28" s="93"/>
      <c r="W28" s="94"/>
      <c r="X28" s="93">
        <f t="shared" si="3"/>
        <v>0</v>
      </c>
    </row>
    <row r="29" spans="1:24" x14ac:dyDescent="0.35">
      <c r="B29" t="s">
        <v>136</v>
      </c>
      <c r="D29" t="s">
        <v>88</v>
      </c>
      <c r="E29" s="80">
        <f>VLOOKUP(D29,'Bu Erta'!$C$2:$E$66,3,0)</f>
        <v>300</v>
      </c>
      <c r="F29">
        <v>1.4</v>
      </c>
      <c r="G29" s="80">
        <f t="shared" si="0"/>
        <v>420</v>
      </c>
      <c r="H29" s="80">
        <f>VLOOKUP(D29,'Bu Erta'!$C$2:$F$66,4,0)*F29</f>
        <v>560</v>
      </c>
      <c r="J29" s="69" t="s">
        <v>94</v>
      </c>
      <c r="K29">
        <v>4</v>
      </c>
      <c r="L29" s="4">
        <v>4950</v>
      </c>
      <c r="N29" s="44">
        <v>26</v>
      </c>
      <c r="O29" s="17" t="s">
        <v>37</v>
      </c>
      <c r="P29" s="93">
        <f>VLOOKUP(O29,'Bu Erta'!$C$2:$F$66,4,0)</f>
        <v>2000</v>
      </c>
      <c r="Q29" s="94">
        <f t="shared" si="4"/>
        <v>5.05</v>
      </c>
      <c r="R29" s="93">
        <f t="shared" si="2"/>
        <v>10100</v>
      </c>
      <c r="T29" s="44">
        <v>26</v>
      </c>
      <c r="U29" s="17" t="s">
        <v>37</v>
      </c>
      <c r="V29" s="93"/>
      <c r="W29" s="94"/>
      <c r="X29" s="93">
        <f t="shared" si="3"/>
        <v>0</v>
      </c>
    </row>
    <row r="30" spans="1:24" x14ac:dyDescent="0.35">
      <c r="B30" t="s">
        <v>136</v>
      </c>
      <c r="D30" t="s">
        <v>34</v>
      </c>
      <c r="E30" s="80">
        <f>VLOOKUP(D30,'Bu Erta'!$C$2:$E$66,3,0)</f>
        <v>3500</v>
      </c>
      <c r="F30">
        <v>0.4</v>
      </c>
      <c r="G30" s="80">
        <f t="shared" si="0"/>
        <v>1400</v>
      </c>
      <c r="H30" s="80">
        <f>VLOOKUP(D30,'Bu Erta'!$C$2:$F$66,4,0)*F30</f>
        <v>1440</v>
      </c>
      <c r="J30" s="69" t="s">
        <v>100</v>
      </c>
      <c r="K30">
        <v>4</v>
      </c>
      <c r="L30" s="4">
        <v>30365</v>
      </c>
      <c r="N30" s="44">
        <v>27</v>
      </c>
      <c r="O30" s="17" t="s">
        <v>38</v>
      </c>
      <c r="P30" s="93">
        <f>VLOOKUP(O30,'Bu Erta'!$C$2:$F$66,4,0)</f>
        <v>1600</v>
      </c>
      <c r="Q30" s="94">
        <f t="shared" si="4"/>
        <v>0.95</v>
      </c>
      <c r="R30" s="93">
        <f t="shared" si="2"/>
        <v>1520</v>
      </c>
      <c r="T30" s="44">
        <v>27</v>
      </c>
      <c r="U30" s="17" t="s">
        <v>38</v>
      </c>
      <c r="V30" s="93"/>
      <c r="W30" s="94"/>
      <c r="X30" s="93">
        <f t="shared" si="3"/>
        <v>0</v>
      </c>
    </row>
    <row r="31" spans="1:24" x14ac:dyDescent="0.35">
      <c r="B31" t="s">
        <v>136</v>
      </c>
      <c r="D31" t="s">
        <v>22</v>
      </c>
      <c r="E31" s="80">
        <f>VLOOKUP(D31,'Bu Erta'!$C$2:$E$66,3,0)</f>
        <v>2500</v>
      </c>
      <c r="F31">
        <v>2.75</v>
      </c>
      <c r="G31" s="80">
        <f t="shared" si="0"/>
        <v>6875</v>
      </c>
      <c r="H31" s="80">
        <f>VLOOKUP(D31,'Bu Erta'!$C$2:$F$66,4,0)*F31</f>
        <v>8250</v>
      </c>
      <c r="J31" s="69" t="s">
        <v>140</v>
      </c>
      <c r="K31">
        <v>4</v>
      </c>
      <c r="L31" s="4">
        <v>36725</v>
      </c>
      <c r="N31" s="44">
        <v>28</v>
      </c>
      <c r="O31" s="17" t="s">
        <v>39</v>
      </c>
      <c r="P31" s="93">
        <f>VLOOKUP(O31,'Bu Erta'!$C$2:$F$66,4,0)</f>
        <v>200</v>
      </c>
      <c r="Q31" s="94">
        <f t="shared" si="4"/>
        <v>0</v>
      </c>
      <c r="R31" s="93">
        <f t="shared" si="2"/>
        <v>0</v>
      </c>
      <c r="T31" s="44">
        <v>28</v>
      </c>
      <c r="U31" s="17" t="s">
        <v>39</v>
      </c>
      <c r="V31" s="93"/>
      <c r="W31" s="94"/>
      <c r="X31" s="93">
        <f t="shared" si="3"/>
        <v>0</v>
      </c>
    </row>
    <row r="32" spans="1:24" x14ac:dyDescent="0.35">
      <c r="B32" t="s">
        <v>136</v>
      </c>
      <c r="D32" t="s">
        <v>23</v>
      </c>
      <c r="E32" s="80">
        <f>VLOOKUP(D32,'Bu Erta'!$C$2:$E$66,3,0)</f>
        <v>300</v>
      </c>
      <c r="F32">
        <v>1.75</v>
      </c>
      <c r="G32" s="80">
        <f t="shared" si="0"/>
        <v>525</v>
      </c>
      <c r="H32" s="80">
        <f>VLOOKUP(D32,'Bu Erta'!$C$2:$F$66,4,0)*F32</f>
        <v>700</v>
      </c>
      <c r="J32" s="69" t="s">
        <v>144</v>
      </c>
      <c r="K32">
        <v>4</v>
      </c>
      <c r="L32" s="4">
        <v>2550</v>
      </c>
      <c r="N32" s="44">
        <v>29</v>
      </c>
      <c r="O32" s="17" t="s">
        <v>77</v>
      </c>
      <c r="P32" s="93">
        <f>VLOOKUP(O32,'Bu Erta'!$C$2:$F$66,4,0)</f>
        <v>800</v>
      </c>
      <c r="Q32" s="94">
        <f t="shared" si="4"/>
        <v>0</v>
      </c>
      <c r="R32" s="93">
        <f t="shared" si="2"/>
        <v>0</v>
      </c>
      <c r="T32" s="44">
        <v>29</v>
      </c>
      <c r="U32" s="17" t="s">
        <v>77</v>
      </c>
      <c r="V32" s="93"/>
      <c r="W32" s="94"/>
      <c r="X32" s="93">
        <f t="shared" si="3"/>
        <v>0</v>
      </c>
    </row>
    <row r="33" spans="1:24" x14ac:dyDescent="0.35">
      <c r="B33" t="s">
        <v>136</v>
      </c>
      <c r="D33" t="s">
        <v>42</v>
      </c>
      <c r="E33" s="80">
        <f>VLOOKUP(D33,'Bu Erta'!$C$2:$E$66,3,0)</f>
        <v>1000</v>
      </c>
      <c r="F33">
        <v>0.85</v>
      </c>
      <c r="G33" s="80">
        <f t="shared" si="0"/>
        <v>850</v>
      </c>
      <c r="H33" s="80">
        <f>VLOOKUP(D33,'Bu Erta'!$C$2:$F$66,4,0)*F33</f>
        <v>1020</v>
      </c>
      <c r="J33" s="69" t="s">
        <v>245</v>
      </c>
      <c r="K33">
        <v>4</v>
      </c>
      <c r="L33" s="4">
        <v>2672.5</v>
      </c>
      <c r="N33" s="44">
        <v>30</v>
      </c>
      <c r="O33" s="17" t="s">
        <v>40</v>
      </c>
      <c r="P33" s="93">
        <f>VLOOKUP(O33,'Bu Erta'!$C$2:$F$66,4,0)</f>
        <v>2000</v>
      </c>
      <c r="Q33" s="94">
        <f t="shared" si="4"/>
        <v>4.8499999999999996</v>
      </c>
      <c r="R33" s="93">
        <f t="shared" si="2"/>
        <v>9700</v>
      </c>
      <c r="T33" s="44">
        <v>30</v>
      </c>
      <c r="U33" s="17" t="s">
        <v>40</v>
      </c>
      <c r="V33" s="93"/>
      <c r="W33" s="94"/>
      <c r="X33" s="93">
        <f t="shared" si="3"/>
        <v>0</v>
      </c>
    </row>
    <row r="34" spans="1:24" x14ac:dyDescent="0.35">
      <c r="B34" t="s">
        <v>136</v>
      </c>
      <c r="D34" t="s">
        <v>41</v>
      </c>
      <c r="E34" s="80">
        <f>VLOOKUP(D34,'Bu Erta'!$C$2:$E$66,3,0)</f>
        <v>1500</v>
      </c>
      <c r="F34">
        <v>1.65</v>
      </c>
      <c r="G34" s="80">
        <f t="shared" si="0"/>
        <v>2475</v>
      </c>
      <c r="H34" s="80">
        <f>VLOOKUP(D34,'Bu Erta'!$C$2:$F$66,4,0)*F34</f>
        <v>3300</v>
      </c>
      <c r="J34" s="69" t="s">
        <v>250</v>
      </c>
      <c r="K34">
        <v>4</v>
      </c>
      <c r="L34" s="4">
        <v>1505</v>
      </c>
      <c r="N34" s="44">
        <v>31</v>
      </c>
      <c r="O34" s="17" t="s">
        <v>41</v>
      </c>
      <c r="P34" s="93">
        <f>VLOOKUP(O34,'Bu Erta'!$C$2:$F$66,4,0)</f>
        <v>2000</v>
      </c>
      <c r="Q34" s="94">
        <f t="shared" si="4"/>
        <v>12.2</v>
      </c>
      <c r="R34" s="93">
        <f t="shared" si="2"/>
        <v>24400</v>
      </c>
      <c r="T34" s="44">
        <v>31</v>
      </c>
      <c r="U34" s="17" t="s">
        <v>41</v>
      </c>
      <c r="V34" s="93"/>
      <c r="W34" s="94"/>
      <c r="X34" s="93">
        <f t="shared" si="3"/>
        <v>0</v>
      </c>
    </row>
    <row r="35" spans="1:24" x14ac:dyDescent="0.35">
      <c r="A35" s="5">
        <v>5</v>
      </c>
      <c r="B35" t="s">
        <v>78</v>
      </c>
      <c r="C35" s="5">
        <v>2</v>
      </c>
      <c r="D35" t="s">
        <v>7</v>
      </c>
      <c r="E35" s="80">
        <f>VLOOKUP(D35,'Bu Erta'!$C$2:$E$66,3,0)</f>
        <v>1400</v>
      </c>
      <c r="F35">
        <f>1.45+0.05</f>
        <v>1.5</v>
      </c>
      <c r="G35" s="80">
        <f t="shared" si="0"/>
        <v>2100</v>
      </c>
      <c r="H35" s="80">
        <f>VLOOKUP(D35,'Bu Erta'!$C$2:$F$66,4,0)*F35</f>
        <v>2400</v>
      </c>
      <c r="J35" s="69" t="s">
        <v>102</v>
      </c>
      <c r="K35">
        <v>4</v>
      </c>
      <c r="L35" s="4">
        <v>10855</v>
      </c>
      <c r="N35" s="44">
        <v>32</v>
      </c>
      <c r="O35" s="17" t="s">
        <v>42</v>
      </c>
      <c r="P35" s="93">
        <f>VLOOKUP(O35,'Bu Erta'!$C$2:$F$66,4,0)</f>
        <v>1200</v>
      </c>
      <c r="Q35" s="94">
        <f t="shared" si="4"/>
        <v>101.10000000000001</v>
      </c>
      <c r="R35" s="93">
        <f t="shared" si="2"/>
        <v>121320.00000000001</v>
      </c>
      <c r="T35" s="44">
        <v>32</v>
      </c>
      <c r="U35" s="17" t="s">
        <v>42</v>
      </c>
      <c r="V35" s="93"/>
      <c r="W35" s="94"/>
      <c r="X35" s="93">
        <f t="shared" si="3"/>
        <v>0</v>
      </c>
    </row>
    <row r="36" spans="1:24" x14ac:dyDescent="0.35">
      <c r="B36" t="s">
        <v>78</v>
      </c>
      <c r="D36" t="s">
        <v>27</v>
      </c>
      <c r="E36" s="80">
        <f>VLOOKUP(D36,'Bu Erta'!$C$2:$E$66,3,0)</f>
        <v>2800</v>
      </c>
      <c r="F36">
        <v>0.55000000000000004</v>
      </c>
      <c r="G36" s="80">
        <f t="shared" si="0"/>
        <v>1540.0000000000002</v>
      </c>
      <c r="H36" s="80">
        <f>VLOOKUP(D36,'Bu Erta'!$C$2:$F$66,4,0)*F36</f>
        <v>1705.0000000000002</v>
      </c>
      <c r="J36" s="69" t="s">
        <v>182</v>
      </c>
      <c r="K36">
        <v>4</v>
      </c>
      <c r="L36" s="4">
        <v>2342.5</v>
      </c>
      <c r="N36" s="44">
        <v>33</v>
      </c>
      <c r="O36" s="17" t="s">
        <v>43</v>
      </c>
      <c r="P36" s="93">
        <f>VLOOKUP(O36,'Bu Erta'!$C$2:$F$66,4,0)</f>
        <v>500</v>
      </c>
      <c r="Q36" s="94">
        <f t="shared" si="4"/>
        <v>0</v>
      </c>
      <c r="R36" s="93">
        <f t="shared" si="2"/>
        <v>0</v>
      </c>
      <c r="T36" s="44">
        <v>33</v>
      </c>
      <c r="U36" s="17" t="s">
        <v>43</v>
      </c>
      <c r="V36" s="93"/>
      <c r="W36" s="94"/>
      <c r="X36" s="93">
        <f t="shared" si="3"/>
        <v>0</v>
      </c>
    </row>
    <row r="37" spans="1:24" x14ac:dyDescent="0.35">
      <c r="B37" t="s">
        <v>78</v>
      </c>
      <c r="D37" t="s">
        <v>24</v>
      </c>
      <c r="E37" s="80">
        <f>VLOOKUP(D37,'Bu Erta'!$C$2:$E$66,3,0)</f>
        <v>150</v>
      </c>
      <c r="F37">
        <v>1.1000000000000001</v>
      </c>
      <c r="G37" s="80">
        <f t="shared" si="0"/>
        <v>165</v>
      </c>
      <c r="H37" s="80">
        <f>VLOOKUP(D37,'Bu Erta'!$C$2:$F$66,4,0)*F37</f>
        <v>220.00000000000003</v>
      </c>
      <c r="J37" s="69" t="s">
        <v>192</v>
      </c>
      <c r="K37">
        <v>4</v>
      </c>
      <c r="L37" s="4">
        <v>2400</v>
      </c>
      <c r="N37" s="44">
        <v>34</v>
      </c>
      <c r="O37" s="17" t="s">
        <v>44</v>
      </c>
      <c r="P37" s="93">
        <f>VLOOKUP(O37,'Bu Erta'!$C$2:$F$66,4,0)</f>
        <v>500</v>
      </c>
      <c r="Q37" s="94">
        <f t="shared" si="4"/>
        <v>1.6099999999999999</v>
      </c>
      <c r="R37" s="93">
        <f t="shared" si="2"/>
        <v>804.99999999999989</v>
      </c>
      <c r="T37" s="44">
        <v>34</v>
      </c>
      <c r="U37" s="17" t="s">
        <v>44</v>
      </c>
      <c r="V37" s="93"/>
      <c r="W37" s="94"/>
      <c r="X37" s="93">
        <f t="shared" si="3"/>
        <v>0</v>
      </c>
    </row>
    <row r="38" spans="1:24" x14ac:dyDescent="0.35">
      <c r="B38" t="s">
        <v>78</v>
      </c>
      <c r="D38" t="s">
        <v>19</v>
      </c>
      <c r="E38" s="80">
        <f>VLOOKUP(D38,'Bu Erta'!$C$2:$E$66,3,0)</f>
        <v>200</v>
      </c>
      <c r="F38">
        <f>0.35+0.15</f>
        <v>0.5</v>
      </c>
      <c r="G38" s="80">
        <f t="shared" si="0"/>
        <v>100</v>
      </c>
      <c r="H38" s="80">
        <f>VLOOKUP(D38,'Bu Erta'!$C$2:$F$66,4,0)*F38</f>
        <v>150</v>
      </c>
      <c r="J38" s="69" t="s">
        <v>152</v>
      </c>
      <c r="K38">
        <v>4</v>
      </c>
      <c r="L38" s="4">
        <v>11930</v>
      </c>
      <c r="N38" s="44">
        <v>35</v>
      </c>
      <c r="O38" s="17" t="s">
        <v>45</v>
      </c>
      <c r="P38" s="93">
        <f>VLOOKUP(O38,'Bu Erta'!$C$2:$F$66,4,0)</f>
        <v>800</v>
      </c>
      <c r="Q38" s="94">
        <f t="shared" si="4"/>
        <v>0</v>
      </c>
      <c r="R38" s="93">
        <f t="shared" si="2"/>
        <v>0</v>
      </c>
      <c r="T38" s="44">
        <v>35</v>
      </c>
      <c r="U38" s="17" t="s">
        <v>45</v>
      </c>
      <c r="V38" s="93"/>
      <c r="W38" s="94"/>
      <c r="X38" s="93">
        <f t="shared" si="3"/>
        <v>0</v>
      </c>
    </row>
    <row r="39" spans="1:24" x14ac:dyDescent="0.35">
      <c r="B39" t="s">
        <v>78</v>
      </c>
      <c r="D39" t="s">
        <v>88</v>
      </c>
      <c r="E39" s="80">
        <f>VLOOKUP(D39,'Bu Erta'!$C$2:$E$66,3,0)</f>
        <v>300</v>
      </c>
      <c r="F39">
        <v>0.4</v>
      </c>
      <c r="G39" s="80">
        <f t="shared" si="0"/>
        <v>120</v>
      </c>
      <c r="H39" s="80">
        <f>VLOOKUP(D39,'Bu Erta'!$C$2:$F$66,4,0)*F39</f>
        <v>160</v>
      </c>
      <c r="J39" s="69" t="s">
        <v>114</v>
      </c>
      <c r="K39">
        <v>4</v>
      </c>
      <c r="L39" s="4">
        <v>11340</v>
      </c>
      <c r="N39" s="44">
        <v>36</v>
      </c>
      <c r="O39" s="17" t="s">
        <v>46</v>
      </c>
      <c r="P39" s="93">
        <f>VLOOKUP(O39,'Bu Erta'!$C$2:$F$66,4,0)</f>
        <v>1500</v>
      </c>
      <c r="Q39" s="94">
        <f t="shared" si="4"/>
        <v>28.35</v>
      </c>
      <c r="R39" s="93">
        <f t="shared" si="2"/>
        <v>42525</v>
      </c>
      <c r="T39" s="44">
        <v>36</v>
      </c>
      <c r="U39" s="17" t="s">
        <v>46</v>
      </c>
      <c r="V39" s="93"/>
      <c r="W39" s="94"/>
      <c r="X39" s="93">
        <f t="shared" si="3"/>
        <v>0</v>
      </c>
    </row>
    <row r="40" spans="1:24" x14ac:dyDescent="0.35">
      <c r="B40" t="s">
        <v>78</v>
      </c>
      <c r="D40" t="s">
        <v>23</v>
      </c>
      <c r="E40" s="80">
        <f>VLOOKUP(D40,'Bu Erta'!$C$2:$E$66,3,0)</f>
        <v>300</v>
      </c>
      <c r="F40">
        <v>0.75</v>
      </c>
      <c r="G40" s="80">
        <f t="shared" si="0"/>
        <v>225</v>
      </c>
      <c r="H40" s="80">
        <f>VLOOKUP(D40,'Bu Erta'!$C$2:$F$66,4,0)*F40</f>
        <v>300</v>
      </c>
      <c r="J40" s="69" t="s">
        <v>136</v>
      </c>
      <c r="K40">
        <v>4</v>
      </c>
      <c r="L40" s="4">
        <v>24135</v>
      </c>
      <c r="N40" s="44">
        <v>37</v>
      </c>
      <c r="O40" s="17" t="s">
        <v>47</v>
      </c>
      <c r="P40" s="93">
        <f>VLOOKUP(O40,'Bu Erta'!$C$2:$F$66,4,0)</f>
        <v>1500</v>
      </c>
      <c r="Q40" s="94">
        <f t="shared" si="4"/>
        <v>0</v>
      </c>
      <c r="R40" s="93">
        <f t="shared" si="2"/>
        <v>0</v>
      </c>
      <c r="T40" s="44">
        <v>37</v>
      </c>
      <c r="U40" s="17" t="s">
        <v>47</v>
      </c>
      <c r="V40" s="93"/>
      <c r="W40" s="94"/>
      <c r="X40" s="93">
        <f t="shared" si="3"/>
        <v>0</v>
      </c>
    </row>
    <row r="41" spans="1:24" x14ac:dyDescent="0.35">
      <c r="B41" t="s">
        <v>78</v>
      </c>
      <c r="D41" t="s">
        <v>42</v>
      </c>
      <c r="E41" s="80">
        <f>VLOOKUP(D41,'Bu Erta'!$C$2:$E$66,3,0)</f>
        <v>1000</v>
      </c>
      <c r="F41">
        <v>1.7</v>
      </c>
      <c r="G41" s="80">
        <f t="shared" si="0"/>
        <v>1700</v>
      </c>
      <c r="H41" s="80">
        <f>VLOOKUP(D41,'Bu Erta'!$C$2:$F$66,4,0)*F41</f>
        <v>2040</v>
      </c>
      <c r="J41" s="69" t="s">
        <v>89</v>
      </c>
      <c r="K41">
        <v>4</v>
      </c>
      <c r="L41" s="4">
        <v>11047.5</v>
      </c>
      <c r="N41" s="44">
        <v>38</v>
      </c>
      <c r="O41" s="17" t="s">
        <v>48</v>
      </c>
      <c r="P41" s="93">
        <f>VLOOKUP(O41,'Bu Erta'!$C$2:$F$66,4,0)</f>
        <v>15000</v>
      </c>
      <c r="Q41" s="94">
        <f>SUMIF($D$3:$D$332,O41,$F$3:$F$332)-1</f>
        <v>1</v>
      </c>
      <c r="R41" s="93">
        <f t="shared" si="2"/>
        <v>15000</v>
      </c>
      <c r="T41" s="44">
        <v>38</v>
      </c>
      <c r="U41" s="17" t="s">
        <v>48</v>
      </c>
      <c r="V41" s="93"/>
      <c r="W41" s="94">
        <v>1</v>
      </c>
      <c r="X41" s="93">
        <f t="shared" si="3"/>
        <v>0</v>
      </c>
    </row>
    <row r="42" spans="1:24" x14ac:dyDescent="0.35">
      <c r="B42" t="s">
        <v>78</v>
      </c>
      <c r="D42" t="s">
        <v>22</v>
      </c>
      <c r="E42" s="80">
        <f>VLOOKUP(D42,'Bu Erta'!$C$2:$E$66,3,0)</f>
        <v>2500</v>
      </c>
      <c r="F42">
        <v>2.9</v>
      </c>
      <c r="G42" s="80">
        <f t="shared" si="0"/>
        <v>7250</v>
      </c>
      <c r="H42" s="80">
        <f>VLOOKUP(D42,'Bu Erta'!$C$2:$F$66,4,0)*F42</f>
        <v>8700</v>
      </c>
      <c r="J42" s="69" t="s">
        <v>135</v>
      </c>
      <c r="K42">
        <v>4</v>
      </c>
      <c r="L42" s="4">
        <v>8495</v>
      </c>
      <c r="N42" s="44">
        <v>39</v>
      </c>
      <c r="O42" s="17" t="s">
        <v>49</v>
      </c>
      <c r="P42" s="93">
        <f>VLOOKUP(O42,'Bu Erta'!$C$2:$F$66,4,0)</f>
        <v>900</v>
      </c>
      <c r="Q42" s="94">
        <f t="shared" ref="Q42:Q49" si="5">SUMIF($D$3:$D$332,O42,$F$3:$F$332)</f>
        <v>12.4</v>
      </c>
      <c r="R42" s="93">
        <f t="shared" si="2"/>
        <v>11160</v>
      </c>
      <c r="T42" s="44">
        <v>39</v>
      </c>
      <c r="U42" s="17" t="s">
        <v>49</v>
      </c>
      <c r="V42" s="93"/>
      <c r="W42" s="94"/>
      <c r="X42" s="93">
        <f t="shared" si="3"/>
        <v>0</v>
      </c>
    </row>
    <row r="43" spans="1:24" x14ac:dyDescent="0.35">
      <c r="A43" s="5">
        <v>6</v>
      </c>
      <c r="B43" t="s">
        <v>114</v>
      </c>
      <c r="C43" s="5">
        <v>4</v>
      </c>
      <c r="D43" t="s">
        <v>31</v>
      </c>
      <c r="E43" s="80">
        <f>VLOOKUP(D43,'Bu Erta'!$C$2:$E$66,3,0)</f>
        <v>1000</v>
      </c>
      <c r="F43">
        <f>2.15+0.75+0.65+0.45</f>
        <v>4</v>
      </c>
      <c r="G43" s="80">
        <f t="shared" si="0"/>
        <v>4000</v>
      </c>
      <c r="H43" s="80">
        <f>VLOOKUP(D43,'Bu Erta'!$C$2:$F$66,4,0)*F43</f>
        <v>4400</v>
      </c>
      <c r="J43" s="69" t="s">
        <v>118</v>
      </c>
      <c r="K43">
        <v>4</v>
      </c>
      <c r="L43" s="4">
        <v>8510</v>
      </c>
      <c r="N43" s="44">
        <v>40</v>
      </c>
      <c r="O43" s="17" t="s">
        <v>50</v>
      </c>
      <c r="P43" s="93">
        <f>VLOOKUP(O43,'Bu Erta'!$C$2:$F$66,4,0)</f>
        <v>45000</v>
      </c>
      <c r="Q43" s="94">
        <f t="shared" si="5"/>
        <v>0</v>
      </c>
      <c r="R43" s="93">
        <f t="shared" si="2"/>
        <v>0</v>
      </c>
      <c r="T43" s="44">
        <v>40</v>
      </c>
      <c r="U43" s="17" t="s">
        <v>50</v>
      </c>
      <c r="V43" s="93"/>
      <c r="W43" s="94"/>
      <c r="X43" s="93">
        <f t="shared" si="3"/>
        <v>0</v>
      </c>
    </row>
    <row r="44" spans="1:24" x14ac:dyDescent="0.35">
      <c r="B44" t="s">
        <v>114</v>
      </c>
      <c r="D44" t="s">
        <v>37</v>
      </c>
      <c r="E44" s="80">
        <f>VLOOKUP(D44,'Bu Erta'!$C$2:$E$66,3,0)</f>
        <v>1600</v>
      </c>
      <c r="F44">
        <v>0.55000000000000004</v>
      </c>
      <c r="G44" s="80">
        <f t="shared" si="0"/>
        <v>880.00000000000011</v>
      </c>
      <c r="H44" s="80">
        <f>VLOOKUP(D44,'Bu Erta'!$C$2:$F$66,4,0)*F44</f>
        <v>1100</v>
      </c>
      <c r="J44" s="69" t="s">
        <v>180</v>
      </c>
      <c r="K44">
        <v>4</v>
      </c>
      <c r="L44" s="4">
        <v>25395</v>
      </c>
      <c r="N44" s="44">
        <v>41</v>
      </c>
      <c r="O44" s="17" t="s">
        <v>51</v>
      </c>
      <c r="P44" s="93">
        <f>VLOOKUP(O44,'Bu Erta'!$C$2:$F$66,4,0)</f>
        <v>55000</v>
      </c>
      <c r="Q44" s="94">
        <f t="shared" si="5"/>
        <v>0</v>
      </c>
      <c r="R44" s="93">
        <f t="shared" si="2"/>
        <v>0</v>
      </c>
      <c r="T44" s="44">
        <v>41</v>
      </c>
      <c r="U44" s="17" t="s">
        <v>51</v>
      </c>
      <c r="V44" s="93"/>
      <c r="W44" s="94"/>
      <c r="X44" s="93">
        <f t="shared" si="3"/>
        <v>0</v>
      </c>
    </row>
    <row r="45" spans="1:24" x14ac:dyDescent="0.35">
      <c r="B45" t="s">
        <v>114</v>
      </c>
      <c r="D45" t="s">
        <v>42</v>
      </c>
      <c r="E45" s="80">
        <f>VLOOKUP(D45,'Bu Erta'!$C$2:$E$66,3,0)</f>
        <v>1000</v>
      </c>
      <c r="F45">
        <f>0.55+4.95</f>
        <v>5.5</v>
      </c>
      <c r="G45" s="80">
        <f t="shared" si="0"/>
        <v>5500</v>
      </c>
      <c r="H45" s="80">
        <f>VLOOKUP(D45,'Bu Erta'!$C$2:$F$66,4,0)*F45</f>
        <v>6600</v>
      </c>
      <c r="J45" s="69" t="s">
        <v>84</v>
      </c>
      <c r="K45">
        <v>4</v>
      </c>
      <c r="L45" s="4">
        <v>12790</v>
      </c>
      <c r="N45" s="44">
        <v>42</v>
      </c>
      <c r="O45" s="17" t="s">
        <v>52</v>
      </c>
      <c r="P45" s="93">
        <f>VLOOKUP(O45,'Bu Erta'!$C$2:$F$66,4,0)</f>
        <v>30000</v>
      </c>
      <c r="Q45" s="94">
        <f t="shared" si="5"/>
        <v>0</v>
      </c>
      <c r="R45" s="93">
        <f t="shared" si="2"/>
        <v>0</v>
      </c>
      <c r="T45" s="44">
        <v>42</v>
      </c>
      <c r="U45" s="17" t="s">
        <v>52</v>
      </c>
      <c r="V45" s="93"/>
      <c r="W45" s="94"/>
      <c r="X45" s="93">
        <f t="shared" si="3"/>
        <v>0</v>
      </c>
    </row>
    <row r="46" spans="1:24" x14ac:dyDescent="0.35">
      <c r="B46" t="s">
        <v>114</v>
      </c>
      <c r="D46" t="s">
        <v>88</v>
      </c>
      <c r="E46" s="80">
        <f>VLOOKUP(D46,'Bu Erta'!$C$2:$E$66,3,0)</f>
        <v>300</v>
      </c>
      <c r="F46">
        <f>0.5+0.4+0.75+1+0.55</f>
        <v>3.2</v>
      </c>
      <c r="G46" s="80">
        <f t="shared" si="0"/>
        <v>960</v>
      </c>
      <c r="H46" s="80">
        <f>VLOOKUP(D46,'Bu Erta'!$C$2:$F$66,4,0)*F46</f>
        <v>1280</v>
      </c>
      <c r="J46" s="69" t="s">
        <v>109</v>
      </c>
      <c r="K46">
        <v>4</v>
      </c>
      <c r="L46" s="4">
        <v>12227.5</v>
      </c>
      <c r="N46" s="44">
        <v>43</v>
      </c>
      <c r="O46" s="17" t="s">
        <v>53</v>
      </c>
      <c r="P46" s="93">
        <f>VLOOKUP(O46,'Bu Erta'!$C$2:$F$66,4,0)</f>
        <v>12000</v>
      </c>
      <c r="Q46" s="94">
        <f t="shared" si="5"/>
        <v>0</v>
      </c>
      <c r="R46" s="93">
        <f t="shared" si="2"/>
        <v>0</v>
      </c>
      <c r="T46" s="44">
        <v>43</v>
      </c>
      <c r="U46" s="17" t="s">
        <v>53</v>
      </c>
      <c r="V46" s="93"/>
      <c r="W46" s="94"/>
      <c r="X46" s="93">
        <f t="shared" si="3"/>
        <v>0</v>
      </c>
    </row>
    <row r="47" spans="1:24" x14ac:dyDescent="0.35">
      <c r="A47" s="5">
        <v>7</v>
      </c>
      <c r="B47" t="s">
        <v>95</v>
      </c>
      <c r="C47" s="5">
        <v>5</v>
      </c>
      <c r="D47" t="s">
        <v>88</v>
      </c>
      <c r="E47" s="80">
        <f>VLOOKUP(D47,'Bu Erta'!$C$2:$E$66,3,0)</f>
        <v>300</v>
      </c>
      <c r="F47">
        <v>0.2</v>
      </c>
      <c r="G47" s="80">
        <f t="shared" si="0"/>
        <v>60</v>
      </c>
      <c r="H47" s="80">
        <f>VLOOKUP(D47,'Bu Erta'!$C$2:$F$66,4,0)*F47</f>
        <v>80</v>
      </c>
      <c r="J47" s="69" t="s">
        <v>120</v>
      </c>
      <c r="K47">
        <v>5</v>
      </c>
      <c r="L47" s="4">
        <v>14570</v>
      </c>
      <c r="N47" s="44">
        <v>44</v>
      </c>
      <c r="O47" s="17" t="s">
        <v>54</v>
      </c>
      <c r="P47" s="93">
        <f>VLOOKUP(O47,'Bu Erta'!$C$2:$F$66,4,0)</f>
        <v>650</v>
      </c>
      <c r="Q47" s="94">
        <f t="shared" si="5"/>
        <v>47.45</v>
      </c>
      <c r="R47" s="93">
        <f t="shared" si="2"/>
        <v>30842.500000000004</v>
      </c>
      <c r="T47" s="44">
        <v>44</v>
      </c>
      <c r="U47" s="17" t="s">
        <v>54</v>
      </c>
      <c r="V47" s="93"/>
      <c r="W47" s="94"/>
      <c r="X47" s="93">
        <f t="shared" si="3"/>
        <v>0</v>
      </c>
    </row>
    <row r="48" spans="1:24" x14ac:dyDescent="0.35">
      <c r="B48" t="s">
        <v>95</v>
      </c>
      <c r="D48" t="s">
        <v>25</v>
      </c>
      <c r="E48" s="80">
        <f>VLOOKUP(D48,'Bu Erta'!$C$2:$E$66,3,0)</f>
        <v>1600</v>
      </c>
      <c r="F48">
        <v>0.2</v>
      </c>
      <c r="G48" s="80">
        <f t="shared" si="0"/>
        <v>320</v>
      </c>
      <c r="H48" s="80">
        <f>VLOOKUP(D48,'Bu Erta'!$C$2:$F$66,4,0)*F48</f>
        <v>340</v>
      </c>
      <c r="J48" s="69" t="s">
        <v>111</v>
      </c>
      <c r="K48">
        <v>5</v>
      </c>
      <c r="L48" s="4">
        <v>13585</v>
      </c>
      <c r="N48" s="44">
        <v>45</v>
      </c>
      <c r="O48" s="17" t="s">
        <v>55</v>
      </c>
      <c r="P48" s="93">
        <f>VLOOKUP(O48,'Bu Erta'!$C$2:$F$66,4,0)</f>
        <v>40000</v>
      </c>
      <c r="Q48" s="94">
        <f t="shared" si="5"/>
        <v>0</v>
      </c>
      <c r="R48" s="93">
        <f t="shared" si="2"/>
        <v>0</v>
      </c>
      <c r="T48" s="44">
        <v>45</v>
      </c>
      <c r="U48" s="17" t="s">
        <v>55</v>
      </c>
      <c r="V48" s="93"/>
      <c r="W48" s="94"/>
      <c r="X48" s="93">
        <f t="shared" si="3"/>
        <v>0</v>
      </c>
    </row>
    <row r="49" spans="1:24" x14ac:dyDescent="0.35">
      <c r="B49" t="s">
        <v>95</v>
      </c>
      <c r="D49" t="s">
        <v>23</v>
      </c>
      <c r="E49" s="80">
        <f>VLOOKUP(D49,'Bu Erta'!$C$2:$E$66,3,0)</f>
        <v>300</v>
      </c>
      <c r="F49">
        <v>0.45</v>
      </c>
      <c r="G49" s="80">
        <f t="shared" si="0"/>
        <v>135</v>
      </c>
      <c r="H49" s="80">
        <f>VLOOKUP(D49,'Bu Erta'!$C$2:$F$66,4,0)*F49</f>
        <v>180</v>
      </c>
      <c r="J49" s="69" t="s">
        <v>95</v>
      </c>
      <c r="K49">
        <v>5</v>
      </c>
      <c r="L49" s="4">
        <v>26730</v>
      </c>
      <c r="N49" s="44">
        <v>46</v>
      </c>
      <c r="O49" s="17" t="s">
        <v>56</v>
      </c>
      <c r="P49" s="93">
        <f>VLOOKUP(O49,'Bu Erta'!$C$2:$F$66,4,0)</f>
        <v>5500</v>
      </c>
      <c r="Q49" s="94">
        <f t="shared" si="5"/>
        <v>15.75</v>
      </c>
      <c r="R49" s="93">
        <f t="shared" si="2"/>
        <v>86625</v>
      </c>
      <c r="T49" s="44">
        <v>46</v>
      </c>
      <c r="U49" s="17" t="s">
        <v>56</v>
      </c>
      <c r="V49" s="93"/>
      <c r="W49" s="94"/>
      <c r="X49" s="93">
        <f t="shared" si="3"/>
        <v>0</v>
      </c>
    </row>
    <row r="50" spans="1:24" x14ac:dyDescent="0.35">
      <c r="B50" t="s">
        <v>95</v>
      </c>
      <c r="D50" t="s">
        <v>42</v>
      </c>
      <c r="E50" s="80">
        <f>VLOOKUP(D50,'Bu Erta'!$C$2:$E$66,3,0)</f>
        <v>1000</v>
      </c>
      <c r="F50">
        <v>0.1</v>
      </c>
      <c r="G50" s="80">
        <f t="shared" si="0"/>
        <v>100</v>
      </c>
      <c r="H50" s="80">
        <f>VLOOKUP(D50,'Bu Erta'!$C$2:$F$66,4,0)*F50</f>
        <v>120</v>
      </c>
      <c r="J50" s="69" t="s">
        <v>295</v>
      </c>
      <c r="K50">
        <v>6</v>
      </c>
      <c r="L50" s="4">
        <v>20830</v>
      </c>
      <c r="N50" s="44">
        <v>47</v>
      </c>
      <c r="O50" s="17" t="s">
        <v>88</v>
      </c>
      <c r="P50" s="93">
        <f>VLOOKUP(O50,'Bu Erta'!$C$2:$F$66,4,0)</f>
        <v>400</v>
      </c>
      <c r="Q50" s="94">
        <v>0</v>
      </c>
      <c r="R50" s="93">
        <f t="shared" si="2"/>
        <v>0</v>
      </c>
      <c r="T50" s="44">
        <v>47</v>
      </c>
      <c r="U50" s="17" t="s">
        <v>88</v>
      </c>
      <c r="V50" s="93"/>
      <c r="W50" s="94">
        <v>50.8</v>
      </c>
      <c r="X50" s="93">
        <f t="shared" si="3"/>
        <v>0</v>
      </c>
    </row>
    <row r="51" spans="1:24" x14ac:dyDescent="0.35">
      <c r="B51" t="s">
        <v>95</v>
      </c>
      <c r="D51" t="s">
        <v>19</v>
      </c>
      <c r="E51" s="80">
        <f>VLOOKUP(D51,'Bu Erta'!$C$2:$E$66,3,0)</f>
        <v>200</v>
      </c>
      <c r="F51">
        <v>0.2</v>
      </c>
      <c r="G51" s="80">
        <f t="shared" si="0"/>
        <v>40</v>
      </c>
      <c r="H51" s="80">
        <f>VLOOKUP(D51,'Bu Erta'!$C$2:$F$66,4,0)*F51</f>
        <v>60</v>
      </c>
      <c r="J51" s="69" t="s">
        <v>299</v>
      </c>
      <c r="K51">
        <v>6</v>
      </c>
      <c r="L51" s="4">
        <v>65999</v>
      </c>
      <c r="N51" s="44">
        <v>48</v>
      </c>
      <c r="O51" s="17" t="s">
        <v>57</v>
      </c>
      <c r="P51" s="93">
        <f>VLOOKUP(O51,'Bu Erta'!$C$2:$F$66,4,0)</f>
        <v>10000</v>
      </c>
      <c r="Q51" s="94">
        <f t="shared" ref="Q51:Q67" si="6">SUMIF($D$3:$D$332,O51,$F$3:$F$332)</f>
        <v>0</v>
      </c>
      <c r="R51" s="93">
        <f t="shared" si="2"/>
        <v>0</v>
      </c>
      <c r="T51" s="44">
        <v>48</v>
      </c>
      <c r="U51" s="17" t="s">
        <v>57</v>
      </c>
      <c r="V51" s="93"/>
      <c r="W51" s="94"/>
      <c r="X51" s="93">
        <f t="shared" si="3"/>
        <v>0</v>
      </c>
    </row>
    <row r="52" spans="1:24" x14ac:dyDescent="0.35">
      <c r="B52" t="s">
        <v>95</v>
      </c>
      <c r="D52" t="s">
        <v>31</v>
      </c>
      <c r="E52" s="80">
        <f>VLOOKUP(D52,'Bu Erta'!$C$2:$E$66,3,0)</f>
        <v>1000</v>
      </c>
      <c r="F52">
        <v>0.8</v>
      </c>
      <c r="G52" s="80">
        <f t="shared" si="0"/>
        <v>800</v>
      </c>
      <c r="H52" s="80">
        <f>VLOOKUP(D52,'Bu Erta'!$C$2:$F$66,4,0)*F52</f>
        <v>880</v>
      </c>
      <c r="J52" s="69" t="s">
        <v>188</v>
      </c>
      <c r="K52">
        <v>7</v>
      </c>
      <c r="L52" s="4">
        <v>35145</v>
      </c>
      <c r="N52" s="44">
        <v>49</v>
      </c>
      <c r="O52" s="17" t="s">
        <v>58</v>
      </c>
      <c r="P52" s="93">
        <f>VLOOKUP(O52,'Bu Erta'!$C$2:$F$66,4,0)</f>
        <v>15000</v>
      </c>
      <c r="Q52" s="94">
        <f t="shared" si="6"/>
        <v>0</v>
      </c>
      <c r="R52" s="93">
        <f t="shared" si="2"/>
        <v>0</v>
      </c>
      <c r="T52" s="44">
        <v>49</v>
      </c>
      <c r="U52" s="17" t="s">
        <v>58</v>
      </c>
      <c r="V52" s="93"/>
      <c r="W52" s="94"/>
      <c r="X52" s="93">
        <f t="shared" si="3"/>
        <v>0</v>
      </c>
    </row>
    <row r="53" spans="1:24" x14ac:dyDescent="0.35">
      <c r="B53" t="s">
        <v>95</v>
      </c>
      <c r="D53" t="s">
        <v>41</v>
      </c>
      <c r="E53" s="80">
        <f>VLOOKUP(D53,'Bu Erta'!$C$2:$E$66,3,0)</f>
        <v>1500</v>
      </c>
      <c r="F53">
        <v>1.65</v>
      </c>
      <c r="G53" s="80">
        <f t="shared" si="0"/>
        <v>2475</v>
      </c>
      <c r="H53" s="80">
        <f>VLOOKUP(D53,'Bu Erta'!$C$2:$F$66,4,0)*F53</f>
        <v>3300</v>
      </c>
      <c r="J53" s="69" t="s">
        <v>81</v>
      </c>
      <c r="K53">
        <v>156</v>
      </c>
      <c r="L53" s="4">
        <v>709346.5</v>
      </c>
      <c r="N53" s="44">
        <v>50</v>
      </c>
      <c r="O53" s="17" t="s">
        <v>6</v>
      </c>
      <c r="P53" s="93">
        <f>VLOOKUP(O53,'Bu Erta'!$C$2:$F$66,4,0)</f>
        <v>2500</v>
      </c>
      <c r="Q53" s="94">
        <f t="shared" si="6"/>
        <v>3.5000000000000004</v>
      </c>
      <c r="R53" s="93">
        <f t="shared" si="2"/>
        <v>8750.0000000000018</v>
      </c>
      <c r="T53" s="44">
        <v>50</v>
      </c>
      <c r="U53" s="17" t="s">
        <v>6</v>
      </c>
      <c r="V53" s="93"/>
      <c r="W53" s="94"/>
      <c r="X53" s="93">
        <f t="shared" si="3"/>
        <v>0</v>
      </c>
    </row>
    <row r="54" spans="1:24" x14ac:dyDescent="0.35">
      <c r="B54" t="s">
        <v>95</v>
      </c>
      <c r="D54" t="s">
        <v>56</v>
      </c>
      <c r="E54" s="80">
        <f>VLOOKUP(D54,'Bu Erta'!$C$2:$E$66,3,0)</f>
        <v>4000</v>
      </c>
      <c r="F54">
        <v>1.85</v>
      </c>
      <c r="G54" s="80">
        <f t="shared" si="0"/>
        <v>7400</v>
      </c>
      <c r="H54" s="80">
        <f>VLOOKUP(D54,'Bu Erta'!$C$2:$F$66,4,0)*F54</f>
        <v>10175</v>
      </c>
      <c r="N54" s="44">
        <v>51</v>
      </c>
      <c r="O54" s="17" t="s">
        <v>59</v>
      </c>
      <c r="P54" s="93">
        <f>VLOOKUP(O54,'Bu Erta'!$C$2:$F$66,4,0)</f>
        <v>600</v>
      </c>
      <c r="Q54" s="94">
        <f t="shared" si="6"/>
        <v>0</v>
      </c>
      <c r="R54" s="93">
        <f t="shared" si="2"/>
        <v>0</v>
      </c>
      <c r="T54" s="44">
        <v>51</v>
      </c>
      <c r="U54" s="17" t="s">
        <v>59</v>
      </c>
      <c r="V54" s="93"/>
      <c r="W54" s="94"/>
      <c r="X54" s="93">
        <f t="shared" si="3"/>
        <v>0</v>
      </c>
    </row>
    <row r="55" spans="1:24" x14ac:dyDescent="0.35">
      <c r="B55" t="s">
        <v>95</v>
      </c>
      <c r="D55" t="s">
        <v>27</v>
      </c>
      <c r="E55" s="80">
        <f>VLOOKUP(D55,'Bu Erta'!$C$2:$E$66,3,0)</f>
        <v>2800</v>
      </c>
      <c r="F55">
        <f>0.3+1.8+1.8</f>
        <v>3.9000000000000004</v>
      </c>
      <c r="G55" s="80">
        <f t="shared" si="0"/>
        <v>10920.000000000002</v>
      </c>
      <c r="H55" s="80">
        <f>VLOOKUP(D55,'Bu Erta'!$C$2:$F$66,4,0)*F55</f>
        <v>12090.000000000002</v>
      </c>
      <c r="N55" s="44">
        <v>52</v>
      </c>
      <c r="O55" s="17" t="s">
        <v>60</v>
      </c>
      <c r="P55" s="93">
        <f>VLOOKUP(O55,'Bu Erta'!$C$2:$F$66,4,0)</f>
        <v>1500</v>
      </c>
      <c r="Q55" s="94">
        <f t="shared" si="6"/>
        <v>0</v>
      </c>
      <c r="R55" s="93">
        <f t="shared" si="2"/>
        <v>0</v>
      </c>
      <c r="T55" s="44">
        <v>52</v>
      </c>
      <c r="U55" s="17" t="s">
        <v>60</v>
      </c>
      <c r="V55" s="93"/>
      <c r="W55" s="94"/>
      <c r="X55" s="93">
        <f t="shared" si="3"/>
        <v>0</v>
      </c>
    </row>
    <row r="56" spans="1:24" x14ac:dyDescent="0.35">
      <c r="B56" t="s">
        <v>95</v>
      </c>
      <c r="D56" t="s">
        <v>25</v>
      </c>
      <c r="E56" s="80">
        <f>VLOOKUP(D56,'Bu Erta'!$C$2:$E$66,3,0)</f>
        <v>1600</v>
      </c>
      <c r="F56">
        <f>1.2+1.2+0.1+0.3</f>
        <v>2.8</v>
      </c>
      <c r="G56" s="80">
        <f t="shared" si="0"/>
        <v>4480</v>
      </c>
      <c r="H56" s="80">
        <f>VLOOKUP(D56,'Bu Erta'!$C$2:$F$66,4,0)*F56</f>
        <v>4760</v>
      </c>
      <c r="J56" s="69" t="s">
        <v>228</v>
      </c>
      <c r="N56" s="44">
        <v>53</v>
      </c>
      <c r="O56" s="17" t="s">
        <v>61</v>
      </c>
      <c r="P56" s="93">
        <f>VLOOKUP(O56,'Bu Erta'!$C$2:$F$66,4,0)</f>
        <v>900</v>
      </c>
      <c r="Q56" s="94">
        <f t="shared" si="6"/>
        <v>0</v>
      </c>
      <c r="R56" s="93">
        <f t="shared" si="2"/>
        <v>0</v>
      </c>
      <c r="T56" s="44">
        <v>53</v>
      </c>
      <c r="U56" s="17" t="s">
        <v>61</v>
      </c>
      <c r="V56" s="93"/>
      <c r="W56" s="94"/>
      <c r="X56" s="93">
        <f t="shared" si="3"/>
        <v>0</v>
      </c>
    </row>
    <row r="57" spans="1:24" x14ac:dyDescent="0.35">
      <c r="A57" s="5">
        <v>8</v>
      </c>
      <c r="B57" t="s">
        <v>178</v>
      </c>
      <c r="C57" s="5">
        <v>3</v>
      </c>
      <c r="D57" t="s">
        <v>19</v>
      </c>
      <c r="E57" s="80">
        <f>VLOOKUP(D57,'Bu Erta'!$C$2:$E$66,3,0)</f>
        <v>200</v>
      </c>
      <c r="F57">
        <f>0.45+0.25</f>
        <v>0.7</v>
      </c>
      <c r="G57" s="80">
        <f t="shared" si="0"/>
        <v>140</v>
      </c>
      <c r="H57" s="80">
        <f>VLOOKUP(D57,'Bu Erta'!$C$2:$F$66,4,0)*F57</f>
        <v>210</v>
      </c>
      <c r="J57" s="4">
        <f>R68+X68-GETPIVOTDATA("Sum of Total Harga",$J$4)</f>
        <v>81369</v>
      </c>
      <c r="N57" s="44">
        <v>54</v>
      </c>
      <c r="O57" s="17" t="s">
        <v>62</v>
      </c>
      <c r="P57" s="93">
        <f>VLOOKUP(O57,'Bu Erta'!$C$2:$F$66,4,0)</f>
        <v>500</v>
      </c>
      <c r="Q57" s="94">
        <f t="shared" si="6"/>
        <v>0</v>
      </c>
      <c r="R57" s="93">
        <f t="shared" si="2"/>
        <v>0</v>
      </c>
      <c r="T57" s="44">
        <v>54</v>
      </c>
      <c r="U57" s="17" t="s">
        <v>62</v>
      </c>
      <c r="V57" s="93"/>
      <c r="W57" s="94"/>
      <c r="X57" s="93">
        <f t="shared" si="3"/>
        <v>0</v>
      </c>
    </row>
    <row r="58" spans="1:24" x14ac:dyDescent="0.35">
      <c r="B58" t="s">
        <v>178</v>
      </c>
      <c r="D58" t="s">
        <v>88</v>
      </c>
      <c r="E58" s="80">
        <f>VLOOKUP(D58,'Bu Erta'!$C$2:$E$66,3,0)</f>
        <v>300</v>
      </c>
      <c r="F58">
        <f>1.05+2.3</f>
        <v>3.3499999999999996</v>
      </c>
      <c r="G58" s="80">
        <f t="shared" si="0"/>
        <v>1004.9999999999999</v>
      </c>
      <c r="H58" s="80">
        <f>VLOOKUP(D58,'Bu Erta'!$C$2:$F$66,4,0)*F58</f>
        <v>1339.9999999999998</v>
      </c>
      <c r="N58" s="44">
        <v>55</v>
      </c>
      <c r="O58" s="17" t="s">
        <v>63</v>
      </c>
      <c r="P58" s="93">
        <f>VLOOKUP(O58,'Bu Erta'!$C$2:$F$66,4,0)</f>
        <v>1000</v>
      </c>
      <c r="Q58" s="94">
        <f t="shared" si="6"/>
        <v>0</v>
      </c>
      <c r="R58" s="93">
        <f t="shared" si="2"/>
        <v>0</v>
      </c>
      <c r="T58" s="44">
        <v>55</v>
      </c>
      <c r="U58" s="17" t="s">
        <v>63</v>
      </c>
      <c r="V58" s="93"/>
      <c r="W58" s="94"/>
      <c r="X58" s="93">
        <f t="shared" si="3"/>
        <v>0</v>
      </c>
    </row>
    <row r="59" spans="1:24" x14ac:dyDescent="0.35">
      <c r="B59" t="s">
        <v>178</v>
      </c>
      <c r="D59" t="s">
        <v>23</v>
      </c>
      <c r="E59" s="80">
        <f>VLOOKUP(D59,'Bu Erta'!$C$2:$E$66,3,0)</f>
        <v>300</v>
      </c>
      <c r="F59">
        <v>2.7</v>
      </c>
      <c r="G59" s="80">
        <f t="shared" si="0"/>
        <v>810</v>
      </c>
      <c r="H59" s="80">
        <f>VLOOKUP(D59,'Bu Erta'!$C$2:$F$66,4,0)*F59</f>
        <v>1080</v>
      </c>
      <c r="N59" s="44">
        <v>56</v>
      </c>
      <c r="O59" s="17" t="s">
        <v>64</v>
      </c>
      <c r="P59" s="93">
        <f>VLOOKUP(O59,'Bu Erta'!$C$2:$F$66,4,0)</f>
        <v>900</v>
      </c>
      <c r="Q59" s="94">
        <f t="shared" si="6"/>
        <v>0</v>
      </c>
      <c r="R59" s="93">
        <f t="shared" si="2"/>
        <v>0</v>
      </c>
      <c r="T59" s="44">
        <v>56</v>
      </c>
      <c r="U59" s="17" t="s">
        <v>64</v>
      </c>
      <c r="V59" s="93"/>
      <c r="W59" s="94"/>
      <c r="X59" s="93">
        <f t="shared" si="3"/>
        <v>0</v>
      </c>
    </row>
    <row r="60" spans="1:24" x14ac:dyDescent="0.35">
      <c r="B60" t="s">
        <v>178</v>
      </c>
      <c r="D60" t="s">
        <v>31</v>
      </c>
      <c r="E60" s="80">
        <f>VLOOKUP(D60,'Bu Erta'!$C$2:$E$66,3,0)</f>
        <v>1000</v>
      </c>
      <c r="F60">
        <v>0.95</v>
      </c>
      <c r="G60" s="80">
        <f t="shared" si="0"/>
        <v>950</v>
      </c>
      <c r="H60" s="80">
        <f>VLOOKUP(D60,'Bu Erta'!$C$2:$F$66,4,0)*F60</f>
        <v>1045</v>
      </c>
      <c r="N60" s="44">
        <v>57</v>
      </c>
      <c r="O60" s="17" t="s">
        <v>65</v>
      </c>
      <c r="P60" s="93">
        <f>VLOOKUP(O60,'Bu Erta'!$C$2:$F$66,4,0)</f>
        <v>200</v>
      </c>
      <c r="Q60" s="94">
        <f t="shared" si="6"/>
        <v>0</v>
      </c>
      <c r="R60" s="93">
        <f t="shared" si="2"/>
        <v>0</v>
      </c>
      <c r="T60" s="44">
        <v>57</v>
      </c>
      <c r="U60" s="17" t="s">
        <v>65</v>
      </c>
      <c r="V60" s="93"/>
      <c r="W60" s="94"/>
      <c r="X60" s="93">
        <f t="shared" si="3"/>
        <v>0</v>
      </c>
    </row>
    <row r="61" spans="1:24" x14ac:dyDescent="0.35">
      <c r="B61" t="s">
        <v>178</v>
      </c>
      <c r="D61" t="s">
        <v>42</v>
      </c>
      <c r="E61" s="80">
        <f>VLOOKUP(D61,'Bu Erta'!$C$2:$E$66,3,0)</f>
        <v>1000</v>
      </c>
      <c r="F61">
        <f>4.85+4.2</f>
        <v>9.0500000000000007</v>
      </c>
      <c r="G61" s="80">
        <f t="shared" si="0"/>
        <v>9050</v>
      </c>
      <c r="H61" s="80">
        <f>VLOOKUP(D61,'Bu Erta'!$C$2:$F$66,4,0)*F61</f>
        <v>10860</v>
      </c>
      <c r="N61" s="44">
        <v>58</v>
      </c>
      <c r="O61" s="17" t="s">
        <v>66</v>
      </c>
      <c r="P61" s="93">
        <f>VLOOKUP(O61,'Bu Erta'!$C$2:$F$66,4,0)</f>
        <v>55000</v>
      </c>
      <c r="Q61" s="94">
        <f t="shared" si="6"/>
        <v>0</v>
      </c>
      <c r="R61" s="93">
        <f t="shared" si="2"/>
        <v>0</v>
      </c>
      <c r="T61" s="44">
        <v>58</v>
      </c>
      <c r="U61" s="17" t="s">
        <v>66</v>
      </c>
      <c r="V61" s="93"/>
      <c r="W61" s="94"/>
      <c r="X61" s="93">
        <f t="shared" si="3"/>
        <v>0</v>
      </c>
    </row>
    <row r="62" spans="1:24" x14ac:dyDescent="0.35">
      <c r="A62" s="5">
        <v>9</v>
      </c>
      <c r="B62" t="s">
        <v>105</v>
      </c>
      <c r="C62" s="5">
        <v>4</v>
      </c>
      <c r="D62" t="s">
        <v>19</v>
      </c>
      <c r="E62" s="80">
        <f>VLOOKUP(D62,'Bu Erta'!$C$2:$E$66,3,0)</f>
        <v>200</v>
      </c>
      <c r="F62">
        <v>0.35</v>
      </c>
      <c r="G62" s="80">
        <f t="shared" si="0"/>
        <v>70</v>
      </c>
      <c r="H62" s="80">
        <f>VLOOKUP(D62,'Bu Erta'!$C$2:$F$66,4,0)*F62</f>
        <v>105</v>
      </c>
      <c r="N62" s="44">
        <v>59</v>
      </c>
      <c r="O62" s="17" t="s">
        <v>67</v>
      </c>
      <c r="P62" s="93">
        <f>VLOOKUP(O62,'Bu Erta'!$C$2:$F$66,4,0)</f>
        <v>3000</v>
      </c>
      <c r="Q62" s="94">
        <f t="shared" si="6"/>
        <v>0.1</v>
      </c>
      <c r="R62" s="93">
        <f t="shared" si="2"/>
        <v>300</v>
      </c>
      <c r="T62" s="44">
        <v>59</v>
      </c>
      <c r="U62" s="17" t="s">
        <v>67</v>
      </c>
      <c r="V62" s="93"/>
      <c r="W62" s="94"/>
      <c r="X62" s="93">
        <f t="shared" si="3"/>
        <v>0</v>
      </c>
    </row>
    <row r="63" spans="1:24" x14ac:dyDescent="0.35">
      <c r="B63" t="s">
        <v>105</v>
      </c>
      <c r="D63" t="s">
        <v>88</v>
      </c>
      <c r="E63" s="80">
        <f>VLOOKUP(D63,'Bu Erta'!$C$2:$E$66,3,0)</f>
        <v>300</v>
      </c>
      <c r="F63">
        <v>0.75</v>
      </c>
      <c r="G63" s="80">
        <f t="shared" si="0"/>
        <v>225</v>
      </c>
      <c r="H63" s="80">
        <f>VLOOKUP(D63,'Bu Erta'!$C$2:$F$66,4,0)*F63</f>
        <v>300</v>
      </c>
      <c r="N63" s="44">
        <v>60</v>
      </c>
      <c r="O63" s="17" t="s">
        <v>68</v>
      </c>
      <c r="P63" s="93">
        <f>VLOOKUP(O63,'Bu Erta'!$C$2:$F$66,4,0)</f>
        <v>200</v>
      </c>
      <c r="Q63" s="94">
        <f t="shared" si="6"/>
        <v>0</v>
      </c>
      <c r="R63" s="93">
        <f t="shared" si="2"/>
        <v>0</v>
      </c>
      <c r="T63" s="44">
        <v>60</v>
      </c>
      <c r="U63" s="17" t="s">
        <v>68</v>
      </c>
      <c r="V63" s="93"/>
      <c r="W63" s="94"/>
      <c r="X63" s="93">
        <f t="shared" si="3"/>
        <v>0</v>
      </c>
    </row>
    <row r="64" spans="1:24" x14ac:dyDescent="0.35">
      <c r="B64" t="s">
        <v>105</v>
      </c>
      <c r="D64" t="s">
        <v>7</v>
      </c>
      <c r="E64" s="80">
        <f>VLOOKUP(D64,'Bu Erta'!$C$2:$E$66,3,0)</f>
        <v>1400</v>
      </c>
      <c r="F64">
        <v>0.5</v>
      </c>
      <c r="G64" s="80">
        <f t="shared" si="0"/>
        <v>700</v>
      </c>
      <c r="H64" s="80">
        <f>VLOOKUP(D64,'Bu Erta'!$C$2:$F$66,4,0)*F64</f>
        <v>800</v>
      </c>
      <c r="N64" s="44">
        <v>61</v>
      </c>
      <c r="O64" s="17" t="s">
        <v>69</v>
      </c>
      <c r="P64" s="93">
        <f>VLOOKUP(O64,'Bu Erta'!$C$2:$F$66,4,0)</f>
        <v>3000</v>
      </c>
      <c r="Q64" s="94">
        <f t="shared" si="6"/>
        <v>4.2000000000000011</v>
      </c>
      <c r="R64" s="93">
        <f t="shared" si="2"/>
        <v>12600.000000000004</v>
      </c>
      <c r="T64" s="44">
        <v>61</v>
      </c>
      <c r="U64" s="17" t="s">
        <v>69</v>
      </c>
      <c r="V64" s="93"/>
      <c r="W64" s="94"/>
      <c r="X64" s="93">
        <f t="shared" si="3"/>
        <v>0</v>
      </c>
    </row>
    <row r="65" spans="1:24" x14ac:dyDescent="0.35">
      <c r="B65" t="s">
        <v>105</v>
      </c>
      <c r="D65" t="s">
        <v>24</v>
      </c>
      <c r="E65" s="80">
        <f>VLOOKUP(D65,'Bu Erta'!$C$2:$E$66,3,0)</f>
        <v>150</v>
      </c>
      <c r="F65">
        <v>1.25</v>
      </c>
      <c r="G65" s="80">
        <f t="shared" si="0"/>
        <v>187.5</v>
      </c>
      <c r="H65" s="80">
        <f>VLOOKUP(D65,'Bu Erta'!$C$2:$F$66,4,0)*F65</f>
        <v>250</v>
      </c>
      <c r="N65" s="44">
        <v>62</v>
      </c>
      <c r="O65" s="17" t="s">
        <v>70</v>
      </c>
      <c r="P65" s="93">
        <f>VLOOKUP(O65,'Bu Erta'!$C$2:$F$66,4,0)</f>
        <v>4000</v>
      </c>
      <c r="Q65" s="94">
        <f t="shared" si="6"/>
        <v>1.4000000000000001</v>
      </c>
      <c r="R65" s="93">
        <f t="shared" si="2"/>
        <v>5600.0000000000009</v>
      </c>
      <c r="T65" s="44">
        <v>62</v>
      </c>
      <c r="U65" s="17" t="s">
        <v>70</v>
      </c>
      <c r="V65" s="93"/>
      <c r="W65" s="94"/>
      <c r="X65" s="93">
        <f t="shared" si="3"/>
        <v>0</v>
      </c>
    </row>
    <row r="66" spans="1:24" x14ac:dyDescent="0.35">
      <c r="B66" t="s">
        <v>105</v>
      </c>
      <c r="D66" t="s">
        <v>23</v>
      </c>
      <c r="E66" s="80">
        <f>VLOOKUP(D66,'Bu Erta'!$C$2:$E$66,3,0)</f>
        <v>300</v>
      </c>
      <c r="F66">
        <v>0.2</v>
      </c>
      <c r="G66" s="80">
        <f t="shared" si="0"/>
        <v>60</v>
      </c>
      <c r="H66" s="80">
        <f>VLOOKUP(D66,'Bu Erta'!$C$2:$F$66,4,0)*F66</f>
        <v>80</v>
      </c>
      <c r="N66" s="44">
        <v>63</v>
      </c>
      <c r="O66" s="17" t="s">
        <v>71</v>
      </c>
      <c r="P66" s="93">
        <f>VLOOKUP(O66,'Bu Erta'!$C$2:$F$66,4,0)</f>
        <v>10000</v>
      </c>
      <c r="Q66" s="94">
        <f t="shared" si="6"/>
        <v>1</v>
      </c>
      <c r="R66" s="93">
        <f t="shared" si="2"/>
        <v>10000</v>
      </c>
      <c r="T66" s="44">
        <v>63</v>
      </c>
      <c r="U66" s="17" t="s">
        <v>71</v>
      </c>
      <c r="V66" s="93"/>
      <c r="W66" s="94"/>
      <c r="X66" s="93">
        <f t="shared" si="3"/>
        <v>0</v>
      </c>
    </row>
    <row r="67" spans="1:24" x14ac:dyDescent="0.35">
      <c r="B67" t="s">
        <v>105</v>
      </c>
      <c r="D67" t="s">
        <v>31</v>
      </c>
      <c r="E67" s="80">
        <f>VLOOKUP(D67,'Bu Erta'!$C$2:$E$66,3,0)</f>
        <v>1000</v>
      </c>
      <c r="F67">
        <f>0.13+2.5</f>
        <v>2.63</v>
      </c>
      <c r="G67" s="80">
        <f t="shared" si="0"/>
        <v>2630</v>
      </c>
      <c r="H67" s="80">
        <f>VLOOKUP(D67,'Bu Erta'!$C$2:$F$66,4,0)*F67</f>
        <v>2893</v>
      </c>
      <c r="N67" s="44">
        <v>64</v>
      </c>
      <c r="O67" s="17" t="s">
        <v>72</v>
      </c>
      <c r="P67" s="93">
        <f>VLOOKUP(O67,'Bu Erta'!$C$2:$F$66,4,0)</f>
        <v>15000</v>
      </c>
      <c r="Q67" s="94">
        <f t="shared" si="6"/>
        <v>0</v>
      </c>
      <c r="R67" s="93">
        <f t="shared" si="2"/>
        <v>0</v>
      </c>
      <c r="T67" s="44">
        <v>64</v>
      </c>
      <c r="U67" s="17" t="s">
        <v>72</v>
      </c>
      <c r="V67" s="93"/>
      <c r="W67" s="94"/>
      <c r="X67" s="93">
        <f t="shared" si="3"/>
        <v>0</v>
      </c>
    </row>
    <row r="68" spans="1:24" x14ac:dyDescent="0.35">
      <c r="A68" s="5">
        <v>10</v>
      </c>
      <c r="E68" s="80"/>
      <c r="G68" s="80"/>
      <c r="H68" s="80"/>
      <c r="N68" s="17"/>
      <c r="O68" s="17"/>
      <c r="P68" s="95" t="s">
        <v>130</v>
      </c>
      <c r="Q68" s="95">
        <f>SUM(Q4:Q67)</f>
        <v>522.1400000000001</v>
      </c>
      <c r="R68" s="87">
        <f>SUM(R4:R67)</f>
        <v>736715.5</v>
      </c>
      <c r="T68" s="17"/>
      <c r="U68" s="17"/>
      <c r="V68" s="95" t="s">
        <v>130</v>
      </c>
      <c r="W68" s="95">
        <f>SUM(W4:W67)</f>
        <v>74.199999999999989</v>
      </c>
      <c r="X68" s="87">
        <f>SUM(X4:X67)</f>
        <v>54000</v>
      </c>
    </row>
    <row r="69" spans="1:24" x14ac:dyDescent="0.35">
      <c r="A69" s="5">
        <v>11</v>
      </c>
      <c r="B69" t="s">
        <v>116</v>
      </c>
      <c r="C69" s="5">
        <v>2</v>
      </c>
      <c r="D69" t="s">
        <v>25</v>
      </c>
      <c r="E69" s="80">
        <f>VLOOKUP(D69,'Bu Erta'!$C$2:$E$66,3,0)</f>
        <v>1600</v>
      </c>
      <c r="F69">
        <v>0.3</v>
      </c>
      <c r="G69" s="80">
        <f t="shared" ref="G69:G100" si="7">E69*F69</f>
        <v>480</v>
      </c>
      <c r="H69" s="80">
        <f>VLOOKUP(D69,'Bu Erta'!$C$2:$F$66,4,0)*F69</f>
        <v>510</v>
      </c>
    </row>
    <row r="70" spans="1:24" x14ac:dyDescent="0.35">
      <c r="B70" t="s">
        <v>116</v>
      </c>
      <c r="D70" t="s">
        <v>40</v>
      </c>
      <c r="E70" s="80">
        <f>VLOOKUP(D70,'Bu Erta'!$C$2:$E$66,3,0)</f>
        <v>1800</v>
      </c>
      <c r="F70">
        <f>0.7+1.85</f>
        <v>2.5499999999999998</v>
      </c>
      <c r="G70" s="80">
        <f t="shared" si="7"/>
        <v>4590</v>
      </c>
      <c r="H70" s="80">
        <f>VLOOKUP(D70,'Bu Erta'!$C$2:$F$66,4,0)*F70</f>
        <v>5100</v>
      </c>
    </row>
    <row r="71" spans="1:24" x14ac:dyDescent="0.35">
      <c r="B71" t="s">
        <v>116</v>
      </c>
      <c r="D71" t="s">
        <v>24</v>
      </c>
      <c r="E71" s="80">
        <f>VLOOKUP(D71,'Bu Erta'!$C$2:$E$66,3,0)</f>
        <v>150</v>
      </c>
      <c r="F71">
        <v>0.35</v>
      </c>
      <c r="G71" s="80">
        <f t="shared" si="7"/>
        <v>52.5</v>
      </c>
      <c r="H71" s="80">
        <f>VLOOKUP(D71,'Bu Erta'!$C$2:$F$66,4,0)*F71</f>
        <v>70</v>
      </c>
    </row>
    <row r="72" spans="1:24" x14ac:dyDescent="0.35">
      <c r="B72" t="s">
        <v>116</v>
      </c>
      <c r="D72" t="s">
        <v>41</v>
      </c>
      <c r="E72" s="80">
        <f>VLOOKUP(D72,'Bu Erta'!$C$2:$E$66,3,0)</f>
        <v>1500</v>
      </c>
      <c r="F72">
        <v>0.1</v>
      </c>
      <c r="G72" s="80">
        <f t="shared" si="7"/>
        <v>150</v>
      </c>
      <c r="H72" s="80">
        <f>VLOOKUP(D72,'Bu Erta'!$C$2:$F$66,4,0)*F72</f>
        <v>200</v>
      </c>
    </row>
    <row r="73" spans="1:24" x14ac:dyDescent="0.35">
      <c r="B73" t="s">
        <v>116</v>
      </c>
      <c r="D73" t="s">
        <v>31</v>
      </c>
      <c r="E73" s="80">
        <f>VLOOKUP(D73,'Bu Erta'!$C$2:$E$66,3,0)</f>
        <v>1000</v>
      </c>
      <c r="F73">
        <f>2.65+1.55</f>
        <v>4.2</v>
      </c>
      <c r="G73" s="80">
        <f t="shared" si="7"/>
        <v>4200</v>
      </c>
      <c r="H73" s="80">
        <f>VLOOKUP(D73,'Bu Erta'!$C$2:$F$66,4,0)*F73</f>
        <v>4620</v>
      </c>
    </row>
    <row r="74" spans="1:24" x14ac:dyDescent="0.35">
      <c r="A74" s="5">
        <v>12</v>
      </c>
      <c r="B74" t="s">
        <v>138</v>
      </c>
      <c r="C74" s="5">
        <v>1</v>
      </c>
      <c r="D74" t="s">
        <v>22</v>
      </c>
      <c r="E74" s="80">
        <f>VLOOKUP(D74,'Bu Erta'!$C$2:$E$66,3,0)</f>
        <v>2500</v>
      </c>
      <c r="F74">
        <v>4.3499999999999996</v>
      </c>
      <c r="G74" s="80">
        <f t="shared" si="7"/>
        <v>10875</v>
      </c>
      <c r="H74" s="80">
        <f>VLOOKUP(D74,'Bu Erta'!$C$2:$F$66,4,0)*F74</f>
        <v>13049.999999999998</v>
      </c>
    </row>
    <row r="75" spans="1:24" x14ac:dyDescent="0.35">
      <c r="B75" t="s">
        <v>138</v>
      </c>
      <c r="D75" t="s">
        <v>56</v>
      </c>
      <c r="E75" s="80">
        <f>VLOOKUP(D75,'Bu Erta'!$C$2:$E$66,3,0)</f>
        <v>4000</v>
      </c>
      <c r="F75">
        <v>0.1</v>
      </c>
      <c r="G75" s="80">
        <f t="shared" si="7"/>
        <v>400</v>
      </c>
      <c r="H75" s="80">
        <f>VLOOKUP(D75,'Bu Erta'!$C$2:$F$66,4,0)*F75</f>
        <v>550</v>
      </c>
    </row>
    <row r="76" spans="1:24" x14ac:dyDescent="0.35">
      <c r="B76" t="s">
        <v>138</v>
      </c>
      <c r="D76" t="s">
        <v>42</v>
      </c>
      <c r="E76" s="80">
        <f>VLOOKUP(D76,'Bu Erta'!$C$2:$E$66,3,0)</f>
        <v>1000</v>
      </c>
      <c r="F76">
        <v>1.8</v>
      </c>
      <c r="G76" s="80">
        <f t="shared" si="7"/>
        <v>1800</v>
      </c>
      <c r="H76" s="80">
        <f>VLOOKUP(D76,'Bu Erta'!$C$2:$F$66,4,0)*F76</f>
        <v>2160</v>
      </c>
    </row>
    <row r="77" spans="1:24" x14ac:dyDescent="0.35">
      <c r="B77" t="s">
        <v>138</v>
      </c>
      <c r="D77" t="s">
        <v>19</v>
      </c>
      <c r="E77" s="80">
        <f>VLOOKUP(D77,'Bu Erta'!$C$2:$E$66,3,0)</f>
        <v>200</v>
      </c>
      <c r="F77">
        <v>2.25</v>
      </c>
      <c r="G77" s="80">
        <f t="shared" si="7"/>
        <v>450</v>
      </c>
      <c r="H77" s="80">
        <f>VLOOKUP(D77,'Bu Erta'!$C$2:$F$66,4,0)*F77</f>
        <v>675</v>
      </c>
    </row>
    <row r="78" spans="1:24" x14ac:dyDescent="0.35">
      <c r="B78" t="s">
        <v>138</v>
      </c>
      <c r="D78" t="s">
        <v>44</v>
      </c>
      <c r="E78" s="80">
        <f>VLOOKUP(D78,'Bu Erta'!$C$2:$E$66,3,0)</f>
        <v>400</v>
      </c>
      <c r="F78">
        <v>1.1499999999999999</v>
      </c>
      <c r="G78" s="80">
        <f t="shared" si="7"/>
        <v>459.99999999999994</v>
      </c>
      <c r="H78" s="80">
        <f>VLOOKUP(D78,'Bu Erta'!$C$2:$F$66,4,0)*F78</f>
        <v>575</v>
      </c>
    </row>
    <row r="79" spans="1:24" x14ac:dyDescent="0.35">
      <c r="B79" t="s">
        <v>138</v>
      </c>
      <c r="D79" t="s">
        <v>88</v>
      </c>
      <c r="E79" s="80">
        <f>VLOOKUP(D79,'Bu Erta'!$C$2:$E$66,3,0)</f>
        <v>300</v>
      </c>
      <c r="F79">
        <v>0.5</v>
      </c>
      <c r="G79" s="80">
        <f t="shared" si="7"/>
        <v>150</v>
      </c>
      <c r="H79" s="80">
        <f>VLOOKUP(D79,'Bu Erta'!$C$2:$F$66,4,0)*F79</f>
        <v>200</v>
      </c>
    </row>
    <row r="80" spans="1:24" x14ac:dyDescent="0.35">
      <c r="B80" t="s">
        <v>138</v>
      </c>
      <c r="D80" t="s">
        <v>7</v>
      </c>
      <c r="E80" s="80">
        <f>VLOOKUP(D80,'Bu Erta'!$C$2:$E$66,3,0)</f>
        <v>1400</v>
      </c>
      <c r="F80">
        <v>0.55000000000000004</v>
      </c>
      <c r="G80" s="80">
        <f t="shared" si="7"/>
        <v>770.00000000000011</v>
      </c>
      <c r="H80" s="80">
        <f>VLOOKUP(D80,'Bu Erta'!$C$2:$F$66,4,0)*F80</f>
        <v>880.00000000000011</v>
      </c>
    </row>
    <row r="81" spans="1:8" x14ac:dyDescent="0.35">
      <c r="B81" t="s">
        <v>138</v>
      </c>
      <c r="D81" t="s">
        <v>23</v>
      </c>
      <c r="E81" s="80">
        <f>VLOOKUP(D81,'Bu Erta'!$C$2:$E$66,3,0)</f>
        <v>300</v>
      </c>
      <c r="F81">
        <v>0.55000000000000004</v>
      </c>
      <c r="G81" s="80">
        <f t="shared" si="7"/>
        <v>165</v>
      </c>
      <c r="H81" s="80">
        <f>VLOOKUP(D81,'Bu Erta'!$C$2:$F$66,4,0)*F81</f>
        <v>220.00000000000003</v>
      </c>
    </row>
    <row r="82" spans="1:8" x14ac:dyDescent="0.35">
      <c r="B82" t="s">
        <v>138</v>
      </c>
      <c r="D82" t="s">
        <v>46</v>
      </c>
      <c r="E82" s="80">
        <f>VLOOKUP(D82,'Bu Erta'!$C$2:$E$66,3,0)</f>
        <v>1400</v>
      </c>
      <c r="F82">
        <v>1.4</v>
      </c>
      <c r="G82" s="80">
        <f t="shared" si="7"/>
        <v>1959.9999999999998</v>
      </c>
      <c r="H82" s="80">
        <f>VLOOKUP(D82,'Bu Erta'!$C$2:$F$66,4,0)*F82</f>
        <v>2100</v>
      </c>
    </row>
    <row r="83" spans="1:8" x14ac:dyDescent="0.35">
      <c r="B83" t="s">
        <v>138</v>
      </c>
      <c r="D83" t="s">
        <v>25</v>
      </c>
      <c r="E83" s="80">
        <f>VLOOKUP(D83,'Bu Erta'!$C$2:$E$66,3,0)</f>
        <v>1600</v>
      </c>
      <c r="F83">
        <v>0.15</v>
      </c>
      <c r="G83" s="80">
        <f t="shared" si="7"/>
        <v>240</v>
      </c>
      <c r="H83" s="80">
        <f>VLOOKUP(D83,'Bu Erta'!$C$2:$F$66,4,0)*F83</f>
        <v>255</v>
      </c>
    </row>
    <row r="84" spans="1:8" x14ac:dyDescent="0.35">
      <c r="A84" s="5">
        <v>13</v>
      </c>
      <c r="B84" t="s">
        <v>181</v>
      </c>
      <c r="C84" s="5">
        <v>2</v>
      </c>
      <c r="D84" t="s">
        <v>27</v>
      </c>
      <c r="E84" s="80">
        <f>VLOOKUP(D84,'Bu Erta'!$C$2:$E$66,3,0)</f>
        <v>2800</v>
      </c>
      <c r="F84">
        <v>0.75</v>
      </c>
      <c r="G84" s="80">
        <f t="shared" si="7"/>
        <v>2100</v>
      </c>
      <c r="H84" s="80">
        <f>VLOOKUP(D84,'Bu Erta'!$C$2:$F$66,4,0)*F84</f>
        <v>2325</v>
      </c>
    </row>
    <row r="85" spans="1:8" x14ac:dyDescent="0.35">
      <c r="B85" t="s">
        <v>181</v>
      </c>
      <c r="D85" t="s">
        <v>88</v>
      </c>
      <c r="E85" s="80">
        <f>VLOOKUP(D85,'Bu Erta'!$C$2:$E$66,3,0)</f>
        <v>300</v>
      </c>
      <c r="F85">
        <v>0.3</v>
      </c>
      <c r="G85" s="80">
        <f t="shared" si="7"/>
        <v>90</v>
      </c>
      <c r="H85" s="80">
        <f>VLOOKUP(D85,'Bu Erta'!$C$2:$F$66,4,0)*F85</f>
        <v>120</v>
      </c>
    </row>
    <row r="86" spans="1:8" x14ac:dyDescent="0.35">
      <c r="B86" t="s">
        <v>181</v>
      </c>
      <c r="D86" t="s">
        <v>19</v>
      </c>
      <c r="E86" s="80">
        <f>VLOOKUP(D86,'Bu Erta'!$C$2:$E$66,3,0)</f>
        <v>200</v>
      </c>
      <c r="F86">
        <v>0.5</v>
      </c>
      <c r="G86" s="80">
        <f t="shared" si="7"/>
        <v>100</v>
      </c>
      <c r="H86" s="80">
        <f>VLOOKUP(D86,'Bu Erta'!$C$2:$F$66,4,0)*F86</f>
        <v>150</v>
      </c>
    </row>
    <row r="87" spans="1:8" x14ac:dyDescent="0.35">
      <c r="B87" t="s">
        <v>181</v>
      </c>
      <c r="D87" t="s">
        <v>69</v>
      </c>
      <c r="E87" s="80">
        <f>VLOOKUP(D87,'Bu Erta'!$C$2:$E$66,3,0)</f>
        <v>2500</v>
      </c>
      <c r="F87">
        <v>0.15</v>
      </c>
      <c r="G87" s="80">
        <f t="shared" si="7"/>
        <v>375</v>
      </c>
      <c r="H87" s="80">
        <f>VLOOKUP(D87,'Bu Erta'!$C$2:$F$66,4,0)*F87</f>
        <v>450</v>
      </c>
    </row>
    <row r="88" spans="1:8" x14ac:dyDescent="0.35">
      <c r="B88" t="s">
        <v>181</v>
      </c>
      <c r="D88" t="s">
        <v>23</v>
      </c>
      <c r="E88" s="80">
        <f>VLOOKUP(D88,'Bu Erta'!$C$2:$E$66,3,0)</f>
        <v>300</v>
      </c>
      <c r="F88">
        <v>0.65</v>
      </c>
      <c r="G88" s="80">
        <f t="shared" si="7"/>
        <v>195</v>
      </c>
      <c r="H88" s="80">
        <f>VLOOKUP(D88,'Bu Erta'!$C$2:$F$66,4,0)*F88</f>
        <v>260</v>
      </c>
    </row>
    <row r="89" spans="1:8" x14ac:dyDescent="0.35">
      <c r="B89" t="s">
        <v>181</v>
      </c>
      <c r="D89" t="s">
        <v>31</v>
      </c>
      <c r="E89" s="80">
        <f>VLOOKUP(D89,'Bu Erta'!$C$2:$E$66,3,0)</f>
        <v>1000</v>
      </c>
      <c r="F89">
        <v>1.1499999999999999</v>
      </c>
      <c r="G89" s="80">
        <f t="shared" si="7"/>
        <v>1150</v>
      </c>
      <c r="H89" s="80">
        <f>VLOOKUP(D89,'Bu Erta'!$C$2:$F$66,4,0)*F89</f>
        <v>1265</v>
      </c>
    </row>
    <row r="90" spans="1:8" x14ac:dyDescent="0.35">
      <c r="B90" t="s">
        <v>181</v>
      </c>
      <c r="D90" t="s">
        <v>42</v>
      </c>
      <c r="E90" s="80">
        <f>VLOOKUP(D90,'Bu Erta'!$C$2:$E$66,3,0)</f>
        <v>1000</v>
      </c>
      <c r="F90">
        <v>0.75</v>
      </c>
      <c r="G90" s="80">
        <f t="shared" si="7"/>
        <v>750</v>
      </c>
      <c r="H90" s="80">
        <f>VLOOKUP(D90,'Bu Erta'!$C$2:$F$66,4,0)*F90</f>
        <v>900</v>
      </c>
    </row>
    <row r="91" spans="1:8" x14ac:dyDescent="0.35">
      <c r="A91" s="5">
        <v>14</v>
      </c>
      <c r="B91" t="s">
        <v>327</v>
      </c>
      <c r="C91" s="5">
        <v>1</v>
      </c>
      <c r="D91" t="s">
        <v>31</v>
      </c>
      <c r="E91" s="80">
        <f>VLOOKUP(D91,'Bu Erta'!$C$2:$E$66,3,0)</f>
        <v>1000</v>
      </c>
      <c r="F91">
        <v>0.75</v>
      </c>
      <c r="G91" s="80">
        <f t="shared" si="7"/>
        <v>750</v>
      </c>
      <c r="H91" s="80">
        <f>VLOOKUP(D91,'Bu Erta'!$C$2:$F$66,4,0)*F91</f>
        <v>825</v>
      </c>
    </row>
    <row r="92" spans="1:8" x14ac:dyDescent="0.35">
      <c r="B92" t="s">
        <v>327</v>
      </c>
      <c r="D92" t="s">
        <v>19</v>
      </c>
      <c r="E92" s="80">
        <f>VLOOKUP(D92,'Bu Erta'!$C$2:$E$66,3,0)</f>
        <v>200</v>
      </c>
      <c r="F92">
        <v>0.5</v>
      </c>
      <c r="G92" s="80">
        <f t="shared" si="7"/>
        <v>100</v>
      </c>
      <c r="H92" s="80">
        <f>VLOOKUP(D92,'Bu Erta'!$C$2:$F$66,4,0)*F92</f>
        <v>150</v>
      </c>
    </row>
    <row r="93" spans="1:8" x14ac:dyDescent="0.35">
      <c r="B93" t="s">
        <v>327</v>
      </c>
      <c r="D93" t="s">
        <v>88</v>
      </c>
      <c r="E93" s="80">
        <f>VLOOKUP(D93,'Bu Erta'!$C$2:$E$66,3,0)</f>
        <v>300</v>
      </c>
      <c r="F93">
        <v>0.2</v>
      </c>
      <c r="G93" s="80">
        <f t="shared" si="7"/>
        <v>60</v>
      </c>
      <c r="H93" s="80">
        <f>VLOOKUP(D93,'Bu Erta'!$C$2:$F$66,4,0)*F93</f>
        <v>80</v>
      </c>
    </row>
    <row r="94" spans="1:8" x14ac:dyDescent="0.35">
      <c r="B94" t="s">
        <v>327</v>
      </c>
      <c r="D94" t="s">
        <v>41</v>
      </c>
      <c r="E94" s="80">
        <f>VLOOKUP(D94,'Bu Erta'!$C$2:$E$66,3,0)</f>
        <v>1500</v>
      </c>
      <c r="F94">
        <v>0.6</v>
      </c>
      <c r="G94" s="80">
        <f t="shared" si="7"/>
        <v>900</v>
      </c>
      <c r="H94" s="80">
        <f>VLOOKUP(D94,'Bu Erta'!$C$2:$F$66,4,0)*F94</f>
        <v>1200</v>
      </c>
    </row>
    <row r="95" spans="1:8" x14ac:dyDescent="0.35">
      <c r="B95" t="s">
        <v>327</v>
      </c>
      <c r="D95" t="s">
        <v>24</v>
      </c>
      <c r="E95" s="80">
        <f>VLOOKUP(D95,'Bu Erta'!$C$2:$E$66,3,0)</f>
        <v>150</v>
      </c>
      <c r="F95">
        <v>0.95</v>
      </c>
      <c r="G95" s="80">
        <f t="shared" si="7"/>
        <v>142.5</v>
      </c>
      <c r="H95" s="80">
        <f>VLOOKUP(D95,'Bu Erta'!$C$2:$F$66,4,0)*F95</f>
        <v>190</v>
      </c>
    </row>
    <row r="96" spans="1:8" x14ac:dyDescent="0.35">
      <c r="B96" t="s">
        <v>327</v>
      </c>
      <c r="D96" t="s">
        <v>7</v>
      </c>
      <c r="E96" s="80">
        <f>VLOOKUP(D96,'Bu Erta'!$C$2:$E$66,3,0)</f>
        <v>1400</v>
      </c>
      <c r="F96">
        <v>0.75</v>
      </c>
      <c r="G96" s="80">
        <f t="shared" si="7"/>
        <v>1050</v>
      </c>
      <c r="H96" s="80">
        <f>VLOOKUP(D96,'Bu Erta'!$C$2:$F$66,4,0)*F96</f>
        <v>1200</v>
      </c>
    </row>
    <row r="97" spans="1:8" x14ac:dyDescent="0.35">
      <c r="B97" t="s">
        <v>327</v>
      </c>
      <c r="D97" t="s">
        <v>23</v>
      </c>
      <c r="E97" s="80">
        <f>VLOOKUP(D97,'Bu Erta'!$C$2:$E$66,3,0)</f>
        <v>300</v>
      </c>
      <c r="F97">
        <v>0.9</v>
      </c>
      <c r="G97" s="80">
        <f t="shared" si="7"/>
        <v>270</v>
      </c>
      <c r="H97" s="80">
        <f>VLOOKUP(D97,'Bu Erta'!$C$2:$F$66,4,0)*F97</f>
        <v>360</v>
      </c>
    </row>
    <row r="98" spans="1:8" x14ac:dyDescent="0.35">
      <c r="B98" t="s">
        <v>327</v>
      </c>
      <c r="D98" t="s">
        <v>56</v>
      </c>
      <c r="E98" s="80">
        <f>VLOOKUP(D98,'Bu Erta'!$C$2:$E$66,3,0)</f>
        <v>4000</v>
      </c>
      <c r="F98">
        <v>0.7</v>
      </c>
      <c r="G98" s="80">
        <f t="shared" si="7"/>
        <v>2800</v>
      </c>
      <c r="H98" s="80">
        <f>VLOOKUP(D98,'Bu Erta'!$C$2:$F$66,4,0)*F98</f>
        <v>3849.9999999999995</v>
      </c>
    </row>
    <row r="99" spans="1:8" x14ac:dyDescent="0.35">
      <c r="A99" s="5">
        <v>15</v>
      </c>
      <c r="B99" t="s">
        <v>108</v>
      </c>
      <c r="C99" s="5">
        <v>2</v>
      </c>
      <c r="D99" t="s">
        <v>24</v>
      </c>
      <c r="E99" s="80">
        <f>VLOOKUP(D99,'Bu Erta'!$C$2:$E$66,3,0)</f>
        <v>150</v>
      </c>
      <c r="F99">
        <f>0.25+0.1</f>
        <v>0.35</v>
      </c>
      <c r="G99" s="80">
        <f t="shared" si="7"/>
        <v>52.5</v>
      </c>
      <c r="H99" s="80">
        <f>VLOOKUP(D99,'Bu Erta'!$C$2:$F$66,4,0)*F99</f>
        <v>70</v>
      </c>
    </row>
    <row r="100" spans="1:8" x14ac:dyDescent="0.35">
      <c r="B100" t="s">
        <v>108</v>
      </c>
      <c r="D100" t="s">
        <v>7</v>
      </c>
      <c r="E100" s="80">
        <f>VLOOKUP(D100,'Bu Erta'!$C$2:$E$66,3,0)</f>
        <v>1400</v>
      </c>
      <c r="F100">
        <f>0.35+0.45</f>
        <v>0.8</v>
      </c>
      <c r="G100" s="80">
        <f t="shared" si="7"/>
        <v>1120</v>
      </c>
      <c r="H100" s="80">
        <f>VLOOKUP(D100,'Bu Erta'!$C$2:$F$66,4,0)*F100</f>
        <v>1280</v>
      </c>
    </row>
    <row r="101" spans="1:8" x14ac:dyDescent="0.35">
      <c r="B101" t="s">
        <v>108</v>
      </c>
      <c r="D101" t="s">
        <v>23</v>
      </c>
      <c r="E101" s="80">
        <f>VLOOKUP(D101,'Bu Erta'!$C$2:$E$66,3,0)</f>
        <v>300</v>
      </c>
      <c r="F101">
        <v>0.2</v>
      </c>
      <c r="G101" s="80">
        <f t="shared" ref="G101:G127" si="8">E101*F101</f>
        <v>60</v>
      </c>
      <c r="H101" s="80">
        <f>VLOOKUP(D101,'Bu Erta'!$C$2:$F$66,4,0)*F101</f>
        <v>80</v>
      </c>
    </row>
    <row r="102" spans="1:8" x14ac:dyDescent="0.35">
      <c r="B102" t="s">
        <v>108</v>
      </c>
      <c r="D102" t="s">
        <v>27</v>
      </c>
      <c r="E102" s="80">
        <f>VLOOKUP(D102,'Bu Erta'!$C$2:$E$66,3,0)</f>
        <v>2800</v>
      </c>
      <c r="F102">
        <v>0.45</v>
      </c>
      <c r="G102" s="80">
        <f t="shared" si="8"/>
        <v>1260</v>
      </c>
      <c r="H102" s="80">
        <f>VLOOKUP(D102,'Bu Erta'!$C$2:$F$66,4,0)*F102</f>
        <v>1395</v>
      </c>
    </row>
    <row r="103" spans="1:8" x14ac:dyDescent="0.35">
      <c r="B103" t="s">
        <v>108</v>
      </c>
      <c r="D103" t="s">
        <v>88</v>
      </c>
      <c r="E103" s="80">
        <f>VLOOKUP(D103,'Bu Erta'!$C$2:$E$66,3,0)</f>
        <v>300</v>
      </c>
      <c r="F103">
        <v>0.5</v>
      </c>
      <c r="G103" s="80">
        <f t="shared" si="8"/>
        <v>150</v>
      </c>
      <c r="H103" s="80">
        <f>VLOOKUP(D103,'Bu Erta'!$C$2:$F$66,4,0)*F103</f>
        <v>200</v>
      </c>
    </row>
    <row r="104" spans="1:8" x14ac:dyDescent="0.35">
      <c r="A104" s="5">
        <v>16</v>
      </c>
      <c r="B104" t="s">
        <v>133</v>
      </c>
      <c r="C104" s="5">
        <v>4</v>
      </c>
      <c r="D104" t="s">
        <v>42</v>
      </c>
      <c r="E104" s="80">
        <f>VLOOKUP(D104,'Bu Erta'!$C$2:$E$66,3,0)</f>
        <v>1000</v>
      </c>
      <c r="F104">
        <v>7.35</v>
      </c>
      <c r="G104" s="80">
        <f t="shared" si="8"/>
        <v>7350</v>
      </c>
      <c r="H104" s="80">
        <f>VLOOKUP(D104,'Bu Erta'!$C$2:$F$66,4,0)*F104</f>
        <v>8820</v>
      </c>
    </row>
    <row r="105" spans="1:8" x14ac:dyDescent="0.35">
      <c r="B105" t="s">
        <v>133</v>
      </c>
      <c r="D105" t="s">
        <v>27</v>
      </c>
      <c r="E105" s="80">
        <f>VLOOKUP(D105,'Bu Erta'!$C$2:$E$66,3,0)</f>
        <v>2800</v>
      </c>
      <c r="F105">
        <f>0.45+0.95</f>
        <v>1.4</v>
      </c>
      <c r="G105" s="80">
        <f t="shared" si="8"/>
        <v>3919.9999999999995</v>
      </c>
      <c r="H105" s="80">
        <f>VLOOKUP(D105,'Bu Erta'!$C$2:$F$66,4,0)*F105</f>
        <v>4340</v>
      </c>
    </row>
    <row r="106" spans="1:8" x14ac:dyDescent="0.35">
      <c r="B106" t="s">
        <v>133</v>
      </c>
      <c r="D106" t="s">
        <v>7</v>
      </c>
      <c r="E106" s="80">
        <f>VLOOKUP(D106,'Bu Erta'!$C$2:$E$66,3,0)</f>
        <v>1400</v>
      </c>
      <c r="F106">
        <v>0.1</v>
      </c>
      <c r="G106" s="80">
        <f t="shared" si="8"/>
        <v>140</v>
      </c>
      <c r="H106" s="80">
        <f>VLOOKUP(D106,'Bu Erta'!$C$2:$F$66,4,0)*F106</f>
        <v>160</v>
      </c>
    </row>
    <row r="107" spans="1:8" x14ac:dyDescent="0.35">
      <c r="B107" t="s">
        <v>133</v>
      </c>
      <c r="D107" t="s">
        <v>69</v>
      </c>
      <c r="E107" s="80">
        <f>VLOOKUP(D107,'Bu Erta'!$C$2:$E$66,3,0)</f>
        <v>2500</v>
      </c>
      <c r="F107">
        <v>0.25</v>
      </c>
      <c r="G107" s="80">
        <f t="shared" si="8"/>
        <v>625</v>
      </c>
      <c r="H107" s="80">
        <f>VLOOKUP(D107,'Bu Erta'!$C$2:$F$66,4,0)*F107</f>
        <v>750</v>
      </c>
    </row>
    <row r="108" spans="1:8" x14ac:dyDescent="0.35">
      <c r="B108" t="s">
        <v>133</v>
      </c>
      <c r="D108" t="s">
        <v>70</v>
      </c>
      <c r="E108" s="80">
        <f>VLOOKUP(D108,'Bu Erta'!$C$2:$E$66,3,0)</f>
        <v>3500</v>
      </c>
      <c r="F108">
        <v>0.2</v>
      </c>
      <c r="G108" s="80">
        <f t="shared" si="8"/>
        <v>700</v>
      </c>
      <c r="H108" s="80">
        <f>VLOOKUP(D108,'Bu Erta'!$C$2:$F$66,4,0)*F108</f>
        <v>800</v>
      </c>
    </row>
    <row r="109" spans="1:8" x14ac:dyDescent="0.35">
      <c r="B109" t="s">
        <v>133</v>
      </c>
      <c r="D109" t="s">
        <v>41</v>
      </c>
      <c r="E109" s="80">
        <f>VLOOKUP(D109,'Bu Erta'!$C$2:$E$66,3,0)</f>
        <v>1500</v>
      </c>
      <c r="F109">
        <v>0.2</v>
      </c>
      <c r="G109" s="80">
        <f t="shared" si="8"/>
        <v>300</v>
      </c>
      <c r="H109" s="80">
        <f>VLOOKUP(D109,'Bu Erta'!$C$2:$F$66,4,0)*F109</f>
        <v>400</v>
      </c>
    </row>
    <row r="110" spans="1:8" x14ac:dyDescent="0.35">
      <c r="A110" s="5">
        <v>17</v>
      </c>
      <c r="B110" t="s">
        <v>120</v>
      </c>
      <c r="C110" s="5">
        <v>5</v>
      </c>
      <c r="D110" t="s">
        <v>69</v>
      </c>
      <c r="E110" s="80">
        <f>VLOOKUP(D110,'Bu Erta'!$C$2:$E$66,3,0)</f>
        <v>2500</v>
      </c>
      <c r="F110">
        <v>0.2</v>
      </c>
      <c r="G110" s="80">
        <f t="shared" si="8"/>
        <v>500</v>
      </c>
      <c r="H110" s="80">
        <f>VLOOKUP(D110,'Bu Erta'!$C$2:$F$66,4,0)*F110</f>
        <v>600</v>
      </c>
    </row>
    <row r="111" spans="1:8" x14ac:dyDescent="0.35">
      <c r="B111" t="s">
        <v>120</v>
      </c>
      <c r="D111" t="s">
        <v>42</v>
      </c>
      <c r="E111" s="80">
        <f>VLOOKUP(D111,'Bu Erta'!$C$2:$E$66,3,0)</f>
        <v>1000</v>
      </c>
      <c r="F111">
        <f>0.55+3.85</f>
        <v>4.4000000000000004</v>
      </c>
      <c r="G111" s="80">
        <f t="shared" si="8"/>
        <v>4400</v>
      </c>
      <c r="H111" s="80">
        <f>VLOOKUP(D111,'Bu Erta'!$C$2:$F$66,4,0)*F111</f>
        <v>5280</v>
      </c>
    </row>
    <row r="112" spans="1:8" x14ac:dyDescent="0.35">
      <c r="B112" t="s">
        <v>120</v>
      </c>
      <c r="D112" t="s">
        <v>23</v>
      </c>
      <c r="E112" s="80">
        <f>VLOOKUP(D112,'Bu Erta'!$C$2:$E$66,3,0)</f>
        <v>300</v>
      </c>
      <c r="F112">
        <v>0.2</v>
      </c>
      <c r="G112" s="80">
        <f t="shared" si="8"/>
        <v>60</v>
      </c>
      <c r="H112" s="80">
        <f>VLOOKUP(D112,'Bu Erta'!$C$2:$F$66,4,0)*F112</f>
        <v>80</v>
      </c>
    </row>
    <row r="113" spans="1:8" x14ac:dyDescent="0.35">
      <c r="B113" t="s">
        <v>120</v>
      </c>
      <c r="D113" t="s">
        <v>6</v>
      </c>
      <c r="E113" s="80">
        <f>VLOOKUP(D113,'Bu Erta'!$C$2:$E$66,3,0)</f>
        <v>2000</v>
      </c>
      <c r="F113">
        <v>0.2</v>
      </c>
      <c r="G113" s="80">
        <f t="shared" si="8"/>
        <v>400</v>
      </c>
      <c r="H113" s="80">
        <f>VLOOKUP(D113,'Bu Erta'!$C$2:$F$66,4,0)*F113</f>
        <v>500</v>
      </c>
    </row>
    <row r="114" spans="1:8" x14ac:dyDescent="0.35">
      <c r="B114" t="s">
        <v>120</v>
      </c>
      <c r="D114" t="s">
        <v>27</v>
      </c>
      <c r="E114" s="80">
        <f>VLOOKUP(D114,'Bu Erta'!$C$2:$E$66,3,0)</f>
        <v>2800</v>
      </c>
      <c r="F114">
        <v>1.75</v>
      </c>
      <c r="G114" s="80">
        <f t="shared" si="8"/>
        <v>4900</v>
      </c>
      <c r="H114" s="80">
        <f>VLOOKUP(D114,'Bu Erta'!$C$2:$F$66,4,0)*F114</f>
        <v>5425</v>
      </c>
    </row>
    <row r="115" spans="1:8" x14ac:dyDescent="0.35">
      <c r="B115" t="s">
        <v>120</v>
      </c>
      <c r="D115" t="s">
        <v>31</v>
      </c>
      <c r="E115" s="80">
        <f>VLOOKUP(D115,'Bu Erta'!$C$2:$E$66,3,0)</f>
        <v>1000</v>
      </c>
      <c r="F115">
        <f>1.3+0.7</f>
        <v>2</v>
      </c>
      <c r="G115" s="80">
        <f t="shared" si="8"/>
        <v>2000</v>
      </c>
      <c r="H115" s="80">
        <f>VLOOKUP(D115,'Bu Erta'!$C$2:$F$66,4,0)*F115</f>
        <v>2200</v>
      </c>
    </row>
    <row r="116" spans="1:8" x14ac:dyDescent="0.35">
      <c r="B116" t="s">
        <v>120</v>
      </c>
      <c r="D116" t="s">
        <v>19</v>
      </c>
      <c r="E116" s="80">
        <f>VLOOKUP(D116,'Bu Erta'!$C$2:$E$66,3,0)</f>
        <v>200</v>
      </c>
      <c r="F116">
        <v>0.8</v>
      </c>
      <c r="G116" s="80">
        <f t="shared" si="8"/>
        <v>160</v>
      </c>
      <c r="H116" s="80">
        <f>VLOOKUP(D116,'Bu Erta'!$C$2:$F$66,4,0)*F116</f>
        <v>240</v>
      </c>
    </row>
    <row r="117" spans="1:8" x14ac:dyDescent="0.35">
      <c r="B117" t="s">
        <v>120</v>
      </c>
      <c r="D117" t="s">
        <v>7</v>
      </c>
      <c r="E117" s="80">
        <f>VLOOKUP(D117,'Bu Erta'!$C$2:$E$66,3,0)</f>
        <v>1400</v>
      </c>
      <c r="F117">
        <v>1</v>
      </c>
      <c r="G117" s="80">
        <f t="shared" si="8"/>
        <v>1400</v>
      </c>
      <c r="H117" s="80">
        <f>VLOOKUP(D117,'Bu Erta'!$C$2:$F$66,4,0)*F117</f>
        <v>1600</v>
      </c>
    </row>
    <row r="118" spans="1:8" x14ac:dyDescent="0.35">
      <c r="B118" t="s">
        <v>120</v>
      </c>
      <c r="D118" t="s">
        <v>22</v>
      </c>
      <c r="E118" s="80">
        <f>VLOOKUP(D118,'Bu Erta'!$C$2:$E$66,3,0)</f>
        <v>2500</v>
      </c>
      <c r="F118">
        <v>0.3</v>
      </c>
      <c r="G118" s="80">
        <f t="shared" si="8"/>
        <v>750</v>
      </c>
      <c r="H118" s="80">
        <f>VLOOKUP(D118,'Bu Erta'!$C$2:$F$66,4,0)*F118</f>
        <v>900</v>
      </c>
    </row>
    <row r="119" spans="1:8" x14ac:dyDescent="0.35">
      <c r="A119" s="5">
        <v>18</v>
      </c>
      <c r="B119" t="s">
        <v>102</v>
      </c>
      <c r="C119" s="5">
        <v>4</v>
      </c>
      <c r="D119" t="s">
        <v>42</v>
      </c>
      <c r="E119" s="80">
        <f>VLOOKUP(D119,'Bu Erta'!$C$2:$E$66,3,0)</f>
        <v>1000</v>
      </c>
      <c r="F119">
        <v>9.1</v>
      </c>
      <c r="G119" s="80">
        <f t="shared" si="8"/>
        <v>9100</v>
      </c>
      <c r="H119" s="80">
        <f>VLOOKUP(D119,'Bu Erta'!$C$2:$F$66,4,0)*F119</f>
        <v>10920</v>
      </c>
    </row>
    <row r="120" spans="1:8" x14ac:dyDescent="0.35">
      <c r="B120" t="s">
        <v>102</v>
      </c>
      <c r="D120" t="s">
        <v>7</v>
      </c>
      <c r="E120" s="80">
        <f>VLOOKUP(D120,'Bu Erta'!$C$2:$E$66,3,0)</f>
        <v>1400</v>
      </c>
      <c r="F120">
        <v>0.7</v>
      </c>
      <c r="G120" s="80">
        <f t="shared" si="8"/>
        <v>979.99999999999989</v>
      </c>
      <c r="H120" s="80">
        <f>VLOOKUP(D120,'Bu Erta'!$C$2:$F$66,4,0)*F120</f>
        <v>1120</v>
      </c>
    </row>
    <row r="121" spans="1:8" x14ac:dyDescent="0.35">
      <c r="B121" t="s">
        <v>102</v>
      </c>
      <c r="D121" t="s">
        <v>19</v>
      </c>
      <c r="E121" s="80">
        <f>VLOOKUP(D121,'Bu Erta'!$C$2:$E$66,3,0)</f>
        <v>200</v>
      </c>
      <c r="F121">
        <v>0.4</v>
      </c>
      <c r="G121" s="80">
        <f t="shared" si="8"/>
        <v>80</v>
      </c>
      <c r="H121" s="80">
        <f>VLOOKUP(D121,'Bu Erta'!$C$2:$F$66,4,0)*F121</f>
        <v>120</v>
      </c>
    </row>
    <row r="122" spans="1:8" x14ac:dyDescent="0.35">
      <c r="B122" t="s">
        <v>102</v>
      </c>
      <c r="D122" t="s">
        <v>88</v>
      </c>
      <c r="E122" s="80">
        <f>VLOOKUP(D122,'Bu Erta'!$C$2:$E$66,3,0)</f>
        <v>300</v>
      </c>
      <c r="F122">
        <v>0.45</v>
      </c>
      <c r="G122" s="80">
        <f t="shared" si="8"/>
        <v>135</v>
      </c>
      <c r="H122" s="80">
        <f>VLOOKUP(D122,'Bu Erta'!$C$2:$F$66,4,0)*F122</f>
        <v>180</v>
      </c>
    </row>
    <row r="123" spans="1:8" x14ac:dyDescent="0.35">
      <c r="B123" t="s">
        <v>102</v>
      </c>
      <c r="D123" t="s">
        <v>25</v>
      </c>
      <c r="E123" s="80">
        <f>VLOOKUP(D123,'Bu Erta'!$C$2:$E$66,3,0)</f>
        <v>1600</v>
      </c>
      <c r="F123">
        <v>0.35</v>
      </c>
      <c r="G123" s="80">
        <f t="shared" si="8"/>
        <v>560</v>
      </c>
      <c r="H123" s="80">
        <f>VLOOKUP(D123,'Bu Erta'!$C$2:$F$66,4,0)*F123</f>
        <v>595</v>
      </c>
    </row>
    <row r="124" spans="1:8" x14ac:dyDescent="0.35">
      <c r="A124" s="5">
        <v>19</v>
      </c>
      <c r="B124" t="s">
        <v>358</v>
      </c>
      <c r="C124" s="5" t="s">
        <v>238</v>
      </c>
      <c r="D124" t="s">
        <v>42</v>
      </c>
      <c r="E124" s="80">
        <f>VLOOKUP(D124,'Bu Erta'!$C$2:$E$66,3,0)</f>
        <v>1000</v>
      </c>
      <c r="F124">
        <v>0.45</v>
      </c>
      <c r="G124" s="80">
        <f t="shared" si="8"/>
        <v>450</v>
      </c>
      <c r="H124" s="80">
        <f>VLOOKUP(D124,'Bu Erta'!$C$2:$F$66,4,0)*F124</f>
        <v>540</v>
      </c>
    </row>
    <row r="125" spans="1:8" x14ac:dyDescent="0.35">
      <c r="B125" t="s">
        <v>358</v>
      </c>
      <c r="D125" t="s">
        <v>19</v>
      </c>
      <c r="E125" s="80">
        <f>VLOOKUP(D125,'Bu Erta'!$C$2:$E$66,3,0)</f>
        <v>200</v>
      </c>
      <c r="F125">
        <v>0.05</v>
      </c>
      <c r="G125" s="80">
        <f t="shared" si="8"/>
        <v>10</v>
      </c>
      <c r="H125" s="80">
        <f>VLOOKUP(D125,'Bu Erta'!$C$2:$F$66,4,0)*F125</f>
        <v>15</v>
      </c>
    </row>
    <row r="126" spans="1:8" x14ac:dyDescent="0.35">
      <c r="B126" t="s">
        <v>358</v>
      </c>
      <c r="D126" t="s">
        <v>25</v>
      </c>
      <c r="E126" s="80">
        <f>VLOOKUP(D126,'Bu Erta'!$C$2:$E$66,3,0)</f>
        <v>1600</v>
      </c>
      <c r="F126">
        <v>0.5</v>
      </c>
      <c r="G126" s="80">
        <f t="shared" si="8"/>
        <v>800</v>
      </c>
      <c r="H126" s="80">
        <f>VLOOKUP(D126,'Bu Erta'!$C$2:$F$66,4,0)*F126</f>
        <v>850</v>
      </c>
    </row>
    <row r="127" spans="1:8" x14ac:dyDescent="0.35">
      <c r="A127" s="5">
        <v>20</v>
      </c>
      <c r="B127" t="s">
        <v>5</v>
      </c>
      <c r="C127" s="5">
        <v>2</v>
      </c>
      <c r="D127" t="s">
        <v>27</v>
      </c>
      <c r="E127" s="80">
        <f>VLOOKUP(D127,'Bu Erta'!$C$2:$E$66,3,0)</f>
        <v>2800</v>
      </c>
      <c r="F127">
        <f>1.2+0.5</f>
        <v>1.7</v>
      </c>
      <c r="G127" s="80">
        <f t="shared" si="8"/>
        <v>4760</v>
      </c>
      <c r="H127" s="80">
        <f>VLOOKUP(D127,'Bu Erta'!$C$2:$F$66,4,0)*F127</f>
        <v>5270</v>
      </c>
    </row>
    <row r="128" spans="1:8" x14ac:dyDescent="0.35">
      <c r="B128" t="s">
        <v>5</v>
      </c>
      <c r="D128" t="s">
        <v>7</v>
      </c>
      <c r="E128" s="80">
        <f>VLOOKUP(D128,'Bu Erta'!$C$2:$E$66,3,0)</f>
        <v>1400</v>
      </c>
      <c r="F128">
        <v>0.25</v>
      </c>
      <c r="G128" s="80">
        <f t="shared" ref="G128:G191" si="9">E128*F128</f>
        <v>350</v>
      </c>
      <c r="H128" s="80">
        <f>VLOOKUP(D128,'Bu Erta'!$C$2:$F$66,4,0)*F128</f>
        <v>400</v>
      </c>
    </row>
    <row r="129" spans="1:8" x14ac:dyDescent="0.35">
      <c r="B129" t="s">
        <v>5</v>
      </c>
      <c r="D129" t="s">
        <v>42</v>
      </c>
      <c r="E129" s="80">
        <f>VLOOKUP(D129,'Bu Erta'!$C$2:$E$66,3,0)</f>
        <v>1000</v>
      </c>
      <c r="F129">
        <v>2.65</v>
      </c>
      <c r="G129" s="80">
        <f t="shared" si="9"/>
        <v>2650</v>
      </c>
      <c r="H129" s="80">
        <f>VLOOKUP(D129,'Bu Erta'!$C$2:$F$66,4,0)*F129</f>
        <v>3180</v>
      </c>
    </row>
    <row r="130" spans="1:8" x14ac:dyDescent="0.35">
      <c r="A130" s="5">
        <v>21</v>
      </c>
      <c r="B130" t="s">
        <v>94</v>
      </c>
      <c r="C130" s="5">
        <v>4</v>
      </c>
      <c r="D130" t="s">
        <v>27</v>
      </c>
      <c r="E130" s="80">
        <f>VLOOKUP(D130,'Bu Erta'!$C$2:$E$66,3,0)</f>
        <v>2800</v>
      </c>
      <c r="F130">
        <v>0.5</v>
      </c>
      <c r="G130" s="80">
        <f t="shared" si="9"/>
        <v>1400</v>
      </c>
      <c r="H130" s="80">
        <f>VLOOKUP(D130,'Bu Erta'!$C$2:$F$66,4,0)*F130</f>
        <v>1550</v>
      </c>
    </row>
    <row r="131" spans="1:8" x14ac:dyDescent="0.35">
      <c r="B131" t="s">
        <v>94</v>
      </c>
      <c r="D131" t="s">
        <v>37</v>
      </c>
      <c r="E131" s="80">
        <f>VLOOKUP(D131,'Bu Erta'!$C$2:$E$66,3,0)</f>
        <v>1600</v>
      </c>
      <c r="F131">
        <v>0.25</v>
      </c>
      <c r="G131" s="80">
        <f t="shared" si="9"/>
        <v>400</v>
      </c>
      <c r="H131" s="80">
        <f>VLOOKUP(D131,'Bu Erta'!$C$2:$F$66,4,0)*F131</f>
        <v>500</v>
      </c>
    </row>
    <row r="132" spans="1:8" x14ac:dyDescent="0.35">
      <c r="B132" t="s">
        <v>94</v>
      </c>
      <c r="D132" t="s">
        <v>41</v>
      </c>
      <c r="E132" s="80">
        <f>VLOOKUP(D132,'Bu Erta'!$C$2:$E$66,3,0)</f>
        <v>1500</v>
      </c>
      <c r="F132">
        <v>0.35</v>
      </c>
      <c r="G132" s="80">
        <f t="shared" si="9"/>
        <v>525</v>
      </c>
      <c r="H132" s="80">
        <f>VLOOKUP(D132,'Bu Erta'!$C$2:$F$66,4,0)*F132</f>
        <v>700</v>
      </c>
    </row>
    <row r="133" spans="1:8" x14ac:dyDescent="0.35">
      <c r="B133" t="s">
        <v>94</v>
      </c>
      <c r="D133" t="s">
        <v>42</v>
      </c>
      <c r="E133" s="80">
        <f>VLOOKUP(D133,'Bu Erta'!$C$2:$E$66,3,0)</f>
        <v>1000</v>
      </c>
      <c r="F133">
        <v>0.45</v>
      </c>
      <c r="G133" s="80">
        <f t="shared" si="9"/>
        <v>450</v>
      </c>
      <c r="H133" s="80">
        <f>VLOOKUP(D133,'Bu Erta'!$C$2:$F$66,4,0)*F133</f>
        <v>540</v>
      </c>
    </row>
    <row r="134" spans="1:8" x14ac:dyDescent="0.35">
      <c r="B134" t="s">
        <v>94</v>
      </c>
      <c r="D134" t="s">
        <v>49</v>
      </c>
      <c r="E134" s="80">
        <f>VLOOKUP(D134,'Bu Erta'!$C$2:$E$66,3,0)</f>
        <v>800</v>
      </c>
      <c r="F134">
        <v>0.5</v>
      </c>
      <c r="G134" s="80">
        <f t="shared" si="9"/>
        <v>400</v>
      </c>
      <c r="H134" s="80">
        <f>VLOOKUP(D134,'Bu Erta'!$C$2:$F$66,4,0)*F134</f>
        <v>450</v>
      </c>
    </row>
    <row r="135" spans="1:8" x14ac:dyDescent="0.35">
      <c r="B135" t="s">
        <v>94</v>
      </c>
      <c r="D135" t="s">
        <v>88</v>
      </c>
      <c r="E135" s="80">
        <f>VLOOKUP(D135,'Bu Erta'!$C$2:$E$66,3,0)</f>
        <v>300</v>
      </c>
      <c r="F135">
        <v>0.3</v>
      </c>
      <c r="G135" s="80">
        <f t="shared" si="9"/>
        <v>90</v>
      </c>
      <c r="H135" s="80">
        <f>VLOOKUP(D135,'Bu Erta'!$C$2:$F$66,4,0)*F135</f>
        <v>120</v>
      </c>
    </row>
    <row r="136" spans="1:8" x14ac:dyDescent="0.35">
      <c r="B136" t="s">
        <v>94</v>
      </c>
      <c r="D136" t="s">
        <v>24</v>
      </c>
      <c r="E136" s="80">
        <f>VLOOKUP(D136,'Bu Erta'!$C$2:$E$66,3,0)</f>
        <v>150</v>
      </c>
      <c r="F136">
        <v>0.5</v>
      </c>
      <c r="G136" s="80">
        <f t="shared" si="9"/>
        <v>75</v>
      </c>
      <c r="H136" s="80">
        <f>VLOOKUP(D136,'Bu Erta'!$C$2:$F$66,4,0)*F136</f>
        <v>100</v>
      </c>
    </row>
    <row r="137" spans="1:8" x14ac:dyDescent="0.35">
      <c r="B137" t="s">
        <v>94</v>
      </c>
      <c r="D137" t="s">
        <v>7</v>
      </c>
      <c r="E137" s="80">
        <f>VLOOKUP(D137,'Bu Erta'!$C$2:$E$66,3,0)</f>
        <v>1400</v>
      </c>
      <c r="F137">
        <v>1.1499999999999999</v>
      </c>
      <c r="G137" s="80">
        <f t="shared" si="9"/>
        <v>1609.9999999999998</v>
      </c>
      <c r="H137" s="80">
        <f>VLOOKUP(D137,'Bu Erta'!$C$2:$F$66,4,0)*F137</f>
        <v>1839.9999999999998</v>
      </c>
    </row>
    <row r="138" spans="1:8" x14ac:dyDescent="0.35">
      <c r="A138" s="5">
        <v>22</v>
      </c>
      <c r="B138" t="s">
        <v>147</v>
      </c>
      <c r="C138" s="5">
        <v>3</v>
      </c>
      <c r="D138" t="s">
        <v>31</v>
      </c>
      <c r="E138" s="80">
        <f>VLOOKUP(D138,'Bu Erta'!$C$2:$E$66,3,0)</f>
        <v>1000</v>
      </c>
      <c r="F138">
        <v>2.15</v>
      </c>
      <c r="G138" s="80">
        <f t="shared" si="9"/>
        <v>2150</v>
      </c>
      <c r="H138" s="80">
        <f>VLOOKUP(D138,'Bu Erta'!$C$2:$F$66,4,0)*F138</f>
        <v>2365</v>
      </c>
    </row>
    <row r="139" spans="1:8" x14ac:dyDescent="0.35">
      <c r="B139" t="s">
        <v>147</v>
      </c>
      <c r="D139" t="s">
        <v>7</v>
      </c>
      <c r="E139" s="80">
        <f>VLOOKUP(D139,'Bu Erta'!$C$2:$E$66,3,0)</f>
        <v>1400</v>
      </c>
      <c r="F139">
        <v>0.8</v>
      </c>
      <c r="G139" s="80">
        <f t="shared" si="9"/>
        <v>1120</v>
      </c>
      <c r="H139" s="80">
        <f>VLOOKUP(D139,'Bu Erta'!$C$2:$F$66,4,0)*F139</f>
        <v>1280</v>
      </c>
    </row>
    <row r="140" spans="1:8" x14ac:dyDescent="0.35">
      <c r="B140" t="s">
        <v>147</v>
      </c>
      <c r="D140" t="s">
        <v>42</v>
      </c>
      <c r="E140" s="80">
        <f>VLOOKUP(D140,'Bu Erta'!$C$2:$E$66,3,0)</f>
        <v>1000</v>
      </c>
      <c r="F140">
        <v>1.2</v>
      </c>
      <c r="G140" s="80">
        <f t="shared" si="9"/>
        <v>1200</v>
      </c>
      <c r="H140" s="80">
        <f>VLOOKUP(D140,'Bu Erta'!$C$2:$F$66,4,0)*F140</f>
        <v>1440</v>
      </c>
    </row>
    <row r="141" spans="1:8" x14ac:dyDescent="0.35">
      <c r="B141" t="s">
        <v>147</v>
      </c>
      <c r="D141" t="s">
        <v>88</v>
      </c>
      <c r="E141" s="80">
        <f>VLOOKUP(D141,'Bu Erta'!$C$2:$E$66,3,0)</f>
        <v>300</v>
      </c>
      <c r="F141">
        <v>1.4</v>
      </c>
      <c r="G141" s="80">
        <f t="shared" si="9"/>
        <v>420</v>
      </c>
      <c r="H141" s="80">
        <f>VLOOKUP(D141,'Bu Erta'!$C$2:$F$66,4,0)*F141</f>
        <v>560</v>
      </c>
    </row>
    <row r="142" spans="1:8" x14ac:dyDescent="0.35">
      <c r="B142" t="s">
        <v>147</v>
      </c>
      <c r="D142" t="s">
        <v>19</v>
      </c>
      <c r="E142" s="80">
        <f>VLOOKUP(D142,'Bu Erta'!$C$2:$E$66,3,0)</f>
        <v>200</v>
      </c>
      <c r="F142">
        <v>0.4</v>
      </c>
      <c r="G142" s="80">
        <f t="shared" si="9"/>
        <v>80</v>
      </c>
      <c r="H142" s="80">
        <f>VLOOKUP(D142,'Bu Erta'!$C$2:$F$66,4,0)*F142</f>
        <v>120</v>
      </c>
    </row>
    <row r="143" spans="1:8" x14ac:dyDescent="0.35">
      <c r="A143" s="5">
        <v>23</v>
      </c>
      <c r="B143" t="s">
        <v>100</v>
      </c>
      <c r="C143" s="5">
        <v>4</v>
      </c>
      <c r="D143" t="s">
        <v>46</v>
      </c>
      <c r="E143" s="80">
        <f>VLOOKUP(D143,'Bu Erta'!$C$2:$E$66,3,0)</f>
        <v>1400</v>
      </c>
      <c r="F143">
        <v>11.4</v>
      </c>
      <c r="G143" s="80">
        <f t="shared" si="9"/>
        <v>15960</v>
      </c>
      <c r="H143" s="80">
        <f>VLOOKUP(D143,'Bu Erta'!$C$2:$F$66,4,0)*F143</f>
        <v>17100</v>
      </c>
    </row>
    <row r="144" spans="1:8" x14ac:dyDescent="0.35">
      <c r="B144" t="s">
        <v>100</v>
      </c>
      <c r="D144" t="s">
        <v>19</v>
      </c>
      <c r="E144" s="80">
        <f>VLOOKUP(D144,'Bu Erta'!$C$2:$E$66,3,0)</f>
        <v>200</v>
      </c>
      <c r="F144">
        <v>0.45</v>
      </c>
      <c r="G144" s="80">
        <f t="shared" si="9"/>
        <v>90</v>
      </c>
      <c r="H144" s="80">
        <f>VLOOKUP(D144,'Bu Erta'!$C$2:$F$66,4,0)*F144</f>
        <v>135</v>
      </c>
    </row>
    <row r="145" spans="1:8" x14ac:dyDescent="0.35">
      <c r="B145" t="s">
        <v>100</v>
      </c>
      <c r="D145" t="s">
        <v>88</v>
      </c>
      <c r="E145" s="80">
        <f>VLOOKUP(D145,'Bu Erta'!$C$2:$E$66,3,0)</f>
        <v>300</v>
      </c>
      <c r="F145">
        <v>0.25</v>
      </c>
      <c r="G145" s="80">
        <f t="shared" si="9"/>
        <v>75</v>
      </c>
      <c r="H145" s="80">
        <f>VLOOKUP(D145,'Bu Erta'!$C$2:$F$66,4,0)*F145</f>
        <v>100</v>
      </c>
    </row>
    <row r="146" spans="1:8" x14ac:dyDescent="0.35">
      <c r="B146" t="s">
        <v>100</v>
      </c>
      <c r="D146" t="s">
        <v>31</v>
      </c>
      <c r="E146" s="80">
        <f>VLOOKUP(D146,'Bu Erta'!$C$2:$E$66,3,0)</f>
        <v>1000</v>
      </c>
      <c r="F146">
        <v>1.05</v>
      </c>
      <c r="G146" s="80">
        <f t="shared" si="9"/>
        <v>1050</v>
      </c>
      <c r="H146" s="80">
        <f>VLOOKUP(D146,'Bu Erta'!$C$2:$F$66,4,0)*F146</f>
        <v>1155</v>
      </c>
    </row>
    <row r="147" spans="1:8" x14ac:dyDescent="0.35">
      <c r="B147" t="s">
        <v>100</v>
      </c>
      <c r="D147" t="s">
        <v>24</v>
      </c>
      <c r="E147" s="80">
        <f>VLOOKUP(D147,'Bu Erta'!$C$2:$E$66,3,0)</f>
        <v>150</v>
      </c>
      <c r="F147">
        <v>1.2</v>
      </c>
      <c r="G147" s="80">
        <f t="shared" si="9"/>
        <v>180</v>
      </c>
      <c r="H147" s="80">
        <f>VLOOKUP(D147,'Bu Erta'!$C$2:$F$66,4,0)*F147</f>
        <v>240</v>
      </c>
    </row>
    <row r="148" spans="1:8" x14ac:dyDescent="0.35">
      <c r="B148" t="s">
        <v>100</v>
      </c>
      <c r="D148" t="s">
        <v>41</v>
      </c>
      <c r="E148" s="80">
        <f>VLOOKUP(D148,'Bu Erta'!$C$2:$E$66,3,0)</f>
        <v>1500</v>
      </c>
      <c r="F148">
        <v>0.5</v>
      </c>
      <c r="G148" s="80">
        <f t="shared" si="9"/>
        <v>750</v>
      </c>
      <c r="H148" s="80">
        <f>VLOOKUP(D148,'Bu Erta'!$C$2:$F$66,4,0)*F148</f>
        <v>1000</v>
      </c>
    </row>
    <row r="149" spans="1:8" x14ac:dyDescent="0.35">
      <c r="B149" t="s">
        <v>100</v>
      </c>
      <c r="D149" t="s">
        <v>7</v>
      </c>
      <c r="E149" s="80">
        <f>VLOOKUP(D149,'Bu Erta'!$C$2:$E$66,3,0)</f>
        <v>1400</v>
      </c>
      <c r="F149">
        <v>0.1</v>
      </c>
      <c r="G149" s="80">
        <f t="shared" si="9"/>
        <v>140</v>
      </c>
      <c r="H149" s="80">
        <f>VLOOKUP(D149,'Bu Erta'!$C$2:$F$66,4,0)*F149</f>
        <v>160</v>
      </c>
    </row>
    <row r="150" spans="1:8" x14ac:dyDescent="0.35">
      <c r="B150" t="s">
        <v>100</v>
      </c>
      <c r="D150" t="s">
        <v>6</v>
      </c>
      <c r="E150" s="80">
        <f>VLOOKUP(D150,'Bu Erta'!$C$2:$E$66,3,0)</f>
        <v>2000</v>
      </c>
      <c r="F150">
        <v>0.2</v>
      </c>
      <c r="G150" s="80">
        <f t="shared" si="9"/>
        <v>400</v>
      </c>
      <c r="H150" s="80">
        <f>VLOOKUP(D150,'Bu Erta'!$C$2:$F$66,4,0)*F150</f>
        <v>500</v>
      </c>
    </row>
    <row r="151" spans="1:8" x14ac:dyDescent="0.35">
      <c r="B151" t="s">
        <v>100</v>
      </c>
      <c r="D151" t="s">
        <v>23</v>
      </c>
      <c r="E151" s="80">
        <f>VLOOKUP(D151,'Bu Erta'!$C$2:$E$66,3,0)</f>
        <v>300</v>
      </c>
      <c r="F151">
        <v>0.9</v>
      </c>
      <c r="G151" s="80">
        <f t="shared" si="9"/>
        <v>270</v>
      </c>
      <c r="H151" s="80">
        <f>VLOOKUP(D151,'Bu Erta'!$C$2:$F$66,4,0)*F151</f>
        <v>360</v>
      </c>
    </row>
    <row r="152" spans="1:8" x14ac:dyDescent="0.35">
      <c r="B152" t="s">
        <v>100</v>
      </c>
      <c r="D152" t="s">
        <v>42</v>
      </c>
      <c r="E152" s="80">
        <f>VLOOKUP(D152,'Bu Erta'!$C$2:$E$66,3,0)</f>
        <v>1000</v>
      </c>
      <c r="F152">
        <v>3.45</v>
      </c>
      <c r="G152" s="80">
        <f t="shared" si="9"/>
        <v>3450</v>
      </c>
      <c r="H152" s="80">
        <f>VLOOKUP(D152,'Bu Erta'!$C$2:$F$66,4,0)*F152</f>
        <v>4140</v>
      </c>
    </row>
    <row r="153" spans="1:8" x14ac:dyDescent="0.35">
      <c r="B153" t="s">
        <v>100</v>
      </c>
      <c r="D153" t="s">
        <v>71</v>
      </c>
      <c r="E153" s="80">
        <f>VLOOKUP(D153,'Bu Erta'!$C$2:$E$66,3,0)</f>
        <v>8000</v>
      </c>
      <c r="F153">
        <v>1</v>
      </c>
      <c r="G153" s="80">
        <f t="shared" si="9"/>
        <v>8000</v>
      </c>
      <c r="H153" s="80">
        <f>VLOOKUP(D153,'Bu Erta'!$C$2:$F$66,4,0)*F153</f>
        <v>10000</v>
      </c>
    </row>
    <row r="154" spans="1:8" x14ac:dyDescent="0.35">
      <c r="A154" s="5">
        <v>24</v>
      </c>
      <c r="B154" t="s">
        <v>139</v>
      </c>
      <c r="C154" s="5">
        <v>1</v>
      </c>
      <c r="D154" t="s">
        <v>19</v>
      </c>
      <c r="E154" s="80">
        <f>VLOOKUP(D154,'Bu Erta'!$C$2:$E$66,3,0)</f>
        <v>200</v>
      </c>
      <c r="F154">
        <v>1.1000000000000001</v>
      </c>
      <c r="G154" s="80">
        <f t="shared" si="9"/>
        <v>220.00000000000003</v>
      </c>
      <c r="H154" s="80">
        <f>VLOOKUP(D154,'Bu Erta'!$C$2:$F$66,4,0)*F154</f>
        <v>330</v>
      </c>
    </row>
    <row r="155" spans="1:8" x14ac:dyDescent="0.35">
      <c r="B155" t="s">
        <v>139</v>
      </c>
      <c r="D155" t="s">
        <v>88</v>
      </c>
      <c r="E155" s="80">
        <f>VLOOKUP(D155,'Bu Erta'!$C$2:$E$66,3,0)</f>
        <v>300</v>
      </c>
      <c r="F155">
        <f>3.3+0.95</f>
        <v>4.25</v>
      </c>
      <c r="G155" s="80">
        <f t="shared" si="9"/>
        <v>1275</v>
      </c>
      <c r="H155" s="80">
        <f>VLOOKUP(D155,'Bu Erta'!$C$2:$F$66,4,0)*F155</f>
        <v>1700</v>
      </c>
    </row>
    <row r="156" spans="1:8" x14ac:dyDescent="0.35">
      <c r="B156" t="s">
        <v>139</v>
      </c>
      <c r="D156" t="s">
        <v>31</v>
      </c>
      <c r="E156" s="80">
        <f>VLOOKUP(D156,'Bu Erta'!$C$2:$E$66,3,0)</f>
        <v>1000</v>
      </c>
      <c r="F156">
        <v>1.1499999999999999</v>
      </c>
      <c r="G156" s="80">
        <f t="shared" si="9"/>
        <v>1150</v>
      </c>
      <c r="H156" s="80">
        <f>VLOOKUP(D156,'Bu Erta'!$C$2:$F$66,4,0)*F156</f>
        <v>1265</v>
      </c>
    </row>
    <row r="157" spans="1:8" x14ac:dyDescent="0.35">
      <c r="B157" t="s">
        <v>139</v>
      </c>
      <c r="D157" t="s">
        <v>22</v>
      </c>
      <c r="E157" s="80">
        <f>VLOOKUP(D157,'Bu Erta'!$C$2:$E$66,3,0)</f>
        <v>2500</v>
      </c>
      <c r="F157">
        <v>1</v>
      </c>
      <c r="G157" s="80">
        <f t="shared" si="9"/>
        <v>2500</v>
      </c>
      <c r="H157" s="80">
        <f>VLOOKUP(D157,'Bu Erta'!$C$2:$F$66,4,0)*F157</f>
        <v>3000</v>
      </c>
    </row>
    <row r="158" spans="1:8" x14ac:dyDescent="0.35">
      <c r="A158" s="5">
        <v>25</v>
      </c>
      <c r="B158" t="s">
        <v>76</v>
      </c>
      <c r="C158" s="5">
        <v>3</v>
      </c>
      <c r="D158" t="s">
        <v>19</v>
      </c>
      <c r="E158" s="80">
        <f>VLOOKUP(D158,'Bu Erta'!$C$2:$E$66,3,0)</f>
        <v>200</v>
      </c>
      <c r="F158">
        <v>1.35</v>
      </c>
      <c r="G158" s="80">
        <f t="shared" si="9"/>
        <v>270</v>
      </c>
      <c r="H158" s="80">
        <f>VLOOKUP(D158,'Bu Erta'!$C$2:$F$66,4,0)*F158</f>
        <v>405</v>
      </c>
    </row>
    <row r="159" spans="1:8" x14ac:dyDescent="0.35">
      <c r="B159" t="s">
        <v>76</v>
      </c>
      <c r="D159" t="s">
        <v>88</v>
      </c>
      <c r="E159" s="80">
        <f>VLOOKUP(D159,'Bu Erta'!$C$2:$E$66,3,0)</f>
        <v>300</v>
      </c>
      <c r="F159">
        <v>0.65</v>
      </c>
      <c r="G159" s="80">
        <f t="shared" si="9"/>
        <v>195</v>
      </c>
      <c r="H159" s="80">
        <f>VLOOKUP(D159,'Bu Erta'!$C$2:$F$66,4,0)*F159</f>
        <v>260</v>
      </c>
    </row>
    <row r="160" spans="1:8" x14ac:dyDescent="0.35">
      <c r="B160" t="s">
        <v>76</v>
      </c>
      <c r="D160" t="s">
        <v>23</v>
      </c>
      <c r="E160" s="80">
        <f>VLOOKUP(D160,'Bu Erta'!$C$2:$E$66,3,0)</f>
        <v>300</v>
      </c>
      <c r="F160">
        <v>1.4</v>
      </c>
      <c r="G160" s="80">
        <f t="shared" si="9"/>
        <v>420</v>
      </c>
      <c r="H160" s="80">
        <f>VLOOKUP(D160,'Bu Erta'!$C$2:$F$66,4,0)*F160</f>
        <v>560</v>
      </c>
    </row>
    <row r="161" spans="1:8" x14ac:dyDescent="0.35">
      <c r="B161" t="s">
        <v>76</v>
      </c>
      <c r="D161" t="s">
        <v>27</v>
      </c>
      <c r="E161" s="80">
        <f>VLOOKUP(D161,'Bu Erta'!$C$2:$E$66,3,0)</f>
        <v>2800</v>
      </c>
      <c r="F161">
        <v>1.1499999999999999</v>
      </c>
      <c r="G161" s="80">
        <f t="shared" si="9"/>
        <v>3219.9999999999995</v>
      </c>
      <c r="H161" s="80">
        <f>VLOOKUP(D161,'Bu Erta'!$C$2:$F$66,4,0)*F161</f>
        <v>3564.9999999999995</v>
      </c>
    </row>
    <row r="162" spans="1:8" x14ac:dyDescent="0.35">
      <c r="B162" t="s">
        <v>76</v>
      </c>
      <c r="D162" t="s">
        <v>42</v>
      </c>
      <c r="E162" s="80">
        <f>VLOOKUP(D162,'Bu Erta'!$C$2:$E$66,3,0)</f>
        <v>1000</v>
      </c>
      <c r="F162">
        <v>2.4</v>
      </c>
      <c r="G162" s="80">
        <f t="shared" si="9"/>
        <v>2400</v>
      </c>
      <c r="H162" s="80">
        <f>VLOOKUP(D162,'Bu Erta'!$C$2:$F$66,4,0)*F162</f>
        <v>2880</v>
      </c>
    </row>
    <row r="163" spans="1:8" x14ac:dyDescent="0.35">
      <c r="B163" t="s">
        <v>76</v>
      </c>
      <c r="D163" t="s">
        <v>37</v>
      </c>
      <c r="E163" s="80">
        <f>VLOOKUP(D163,'Bu Erta'!$C$2:$E$66,3,0)</f>
        <v>1600</v>
      </c>
      <c r="F163">
        <v>0.15</v>
      </c>
      <c r="G163" s="80">
        <f t="shared" si="9"/>
        <v>240</v>
      </c>
      <c r="H163" s="80">
        <f>VLOOKUP(D163,'Bu Erta'!$C$2:$F$66,4,0)*F163</f>
        <v>300</v>
      </c>
    </row>
    <row r="164" spans="1:8" x14ac:dyDescent="0.35">
      <c r="B164" t="s">
        <v>76</v>
      </c>
      <c r="D164" t="s">
        <v>69</v>
      </c>
      <c r="E164" s="80">
        <f>VLOOKUP(D164,'Bu Erta'!$C$2:$E$66,3,0)</f>
        <v>2500</v>
      </c>
      <c r="F164">
        <v>0.45</v>
      </c>
      <c r="G164" s="80">
        <f t="shared" si="9"/>
        <v>1125</v>
      </c>
      <c r="H164" s="80">
        <f>VLOOKUP(D164,'Bu Erta'!$C$2:$F$66,4,0)*F164</f>
        <v>1350</v>
      </c>
    </row>
    <row r="165" spans="1:8" x14ac:dyDescent="0.35">
      <c r="B165" t="s">
        <v>76</v>
      </c>
      <c r="D165" t="s">
        <v>34</v>
      </c>
      <c r="E165" s="80">
        <f>VLOOKUP(D165,'Bu Erta'!$C$2:$E$66,3,0)</f>
        <v>3500</v>
      </c>
      <c r="F165">
        <v>0.25</v>
      </c>
      <c r="G165" s="80">
        <f t="shared" si="9"/>
        <v>875</v>
      </c>
      <c r="H165" s="80">
        <f>VLOOKUP(D165,'Bu Erta'!$C$2:$F$66,4,0)*F165</f>
        <v>900</v>
      </c>
    </row>
    <row r="166" spans="1:8" x14ac:dyDescent="0.35">
      <c r="B166" t="s">
        <v>76</v>
      </c>
      <c r="D166" t="s">
        <v>7</v>
      </c>
      <c r="E166" s="80">
        <f>VLOOKUP(D166,'Bu Erta'!$C$2:$E$66,3,0)</f>
        <v>1400</v>
      </c>
      <c r="F166">
        <v>1</v>
      </c>
      <c r="G166" s="80">
        <f t="shared" si="9"/>
        <v>1400</v>
      </c>
      <c r="H166" s="80">
        <f>VLOOKUP(D166,'Bu Erta'!$C$2:$F$66,4,0)*F166</f>
        <v>1600</v>
      </c>
    </row>
    <row r="167" spans="1:8" x14ac:dyDescent="0.35">
      <c r="A167" s="5">
        <v>26</v>
      </c>
      <c r="B167" t="s">
        <v>359</v>
      </c>
      <c r="C167" s="5">
        <v>1</v>
      </c>
      <c r="D167" t="s">
        <v>23</v>
      </c>
      <c r="E167" s="80">
        <f>VLOOKUP(D167,'Bu Erta'!$C$2:$E$66,3,0)</f>
        <v>300</v>
      </c>
      <c r="F167">
        <v>0.75</v>
      </c>
      <c r="G167" s="80">
        <f t="shared" si="9"/>
        <v>225</v>
      </c>
      <c r="H167" s="80">
        <f>VLOOKUP(D167,'Bu Erta'!$C$2:$F$66,4,0)*F167</f>
        <v>300</v>
      </c>
    </row>
    <row r="168" spans="1:8" x14ac:dyDescent="0.35">
      <c r="B168" t="s">
        <v>359</v>
      </c>
      <c r="D168" t="s">
        <v>41</v>
      </c>
      <c r="E168" s="80">
        <f>VLOOKUP(D168,'Bu Erta'!$C$2:$E$66,3,0)</f>
        <v>1500</v>
      </c>
      <c r="F168">
        <v>0.65</v>
      </c>
      <c r="G168" s="80">
        <f t="shared" si="9"/>
        <v>975</v>
      </c>
      <c r="H168" s="80">
        <f>VLOOKUP(D168,'Bu Erta'!$C$2:$F$66,4,0)*F168</f>
        <v>1300</v>
      </c>
    </row>
    <row r="169" spans="1:8" x14ac:dyDescent="0.35">
      <c r="B169" t="s">
        <v>359</v>
      </c>
      <c r="D169" t="s">
        <v>42</v>
      </c>
      <c r="E169" s="80">
        <f>VLOOKUP(D169,'Bu Erta'!$C$2:$E$66,3,0)</f>
        <v>1000</v>
      </c>
      <c r="F169">
        <v>2</v>
      </c>
      <c r="G169" s="80">
        <f t="shared" si="9"/>
        <v>2000</v>
      </c>
      <c r="H169" s="80">
        <f>VLOOKUP(D169,'Bu Erta'!$C$2:$F$66,4,0)*F169</f>
        <v>2400</v>
      </c>
    </row>
    <row r="170" spans="1:8" x14ac:dyDescent="0.35">
      <c r="B170" t="s">
        <v>359</v>
      </c>
      <c r="D170" t="s">
        <v>88</v>
      </c>
      <c r="E170" s="80">
        <f>VLOOKUP(D170,'Bu Erta'!$C$2:$E$66,3,0)</f>
        <v>300</v>
      </c>
      <c r="F170">
        <v>1.05</v>
      </c>
      <c r="G170" s="80">
        <f t="shared" si="9"/>
        <v>315</v>
      </c>
      <c r="H170" s="80">
        <f>VLOOKUP(D170,'Bu Erta'!$C$2:$F$66,4,0)*F170</f>
        <v>420</v>
      </c>
    </row>
    <row r="171" spans="1:8" x14ac:dyDescent="0.35">
      <c r="B171" t="s">
        <v>359</v>
      </c>
      <c r="D171" t="s">
        <v>7</v>
      </c>
      <c r="E171" s="80">
        <f>VLOOKUP(D171,'Bu Erta'!$C$2:$E$66,3,0)</f>
        <v>1400</v>
      </c>
      <c r="F171">
        <f>1.6+0.15</f>
        <v>1.75</v>
      </c>
      <c r="G171" s="80">
        <f t="shared" si="9"/>
        <v>2450</v>
      </c>
      <c r="H171" s="80">
        <f>VLOOKUP(D171,'Bu Erta'!$C$2:$F$66,4,0)*F171</f>
        <v>2800</v>
      </c>
    </row>
    <row r="172" spans="1:8" x14ac:dyDescent="0.35">
      <c r="B172" t="s">
        <v>359</v>
      </c>
      <c r="D172" t="s">
        <v>24</v>
      </c>
      <c r="E172" s="80">
        <f>VLOOKUP(D172,'Bu Erta'!$C$2:$E$66,3,0)</f>
        <v>150</v>
      </c>
      <c r="F172">
        <v>1.1499999999999999</v>
      </c>
      <c r="G172" s="80">
        <f t="shared" si="9"/>
        <v>172.5</v>
      </c>
      <c r="H172" s="80">
        <f>VLOOKUP(D172,'Bu Erta'!$C$2:$F$66,4,0)*F172</f>
        <v>229.99999999999997</v>
      </c>
    </row>
    <row r="173" spans="1:8" x14ac:dyDescent="0.35">
      <c r="B173" t="s">
        <v>359</v>
      </c>
      <c r="D173" t="s">
        <v>25</v>
      </c>
      <c r="E173" s="80">
        <f>VLOOKUP(D173,'Bu Erta'!$C$2:$E$66,3,0)</f>
        <v>1600</v>
      </c>
      <c r="F173">
        <v>1.1499999999999999</v>
      </c>
      <c r="G173" s="80">
        <f t="shared" si="9"/>
        <v>1839.9999999999998</v>
      </c>
      <c r="H173" s="80">
        <f>VLOOKUP(D173,'Bu Erta'!$C$2:$F$66,4,0)*F173</f>
        <v>1954.9999999999998</v>
      </c>
    </row>
    <row r="174" spans="1:8" x14ac:dyDescent="0.35">
      <c r="B174" t="s">
        <v>359</v>
      </c>
      <c r="D174" t="s">
        <v>31</v>
      </c>
      <c r="E174" s="80">
        <f>VLOOKUP(D174,'Bu Erta'!$C$2:$E$66,3,0)</f>
        <v>1000</v>
      </c>
      <c r="F174">
        <v>0.6</v>
      </c>
      <c r="G174" s="80">
        <f t="shared" si="9"/>
        <v>600</v>
      </c>
      <c r="H174" s="80">
        <f>VLOOKUP(D174,'Bu Erta'!$C$2:$F$66,4,0)*F174</f>
        <v>660</v>
      </c>
    </row>
    <row r="175" spans="1:8" x14ac:dyDescent="0.35">
      <c r="B175" t="s">
        <v>359</v>
      </c>
      <c r="D175" t="s">
        <v>69</v>
      </c>
      <c r="E175" s="80">
        <f>VLOOKUP(D175,'Bu Erta'!$C$2:$E$66,3,0)</f>
        <v>2500</v>
      </c>
      <c r="F175">
        <v>0.3</v>
      </c>
      <c r="G175" s="80">
        <f t="shared" si="9"/>
        <v>750</v>
      </c>
      <c r="H175" s="80">
        <f>VLOOKUP(D175,'Bu Erta'!$C$2:$F$66,4,0)*F175</f>
        <v>900</v>
      </c>
    </row>
    <row r="176" spans="1:8" x14ac:dyDescent="0.35">
      <c r="B176" t="s">
        <v>359</v>
      </c>
      <c r="D176" t="s">
        <v>19</v>
      </c>
      <c r="E176" s="80">
        <f>VLOOKUP(D176,'Bu Erta'!$C$2:$E$66,3,0)</f>
        <v>200</v>
      </c>
      <c r="F176">
        <v>0.85</v>
      </c>
      <c r="G176" s="80">
        <f t="shared" si="9"/>
        <v>170</v>
      </c>
      <c r="H176" s="80">
        <f>VLOOKUP(D176,'Bu Erta'!$C$2:$F$66,4,0)*F176</f>
        <v>255</v>
      </c>
    </row>
    <row r="177" spans="1:8" x14ac:dyDescent="0.35">
      <c r="A177" s="5">
        <v>27</v>
      </c>
      <c r="B177" t="s">
        <v>217</v>
      </c>
      <c r="C177" s="5">
        <v>1</v>
      </c>
      <c r="D177" t="s">
        <v>23</v>
      </c>
      <c r="E177" s="80">
        <f>VLOOKUP(D177,'Bu Erta'!$C$2:$E$66,3,0)</f>
        <v>300</v>
      </c>
      <c r="F177">
        <v>12.65</v>
      </c>
      <c r="G177" s="80">
        <f t="shared" si="9"/>
        <v>3795</v>
      </c>
      <c r="H177" s="80">
        <f>VLOOKUP(D177,'Bu Erta'!$C$2:$F$66,4,0)*F177</f>
        <v>5060</v>
      </c>
    </row>
    <row r="178" spans="1:8" x14ac:dyDescent="0.35">
      <c r="B178" t="s">
        <v>217</v>
      </c>
      <c r="D178" t="s">
        <v>88</v>
      </c>
      <c r="E178" s="80">
        <f>VLOOKUP(D178,'Bu Erta'!$C$2:$E$66,3,0)</f>
        <v>300</v>
      </c>
      <c r="F178">
        <f>5.3+1.35</f>
        <v>6.65</v>
      </c>
      <c r="G178" s="80">
        <f t="shared" si="9"/>
        <v>1995</v>
      </c>
      <c r="H178" s="80">
        <f>VLOOKUP(D178,'Bu Erta'!$C$2:$F$66,4,0)*F178</f>
        <v>2660</v>
      </c>
    </row>
    <row r="179" spans="1:8" x14ac:dyDescent="0.35">
      <c r="B179" t="s">
        <v>217</v>
      </c>
      <c r="D179" t="s">
        <v>19</v>
      </c>
      <c r="E179" s="80">
        <f>VLOOKUP(D179,'Bu Erta'!$C$2:$E$66,3,0)</f>
        <v>200</v>
      </c>
      <c r="F179">
        <v>0.35</v>
      </c>
      <c r="G179" s="80">
        <f t="shared" si="9"/>
        <v>70</v>
      </c>
      <c r="H179" s="80">
        <f>VLOOKUP(D179,'Bu Erta'!$C$2:$F$66,4,0)*F179</f>
        <v>105</v>
      </c>
    </row>
    <row r="180" spans="1:8" x14ac:dyDescent="0.35">
      <c r="B180" t="s">
        <v>217</v>
      </c>
      <c r="D180" t="s">
        <v>31</v>
      </c>
      <c r="E180" s="80">
        <f>VLOOKUP(D180,'Bu Erta'!$C$2:$E$66,3,0)</f>
        <v>1000</v>
      </c>
      <c r="F180">
        <v>1.75</v>
      </c>
      <c r="G180" s="80">
        <f t="shared" si="9"/>
        <v>1750</v>
      </c>
      <c r="H180" s="80">
        <f>VLOOKUP(D180,'Bu Erta'!$C$2:$F$66,4,0)*F180</f>
        <v>1925</v>
      </c>
    </row>
    <row r="181" spans="1:8" x14ac:dyDescent="0.35">
      <c r="B181" t="s">
        <v>217</v>
      </c>
      <c r="D181" t="s">
        <v>41</v>
      </c>
      <c r="E181" s="80">
        <f>VLOOKUP(D181,'Bu Erta'!$C$2:$E$66,3,0)</f>
        <v>1500</v>
      </c>
      <c r="F181">
        <v>1.4</v>
      </c>
      <c r="G181" s="80">
        <f t="shared" si="9"/>
        <v>2100</v>
      </c>
      <c r="H181" s="80">
        <f>VLOOKUP(D181,'Bu Erta'!$C$2:$F$66,4,0)*F181</f>
        <v>2800</v>
      </c>
    </row>
    <row r="182" spans="1:8" x14ac:dyDescent="0.35">
      <c r="B182" t="s">
        <v>217</v>
      </c>
      <c r="D182" t="s">
        <v>42</v>
      </c>
      <c r="E182" s="80">
        <f>VLOOKUP(D182,'Bu Erta'!$C$2:$E$66,3,0)</f>
        <v>1000</v>
      </c>
      <c r="F182">
        <f>5.15+5.1</f>
        <v>10.25</v>
      </c>
      <c r="G182" s="80">
        <f t="shared" si="9"/>
        <v>10250</v>
      </c>
      <c r="H182" s="80">
        <f>VLOOKUP(D182,'Bu Erta'!$C$2:$F$66,4,0)*F182</f>
        <v>12300</v>
      </c>
    </row>
    <row r="183" spans="1:8" x14ac:dyDescent="0.35">
      <c r="B183" t="s">
        <v>217</v>
      </c>
      <c r="D183" t="s">
        <v>56</v>
      </c>
      <c r="E183" s="80">
        <f>VLOOKUP(D183,'Bu Erta'!$C$2:$E$66,3,0)</f>
        <v>4000</v>
      </c>
      <c r="F183">
        <v>3.25</v>
      </c>
      <c r="G183" s="80">
        <f t="shared" si="9"/>
        <v>13000</v>
      </c>
      <c r="H183" s="80">
        <f>VLOOKUP(D183,'Bu Erta'!$C$2:$F$66,4,0)*F183</f>
        <v>17875</v>
      </c>
    </row>
    <row r="184" spans="1:8" x14ac:dyDescent="0.35">
      <c r="A184" s="5">
        <v>28</v>
      </c>
      <c r="B184" t="s">
        <v>197</v>
      </c>
      <c r="C184" s="5">
        <v>1</v>
      </c>
      <c r="D184" t="s">
        <v>23</v>
      </c>
      <c r="E184" s="80">
        <f>VLOOKUP(D184,'Bu Erta'!$C$2:$E$66,3,0)</f>
        <v>300</v>
      </c>
      <c r="F184">
        <v>2.7</v>
      </c>
      <c r="G184" s="80">
        <f t="shared" si="9"/>
        <v>810</v>
      </c>
      <c r="H184" s="80">
        <f>VLOOKUP(D184,'Bu Erta'!$C$2:$F$66,4,0)*F184</f>
        <v>1080</v>
      </c>
    </row>
    <row r="185" spans="1:8" x14ac:dyDescent="0.35">
      <c r="B185" t="s">
        <v>197</v>
      </c>
      <c r="D185" t="s">
        <v>19</v>
      </c>
      <c r="E185" s="80">
        <f>VLOOKUP(D185,'Bu Erta'!$C$2:$E$66,3,0)</f>
        <v>200</v>
      </c>
      <c r="F185">
        <f>0.55+1.2</f>
        <v>1.75</v>
      </c>
      <c r="G185" s="80">
        <f t="shared" si="9"/>
        <v>350</v>
      </c>
      <c r="H185" s="80">
        <f>VLOOKUP(D185,'Bu Erta'!$C$2:$F$66,4,0)*F185</f>
        <v>525</v>
      </c>
    </row>
    <row r="186" spans="1:8" x14ac:dyDescent="0.35">
      <c r="B186" t="s">
        <v>197</v>
      </c>
      <c r="D186" t="s">
        <v>88</v>
      </c>
      <c r="E186" s="80">
        <f>VLOOKUP(D186,'Bu Erta'!$C$2:$E$66,3,0)</f>
        <v>300</v>
      </c>
      <c r="F186">
        <f>2.85+0.95</f>
        <v>3.8</v>
      </c>
      <c r="G186" s="80">
        <f t="shared" si="9"/>
        <v>1140</v>
      </c>
      <c r="H186" s="80">
        <f>VLOOKUP(D186,'Bu Erta'!$C$2:$F$66,4,0)*F186</f>
        <v>1520</v>
      </c>
    </row>
    <row r="187" spans="1:8" x14ac:dyDescent="0.35">
      <c r="B187" t="s">
        <v>197</v>
      </c>
      <c r="D187" t="s">
        <v>31</v>
      </c>
      <c r="E187" s="80">
        <f>VLOOKUP(D187,'Bu Erta'!$C$2:$E$66,3,0)</f>
        <v>1000</v>
      </c>
      <c r="F187">
        <v>0.75</v>
      </c>
      <c r="G187" s="80">
        <f t="shared" si="9"/>
        <v>750</v>
      </c>
      <c r="H187" s="80">
        <f>VLOOKUP(D187,'Bu Erta'!$C$2:$F$66,4,0)*F187</f>
        <v>825</v>
      </c>
    </row>
    <row r="188" spans="1:8" x14ac:dyDescent="0.35">
      <c r="A188" s="5">
        <v>29</v>
      </c>
      <c r="B188" t="s">
        <v>127</v>
      </c>
      <c r="C188" s="5">
        <v>2</v>
      </c>
      <c r="D188" t="s">
        <v>7</v>
      </c>
      <c r="E188" s="80">
        <f>VLOOKUP(D188,'Bu Erta'!$C$2:$E$66,3,0)</f>
        <v>1400</v>
      </c>
      <c r="F188">
        <v>0.85</v>
      </c>
      <c r="G188" s="80">
        <f t="shared" si="9"/>
        <v>1190</v>
      </c>
      <c r="H188" s="80">
        <f>VLOOKUP(D188,'Bu Erta'!$C$2:$F$66,4,0)*F188</f>
        <v>1360</v>
      </c>
    </row>
    <row r="189" spans="1:8" x14ac:dyDescent="0.35">
      <c r="B189" t="s">
        <v>127</v>
      </c>
      <c r="D189" t="s">
        <v>69</v>
      </c>
      <c r="E189" s="80">
        <f>VLOOKUP(D189,'Bu Erta'!$C$2:$E$66,3,0)</f>
        <v>2500</v>
      </c>
      <c r="F189">
        <v>0.15</v>
      </c>
      <c r="G189" s="80">
        <f t="shared" si="9"/>
        <v>375</v>
      </c>
      <c r="H189" s="80">
        <f>VLOOKUP(D189,'Bu Erta'!$C$2:$F$66,4,0)*F189</f>
        <v>450</v>
      </c>
    </row>
    <row r="190" spans="1:8" x14ac:dyDescent="0.35">
      <c r="B190" t="s">
        <v>127</v>
      </c>
      <c r="D190" t="s">
        <v>70</v>
      </c>
      <c r="E190" s="80">
        <f>VLOOKUP(D190,'Bu Erta'!$C$2:$E$66,3,0)</f>
        <v>3500</v>
      </c>
      <c r="F190">
        <v>0.15</v>
      </c>
      <c r="G190" s="80">
        <f t="shared" si="9"/>
        <v>525</v>
      </c>
      <c r="H190" s="80">
        <f>VLOOKUP(D190,'Bu Erta'!$C$2:$F$66,4,0)*F190</f>
        <v>600</v>
      </c>
    </row>
    <row r="191" spans="1:8" x14ac:dyDescent="0.35">
      <c r="B191" t="s">
        <v>127</v>
      </c>
      <c r="D191" t="s">
        <v>24</v>
      </c>
      <c r="E191" s="80">
        <f>VLOOKUP(D191,'Bu Erta'!$C$2:$E$66,3,0)</f>
        <v>150</v>
      </c>
      <c r="F191">
        <v>0.35</v>
      </c>
      <c r="G191" s="80">
        <f t="shared" si="9"/>
        <v>52.5</v>
      </c>
      <c r="H191" s="80">
        <f>VLOOKUP(D191,'Bu Erta'!$C$2:$F$66,4,0)*F191</f>
        <v>70</v>
      </c>
    </row>
    <row r="192" spans="1:8" x14ac:dyDescent="0.35">
      <c r="B192" t="s">
        <v>127</v>
      </c>
      <c r="D192" t="s">
        <v>42</v>
      </c>
      <c r="E192" s="80">
        <f>VLOOKUP(D192,'Bu Erta'!$C$2:$E$66,3,0)</f>
        <v>1000</v>
      </c>
      <c r="F192">
        <v>1.85</v>
      </c>
      <c r="G192" s="80">
        <f t="shared" ref="G192:G260" si="10">E192*F192</f>
        <v>1850</v>
      </c>
      <c r="H192" s="80">
        <f>VLOOKUP(D192,'Bu Erta'!$C$2:$F$66,4,0)*F192</f>
        <v>2220</v>
      </c>
    </row>
    <row r="193" spans="1:8" x14ac:dyDescent="0.35">
      <c r="B193" t="s">
        <v>127</v>
      </c>
      <c r="D193" t="s">
        <v>19</v>
      </c>
      <c r="E193" s="80">
        <f>VLOOKUP(D193,'Bu Erta'!$C$2:$E$66,3,0)</f>
        <v>200</v>
      </c>
      <c r="F193">
        <v>0.15</v>
      </c>
      <c r="G193" s="80">
        <f t="shared" si="10"/>
        <v>30</v>
      </c>
      <c r="H193" s="80">
        <f>VLOOKUP(D193,'Bu Erta'!$C$2:$F$66,4,0)*F193</f>
        <v>45</v>
      </c>
    </row>
    <row r="194" spans="1:8" x14ac:dyDescent="0.35">
      <c r="B194" t="s">
        <v>127</v>
      </c>
      <c r="D194" t="s">
        <v>88</v>
      </c>
      <c r="E194" s="80">
        <f>VLOOKUP(D194,'Bu Erta'!$C$2:$E$66,3,0)</f>
        <v>300</v>
      </c>
      <c r="F194">
        <f>0.45+0.5</f>
        <v>0.95</v>
      </c>
      <c r="G194" s="80">
        <f t="shared" si="10"/>
        <v>285</v>
      </c>
      <c r="H194" s="80">
        <f>VLOOKUP(D194,'Bu Erta'!$C$2:$F$66,4,0)*F194</f>
        <v>380</v>
      </c>
    </row>
    <row r="195" spans="1:8" x14ac:dyDescent="0.35">
      <c r="B195" t="s">
        <v>127</v>
      </c>
      <c r="D195" t="s">
        <v>41</v>
      </c>
      <c r="E195" s="80">
        <f>VLOOKUP(D195,'Bu Erta'!$C$2:$E$66,3,0)</f>
        <v>1500</v>
      </c>
      <c r="F195">
        <v>0.9</v>
      </c>
      <c r="G195" s="80">
        <f t="shared" si="10"/>
        <v>1350</v>
      </c>
      <c r="H195" s="80">
        <f>VLOOKUP(D195,'Bu Erta'!$C$2:$F$66,4,0)*F195</f>
        <v>1800</v>
      </c>
    </row>
    <row r="196" spans="1:8" x14ac:dyDescent="0.35">
      <c r="B196" t="s">
        <v>127</v>
      </c>
      <c r="D196" t="s">
        <v>25</v>
      </c>
      <c r="E196" s="80">
        <f>VLOOKUP(D196,'Bu Erta'!$C$2:$E$66,3,0)</f>
        <v>1600</v>
      </c>
      <c r="F196">
        <v>0.2</v>
      </c>
      <c r="G196" s="80">
        <f t="shared" si="10"/>
        <v>320</v>
      </c>
      <c r="H196" s="80">
        <f>VLOOKUP(D196,'Bu Erta'!$C$2:$F$66,4,0)*F196</f>
        <v>340</v>
      </c>
    </row>
    <row r="197" spans="1:8" x14ac:dyDescent="0.35">
      <c r="B197" t="s">
        <v>127</v>
      </c>
      <c r="D197" t="s">
        <v>27</v>
      </c>
      <c r="E197" s="80">
        <f>VLOOKUP(D197,'Bu Erta'!$C$2:$E$66,3,0)</f>
        <v>2800</v>
      </c>
      <c r="F197">
        <v>1.45</v>
      </c>
      <c r="G197" s="80">
        <f t="shared" si="10"/>
        <v>4060</v>
      </c>
      <c r="H197" s="80">
        <f>VLOOKUP(D197,'Bu Erta'!$C$2:$F$66,4,0)*F197</f>
        <v>4495</v>
      </c>
    </row>
    <row r="198" spans="1:8" x14ac:dyDescent="0.35">
      <c r="B198" t="s">
        <v>127</v>
      </c>
      <c r="D198" t="s">
        <v>31</v>
      </c>
      <c r="E198" s="80">
        <f>VLOOKUP(D198,'Bu Erta'!$C$2:$E$66,3,0)</f>
        <v>1000</v>
      </c>
      <c r="F198">
        <v>0.75</v>
      </c>
      <c r="G198" s="80">
        <f t="shared" si="10"/>
        <v>750</v>
      </c>
      <c r="H198" s="80">
        <f>VLOOKUP(D198,'Bu Erta'!$C$2:$F$66,4,0)*F198</f>
        <v>825</v>
      </c>
    </row>
    <row r="199" spans="1:8" x14ac:dyDescent="0.35">
      <c r="B199" t="s">
        <v>127</v>
      </c>
      <c r="D199" t="s">
        <v>48</v>
      </c>
      <c r="E199" s="80">
        <f>VLOOKUP(D199,'Bu Erta'!$C$2:$E$66,3,0)</f>
        <v>13000</v>
      </c>
      <c r="F199">
        <v>1</v>
      </c>
      <c r="G199" s="80">
        <f t="shared" si="10"/>
        <v>13000</v>
      </c>
      <c r="H199" s="80">
        <f>VLOOKUP(D199,'Bu Erta'!$C$2:$F$66,4,0)*F199</f>
        <v>15000</v>
      </c>
    </row>
    <row r="200" spans="1:8" x14ac:dyDescent="0.35">
      <c r="A200" s="5">
        <v>30</v>
      </c>
      <c r="B200" t="s">
        <v>360</v>
      </c>
      <c r="C200" s="5" t="s">
        <v>361</v>
      </c>
      <c r="D200" t="s">
        <v>23</v>
      </c>
      <c r="E200" s="80">
        <f>VLOOKUP(D200,'Bu Erta'!$C$2:$E$66,3,0)</f>
        <v>300</v>
      </c>
      <c r="F200">
        <v>0.55000000000000004</v>
      </c>
      <c r="G200" s="80">
        <f t="shared" si="10"/>
        <v>165</v>
      </c>
      <c r="H200" s="80">
        <f>VLOOKUP(D200,'Bu Erta'!$C$2:$F$66,4,0)*F200</f>
        <v>220.00000000000003</v>
      </c>
    </row>
    <row r="201" spans="1:8" x14ac:dyDescent="0.35">
      <c r="B201" t="s">
        <v>360</v>
      </c>
      <c r="D201" t="s">
        <v>42</v>
      </c>
      <c r="E201" s="80">
        <f>VLOOKUP(D201,'Bu Erta'!$C$2:$E$66,3,0)</f>
        <v>1000</v>
      </c>
      <c r="F201">
        <v>0.4</v>
      </c>
      <c r="G201" s="80">
        <f t="shared" si="10"/>
        <v>400</v>
      </c>
      <c r="H201" s="80">
        <f>VLOOKUP(D201,'Bu Erta'!$C$2:$F$66,4,0)*F201</f>
        <v>480</v>
      </c>
    </row>
    <row r="202" spans="1:8" x14ac:dyDescent="0.35">
      <c r="B202" t="s">
        <v>360</v>
      </c>
      <c r="D202" t="s">
        <v>19</v>
      </c>
      <c r="E202" s="80">
        <f>VLOOKUP(D202,'Bu Erta'!$C$2:$E$66,3,0)</f>
        <v>200</v>
      </c>
      <c r="F202">
        <f>1.9+0.25</f>
        <v>2.15</v>
      </c>
      <c r="G202" s="80">
        <f t="shared" si="10"/>
        <v>430</v>
      </c>
      <c r="H202" s="80">
        <f>VLOOKUP(D202,'Bu Erta'!$C$2:$F$66,4,0)*F202</f>
        <v>645</v>
      </c>
    </row>
    <row r="203" spans="1:8" x14ac:dyDescent="0.35">
      <c r="B203" t="s">
        <v>360</v>
      </c>
      <c r="D203" t="s">
        <v>88</v>
      </c>
      <c r="E203" s="80">
        <f>VLOOKUP(D203,'Bu Erta'!$C$2:$E$66,3,0)</f>
        <v>300</v>
      </c>
      <c r="F203">
        <v>0.5</v>
      </c>
      <c r="G203" s="80">
        <f t="shared" si="10"/>
        <v>150</v>
      </c>
      <c r="H203" s="80">
        <f>VLOOKUP(D203,'Bu Erta'!$C$2:$F$66,4,0)*F203</f>
        <v>200</v>
      </c>
    </row>
    <row r="204" spans="1:8" x14ac:dyDescent="0.35">
      <c r="B204" t="s">
        <v>360</v>
      </c>
      <c r="D204" t="s">
        <v>7</v>
      </c>
      <c r="E204" s="80">
        <f>VLOOKUP(D204,'Bu Erta'!$C$2:$E$66,3,0)</f>
        <v>1400</v>
      </c>
      <c r="F204">
        <f>0.6+0.95+2.35</f>
        <v>3.9</v>
      </c>
      <c r="G204" s="80">
        <f t="shared" si="10"/>
        <v>5460</v>
      </c>
      <c r="H204" s="80">
        <f>VLOOKUP(D204,'Bu Erta'!$C$2:$F$66,4,0)*F204</f>
        <v>6240</v>
      </c>
    </row>
    <row r="205" spans="1:8" x14ac:dyDescent="0.35">
      <c r="B205" t="s">
        <v>360</v>
      </c>
      <c r="D205" t="s">
        <v>37</v>
      </c>
      <c r="E205" s="80">
        <f>VLOOKUP(D205,'Bu Erta'!$C$2:$E$66,3,0)</f>
        <v>1600</v>
      </c>
      <c r="F205">
        <f>2.55+0.75</f>
        <v>3.3</v>
      </c>
      <c r="G205" s="80">
        <f t="shared" si="10"/>
        <v>5280</v>
      </c>
      <c r="H205" s="80">
        <f>VLOOKUP(D205,'Bu Erta'!$C$2:$F$66,4,0)*F205</f>
        <v>6600</v>
      </c>
    </row>
    <row r="206" spans="1:8" x14ac:dyDescent="0.35">
      <c r="B206" t="s">
        <v>360</v>
      </c>
      <c r="D206" t="s">
        <v>67</v>
      </c>
      <c r="E206" s="80">
        <f>VLOOKUP(D206,'Bu Erta'!$C$2:$E$66,3,0)</f>
        <v>2700</v>
      </c>
      <c r="F206">
        <v>0.1</v>
      </c>
      <c r="G206" s="80">
        <f t="shared" si="10"/>
        <v>270</v>
      </c>
      <c r="H206" s="80">
        <f>VLOOKUP(D206,'Bu Erta'!$C$2:$F$66,4,0)*F206</f>
        <v>300</v>
      </c>
    </row>
    <row r="207" spans="1:8" x14ac:dyDescent="0.35">
      <c r="B207" t="s">
        <v>360</v>
      </c>
      <c r="D207" t="s">
        <v>31</v>
      </c>
      <c r="E207" s="80">
        <f>VLOOKUP(D207,'Bu Erta'!$C$2:$E$66,3,0)</f>
        <v>1000</v>
      </c>
      <c r="F207">
        <v>1.05</v>
      </c>
      <c r="G207" s="80">
        <f t="shared" si="10"/>
        <v>1050</v>
      </c>
      <c r="H207" s="80">
        <f>VLOOKUP(D207,'Bu Erta'!$C$2:$F$66,4,0)*F207</f>
        <v>1155</v>
      </c>
    </row>
    <row r="208" spans="1:8" x14ac:dyDescent="0.35">
      <c r="B208" t="s">
        <v>360</v>
      </c>
      <c r="D208" t="s">
        <v>56</v>
      </c>
      <c r="E208" s="80">
        <f>VLOOKUP(D208,'Bu Erta'!$C$2:$E$66,3,0)</f>
        <v>4000</v>
      </c>
      <c r="F208">
        <v>4.4000000000000004</v>
      </c>
      <c r="G208" s="80">
        <f t="shared" si="10"/>
        <v>17600</v>
      </c>
      <c r="H208" s="80">
        <f>VLOOKUP(D208,'Bu Erta'!$C$2:$F$66,4,0)*F208</f>
        <v>24200.000000000004</v>
      </c>
    </row>
    <row r="209" spans="1:8" x14ac:dyDescent="0.35">
      <c r="B209" t="s">
        <v>360</v>
      </c>
      <c r="D209" t="s">
        <v>41</v>
      </c>
      <c r="E209" s="80">
        <f>VLOOKUP(D209,'Bu Erta'!$C$2:$E$66,3,0)</f>
        <v>1500</v>
      </c>
      <c r="F209">
        <v>0.75</v>
      </c>
      <c r="G209" s="80">
        <f t="shared" si="10"/>
        <v>1125</v>
      </c>
      <c r="H209" s="80">
        <f>VLOOKUP(D209,'Bu Erta'!$C$2:$F$66,4,0)*F209</f>
        <v>1500</v>
      </c>
    </row>
    <row r="210" spans="1:8" x14ac:dyDescent="0.35">
      <c r="B210" t="s">
        <v>360</v>
      </c>
      <c r="D210" t="s">
        <v>40</v>
      </c>
      <c r="E210" s="80">
        <f>VLOOKUP(D210,'Bu Erta'!$C$2:$E$66,3,0)</f>
        <v>1800</v>
      </c>
      <c r="F210">
        <v>0.35</v>
      </c>
      <c r="G210" s="80">
        <f t="shared" si="10"/>
        <v>630</v>
      </c>
      <c r="H210" s="80">
        <f>VLOOKUP(D210,'Bu Erta'!$C$2:$F$66,4,0)*F210</f>
        <v>700</v>
      </c>
    </row>
    <row r="211" spans="1:8" x14ac:dyDescent="0.35">
      <c r="B211" t="s">
        <v>360</v>
      </c>
      <c r="D211" t="s">
        <v>54</v>
      </c>
      <c r="E211" s="80">
        <f>VLOOKUP(D211,'Bu Erta'!$C$2:$E$66,3,0)</f>
        <v>600</v>
      </c>
      <c r="F211">
        <f>42.1+5.35</f>
        <v>47.45</v>
      </c>
      <c r="G211" s="80">
        <f t="shared" ref="G211:G214" si="11">E211*F211</f>
        <v>28470</v>
      </c>
      <c r="H211" s="80">
        <f>VLOOKUP(D211,'Bu Erta'!$C$2:$F$66,4,0)*F211</f>
        <v>30842.500000000004</v>
      </c>
    </row>
    <row r="212" spans="1:8" x14ac:dyDescent="0.35">
      <c r="B212" t="s">
        <v>360</v>
      </c>
      <c r="D212" t="s">
        <v>28</v>
      </c>
      <c r="E212" s="80">
        <f>VLOOKUP(D212,'Bu Erta'!$C$2:$E$66,3,0)</f>
        <v>1200</v>
      </c>
      <c r="F212">
        <f>21.45+8.6</f>
        <v>30.049999999999997</v>
      </c>
      <c r="G212" s="80">
        <f t="shared" si="11"/>
        <v>36060</v>
      </c>
      <c r="H212" s="80">
        <f>VLOOKUP(D212,'Bu Erta'!$C$2:$F$66,4,0)*F212</f>
        <v>39064.999999999993</v>
      </c>
    </row>
    <row r="213" spans="1:8" x14ac:dyDescent="0.35">
      <c r="B213" t="s">
        <v>360</v>
      </c>
      <c r="D213" t="s">
        <v>42</v>
      </c>
      <c r="E213" s="80">
        <f>VLOOKUP(D213,'Bu Erta'!$C$2:$E$66,3,0)</f>
        <v>1000</v>
      </c>
      <c r="F213">
        <v>1.75</v>
      </c>
      <c r="G213" s="80">
        <f t="shared" si="11"/>
        <v>1750</v>
      </c>
      <c r="H213" s="80">
        <f>VLOOKUP(D213,'Bu Erta'!$C$2:$F$66,4,0)*F213</f>
        <v>2100</v>
      </c>
    </row>
    <row r="214" spans="1:8" x14ac:dyDescent="0.35">
      <c r="B214" t="s">
        <v>360</v>
      </c>
      <c r="D214" t="s">
        <v>23</v>
      </c>
      <c r="E214" s="80">
        <f>VLOOKUP(D214,'Bu Erta'!$C$2:$E$66,3,0)</f>
        <v>300</v>
      </c>
      <c r="F214">
        <v>3.65</v>
      </c>
      <c r="G214" s="80">
        <f t="shared" si="11"/>
        <v>1095</v>
      </c>
      <c r="H214" s="80">
        <f>VLOOKUP(D214,'Bu Erta'!$C$2:$F$66,4,0)*F214</f>
        <v>1460</v>
      </c>
    </row>
    <row r="215" spans="1:8" x14ac:dyDescent="0.35">
      <c r="A215" s="5">
        <v>31</v>
      </c>
      <c r="B215" t="s">
        <v>259</v>
      </c>
      <c r="C215" s="5">
        <v>3</v>
      </c>
      <c r="D215" t="s">
        <v>27</v>
      </c>
      <c r="E215" s="80">
        <f>VLOOKUP(D215,'Bu Erta'!$C$2:$E$66,3,0)</f>
        <v>2800</v>
      </c>
      <c r="F215">
        <v>0.7</v>
      </c>
      <c r="G215" s="80">
        <f t="shared" si="10"/>
        <v>1959.9999999999998</v>
      </c>
      <c r="H215" s="80">
        <f>VLOOKUP(D215,'Bu Erta'!$C$2:$F$66,4,0)*F215</f>
        <v>2170</v>
      </c>
    </row>
    <row r="216" spans="1:8" x14ac:dyDescent="0.35">
      <c r="B216" t="s">
        <v>259</v>
      </c>
      <c r="D216" t="s">
        <v>88</v>
      </c>
      <c r="E216" s="80">
        <f>VLOOKUP(D216,'Bu Erta'!$C$2:$E$66,3,0)</f>
        <v>300</v>
      </c>
      <c r="F216">
        <v>1.55</v>
      </c>
      <c r="G216" s="80">
        <f t="shared" si="10"/>
        <v>465</v>
      </c>
      <c r="H216" s="80">
        <f>VLOOKUP(D216,'Bu Erta'!$C$2:$F$66,4,0)*F216</f>
        <v>620</v>
      </c>
    </row>
    <row r="217" spans="1:8" x14ac:dyDescent="0.35">
      <c r="B217" t="s">
        <v>259</v>
      </c>
      <c r="D217" t="s">
        <v>19</v>
      </c>
      <c r="E217" s="80">
        <f>VLOOKUP(D217,'Bu Erta'!$C$2:$E$66,3,0)</f>
        <v>200</v>
      </c>
      <c r="F217">
        <v>0.75</v>
      </c>
      <c r="G217" s="80">
        <f t="shared" si="10"/>
        <v>150</v>
      </c>
      <c r="H217" s="80">
        <f>VLOOKUP(D217,'Bu Erta'!$C$2:$F$66,4,0)*F217</f>
        <v>225</v>
      </c>
    </row>
    <row r="218" spans="1:8" x14ac:dyDescent="0.35">
      <c r="B218" t="s">
        <v>259</v>
      </c>
      <c r="D218" t="s">
        <v>42</v>
      </c>
      <c r="E218" s="80">
        <f>VLOOKUP(D218,'Bu Erta'!$C$2:$E$66,3,0)</f>
        <v>1000</v>
      </c>
      <c r="F218">
        <v>1.85</v>
      </c>
      <c r="G218" s="80">
        <f t="shared" si="10"/>
        <v>1850</v>
      </c>
      <c r="H218" s="80">
        <f>VLOOKUP(D218,'Bu Erta'!$C$2:$F$66,4,0)*F218</f>
        <v>2220</v>
      </c>
    </row>
    <row r="219" spans="1:8" x14ac:dyDescent="0.35">
      <c r="B219" t="s">
        <v>259</v>
      </c>
      <c r="D219" t="s">
        <v>41</v>
      </c>
      <c r="E219" s="80">
        <f>VLOOKUP(D219,'Bu Erta'!$C$2:$E$66,3,0)</f>
        <v>1500</v>
      </c>
      <c r="F219">
        <v>0.45</v>
      </c>
      <c r="G219" s="80">
        <f t="shared" si="10"/>
        <v>675</v>
      </c>
      <c r="H219" s="80">
        <f>VLOOKUP(D219,'Bu Erta'!$C$2:$F$66,4,0)*F219</f>
        <v>900</v>
      </c>
    </row>
    <row r="220" spans="1:8" x14ac:dyDescent="0.35">
      <c r="B220" t="s">
        <v>259</v>
      </c>
      <c r="D220" t="s">
        <v>24</v>
      </c>
      <c r="E220" s="80">
        <f>VLOOKUP(D220,'Bu Erta'!$C$2:$E$66,3,0)</f>
        <v>150</v>
      </c>
      <c r="F220">
        <v>0.15</v>
      </c>
      <c r="G220" s="80">
        <f t="shared" si="10"/>
        <v>22.5</v>
      </c>
      <c r="H220" s="80">
        <f>VLOOKUP(D220,'Bu Erta'!$C$2:$F$66,4,0)*F220</f>
        <v>30</v>
      </c>
    </row>
    <row r="221" spans="1:8" x14ac:dyDescent="0.35">
      <c r="B221" t="s">
        <v>259</v>
      </c>
      <c r="D221" t="s">
        <v>7</v>
      </c>
      <c r="E221" s="80">
        <f>VLOOKUP(D221,'Bu Erta'!$C$2:$E$66,3,0)</f>
        <v>1400</v>
      </c>
      <c r="F221">
        <v>0.5</v>
      </c>
      <c r="G221" s="80">
        <f t="shared" si="10"/>
        <v>700</v>
      </c>
      <c r="H221" s="80">
        <f>VLOOKUP(D221,'Bu Erta'!$C$2:$F$66,4,0)*F221</f>
        <v>800</v>
      </c>
    </row>
    <row r="222" spans="1:8" x14ac:dyDescent="0.35">
      <c r="B222" t="s">
        <v>259</v>
      </c>
      <c r="D222" t="s">
        <v>69</v>
      </c>
      <c r="E222" s="80">
        <f>VLOOKUP(D222,'Bu Erta'!$C$2:$E$66,3,0)</f>
        <v>2500</v>
      </c>
      <c r="F222">
        <v>0.1</v>
      </c>
      <c r="G222" s="80">
        <f t="shared" si="10"/>
        <v>250</v>
      </c>
      <c r="H222" s="80">
        <f>VLOOKUP(D222,'Bu Erta'!$C$2:$F$66,4,0)*F222</f>
        <v>300</v>
      </c>
    </row>
    <row r="223" spans="1:8" x14ac:dyDescent="0.35">
      <c r="B223" t="s">
        <v>259</v>
      </c>
      <c r="D223" t="s">
        <v>22</v>
      </c>
      <c r="E223" s="80">
        <f>VLOOKUP(D223,'Bu Erta'!$C$2:$E$66,3,0)</f>
        <v>2500</v>
      </c>
      <c r="F223">
        <v>0.55000000000000004</v>
      </c>
      <c r="G223" s="80">
        <f t="shared" si="10"/>
        <v>1375</v>
      </c>
      <c r="H223" s="80">
        <f>VLOOKUP(D223,'Bu Erta'!$C$2:$F$66,4,0)*F223</f>
        <v>1650.0000000000002</v>
      </c>
    </row>
    <row r="224" spans="1:8" x14ac:dyDescent="0.35">
      <c r="A224" s="5">
        <v>32</v>
      </c>
      <c r="B224" t="s">
        <v>192</v>
      </c>
      <c r="C224" s="5">
        <v>4</v>
      </c>
      <c r="D224" t="s">
        <v>31</v>
      </c>
      <c r="E224" s="80">
        <f>VLOOKUP(D224,'Bu Erta'!$C$2:$E$66,3,0)</f>
        <v>1000</v>
      </c>
      <c r="F224">
        <v>2.4</v>
      </c>
      <c r="G224" s="80">
        <f t="shared" si="10"/>
        <v>2400</v>
      </c>
      <c r="H224" s="80">
        <f>VLOOKUP(D224,'Bu Erta'!$C$2:$F$66,4,0)*F224</f>
        <v>2640</v>
      </c>
    </row>
    <row r="225" spans="1:8" x14ac:dyDescent="0.35">
      <c r="A225" s="5">
        <v>33</v>
      </c>
      <c r="B225" t="s">
        <v>148</v>
      </c>
      <c r="C225" s="5">
        <v>4</v>
      </c>
      <c r="D225" t="s">
        <v>31</v>
      </c>
      <c r="E225" s="80">
        <f>VLOOKUP(D225,'Bu Erta'!$C$2:$E$66,3,0)</f>
        <v>1000</v>
      </c>
      <c r="F225">
        <v>0.75</v>
      </c>
      <c r="G225" s="80">
        <f t="shared" si="10"/>
        <v>750</v>
      </c>
      <c r="H225" s="80">
        <f>VLOOKUP(D225,'Bu Erta'!$C$2:$F$66,4,0)*F225</f>
        <v>825</v>
      </c>
    </row>
    <row r="226" spans="1:8" x14ac:dyDescent="0.35">
      <c r="B226" t="s">
        <v>148</v>
      </c>
      <c r="D226" t="s">
        <v>46</v>
      </c>
      <c r="E226" s="80">
        <f>VLOOKUP(D226,'Bu Erta'!$C$2:$E$66,3,0)</f>
        <v>1400</v>
      </c>
      <c r="F226">
        <v>3.2</v>
      </c>
      <c r="G226" s="80">
        <f t="shared" si="10"/>
        <v>4480</v>
      </c>
      <c r="H226" s="80">
        <f>VLOOKUP(D226,'Bu Erta'!$C$2:$F$66,4,0)*F226</f>
        <v>4800</v>
      </c>
    </row>
    <row r="227" spans="1:8" x14ac:dyDescent="0.35">
      <c r="B227" t="s">
        <v>148</v>
      </c>
      <c r="D227" t="s">
        <v>28</v>
      </c>
      <c r="E227" s="80">
        <f>VLOOKUP(D227,'Bu Erta'!$C$2:$E$66,3,0)</f>
        <v>1200</v>
      </c>
      <c r="F227">
        <v>1.45</v>
      </c>
      <c r="G227" s="80">
        <f t="shared" si="10"/>
        <v>1740</v>
      </c>
      <c r="H227" s="80">
        <f>VLOOKUP(D227,'Bu Erta'!$C$2:$F$66,4,0)*F227</f>
        <v>1885</v>
      </c>
    </row>
    <row r="228" spans="1:8" x14ac:dyDescent="0.35">
      <c r="B228" t="s">
        <v>148</v>
      </c>
      <c r="D228" t="s">
        <v>42</v>
      </c>
      <c r="E228" s="80">
        <f>VLOOKUP(D228,'Bu Erta'!$C$2:$E$66,3,0)</f>
        <v>1000</v>
      </c>
      <c r="F228">
        <v>0.55000000000000004</v>
      </c>
      <c r="G228" s="80">
        <f t="shared" si="10"/>
        <v>550</v>
      </c>
      <c r="H228" s="80">
        <f>VLOOKUP(D228,'Bu Erta'!$C$2:$F$66,4,0)*F228</f>
        <v>660</v>
      </c>
    </row>
    <row r="229" spans="1:8" x14ac:dyDescent="0.35">
      <c r="A229" s="5">
        <v>34</v>
      </c>
      <c r="B229" t="s">
        <v>89</v>
      </c>
      <c r="C229" s="5">
        <v>4</v>
      </c>
      <c r="D229" t="s">
        <v>27</v>
      </c>
      <c r="E229" s="80">
        <f>VLOOKUP(D229,'Bu Erta'!$C$2:$E$66,3,0)</f>
        <v>2800</v>
      </c>
      <c r="F229">
        <v>1.05</v>
      </c>
      <c r="G229" s="80">
        <f t="shared" si="10"/>
        <v>2940</v>
      </c>
      <c r="H229" s="80">
        <f>VLOOKUP(D229,'Bu Erta'!$C$2:$F$66,4,0)*F229</f>
        <v>3255</v>
      </c>
    </row>
    <row r="230" spans="1:8" x14ac:dyDescent="0.35">
      <c r="B230" t="s">
        <v>89</v>
      </c>
      <c r="D230" t="s">
        <v>70</v>
      </c>
      <c r="E230" s="80">
        <f>VLOOKUP(D230,'Bu Erta'!$C$2:$E$66,3,0)</f>
        <v>3500</v>
      </c>
      <c r="F230">
        <v>0.45</v>
      </c>
      <c r="G230" s="80">
        <f t="shared" si="10"/>
        <v>1575</v>
      </c>
      <c r="H230" s="80">
        <f>VLOOKUP(D230,'Bu Erta'!$C$2:$F$66,4,0)*F230</f>
        <v>1800</v>
      </c>
    </row>
    <row r="231" spans="1:8" x14ac:dyDescent="0.35">
      <c r="B231" t="s">
        <v>89</v>
      </c>
      <c r="D231" t="s">
        <v>69</v>
      </c>
      <c r="E231" s="80">
        <f>VLOOKUP(D231,'Bu Erta'!$C$2:$E$66,3,0)</f>
        <v>2500</v>
      </c>
      <c r="F231">
        <v>0.65</v>
      </c>
      <c r="G231" s="80">
        <f t="shared" si="10"/>
        <v>1625</v>
      </c>
      <c r="H231" s="80">
        <f>VLOOKUP(D231,'Bu Erta'!$C$2:$F$66,4,0)*F231</f>
        <v>1950</v>
      </c>
    </row>
    <row r="232" spans="1:8" x14ac:dyDescent="0.35">
      <c r="B232" t="s">
        <v>89</v>
      </c>
      <c r="D232" t="s">
        <v>23</v>
      </c>
      <c r="E232" s="80">
        <f>VLOOKUP(D232,'Bu Erta'!$C$2:$E$66,3,0)</f>
        <v>300</v>
      </c>
      <c r="F232">
        <v>1.65</v>
      </c>
      <c r="G232" s="80">
        <f t="shared" si="10"/>
        <v>495</v>
      </c>
      <c r="H232" s="80">
        <f>VLOOKUP(D232,'Bu Erta'!$C$2:$F$66,4,0)*F232</f>
        <v>660</v>
      </c>
    </row>
    <row r="233" spans="1:8" x14ac:dyDescent="0.35">
      <c r="B233" t="s">
        <v>89</v>
      </c>
      <c r="D233" t="s">
        <v>88</v>
      </c>
      <c r="E233" s="80">
        <f>VLOOKUP(D233,'Bu Erta'!$C$2:$E$66,3,0)</f>
        <v>300</v>
      </c>
      <c r="F233">
        <f>0.45+1.4</f>
        <v>1.8499999999999999</v>
      </c>
      <c r="G233" s="80">
        <f t="shared" si="10"/>
        <v>555</v>
      </c>
      <c r="H233" s="80">
        <f>VLOOKUP(D233,'Bu Erta'!$C$2:$F$66,4,0)*F233</f>
        <v>740</v>
      </c>
    </row>
    <row r="234" spans="1:8" x14ac:dyDescent="0.35">
      <c r="B234" t="s">
        <v>89</v>
      </c>
      <c r="D234" t="s">
        <v>24</v>
      </c>
      <c r="E234" s="80">
        <f>VLOOKUP(D234,'Bu Erta'!$C$2:$E$66,3,0)</f>
        <v>150</v>
      </c>
      <c r="F234">
        <v>1.45</v>
      </c>
      <c r="G234" s="80">
        <f t="shared" si="10"/>
        <v>217.5</v>
      </c>
      <c r="H234" s="80">
        <f>VLOOKUP(D234,'Bu Erta'!$C$2:$F$66,4,0)*F234</f>
        <v>290</v>
      </c>
    </row>
    <row r="235" spans="1:8" x14ac:dyDescent="0.35">
      <c r="B235" t="s">
        <v>89</v>
      </c>
      <c r="D235" t="s">
        <v>7</v>
      </c>
      <c r="E235" s="80">
        <f>VLOOKUP(D235,'Bu Erta'!$C$2:$E$66,3,0)</f>
        <v>1400</v>
      </c>
      <c r="F235">
        <f>0.25+1.6</f>
        <v>1.85</v>
      </c>
      <c r="G235" s="80">
        <f t="shared" si="10"/>
        <v>2590</v>
      </c>
      <c r="H235" s="80">
        <f>VLOOKUP(D235,'Bu Erta'!$C$2:$F$66,4,0)*F235</f>
        <v>2960</v>
      </c>
    </row>
    <row r="236" spans="1:8" x14ac:dyDescent="0.35">
      <c r="B236" t="s">
        <v>89</v>
      </c>
      <c r="D236" t="s">
        <v>41</v>
      </c>
      <c r="E236" s="80">
        <f>VLOOKUP(D236,'Bu Erta'!$C$2:$E$66,3,0)</f>
        <v>1500</v>
      </c>
      <c r="F236">
        <v>0.7</v>
      </c>
      <c r="G236" s="80">
        <f t="shared" si="10"/>
        <v>1050</v>
      </c>
      <c r="H236" s="80">
        <f>VLOOKUP(D236,'Bu Erta'!$C$2:$F$66,4,0)*F236</f>
        <v>1400</v>
      </c>
    </row>
    <row r="237" spans="1:8" x14ac:dyDescent="0.35">
      <c r="A237" s="5">
        <v>35</v>
      </c>
      <c r="B237" s="69" t="s">
        <v>299</v>
      </c>
      <c r="C237" s="5">
        <v>6</v>
      </c>
      <c r="D237" t="s">
        <v>27</v>
      </c>
      <c r="E237" s="80">
        <f>VLOOKUP(D237,'Bu Erta'!$C$2:$E$66,3,0)</f>
        <v>2800</v>
      </c>
      <c r="F237">
        <f>1.8+4.1+0.25</f>
        <v>6.1499999999999995</v>
      </c>
      <c r="G237" s="80">
        <f t="shared" si="10"/>
        <v>17220</v>
      </c>
      <c r="H237" s="80">
        <f>VLOOKUP(D237,'Bu Erta'!$C$2:$F$66,4,0)*F237</f>
        <v>19065</v>
      </c>
    </row>
    <row r="238" spans="1:8" x14ac:dyDescent="0.35">
      <c r="B238" s="69" t="s">
        <v>299</v>
      </c>
      <c r="D238" t="s">
        <v>34</v>
      </c>
      <c r="E238" s="80">
        <f>VLOOKUP(D238,'Bu Erta'!$C$2:$E$66,3,0)</f>
        <v>3500</v>
      </c>
      <c r="F238">
        <v>0.4</v>
      </c>
      <c r="G238" s="80">
        <f t="shared" si="10"/>
        <v>1400</v>
      </c>
      <c r="H238" s="80">
        <f>VLOOKUP(D238,'Bu Erta'!$C$2:$F$66,4,0)*F238</f>
        <v>1440</v>
      </c>
    </row>
    <row r="239" spans="1:8" x14ac:dyDescent="0.35">
      <c r="B239" s="69" t="s">
        <v>299</v>
      </c>
      <c r="D239" t="s">
        <v>31</v>
      </c>
      <c r="E239" s="80">
        <f>VLOOKUP(D239,'Bu Erta'!$C$2:$E$66,3,0)</f>
        <v>1000</v>
      </c>
      <c r="F239">
        <f>0.4+1.5+1.05</f>
        <v>2.95</v>
      </c>
      <c r="G239" s="80">
        <f t="shared" si="10"/>
        <v>2950</v>
      </c>
      <c r="H239" s="80">
        <f>VLOOKUP(D239,'Bu Erta'!$C$2:$F$66,4,0)*F239</f>
        <v>3245</v>
      </c>
    </row>
    <row r="240" spans="1:8" x14ac:dyDescent="0.35">
      <c r="B240" s="69" t="s">
        <v>299</v>
      </c>
      <c r="D240" t="s">
        <v>28</v>
      </c>
      <c r="E240" s="80">
        <f>VLOOKUP(D240,'Bu Erta'!$C$2:$E$66,3,0)</f>
        <v>1200</v>
      </c>
      <c r="F240">
        <v>20.6</v>
      </c>
      <c r="G240" s="80">
        <f t="shared" si="10"/>
        <v>24720</v>
      </c>
      <c r="H240" s="80">
        <f>VLOOKUP(D240,'Bu Erta'!$C$2:$F$66,4,0)*F240</f>
        <v>26780.000000000004</v>
      </c>
    </row>
    <row r="241" spans="1:9" x14ac:dyDescent="0.35">
      <c r="B241" s="69" t="s">
        <v>299</v>
      </c>
      <c r="D241" t="s">
        <v>49</v>
      </c>
      <c r="E241" s="80">
        <f>VLOOKUP(D241,'Bu Erta'!$C$2:$E$66,3,0)</f>
        <v>800</v>
      </c>
      <c r="F241">
        <v>4.9000000000000004</v>
      </c>
      <c r="G241" s="80">
        <f t="shared" si="10"/>
        <v>3920.0000000000005</v>
      </c>
      <c r="H241" s="80">
        <f>VLOOKUP(D241,'Bu Erta'!$C$2:$F$66,4,0)*F241</f>
        <v>4410</v>
      </c>
    </row>
    <row r="242" spans="1:9" x14ac:dyDescent="0.35">
      <c r="B242" s="69" t="s">
        <v>299</v>
      </c>
      <c r="D242" t="s">
        <v>23</v>
      </c>
      <c r="E242" s="80">
        <f>VLOOKUP(D242,'Bu Erta'!$C$2:$E$66,3,0)</f>
        <v>300</v>
      </c>
      <c r="F242">
        <f>2.7+0.45</f>
        <v>3.1500000000000004</v>
      </c>
      <c r="G242" s="80">
        <f t="shared" si="10"/>
        <v>945.00000000000011</v>
      </c>
      <c r="H242" s="80">
        <f>VLOOKUP(D242,'Bu Erta'!$C$2:$F$66,4,0)*F242</f>
        <v>1260.0000000000002</v>
      </c>
    </row>
    <row r="243" spans="1:9" x14ac:dyDescent="0.35">
      <c r="B243" s="69" t="s">
        <v>299</v>
      </c>
      <c r="D243" t="s">
        <v>7</v>
      </c>
      <c r="E243" s="80">
        <f>VLOOKUP(D243,'Bu Erta'!$C$2:$E$66,3,0)</f>
        <v>1400</v>
      </c>
      <c r="F243">
        <v>1.95</v>
      </c>
      <c r="G243" s="80">
        <f t="shared" si="10"/>
        <v>2730</v>
      </c>
      <c r="H243" s="80">
        <f>VLOOKUP(D243,'Bu Erta'!$C$2:$F$66,4,0)*F243</f>
        <v>3120</v>
      </c>
    </row>
    <row r="244" spans="1:9" x14ac:dyDescent="0.35">
      <c r="B244" s="69" t="s">
        <v>299</v>
      </c>
      <c r="D244" t="s">
        <v>6</v>
      </c>
      <c r="E244" s="80">
        <f>VLOOKUP(D244,'Bu Erta'!$C$2:$E$66,3,0)</f>
        <v>2000</v>
      </c>
      <c r="F244">
        <v>0.95</v>
      </c>
      <c r="G244" s="80">
        <f t="shared" si="10"/>
        <v>1900</v>
      </c>
      <c r="H244" s="80">
        <f>VLOOKUP(D244,'Bu Erta'!$C$2:$F$66,4,0)*F244</f>
        <v>2375</v>
      </c>
    </row>
    <row r="245" spans="1:9" x14ac:dyDescent="0.35">
      <c r="B245" s="69" t="s">
        <v>299</v>
      </c>
      <c r="D245" t="s">
        <v>41</v>
      </c>
      <c r="E245" s="80">
        <f>VLOOKUP(D245,'Bu Erta'!$C$2:$E$66,3,0)</f>
        <v>1500</v>
      </c>
      <c r="F245">
        <v>0.45</v>
      </c>
      <c r="G245" s="80">
        <f t="shared" si="10"/>
        <v>675</v>
      </c>
      <c r="H245" s="80">
        <f>VLOOKUP(D245,'Bu Erta'!$C$2:$F$66,4,0)*F245</f>
        <v>900</v>
      </c>
    </row>
    <row r="246" spans="1:9" x14ac:dyDescent="0.35">
      <c r="B246" s="69" t="s">
        <v>299</v>
      </c>
      <c r="D246" t="s">
        <v>19</v>
      </c>
      <c r="E246" s="80">
        <f>VLOOKUP(D246,'Bu Erta'!$C$2:$E$66,3,0)</f>
        <v>200</v>
      </c>
      <c r="F246">
        <v>0.55000000000000004</v>
      </c>
      <c r="G246" s="80">
        <f t="shared" si="10"/>
        <v>110.00000000000001</v>
      </c>
      <c r="H246" s="80">
        <f>VLOOKUP(D246,'Bu Erta'!$C$2:$F$66,4,0)*F246</f>
        <v>165</v>
      </c>
    </row>
    <row r="247" spans="1:9" x14ac:dyDescent="0.35">
      <c r="B247" s="69" t="s">
        <v>299</v>
      </c>
      <c r="D247" t="s">
        <v>69</v>
      </c>
      <c r="E247" s="80">
        <f>VLOOKUP(D247,'Bu Erta'!$C$2:$E$66,3,0)</f>
        <v>2500</v>
      </c>
      <c r="F247">
        <v>0.45</v>
      </c>
      <c r="G247" s="80">
        <f t="shared" si="10"/>
        <v>1125</v>
      </c>
      <c r="H247" s="80">
        <f>VLOOKUP(D247,'Bu Erta'!$C$2:$F$66,4,0)*F247</f>
        <v>1350</v>
      </c>
    </row>
    <row r="248" spans="1:9" x14ac:dyDescent="0.35">
      <c r="B248" s="69" t="s">
        <v>299</v>
      </c>
      <c r="D248" t="s">
        <v>42</v>
      </c>
      <c r="E248" s="80">
        <f>VLOOKUP(D248,'Bu Erta'!$C$2:$E$66,3,0)</f>
        <v>1000</v>
      </c>
      <c r="F248">
        <v>7.9</v>
      </c>
      <c r="G248" s="80">
        <f t="shared" si="10"/>
        <v>7900</v>
      </c>
      <c r="H248" s="80">
        <f>VLOOKUP(D248,'Bu Erta'!$C$2:$F$66,4,0)*F248</f>
        <v>9480</v>
      </c>
    </row>
    <row r="249" spans="1:9" x14ac:dyDescent="0.35">
      <c r="B249" s="69" t="s">
        <v>299</v>
      </c>
      <c r="D249" t="s">
        <v>44</v>
      </c>
      <c r="E249" s="80">
        <f>VLOOKUP(D249,'Bu Erta'!$C$2:$E$66,3,0)</f>
        <v>400</v>
      </c>
      <c r="F249">
        <v>0.01</v>
      </c>
      <c r="G249" s="80">
        <f t="shared" si="10"/>
        <v>4</v>
      </c>
      <c r="H249" s="80">
        <f>VLOOKUP(D249,'Bu Erta'!$C$2:$F$66,4,0)*F249</f>
        <v>5</v>
      </c>
    </row>
    <row r="250" spans="1:9" x14ac:dyDescent="0.35">
      <c r="B250" s="69" t="s">
        <v>299</v>
      </c>
      <c r="D250" t="s">
        <v>25</v>
      </c>
      <c r="E250" s="80">
        <f>VLOOKUP(D250,'Bu Erta'!$C$2:$E$66,3,0)</f>
        <v>1600</v>
      </c>
      <c r="F250">
        <v>0.25</v>
      </c>
      <c r="G250" s="80">
        <f t="shared" si="10"/>
        <v>400</v>
      </c>
      <c r="H250" s="80">
        <f>VLOOKUP(D250,'Bu Erta'!$C$2:$F$66,4,0)*F250</f>
        <v>425</v>
      </c>
    </row>
    <row r="251" spans="1:9" x14ac:dyDescent="0.35">
      <c r="A251" s="5">
        <v>36</v>
      </c>
      <c r="B251" t="s">
        <v>140</v>
      </c>
      <c r="C251" s="5">
        <v>4</v>
      </c>
      <c r="D251" t="s">
        <v>31</v>
      </c>
      <c r="E251" s="80">
        <f>VLOOKUP(D251,'Bu Erta'!$C$2:$E$66,3,0)</f>
        <v>1000</v>
      </c>
      <c r="F251">
        <v>0.25</v>
      </c>
      <c r="G251" s="80">
        <f t="shared" si="10"/>
        <v>250</v>
      </c>
      <c r="H251" s="80">
        <f>VLOOKUP(D251,'Bu Erta'!$C$2:$F$66,4,0)*F251</f>
        <v>275</v>
      </c>
    </row>
    <row r="252" spans="1:9" x14ac:dyDescent="0.35">
      <c r="B252" t="s">
        <v>140</v>
      </c>
      <c r="D252" t="s">
        <v>7</v>
      </c>
      <c r="E252" s="80">
        <f>VLOOKUP(D252,'Bu Erta'!$C$2:$E$66,3,0)</f>
        <v>1400</v>
      </c>
      <c r="F252">
        <f>0.1+0.85+2.15+3.7</f>
        <v>6.8</v>
      </c>
      <c r="G252" s="80">
        <f t="shared" si="10"/>
        <v>9520</v>
      </c>
      <c r="H252" s="80">
        <f>VLOOKUP(D252,'Bu Erta'!$C$2:$F$66,4,0)*F252</f>
        <v>10880</v>
      </c>
    </row>
    <row r="253" spans="1:9" x14ac:dyDescent="0.35">
      <c r="B253" t="s">
        <v>140</v>
      </c>
      <c r="D253" t="s">
        <v>41</v>
      </c>
      <c r="E253" s="80">
        <f>VLOOKUP(D253,'Bu Erta'!$C$2:$E$66,3,0)</f>
        <v>1500</v>
      </c>
      <c r="F253">
        <v>1</v>
      </c>
      <c r="G253" s="80">
        <f t="shared" si="10"/>
        <v>1500</v>
      </c>
      <c r="H253" s="80">
        <f>VLOOKUP(D253,'Bu Erta'!$C$2:$F$66,4,0)*F253</f>
        <v>2000</v>
      </c>
    </row>
    <row r="254" spans="1:9" x14ac:dyDescent="0.35">
      <c r="B254" t="s">
        <v>140</v>
      </c>
      <c r="D254" t="s">
        <v>22</v>
      </c>
      <c r="E254" s="80">
        <f>VLOOKUP(D254,'Bu Erta'!$C$2:$E$66,3,0)</f>
        <v>2500</v>
      </c>
      <c r="F254">
        <f>0.85+3.2</f>
        <v>4.05</v>
      </c>
      <c r="G254" s="80">
        <f t="shared" si="10"/>
        <v>10125</v>
      </c>
      <c r="H254" s="80">
        <f>VLOOKUP(D254,'Bu Erta'!$C$2:$F$66,4,0)*F254</f>
        <v>12150</v>
      </c>
    </row>
    <row r="255" spans="1:9" x14ac:dyDescent="0.35">
      <c r="B255" t="s">
        <v>140</v>
      </c>
      <c r="D255" t="s">
        <v>38</v>
      </c>
      <c r="E255" s="80">
        <f>VLOOKUP(D255,'Bu Erta'!$C$2:$E$66,3,0)</f>
        <v>1400</v>
      </c>
      <c r="F255">
        <v>0.95</v>
      </c>
      <c r="G255" s="80">
        <f t="shared" si="10"/>
        <v>1330</v>
      </c>
      <c r="H255" s="80">
        <f>VLOOKUP(D255,'Bu Erta'!$C$2:$F$66,4,0)*F255</f>
        <v>1520</v>
      </c>
    </row>
    <row r="256" spans="1:9" x14ac:dyDescent="0.35">
      <c r="B256" t="s">
        <v>140</v>
      </c>
      <c r="D256" s="77" t="s">
        <v>46</v>
      </c>
      <c r="E256" s="80">
        <f>VLOOKUP(D256,'Bu Erta'!$C$2:$E$66,3,0)</f>
        <v>1400</v>
      </c>
      <c r="F256">
        <v>10</v>
      </c>
      <c r="G256" s="80">
        <f t="shared" ref="G256" si="12">E256*F256</f>
        <v>14000</v>
      </c>
      <c r="H256" s="80">
        <f>VLOOKUP(D256,'Bu Erta'!$C$2:$F$66,4,0)*F256</f>
        <v>15000</v>
      </c>
      <c r="I256" t="s">
        <v>362</v>
      </c>
    </row>
    <row r="257" spans="1:8" x14ac:dyDescent="0.35">
      <c r="A257" s="5">
        <v>37</v>
      </c>
      <c r="B257" t="s">
        <v>295</v>
      </c>
      <c r="C257" s="5">
        <v>6</v>
      </c>
      <c r="D257" t="s">
        <v>56</v>
      </c>
      <c r="E257" s="80">
        <f>VLOOKUP(D257,'Bu Erta'!$C$2:$E$66,3,0)</f>
        <v>4000</v>
      </c>
      <c r="F257">
        <v>3.8</v>
      </c>
      <c r="G257" s="80">
        <f t="shared" si="10"/>
        <v>15200</v>
      </c>
      <c r="H257" s="80">
        <f>VLOOKUP(D257,'Bu Erta'!$C$2:$F$66,4,0)*F257</f>
        <v>20900</v>
      </c>
    </row>
    <row r="258" spans="1:8" x14ac:dyDescent="0.35">
      <c r="B258" t="s">
        <v>295</v>
      </c>
      <c r="D258" t="s">
        <v>44</v>
      </c>
      <c r="E258" s="80">
        <f>VLOOKUP(D258,'Bu Erta'!$C$2:$E$66,3,0)</f>
        <v>400</v>
      </c>
      <c r="F258">
        <v>0.45</v>
      </c>
      <c r="G258" s="80">
        <f t="shared" si="10"/>
        <v>180</v>
      </c>
      <c r="H258" s="80">
        <f>VLOOKUP(D258,'Bu Erta'!$C$2:$F$66,4,0)*F258</f>
        <v>225</v>
      </c>
    </row>
    <row r="259" spans="1:8" x14ac:dyDescent="0.35">
      <c r="B259" t="s">
        <v>295</v>
      </c>
      <c r="D259" t="s">
        <v>7</v>
      </c>
      <c r="E259" s="80">
        <f>VLOOKUP(D259,'Bu Erta'!$C$2:$E$66,3,0)</f>
        <v>1400</v>
      </c>
      <c r="F259">
        <f>3.3+0.4</f>
        <v>3.6999999999999997</v>
      </c>
      <c r="G259" s="80">
        <f t="shared" si="10"/>
        <v>5180</v>
      </c>
      <c r="H259" s="80">
        <f>VLOOKUP(D259,'Bu Erta'!$C$2:$F$66,4,0)*F259</f>
        <v>5920</v>
      </c>
    </row>
    <row r="260" spans="1:8" x14ac:dyDescent="0.35">
      <c r="B260" t="s">
        <v>295</v>
      </c>
      <c r="D260" t="s">
        <v>23</v>
      </c>
      <c r="E260" s="80">
        <f>VLOOKUP(D260,'Bu Erta'!$C$2:$E$66,3,0)</f>
        <v>300</v>
      </c>
      <c r="F260">
        <v>0.45</v>
      </c>
      <c r="G260" s="80">
        <f t="shared" si="10"/>
        <v>135</v>
      </c>
      <c r="H260" s="80">
        <f>VLOOKUP(D260,'Bu Erta'!$C$2:$F$66,4,0)*F260</f>
        <v>180</v>
      </c>
    </row>
    <row r="261" spans="1:8" x14ac:dyDescent="0.35">
      <c r="B261" t="s">
        <v>295</v>
      </c>
      <c r="D261" t="s">
        <v>24</v>
      </c>
      <c r="E261" s="80">
        <f>VLOOKUP(D261,'Bu Erta'!$C$2:$E$66,3,0)</f>
        <v>150</v>
      </c>
      <c r="F261">
        <v>0.9</v>
      </c>
      <c r="G261" s="80">
        <f t="shared" ref="G261:G271" si="13">E261*F261</f>
        <v>135</v>
      </c>
      <c r="H261" s="80">
        <f>VLOOKUP(D261,'Bu Erta'!$C$2:$F$66,4,0)*F261</f>
        <v>180</v>
      </c>
    </row>
    <row r="262" spans="1:8" x14ac:dyDescent="0.35">
      <c r="A262" s="5">
        <v>38</v>
      </c>
      <c r="B262" t="s">
        <v>135</v>
      </c>
      <c r="C262" s="5">
        <v>4</v>
      </c>
      <c r="D262" t="s">
        <v>27</v>
      </c>
      <c r="E262" s="80">
        <f>VLOOKUP(D262,'Bu Erta'!$C$2:$E$66,3,0)</f>
        <v>2800</v>
      </c>
      <c r="F262">
        <f>0.9+1.2</f>
        <v>2.1</v>
      </c>
      <c r="G262" s="80">
        <f t="shared" si="13"/>
        <v>5880</v>
      </c>
      <c r="H262" s="80">
        <f>VLOOKUP(D262,'Bu Erta'!$C$2:$F$66,4,0)*F262</f>
        <v>6510</v>
      </c>
    </row>
    <row r="263" spans="1:8" x14ac:dyDescent="0.35">
      <c r="B263" t="s">
        <v>135</v>
      </c>
      <c r="D263" t="s">
        <v>88</v>
      </c>
      <c r="E263" s="80">
        <f>VLOOKUP(D263,'Bu Erta'!$C$2:$E$66,3,0)</f>
        <v>300</v>
      </c>
      <c r="F263">
        <f>2.65+0.9</f>
        <v>3.55</v>
      </c>
      <c r="G263" s="80">
        <f t="shared" si="13"/>
        <v>1065</v>
      </c>
      <c r="H263" s="80">
        <f>VLOOKUP(D263,'Bu Erta'!$C$2:$F$66,4,0)*F263</f>
        <v>1420</v>
      </c>
    </row>
    <row r="264" spans="1:8" x14ac:dyDescent="0.35">
      <c r="B264" t="s">
        <v>135</v>
      </c>
      <c r="D264" t="s">
        <v>69</v>
      </c>
      <c r="E264" s="80">
        <f>VLOOKUP(D264,'Bu Erta'!$C$2:$E$66,3,0)</f>
        <v>2500</v>
      </c>
      <c r="F264">
        <v>0.15</v>
      </c>
      <c r="G264" s="80">
        <f t="shared" si="13"/>
        <v>375</v>
      </c>
      <c r="H264" s="80">
        <f>VLOOKUP(D264,'Bu Erta'!$C$2:$F$66,4,0)*F264</f>
        <v>450</v>
      </c>
    </row>
    <row r="265" spans="1:8" x14ac:dyDescent="0.35">
      <c r="B265" t="s">
        <v>135</v>
      </c>
      <c r="D265" t="s">
        <v>31</v>
      </c>
      <c r="E265" s="80">
        <f>VLOOKUP(D265,'Bu Erta'!$C$2:$E$66,3,0)</f>
        <v>1000</v>
      </c>
      <c r="F265">
        <v>0.95</v>
      </c>
      <c r="G265" s="80">
        <f t="shared" si="13"/>
        <v>950</v>
      </c>
      <c r="H265" s="80">
        <f>VLOOKUP(D265,'Bu Erta'!$C$2:$F$66,4,0)*F265</f>
        <v>1045</v>
      </c>
    </row>
    <row r="266" spans="1:8" x14ac:dyDescent="0.35">
      <c r="B266" t="s">
        <v>135</v>
      </c>
      <c r="D266" t="s">
        <v>23</v>
      </c>
      <c r="E266" s="80">
        <f>VLOOKUP(D266,'Bu Erta'!$C$2:$E$66,3,0)</f>
        <v>300</v>
      </c>
      <c r="F266">
        <v>0.75</v>
      </c>
      <c r="G266" s="80">
        <f t="shared" si="13"/>
        <v>225</v>
      </c>
      <c r="H266" s="80">
        <f>VLOOKUP(D266,'Bu Erta'!$C$2:$F$66,4,0)*F266</f>
        <v>300</v>
      </c>
    </row>
    <row r="267" spans="1:8" x14ac:dyDescent="0.35">
      <c r="A267" s="5">
        <v>39</v>
      </c>
      <c r="B267" t="s">
        <v>111</v>
      </c>
      <c r="C267" s="5">
        <v>5</v>
      </c>
      <c r="D267" t="s">
        <v>19</v>
      </c>
      <c r="E267" s="80">
        <f>VLOOKUP(D267,'Bu Erta'!$C$2:$E$66,3,0)</f>
        <v>200</v>
      </c>
      <c r="F267">
        <v>0.45</v>
      </c>
      <c r="G267" s="80">
        <f t="shared" si="13"/>
        <v>90</v>
      </c>
      <c r="H267" s="80">
        <f>VLOOKUP(D267,'Bu Erta'!$C$2:$F$66,4,0)*F267</f>
        <v>135</v>
      </c>
    </row>
    <row r="268" spans="1:8" x14ac:dyDescent="0.35">
      <c r="B268" t="s">
        <v>111</v>
      </c>
      <c r="D268" t="s">
        <v>27</v>
      </c>
      <c r="E268" s="80">
        <f>VLOOKUP(D268,'Bu Erta'!$C$2:$E$66,3,0)</f>
        <v>2800</v>
      </c>
      <c r="F268">
        <v>1.6</v>
      </c>
      <c r="G268" s="80">
        <f t="shared" si="13"/>
        <v>4480</v>
      </c>
      <c r="H268" s="80">
        <f>VLOOKUP(D268,'Bu Erta'!$C$2:$F$66,4,0)*F268</f>
        <v>4960</v>
      </c>
    </row>
    <row r="269" spans="1:8" x14ac:dyDescent="0.35">
      <c r="B269" t="s">
        <v>111</v>
      </c>
      <c r="D269" t="s">
        <v>42</v>
      </c>
      <c r="E269" s="80">
        <f>VLOOKUP(D269,'Bu Erta'!$C$2:$E$66,3,0)</f>
        <v>1000</v>
      </c>
      <c r="F269">
        <v>1.75</v>
      </c>
      <c r="G269" s="80">
        <f t="shared" si="13"/>
        <v>1750</v>
      </c>
      <c r="H269" s="80">
        <f>VLOOKUP(D269,'Bu Erta'!$C$2:$F$66,4,0)*F269</f>
        <v>2100</v>
      </c>
    </row>
    <row r="270" spans="1:8" x14ac:dyDescent="0.35">
      <c r="B270" t="s">
        <v>111</v>
      </c>
      <c r="D270" t="s">
        <v>31</v>
      </c>
      <c r="E270" s="80">
        <f>VLOOKUP(D270,'Bu Erta'!$C$2:$E$66,3,0)</f>
        <v>1000</v>
      </c>
      <c r="F270">
        <f>1.7+1.4</f>
        <v>3.0999999999999996</v>
      </c>
      <c r="G270" s="80">
        <f t="shared" si="13"/>
        <v>3099.9999999999995</v>
      </c>
      <c r="H270" s="80">
        <f>VLOOKUP(D270,'Bu Erta'!$C$2:$F$66,4,0)*F270</f>
        <v>3409.9999999999995</v>
      </c>
    </row>
    <row r="271" spans="1:8" x14ac:dyDescent="0.35">
      <c r="B271" t="s">
        <v>111</v>
      </c>
      <c r="D271" t="s">
        <v>7</v>
      </c>
      <c r="E271" s="80">
        <f>VLOOKUP(D271,'Bu Erta'!$C$2:$E$66,3,0)</f>
        <v>1400</v>
      </c>
      <c r="F271">
        <v>1.7</v>
      </c>
      <c r="G271" s="80">
        <f t="shared" si="13"/>
        <v>2380</v>
      </c>
      <c r="H271" s="80">
        <f>VLOOKUP(D271,'Bu Erta'!$C$2:$F$66,4,0)*F271</f>
        <v>2720</v>
      </c>
    </row>
    <row r="272" spans="1:8" x14ac:dyDescent="0.35">
      <c r="B272" t="s">
        <v>111</v>
      </c>
      <c r="D272" t="s">
        <v>23</v>
      </c>
      <c r="E272" s="80">
        <f>VLOOKUP(D272,'Bu Erta'!$C$2:$E$66,3,0)</f>
        <v>300</v>
      </c>
      <c r="F272">
        <v>3.5</v>
      </c>
      <c r="G272" s="80">
        <f t="shared" ref="G272:G274" si="14">E272*F272</f>
        <v>1050</v>
      </c>
      <c r="H272" s="80">
        <f>VLOOKUP(D272,'Bu Erta'!$C$2:$F$66,4,0)*F272</f>
        <v>1400</v>
      </c>
    </row>
    <row r="273" spans="1:8" x14ac:dyDescent="0.35">
      <c r="B273" t="s">
        <v>111</v>
      </c>
      <c r="D273" t="s">
        <v>88</v>
      </c>
      <c r="E273" s="80">
        <f>VLOOKUP(D273,'Bu Erta'!$C$2:$E$66,3,0)</f>
        <v>300</v>
      </c>
      <c r="F273">
        <v>1.85</v>
      </c>
      <c r="G273" s="80">
        <f t="shared" si="14"/>
        <v>555</v>
      </c>
      <c r="H273" s="80">
        <f>VLOOKUP(D273,'Bu Erta'!$C$2:$F$66,4,0)*F273</f>
        <v>740</v>
      </c>
    </row>
    <row r="274" spans="1:8" x14ac:dyDescent="0.35">
      <c r="B274" t="s">
        <v>111</v>
      </c>
      <c r="D274" t="s">
        <v>19</v>
      </c>
      <c r="E274" s="80">
        <f>VLOOKUP(D274,'Bu Erta'!$C$2:$E$66,3,0)</f>
        <v>200</v>
      </c>
      <c r="F274">
        <v>0.9</v>
      </c>
      <c r="G274" s="80">
        <f t="shared" si="14"/>
        <v>180</v>
      </c>
      <c r="H274" s="80">
        <f>VLOOKUP(D274,'Bu Erta'!$C$2:$F$66,4,0)*F274</f>
        <v>270</v>
      </c>
    </row>
    <row r="275" spans="1:8" x14ac:dyDescent="0.35">
      <c r="A275" s="5">
        <v>40</v>
      </c>
      <c r="B275" t="s">
        <v>109</v>
      </c>
      <c r="C275" s="5">
        <v>4</v>
      </c>
      <c r="D275" t="s">
        <v>27</v>
      </c>
      <c r="E275" s="80">
        <f>VLOOKUP(D275,'Bu Erta'!$C$2:$E$66,3,0)</f>
        <v>2800</v>
      </c>
      <c r="F275">
        <v>1.05</v>
      </c>
      <c r="G275" s="80">
        <f t="shared" ref="G275:G306" si="15">E275*F275</f>
        <v>2940</v>
      </c>
      <c r="H275" s="80">
        <f>VLOOKUP(D275,'Bu Erta'!$C$2:$F$66,4,0)*F275</f>
        <v>3255</v>
      </c>
    </row>
    <row r="276" spans="1:8" x14ac:dyDescent="0.35">
      <c r="B276" t="s">
        <v>109</v>
      </c>
      <c r="D276" t="s">
        <v>42</v>
      </c>
      <c r="E276" s="80">
        <f>VLOOKUP(D276,'Bu Erta'!$C$2:$E$66,3,0)</f>
        <v>1000</v>
      </c>
      <c r="F276">
        <v>1.7</v>
      </c>
      <c r="G276" s="80">
        <f t="shared" si="15"/>
        <v>1700</v>
      </c>
      <c r="H276" s="80">
        <f>VLOOKUP(D276,'Bu Erta'!$C$2:$F$66,4,0)*F276</f>
        <v>2040</v>
      </c>
    </row>
    <row r="277" spans="1:8" x14ac:dyDescent="0.35">
      <c r="B277" t="s">
        <v>109</v>
      </c>
      <c r="D277" t="s">
        <v>23</v>
      </c>
      <c r="E277" s="80">
        <f>VLOOKUP(D277,'Bu Erta'!$C$2:$E$66,3,0)</f>
        <v>300</v>
      </c>
      <c r="F277">
        <f>1.65+0.15+0.25</f>
        <v>2.0499999999999998</v>
      </c>
      <c r="G277" s="80">
        <f t="shared" si="15"/>
        <v>615</v>
      </c>
      <c r="H277" s="80">
        <f>VLOOKUP(D277,'Bu Erta'!$C$2:$F$66,4,0)*F277</f>
        <v>819.99999999999989</v>
      </c>
    </row>
    <row r="278" spans="1:8" x14ac:dyDescent="0.35">
      <c r="B278" t="s">
        <v>109</v>
      </c>
      <c r="D278" t="s">
        <v>19</v>
      </c>
      <c r="E278" s="80">
        <f>VLOOKUP(D278,'Bu Erta'!$C$2:$E$66,3,0)</f>
        <v>200</v>
      </c>
      <c r="F278">
        <v>0.2</v>
      </c>
      <c r="G278" s="80">
        <f t="shared" si="15"/>
        <v>40</v>
      </c>
      <c r="H278" s="80">
        <f>VLOOKUP(D278,'Bu Erta'!$C$2:$F$66,4,0)*F278</f>
        <v>60</v>
      </c>
    </row>
    <row r="279" spans="1:8" x14ac:dyDescent="0.35">
      <c r="B279" t="s">
        <v>109</v>
      </c>
      <c r="D279" t="s">
        <v>41</v>
      </c>
      <c r="E279" s="80">
        <f>VLOOKUP(D279,'Bu Erta'!$C$2:$E$66,3,0)</f>
        <v>1500</v>
      </c>
      <c r="F279">
        <v>0.55000000000000004</v>
      </c>
      <c r="G279" s="80">
        <f t="shared" si="15"/>
        <v>825.00000000000011</v>
      </c>
      <c r="H279" s="80">
        <f>VLOOKUP(D279,'Bu Erta'!$C$2:$F$66,4,0)*F279</f>
        <v>1100</v>
      </c>
    </row>
    <row r="280" spans="1:8" x14ac:dyDescent="0.35">
      <c r="B280" t="s">
        <v>109</v>
      </c>
      <c r="D280" t="s">
        <v>7</v>
      </c>
      <c r="E280" s="80">
        <f>VLOOKUP(D280,'Bu Erta'!$C$2:$E$66,3,0)</f>
        <v>1400</v>
      </c>
      <c r="F280">
        <f>1.2+0.75+1.6</f>
        <v>3.55</v>
      </c>
      <c r="G280" s="80">
        <f t="shared" si="15"/>
        <v>4970</v>
      </c>
      <c r="H280" s="80">
        <f>VLOOKUP(D280,'Bu Erta'!$C$2:$F$66,4,0)*F280</f>
        <v>5680</v>
      </c>
    </row>
    <row r="281" spans="1:8" x14ac:dyDescent="0.35">
      <c r="B281" t="s">
        <v>109</v>
      </c>
      <c r="D281" t="s">
        <v>69</v>
      </c>
      <c r="E281" s="80">
        <f>VLOOKUP(D281,'Bu Erta'!$C$2:$E$66,3,0)</f>
        <v>2500</v>
      </c>
      <c r="F281">
        <v>0.2</v>
      </c>
      <c r="G281" s="80">
        <f t="shared" si="15"/>
        <v>500</v>
      </c>
      <c r="H281" s="80">
        <f>VLOOKUP(D281,'Bu Erta'!$C$2:$F$66,4,0)*F281</f>
        <v>600</v>
      </c>
    </row>
    <row r="282" spans="1:8" x14ac:dyDescent="0.35">
      <c r="B282" t="s">
        <v>109</v>
      </c>
      <c r="D282" t="s">
        <v>24</v>
      </c>
      <c r="E282" s="80">
        <f>VLOOKUP(D282,'Bu Erta'!$C$2:$E$66,3,0)</f>
        <v>150</v>
      </c>
      <c r="F282">
        <v>2.4500000000000002</v>
      </c>
      <c r="G282" s="80">
        <f t="shared" si="15"/>
        <v>367.5</v>
      </c>
      <c r="H282" s="80">
        <f>VLOOKUP(D282,'Bu Erta'!$C$2:$F$66,4,0)*F282</f>
        <v>490.00000000000006</v>
      </c>
    </row>
    <row r="283" spans="1:8" x14ac:dyDescent="0.35">
      <c r="B283" t="s">
        <v>109</v>
      </c>
      <c r="D283" t="s">
        <v>88</v>
      </c>
      <c r="E283" s="80">
        <f>VLOOKUP(D283,'Bu Erta'!$C$2:$E$66,3,0)</f>
        <v>300</v>
      </c>
      <c r="F283">
        <f>0.45+0.45</f>
        <v>0.9</v>
      </c>
      <c r="G283" s="80">
        <f t="shared" si="15"/>
        <v>270</v>
      </c>
      <c r="H283" s="80">
        <f>VLOOKUP(D283,'Bu Erta'!$C$2:$F$66,4,0)*F283</f>
        <v>360</v>
      </c>
    </row>
    <row r="284" spans="1:8" x14ac:dyDescent="0.35">
      <c r="A284" s="5">
        <v>41</v>
      </c>
      <c r="B284" t="s">
        <v>118</v>
      </c>
      <c r="C284" s="5">
        <v>4</v>
      </c>
      <c r="D284" t="s">
        <v>56</v>
      </c>
      <c r="E284" s="80">
        <f>VLOOKUP(D284,'Bu Erta'!$C$2:$E$66,3,0)</f>
        <v>4000</v>
      </c>
      <c r="F284">
        <v>1.2</v>
      </c>
      <c r="G284" s="80">
        <f t="shared" si="15"/>
        <v>4800</v>
      </c>
      <c r="H284" s="80">
        <f>VLOOKUP(D284,'Bu Erta'!$C$2:$F$66,4,0)*F284</f>
        <v>6600</v>
      </c>
    </row>
    <row r="285" spans="1:8" x14ac:dyDescent="0.35">
      <c r="B285" t="s">
        <v>118</v>
      </c>
      <c r="D285" t="s">
        <v>69</v>
      </c>
      <c r="E285" s="80">
        <f>VLOOKUP(D285,'Bu Erta'!$C$2:$E$66,3,0)</f>
        <v>2500</v>
      </c>
      <c r="F285">
        <v>0.2</v>
      </c>
      <c r="G285" s="80">
        <f t="shared" si="15"/>
        <v>500</v>
      </c>
      <c r="H285" s="80">
        <f>VLOOKUP(D285,'Bu Erta'!$C$2:$F$66,4,0)*F285</f>
        <v>600</v>
      </c>
    </row>
    <row r="286" spans="1:8" x14ac:dyDescent="0.35">
      <c r="B286" t="s">
        <v>118</v>
      </c>
      <c r="D286" t="s">
        <v>27</v>
      </c>
      <c r="E286" s="80">
        <f>VLOOKUP(D286,'Bu Erta'!$C$2:$E$66,3,0)</f>
        <v>2800</v>
      </c>
      <c r="F286">
        <v>0.4</v>
      </c>
      <c r="G286" s="80">
        <f t="shared" si="15"/>
        <v>1120</v>
      </c>
      <c r="H286" s="80">
        <f>VLOOKUP(D286,'Bu Erta'!$C$2:$F$66,4,0)*F286</f>
        <v>1240</v>
      </c>
    </row>
    <row r="287" spans="1:8" x14ac:dyDescent="0.35">
      <c r="B287" t="s">
        <v>118</v>
      </c>
      <c r="D287" t="s">
        <v>88</v>
      </c>
      <c r="E287" s="80">
        <f>VLOOKUP(D287,'Bu Erta'!$C$2:$E$66,3,0)</f>
        <v>300</v>
      </c>
      <c r="F287">
        <f>2+0.45</f>
        <v>2.4500000000000002</v>
      </c>
      <c r="G287" s="80">
        <f t="shared" si="15"/>
        <v>735</v>
      </c>
      <c r="H287" s="80">
        <f>VLOOKUP(D287,'Bu Erta'!$C$2:$F$66,4,0)*F287</f>
        <v>980.00000000000011</v>
      </c>
    </row>
    <row r="288" spans="1:8" x14ac:dyDescent="0.35">
      <c r="B288" t="s">
        <v>118</v>
      </c>
      <c r="D288" t="s">
        <v>19</v>
      </c>
      <c r="E288" s="80">
        <f>VLOOKUP(D288,'Bu Erta'!$C$2:$E$66,3,0)</f>
        <v>200</v>
      </c>
      <c r="F288">
        <v>0.5</v>
      </c>
      <c r="G288" s="80">
        <f t="shared" si="15"/>
        <v>100</v>
      </c>
      <c r="H288" s="80">
        <f>VLOOKUP(D288,'Bu Erta'!$C$2:$F$66,4,0)*F288</f>
        <v>150</v>
      </c>
    </row>
    <row r="289" spans="1:8" x14ac:dyDescent="0.35">
      <c r="B289" t="s">
        <v>118</v>
      </c>
      <c r="D289" t="s">
        <v>41</v>
      </c>
      <c r="E289" s="80">
        <f>VLOOKUP(D289,'Bu Erta'!$C$2:$E$66,3,0)</f>
        <v>1500</v>
      </c>
      <c r="F289">
        <v>0.3</v>
      </c>
      <c r="G289" s="80">
        <f t="shared" si="15"/>
        <v>450</v>
      </c>
      <c r="H289" s="80">
        <f>VLOOKUP(D289,'Bu Erta'!$C$2:$F$66,4,0)*F289</f>
        <v>600</v>
      </c>
    </row>
    <row r="290" spans="1:8" x14ac:dyDescent="0.35">
      <c r="B290" t="s">
        <v>118</v>
      </c>
      <c r="D290" t="s">
        <v>7</v>
      </c>
      <c r="E290" s="80">
        <f>VLOOKUP(D290,'Bu Erta'!$C$2:$E$66,3,0)</f>
        <v>1400</v>
      </c>
      <c r="F290">
        <v>0.45</v>
      </c>
      <c r="G290" s="80">
        <f t="shared" si="15"/>
        <v>630</v>
      </c>
      <c r="H290" s="80">
        <f>VLOOKUP(D290,'Bu Erta'!$C$2:$F$66,4,0)*F290</f>
        <v>720</v>
      </c>
    </row>
    <row r="291" spans="1:8" x14ac:dyDescent="0.35">
      <c r="B291" t="s">
        <v>118</v>
      </c>
      <c r="D291" t="s">
        <v>34</v>
      </c>
      <c r="E291" s="80">
        <f>VLOOKUP(D291,'Bu Erta'!$C$2:$E$66,3,0)</f>
        <v>3500</v>
      </c>
      <c r="F291">
        <v>0.05</v>
      </c>
      <c r="G291" s="80">
        <f t="shared" si="15"/>
        <v>175</v>
      </c>
      <c r="H291" s="80">
        <f>VLOOKUP(D291,'Bu Erta'!$C$2:$F$66,4,0)*F291</f>
        <v>180</v>
      </c>
    </row>
    <row r="292" spans="1:8" x14ac:dyDescent="0.35">
      <c r="A292" s="5">
        <v>42</v>
      </c>
      <c r="B292" t="s">
        <v>152</v>
      </c>
      <c r="C292" s="5">
        <v>4</v>
      </c>
      <c r="D292" t="s">
        <v>42</v>
      </c>
      <c r="E292" s="80">
        <f>VLOOKUP(D292,'Bu Erta'!$C$2:$E$66,3,0)</f>
        <v>1000</v>
      </c>
      <c r="F292">
        <v>0.6</v>
      </c>
      <c r="G292" s="80">
        <f t="shared" si="15"/>
        <v>600</v>
      </c>
      <c r="H292" s="80">
        <f>VLOOKUP(D292,'Bu Erta'!$C$2:$F$66,4,0)*F292</f>
        <v>720</v>
      </c>
    </row>
    <row r="293" spans="1:8" x14ac:dyDescent="0.35">
      <c r="B293" t="s">
        <v>152</v>
      </c>
      <c r="D293" t="s">
        <v>88</v>
      </c>
      <c r="E293" s="80">
        <f>VLOOKUP(D293,'Bu Erta'!$C$2:$E$66,3,0)</f>
        <v>300</v>
      </c>
      <c r="F293">
        <v>0.25</v>
      </c>
      <c r="G293" s="80">
        <f t="shared" si="15"/>
        <v>75</v>
      </c>
      <c r="H293" s="80">
        <f>VLOOKUP(D293,'Bu Erta'!$C$2:$F$66,4,0)*F293</f>
        <v>100</v>
      </c>
    </row>
    <row r="294" spans="1:8" x14ac:dyDescent="0.35">
      <c r="B294" t="s">
        <v>152</v>
      </c>
      <c r="D294" t="s">
        <v>7</v>
      </c>
      <c r="E294" s="80">
        <f>VLOOKUP(D294,'Bu Erta'!$C$2:$E$66,3,0)</f>
        <v>1400</v>
      </c>
      <c r="F294">
        <v>0.25</v>
      </c>
      <c r="G294" s="80">
        <f t="shared" si="15"/>
        <v>350</v>
      </c>
      <c r="H294" s="80">
        <f>VLOOKUP(D294,'Bu Erta'!$C$2:$F$66,4,0)*F294</f>
        <v>400</v>
      </c>
    </row>
    <row r="295" spans="1:8" x14ac:dyDescent="0.35">
      <c r="B295" t="s">
        <v>152</v>
      </c>
      <c r="D295" t="s">
        <v>23</v>
      </c>
      <c r="E295" s="80">
        <f>VLOOKUP(D295,'Bu Erta'!$C$2:$E$66,3,0)</f>
        <v>300</v>
      </c>
      <c r="F295">
        <v>0.05</v>
      </c>
      <c r="G295" s="80">
        <f t="shared" si="15"/>
        <v>15</v>
      </c>
      <c r="H295" s="80">
        <f>VLOOKUP(D295,'Bu Erta'!$C$2:$F$66,4,0)*F295</f>
        <v>20</v>
      </c>
    </row>
    <row r="296" spans="1:8" x14ac:dyDescent="0.35">
      <c r="B296" t="s">
        <v>152</v>
      </c>
      <c r="D296" t="s">
        <v>25</v>
      </c>
      <c r="E296" s="80">
        <f>VLOOKUP(D296,'Bu Erta'!$C$2:$E$66,3,0)</f>
        <v>1600</v>
      </c>
      <c r="F296">
        <v>0.3</v>
      </c>
      <c r="G296" s="80">
        <f t="shared" si="15"/>
        <v>480</v>
      </c>
      <c r="H296" s="80">
        <f>VLOOKUP(D296,'Bu Erta'!$C$2:$F$66,4,0)*F296</f>
        <v>510</v>
      </c>
    </row>
    <row r="297" spans="1:8" x14ac:dyDescent="0.35">
      <c r="B297" t="s">
        <v>152</v>
      </c>
      <c r="D297" t="s">
        <v>19</v>
      </c>
      <c r="E297" s="80">
        <f>VLOOKUP(D297,'Bu Erta'!$C$2:$E$66,3,0)</f>
        <v>200</v>
      </c>
      <c r="F297">
        <v>0.45</v>
      </c>
      <c r="G297" s="80">
        <f t="shared" si="15"/>
        <v>90</v>
      </c>
      <c r="H297" s="80">
        <f>VLOOKUP(D297,'Bu Erta'!$C$2:$F$66,4,0)*F297</f>
        <v>135</v>
      </c>
    </row>
    <row r="298" spans="1:8" x14ac:dyDescent="0.35">
      <c r="B298" t="s">
        <v>152</v>
      </c>
      <c r="D298" t="s">
        <v>28</v>
      </c>
      <c r="E298" s="80">
        <f>VLOOKUP(D298,'Bu Erta'!$C$2:$E$66,3,0)</f>
        <v>1200</v>
      </c>
      <c r="F298">
        <v>8.6</v>
      </c>
      <c r="G298" s="80">
        <f t="shared" si="15"/>
        <v>10320</v>
      </c>
      <c r="H298" s="80">
        <f>VLOOKUP(D298,'Bu Erta'!$C$2:$F$66,4,0)*F298</f>
        <v>11180</v>
      </c>
    </row>
    <row r="299" spans="1:8" x14ac:dyDescent="0.35">
      <c r="A299" s="5">
        <v>43</v>
      </c>
      <c r="B299" t="s">
        <v>245</v>
      </c>
      <c r="C299" s="5">
        <v>4</v>
      </c>
      <c r="D299" t="s">
        <v>42</v>
      </c>
      <c r="E299" s="80">
        <f>VLOOKUP(D299,'Bu Erta'!$C$2:$E$66,3,0)</f>
        <v>1000</v>
      </c>
      <c r="F299">
        <v>1</v>
      </c>
      <c r="G299" s="80">
        <f t="shared" si="15"/>
        <v>1000</v>
      </c>
      <c r="H299" s="80">
        <f>VLOOKUP(D299,'Bu Erta'!$C$2:$F$66,4,0)*F299</f>
        <v>1200</v>
      </c>
    </row>
    <row r="300" spans="1:8" x14ac:dyDescent="0.35">
      <c r="B300" t="s">
        <v>245</v>
      </c>
      <c r="D300" t="s">
        <v>31</v>
      </c>
      <c r="E300" s="80">
        <f>VLOOKUP(D300,'Bu Erta'!$C$2:$E$66,3,0)</f>
        <v>1000</v>
      </c>
      <c r="F300">
        <v>0.55000000000000004</v>
      </c>
      <c r="G300" s="80">
        <f t="shared" si="15"/>
        <v>550</v>
      </c>
      <c r="H300" s="80">
        <f>VLOOKUP(D300,'Bu Erta'!$C$2:$F$66,4,0)*F300</f>
        <v>605</v>
      </c>
    </row>
    <row r="301" spans="1:8" x14ac:dyDescent="0.35">
      <c r="B301" t="s">
        <v>245</v>
      </c>
      <c r="D301" t="s">
        <v>37</v>
      </c>
      <c r="E301" s="80">
        <f>VLOOKUP(D301,'Bu Erta'!$C$2:$E$66,3,0)</f>
        <v>1600</v>
      </c>
      <c r="F301">
        <v>0.25</v>
      </c>
      <c r="G301" s="80">
        <f t="shared" si="15"/>
        <v>400</v>
      </c>
      <c r="H301" s="80">
        <f>VLOOKUP(D301,'Bu Erta'!$C$2:$F$66,4,0)*F301</f>
        <v>500</v>
      </c>
    </row>
    <row r="302" spans="1:8" x14ac:dyDescent="0.35">
      <c r="B302" t="s">
        <v>245</v>
      </c>
      <c r="D302" t="s">
        <v>88</v>
      </c>
      <c r="E302" s="80">
        <f>VLOOKUP(D302,'Bu Erta'!$C$2:$E$66,3,0)</f>
        <v>300</v>
      </c>
      <c r="F302">
        <v>0.4</v>
      </c>
      <c r="G302" s="80">
        <f t="shared" si="15"/>
        <v>120</v>
      </c>
      <c r="H302" s="80">
        <f>VLOOKUP(D302,'Bu Erta'!$C$2:$F$66,4,0)*F302</f>
        <v>160</v>
      </c>
    </row>
    <row r="303" spans="1:8" x14ac:dyDescent="0.35">
      <c r="B303" t="s">
        <v>245</v>
      </c>
      <c r="D303" t="s">
        <v>19</v>
      </c>
      <c r="E303" s="80">
        <f>VLOOKUP(D303,'Bu Erta'!$C$2:$E$66,3,0)</f>
        <v>200</v>
      </c>
      <c r="F303">
        <v>0.25</v>
      </c>
      <c r="G303" s="80">
        <f t="shared" si="15"/>
        <v>50</v>
      </c>
      <c r="H303" s="80">
        <f>VLOOKUP(D303,'Bu Erta'!$C$2:$F$66,4,0)*F303</f>
        <v>75</v>
      </c>
    </row>
    <row r="304" spans="1:8" x14ac:dyDescent="0.35">
      <c r="B304" t="s">
        <v>245</v>
      </c>
      <c r="D304" t="s">
        <v>69</v>
      </c>
      <c r="E304" s="80">
        <f>VLOOKUP(D304,'Bu Erta'!$C$2:$E$66,3,0)</f>
        <v>2500</v>
      </c>
      <c r="F304">
        <v>0.1</v>
      </c>
      <c r="G304" s="80">
        <f t="shared" si="15"/>
        <v>250</v>
      </c>
      <c r="H304" s="80">
        <f>VLOOKUP(D304,'Bu Erta'!$C$2:$F$66,4,0)*F304</f>
        <v>300</v>
      </c>
    </row>
    <row r="305" spans="1:8" x14ac:dyDescent="0.35">
      <c r="B305" t="s">
        <v>245</v>
      </c>
      <c r="D305" t="s">
        <v>7</v>
      </c>
      <c r="E305" s="80">
        <f>VLOOKUP(D305,'Bu Erta'!$C$2:$E$66,3,0)</f>
        <v>1400</v>
      </c>
      <c r="F305">
        <v>0.2</v>
      </c>
      <c r="G305" s="80">
        <f t="shared" si="15"/>
        <v>280</v>
      </c>
      <c r="H305" s="80">
        <f>VLOOKUP(D305,'Bu Erta'!$C$2:$F$66,4,0)*F305</f>
        <v>320</v>
      </c>
    </row>
    <row r="306" spans="1:8" x14ac:dyDescent="0.35">
      <c r="B306" t="s">
        <v>245</v>
      </c>
      <c r="D306" t="s">
        <v>24</v>
      </c>
      <c r="E306" s="80">
        <f>VLOOKUP(D306,'Bu Erta'!$C$2:$E$66,3,0)</f>
        <v>150</v>
      </c>
      <c r="F306">
        <v>0.15</v>
      </c>
      <c r="G306" s="80">
        <f t="shared" si="15"/>
        <v>22.5</v>
      </c>
      <c r="H306" s="80">
        <f>VLOOKUP(D306,'Bu Erta'!$C$2:$F$66,4,0)*F306</f>
        <v>30</v>
      </c>
    </row>
    <row r="307" spans="1:8" x14ac:dyDescent="0.35">
      <c r="A307" s="5">
        <v>44</v>
      </c>
      <c r="B307" t="s">
        <v>144</v>
      </c>
      <c r="C307" s="5">
        <v>4</v>
      </c>
      <c r="D307" t="s">
        <v>56</v>
      </c>
      <c r="E307" s="80">
        <f>VLOOKUP(D307,'Bu Erta'!$C$2:$E$66,3,0)</f>
        <v>4000</v>
      </c>
      <c r="F307">
        <v>0.45</v>
      </c>
      <c r="G307" s="80">
        <f t="shared" ref="G307:G332" si="16">E307*F307</f>
        <v>1800</v>
      </c>
      <c r="H307" s="80">
        <f>VLOOKUP(D307,'Bu Erta'!$C$2:$F$66,4,0)*F307</f>
        <v>2475</v>
      </c>
    </row>
    <row r="308" spans="1:8" x14ac:dyDescent="0.35">
      <c r="B308" t="s">
        <v>144</v>
      </c>
      <c r="D308" t="s">
        <v>88</v>
      </c>
      <c r="E308" s="80">
        <f>VLOOKUP(D308,'Bu Erta'!$C$2:$E$66,3,0)</f>
        <v>300</v>
      </c>
      <c r="F308">
        <v>2.5</v>
      </c>
      <c r="G308" s="80">
        <f t="shared" si="16"/>
        <v>750</v>
      </c>
      <c r="H308" s="80">
        <f>VLOOKUP(D308,'Bu Erta'!$C$2:$F$66,4,0)*F308</f>
        <v>1000</v>
      </c>
    </row>
    <row r="309" spans="1:8" x14ac:dyDescent="0.35">
      <c r="A309" s="5">
        <v>45</v>
      </c>
      <c r="B309" t="s">
        <v>97</v>
      </c>
      <c r="C309" s="5">
        <v>4</v>
      </c>
      <c r="D309" t="s">
        <v>42</v>
      </c>
      <c r="E309" s="80">
        <f>VLOOKUP(D309,'Bu Erta'!$C$2:$E$66,3,0)</f>
        <v>1000</v>
      </c>
      <c r="F309">
        <v>6.65</v>
      </c>
      <c r="G309" s="80">
        <f t="shared" si="16"/>
        <v>6650</v>
      </c>
      <c r="H309" s="80">
        <f>VLOOKUP(D309,'Bu Erta'!$C$2:$F$66,4,0)*F309</f>
        <v>7980</v>
      </c>
    </row>
    <row r="310" spans="1:8" x14ac:dyDescent="0.35">
      <c r="A310" s="5">
        <v>46</v>
      </c>
      <c r="B310" t="s">
        <v>84</v>
      </c>
      <c r="C310" s="5">
        <v>4</v>
      </c>
      <c r="D310" t="s">
        <v>42</v>
      </c>
      <c r="E310" s="80">
        <f>VLOOKUP(D310,'Bu Erta'!$C$2:$E$66,3,0)</f>
        <v>1000</v>
      </c>
      <c r="F310">
        <v>2.15</v>
      </c>
      <c r="G310" s="80">
        <f t="shared" si="16"/>
        <v>2150</v>
      </c>
      <c r="H310" s="80">
        <f>VLOOKUP(D310,'Bu Erta'!$C$2:$F$66,4,0)*F310</f>
        <v>2580</v>
      </c>
    </row>
    <row r="311" spans="1:8" x14ac:dyDescent="0.35">
      <c r="B311" t="s">
        <v>84</v>
      </c>
      <c r="D311" t="s">
        <v>46</v>
      </c>
      <c r="E311" s="80">
        <f>VLOOKUP(D311,'Bu Erta'!$C$2:$E$66,3,0)</f>
        <v>1400</v>
      </c>
      <c r="F311">
        <v>0.55000000000000004</v>
      </c>
      <c r="G311" s="80">
        <f t="shared" si="16"/>
        <v>770.00000000000011</v>
      </c>
      <c r="H311" s="80">
        <f>VLOOKUP(D311,'Bu Erta'!$C$2:$F$66,4,0)*F311</f>
        <v>825.00000000000011</v>
      </c>
    </row>
    <row r="312" spans="1:8" x14ac:dyDescent="0.35">
      <c r="B312" t="s">
        <v>84</v>
      </c>
      <c r="D312" t="s">
        <v>23</v>
      </c>
      <c r="E312" s="80">
        <f>VLOOKUP(D312,'Bu Erta'!$C$2:$E$66,3,0)</f>
        <v>300</v>
      </c>
      <c r="F312">
        <f>6.1+0.6</f>
        <v>6.6999999999999993</v>
      </c>
      <c r="G312" s="80">
        <f t="shared" si="16"/>
        <v>2009.9999999999998</v>
      </c>
      <c r="H312" s="80">
        <f>VLOOKUP(D312,'Bu Erta'!$C$2:$F$66,4,0)*F312</f>
        <v>2679.9999999999995</v>
      </c>
    </row>
    <row r="313" spans="1:8" x14ac:dyDescent="0.35">
      <c r="B313" t="s">
        <v>84</v>
      </c>
      <c r="D313" t="s">
        <v>27</v>
      </c>
      <c r="E313" s="80">
        <f>VLOOKUP(D313,'Bu Erta'!$C$2:$E$66,3,0)</f>
        <v>2800</v>
      </c>
      <c r="F313">
        <v>0.3</v>
      </c>
      <c r="G313" s="80">
        <f t="shared" si="16"/>
        <v>840</v>
      </c>
      <c r="H313" s="80">
        <f>VLOOKUP(D313,'Bu Erta'!$C$2:$F$66,4,0)*F313</f>
        <v>930</v>
      </c>
    </row>
    <row r="314" spans="1:8" x14ac:dyDescent="0.35">
      <c r="B314" t="s">
        <v>84</v>
      </c>
      <c r="D314" t="s">
        <v>69</v>
      </c>
      <c r="E314" s="80">
        <f>VLOOKUP(D314,'Bu Erta'!$C$2:$E$66,3,0)</f>
        <v>2500</v>
      </c>
      <c r="F314">
        <v>0.5</v>
      </c>
      <c r="G314" s="80">
        <f t="shared" si="16"/>
        <v>1250</v>
      </c>
      <c r="H314" s="80">
        <f>VLOOKUP(D314,'Bu Erta'!$C$2:$F$66,4,0)*F314</f>
        <v>1500</v>
      </c>
    </row>
    <row r="315" spans="1:8" x14ac:dyDescent="0.35">
      <c r="B315" t="s">
        <v>84</v>
      </c>
      <c r="D315" t="s">
        <v>70</v>
      </c>
      <c r="E315" s="80">
        <f>VLOOKUP(D315,'Bu Erta'!$C$2:$E$66,3,0)</f>
        <v>3500</v>
      </c>
      <c r="F315">
        <v>0.55000000000000004</v>
      </c>
      <c r="G315" s="80">
        <f t="shared" si="16"/>
        <v>1925.0000000000002</v>
      </c>
      <c r="H315" s="80">
        <f>VLOOKUP(D315,'Bu Erta'!$C$2:$F$66,4,0)*F315</f>
        <v>2200</v>
      </c>
    </row>
    <row r="316" spans="1:8" x14ac:dyDescent="0.35">
      <c r="B316" t="s">
        <v>84</v>
      </c>
      <c r="D316" t="s">
        <v>6</v>
      </c>
      <c r="E316" s="80">
        <f>VLOOKUP(D316,'Bu Erta'!$C$2:$E$66,3,0)</f>
        <v>2000</v>
      </c>
      <c r="F316">
        <v>0.85</v>
      </c>
      <c r="G316" s="80">
        <f t="shared" si="16"/>
        <v>1700</v>
      </c>
      <c r="H316" s="80">
        <f>VLOOKUP(D316,'Bu Erta'!$C$2:$F$66,4,0)*F316</f>
        <v>2125</v>
      </c>
    </row>
    <row r="317" spans="1:8" x14ac:dyDescent="0.35">
      <c r="B317" t="s">
        <v>84</v>
      </c>
      <c r="D317" t="s">
        <v>7</v>
      </c>
      <c r="E317" s="80">
        <f>VLOOKUP(D317,'Bu Erta'!$C$2:$E$66,3,0)</f>
        <v>1400</v>
      </c>
      <c r="F317">
        <v>1</v>
      </c>
      <c r="G317" s="80">
        <f t="shared" si="16"/>
        <v>1400</v>
      </c>
      <c r="H317" s="80">
        <f>VLOOKUP(D317,'Bu Erta'!$C$2:$F$66,4,0)*F317</f>
        <v>1600</v>
      </c>
    </row>
    <row r="318" spans="1:8" x14ac:dyDescent="0.35">
      <c r="B318" t="s">
        <v>84</v>
      </c>
      <c r="D318" t="s">
        <v>88</v>
      </c>
      <c r="E318" s="80">
        <f>VLOOKUP(D318,'Bu Erta'!$C$2:$E$66,3,0)</f>
        <v>300</v>
      </c>
      <c r="F318">
        <v>1.25</v>
      </c>
      <c r="G318" s="80">
        <f t="shared" si="16"/>
        <v>375</v>
      </c>
      <c r="H318" s="80">
        <f>VLOOKUP(D318,'Bu Erta'!$C$2:$F$66,4,0)*F318</f>
        <v>500</v>
      </c>
    </row>
    <row r="319" spans="1:8" x14ac:dyDescent="0.35">
      <c r="B319" t="s">
        <v>84</v>
      </c>
      <c r="D319" t="s">
        <v>19</v>
      </c>
      <c r="E319" s="80">
        <f>VLOOKUP(D319,'Bu Erta'!$C$2:$E$66,3,0)</f>
        <v>200</v>
      </c>
      <c r="F319">
        <v>1.85</v>
      </c>
      <c r="G319" s="80">
        <f t="shared" si="16"/>
        <v>370</v>
      </c>
      <c r="H319" s="80">
        <f>VLOOKUP(D319,'Bu Erta'!$C$2:$F$66,4,0)*F319</f>
        <v>555</v>
      </c>
    </row>
    <row r="320" spans="1:8" x14ac:dyDescent="0.35">
      <c r="A320" s="5">
        <v>47</v>
      </c>
      <c r="B320" t="s">
        <v>182</v>
      </c>
      <c r="C320" s="5">
        <v>4</v>
      </c>
      <c r="D320" t="s">
        <v>31</v>
      </c>
      <c r="E320" s="80">
        <f>VLOOKUP(D320,'Bu Erta'!$C$2:$E$66,3,0)</f>
        <v>1000</v>
      </c>
      <c r="F320">
        <f>1+0.3</f>
        <v>1.3</v>
      </c>
      <c r="G320" s="80">
        <f t="shared" si="16"/>
        <v>1300</v>
      </c>
      <c r="H320" s="80">
        <f>VLOOKUP(D320,'Bu Erta'!$C$2:$F$66,4,0)*F320</f>
        <v>1430</v>
      </c>
    </row>
    <row r="321" spans="1:8" x14ac:dyDescent="0.35">
      <c r="B321" t="s">
        <v>182</v>
      </c>
      <c r="D321" t="s">
        <v>24</v>
      </c>
      <c r="E321" s="80">
        <f>VLOOKUP(D321,'Bu Erta'!$C$2:$E$66,3,0)</f>
        <v>150</v>
      </c>
      <c r="F321">
        <f>0.2+0.05</f>
        <v>0.25</v>
      </c>
      <c r="G321" s="80">
        <f t="shared" si="16"/>
        <v>37.5</v>
      </c>
      <c r="H321" s="80">
        <f>VLOOKUP(D321,'Bu Erta'!$C$2:$F$66,4,0)*F321</f>
        <v>50</v>
      </c>
    </row>
    <row r="322" spans="1:8" x14ac:dyDescent="0.35">
      <c r="B322" t="s">
        <v>182</v>
      </c>
      <c r="D322" t="s">
        <v>6</v>
      </c>
      <c r="E322" s="80">
        <f>VLOOKUP(D322,'Bu Erta'!$C$2:$E$66,3,0)</f>
        <v>2000</v>
      </c>
      <c r="F322">
        <v>0.2</v>
      </c>
      <c r="G322" s="80">
        <f t="shared" si="16"/>
        <v>400</v>
      </c>
      <c r="H322" s="80">
        <f>VLOOKUP(D322,'Bu Erta'!$C$2:$F$66,4,0)*F322</f>
        <v>500</v>
      </c>
    </row>
    <row r="323" spans="1:8" x14ac:dyDescent="0.35">
      <c r="B323" t="s">
        <v>182</v>
      </c>
      <c r="D323" t="s">
        <v>25</v>
      </c>
      <c r="E323" s="80">
        <f>VLOOKUP(D323,'Bu Erta'!$C$2:$E$66,3,0)</f>
        <v>1600</v>
      </c>
      <c r="F323">
        <v>0.35</v>
      </c>
      <c r="G323" s="80">
        <f t="shared" si="16"/>
        <v>560</v>
      </c>
      <c r="H323" s="80">
        <f>VLOOKUP(D323,'Bu Erta'!$C$2:$F$66,4,0)*F323</f>
        <v>595</v>
      </c>
    </row>
    <row r="324" spans="1:8" x14ac:dyDescent="0.35">
      <c r="B324" t="s">
        <v>182</v>
      </c>
      <c r="D324" t="s">
        <v>88</v>
      </c>
      <c r="E324" s="80">
        <f>VLOOKUP(D324,'Bu Erta'!$C$2:$E$66,3,0)</f>
        <v>300</v>
      </c>
      <c r="F324">
        <v>0.15</v>
      </c>
      <c r="G324" s="80">
        <f t="shared" si="16"/>
        <v>45</v>
      </c>
      <c r="H324" s="80">
        <f>VLOOKUP(D324,'Bu Erta'!$C$2:$F$66,4,0)*F324</f>
        <v>60</v>
      </c>
    </row>
    <row r="325" spans="1:8" x14ac:dyDescent="0.35">
      <c r="A325" s="5">
        <v>48</v>
      </c>
      <c r="B325" t="s">
        <v>188</v>
      </c>
      <c r="C325" s="5">
        <v>7</v>
      </c>
      <c r="D325" t="s">
        <v>19</v>
      </c>
      <c r="E325" s="80">
        <f>VLOOKUP(D325,'Bu Erta'!$C$2:$E$66,3,0)</f>
        <v>200</v>
      </c>
      <c r="F325">
        <v>2</v>
      </c>
      <c r="G325" s="80">
        <f t="shared" si="16"/>
        <v>400</v>
      </c>
      <c r="H325" s="80">
        <f>VLOOKUP(D325,'Bu Erta'!$C$2:$F$66,4,0)*F325</f>
        <v>600</v>
      </c>
    </row>
    <row r="326" spans="1:8" x14ac:dyDescent="0.35">
      <c r="B326" t="s">
        <v>188</v>
      </c>
      <c r="D326" t="s">
        <v>48</v>
      </c>
      <c r="E326" s="80">
        <f>VLOOKUP(D326,'Bu Erta'!$C$2:$E$66,3,0)</f>
        <v>13000</v>
      </c>
      <c r="F326">
        <v>1</v>
      </c>
      <c r="G326" s="80">
        <f t="shared" si="16"/>
        <v>13000</v>
      </c>
      <c r="H326" s="80">
        <f>VLOOKUP(D326,'Bu Erta'!$C$2:$F$66,4,0)*F326</f>
        <v>15000</v>
      </c>
    </row>
    <row r="327" spans="1:8" x14ac:dyDescent="0.35">
      <c r="B327" t="s">
        <v>188</v>
      </c>
      <c r="D327" t="s">
        <v>42</v>
      </c>
      <c r="E327" s="80">
        <f>VLOOKUP(D327,'Bu Erta'!$C$2:$E$66,3,0)</f>
        <v>1000</v>
      </c>
      <c r="F327">
        <v>7.8</v>
      </c>
      <c r="G327" s="80">
        <f t="shared" si="16"/>
        <v>7800</v>
      </c>
      <c r="H327" s="80">
        <f>VLOOKUP(D327,'Bu Erta'!$C$2:$F$66,4,0)*F327</f>
        <v>9360</v>
      </c>
    </row>
    <row r="328" spans="1:8" x14ac:dyDescent="0.35">
      <c r="B328" t="s">
        <v>188</v>
      </c>
      <c r="D328" t="s">
        <v>88</v>
      </c>
      <c r="E328" s="80">
        <f>VLOOKUP(D328,'Bu Erta'!$C$2:$E$66,3,0)</f>
        <v>300</v>
      </c>
      <c r="F328">
        <v>0.55000000000000004</v>
      </c>
      <c r="G328" s="80">
        <f t="shared" si="16"/>
        <v>165</v>
      </c>
      <c r="H328" s="80">
        <f>VLOOKUP(D328,'Bu Erta'!$C$2:$F$66,4,0)*F328</f>
        <v>220.00000000000003</v>
      </c>
    </row>
    <row r="329" spans="1:8" x14ac:dyDescent="0.35">
      <c r="B329" t="s">
        <v>188</v>
      </c>
      <c r="D329" t="s">
        <v>27</v>
      </c>
      <c r="E329" s="80">
        <f>VLOOKUP(D329,'Bu Erta'!$C$2:$E$66,3,0)</f>
        <v>2800</v>
      </c>
      <c r="F329">
        <v>1.8</v>
      </c>
      <c r="G329" s="80">
        <f t="shared" si="16"/>
        <v>5040</v>
      </c>
      <c r="H329" s="80">
        <f>VLOOKUP(D329,'Bu Erta'!$C$2:$F$66,4,0)*F329</f>
        <v>5580</v>
      </c>
    </row>
    <row r="330" spans="1:8" x14ac:dyDescent="0.35">
      <c r="B330" t="s">
        <v>188</v>
      </c>
      <c r="D330" t="s">
        <v>6</v>
      </c>
      <c r="E330" s="80">
        <f>VLOOKUP(D330,'Bu Erta'!$C$2:$E$66,3,0)</f>
        <v>2000</v>
      </c>
      <c r="F330">
        <v>1.1000000000000001</v>
      </c>
      <c r="G330" s="80">
        <f t="shared" si="16"/>
        <v>2200</v>
      </c>
      <c r="H330" s="80">
        <f>VLOOKUP(D330,'Bu Erta'!$C$2:$F$66,4,0)*F330</f>
        <v>2750</v>
      </c>
    </row>
    <row r="331" spans="1:8" x14ac:dyDescent="0.35">
      <c r="B331" t="s">
        <v>188</v>
      </c>
      <c r="D331" t="s">
        <v>7</v>
      </c>
      <c r="E331" s="80">
        <f>VLOOKUP(D331,'Bu Erta'!$C$2:$E$66,3,0)</f>
        <v>1400</v>
      </c>
      <c r="F331">
        <v>1.85</v>
      </c>
      <c r="G331" s="80">
        <f t="shared" si="16"/>
        <v>2590</v>
      </c>
      <c r="H331" s="80">
        <f>VLOOKUP(D331,'Bu Erta'!$C$2:$F$66,4,0)*F331</f>
        <v>2960</v>
      </c>
    </row>
    <row r="332" spans="1:8" x14ac:dyDescent="0.35">
      <c r="B332" t="s">
        <v>188</v>
      </c>
      <c r="D332" t="s">
        <v>31</v>
      </c>
      <c r="E332" s="80">
        <f>VLOOKUP(D332,'Bu Erta'!$C$2:$E$66,3,0)</f>
        <v>1000</v>
      </c>
      <c r="F332">
        <v>3.95</v>
      </c>
      <c r="G332" s="80">
        <f t="shared" si="16"/>
        <v>3950</v>
      </c>
      <c r="H332" s="80">
        <f>VLOOKUP(D332,'Bu Erta'!$C$2:$F$66,4,0)*F332</f>
        <v>4345</v>
      </c>
    </row>
    <row r="333" spans="1:8" x14ac:dyDescent="0.35">
      <c r="E333" s="80"/>
      <c r="G333" s="80">
        <f>SUM(G3:G332)</f>
        <v>709346.5</v>
      </c>
      <c r="H333" s="80">
        <f>SUM(H3:H332)</f>
        <v>832115.5</v>
      </c>
    </row>
    <row r="334" spans="1:8" x14ac:dyDescent="0.35">
      <c r="E334" s="80"/>
      <c r="G334" s="80"/>
      <c r="H334" s="80"/>
    </row>
    <row r="335" spans="1:8" x14ac:dyDescent="0.35">
      <c r="E335" s="80"/>
      <c r="G335" s="80"/>
      <c r="H335" s="80"/>
    </row>
    <row r="336" spans="1:8" x14ac:dyDescent="0.35">
      <c r="E336" s="80"/>
      <c r="G336" s="80"/>
      <c r="H336" s="80"/>
    </row>
    <row r="337" spans="5:8" x14ac:dyDescent="0.35">
      <c r="E337" s="80"/>
      <c r="G337" s="80"/>
      <c r="H337" s="80"/>
    </row>
    <row r="338" spans="5:8" x14ac:dyDescent="0.35">
      <c r="E338" s="80"/>
      <c r="G338" s="80"/>
      <c r="H338" s="80"/>
    </row>
    <row r="339" spans="5:8" x14ac:dyDescent="0.35">
      <c r="E339" s="80"/>
      <c r="G339" s="80"/>
      <c r="H339" s="80"/>
    </row>
    <row r="340" spans="5:8" x14ac:dyDescent="0.35">
      <c r="E340" s="80"/>
      <c r="G340" s="80"/>
      <c r="H340" s="80"/>
    </row>
    <row r="341" spans="5:8" x14ac:dyDescent="0.35">
      <c r="E341" s="80"/>
      <c r="G341" s="80"/>
      <c r="H341" s="80"/>
    </row>
    <row r="342" spans="5:8" x14ac:dyDescent="0.35">
      <c r="E342" s="80"/>
      <c r="G342" s="80"/>
      <c r="H342" s="80"/>
    </row>
    <row r="343" spans="5:8" x14ac:dyDescent="0.35">
      <c r="E343" s="80"/>
      <c r="G343" s="80"/>
      <c r="H343" s="80"/>
    </row>
    <row r="344" spans="5:8" x14ac:dyDescent="0.35">
      <c r="E344" s="80"/>
      <c r="G344" s="80"/>
      <c r="H344" s="80"/>
    </row>
    <row r="345" spans="5:8" x14ac:dyDescent="0.35">
      <c r="E345" s="80"/>
      <c r="G345" s="80"/>
      <c r="H345" s="80"/>
    </row>
    <row r="346" spans="5:8" x14ac:dyDescent="0.35">
      <c r="E346" s="80"/>
      <c r="G346" s="80"/>
      <c r="H346" s="80"/>
    </row>
    <row r="347" spans="5:8" x14ac:dyDescent="0.35">
      <c r="E347" s="80"/>
      <c r="G347" s="80"/>
      <c r="H347" s="80"/>
    </row>
    <row r="348" spans="5:8" x14ac:dyDescent="0.35">
      <c r="E348" s="80"/>
      <c r="G348" s="80"/>
      <c r="H348" s="80"/>
    </row>
    <row r="349" spans="5:8" x14ac:dyDescent="0.35">
      <c r="E349" s="80"/>
      <c r="G349" s="80"/>
      <c r="H349" s="80"/>
    </row>
    <row r="350" spans="5:8" x14ac:dyDescent="0.35">
      <c r="E350" s="80"/>
      <c r="G350" s="80"/>
      <c r="H350" s="80"/>
    </row>
    <row r="351" spans="5:8" x14ac:dyDescent="0.35">
      <c r="E351" s="80"/>
      <c r="G351" s="80"/>
      <c r="H351" s="80"/>
    </row>
    <row r="352" spans="5:8" x14ac:dyDescent="0.35">
      <c r="E352" s="80"/>
      <c r="G352" s="80"/>
      <c r="H352" s="80"/>
    </row>
    <row r="353" spans="5:8" x14ac:dyDescent="0.35">
      <c r="E353" s="80"/>
      <c r="G353" s="80"/>
      <c r="H353" s="80"/>
    </row>
    <row r="354" spans="5:8" x14ac:dyDescent="0.35">
      <c r="E354" s="80"/>
      <c r="G354" s="80"/>
      <c r="H354" s="80"/>
    </row>
    <row r="355" spans="5:8" x14ac:dyDescent="0.35">
      <c r="E355" s="80"/>
      <c r="G355" s="80"/>
      <c r="H355" s="80"/>
    </row>
    <row r="356" spans="5:8" x14ac:dyDescent="0.35">
      <c r="E356" s="80"/>
      <c r="G356" s="80"/>
      <c r="H356" s="80"/>
    </row>
    <row r="357" spans="5:8" x14ac:dyDescent="0.35">
      <c r="E357" s="80"/>
      <c r="G357" s="80"/>
      <c r="H357" s="80"/>
    </row>
    <row r="358" spans="5:8" x14ac:dyDescent="0.35">
      <c r="E358" s="80"/>
      <c r="G358" s="80"/>
      <c r="H358" s="80"/>
    </row>
    <row r="359" spans="5:8" x14ac:dyDescent="0.35">
      <c r="E359" s="80"/>
      <c r="G359" s="80"/>
      <c r="H359" s="80"/>
    </row>
    <row r="360" spans="5:8" x14ac:dyDescent="0.35">
      <c r="E360" s="80"/>
      <c r="G360" s="80"/>
      <c r="H360" s="80"/>
    </row>
    <row r="361" spans="5:8" x14ac:dyDescent="0.35">
      <c r="E361" s="80"/>
      <c r="G361" s="80"/>
      <c r="H361" s="80"/>
    </row>
    <row r="362" spans="5:8" x14ac:dyDescent="0.35">
      <c r="E362" s="80"/>
      <c r="G362" s="80"/>
      <c r="H362" s="80"/>
    </row>
    <row r="363" spans="5:8" x14ac:dyDescent="0.35">
      <c r="E363" s="80"/>
      <c r="G363" s="80"/>
      <c r="H363" s="80"/>
    </row>
    <row r="364" spans="5:8" x14ac:dyDescent="0.35">
      <c r="E364" s="80"/>
      <c r="G364" s="80"/>
      <c r="H364" s="80"/>
    </row>
    <row r="365" spans="5:8" x14ac:dyDescent="0.35">
      <c r="E365" s="80"/>
      <c r="G365" s="80"/>
      <c r="H365" s="80"/>
    </row>
    <row r="366" spans="5:8" x14ac:dyDescent="0.35">
      <c r="E366" s="80"/>
      <c r="G366" s="80"/>
      <c r="H366" s="80"/>
    </row>
    <row r="367" spans="5:8" x14ac:dyDescent="0.35">
      <c r="E367" s="80"/>
      <c r="G367" s="80"/>
      <c r="H367" s="80"/>
    </row>
    <row r="368" spans="5:8" x14ac:dyDescent="0.35">
      <c r="E368" s="80"/>
      <c r="G368" s="80"/>
      <c r="H368" s="80"/>
    </row>
    <row r="369" spans="5:8" x14ac:dyDescent="0.35">
      <c r="E369" s="80"/>
      <c r="G369" s="80"/>
      <c r="H369" s="80"/>
    </row>
    <row r="370" spans="5:8" x14ac:dyDescent="0.35">
      <c r="E370" s="80"/>
      <c r="G370" s="80"/>
      <c r="H370" s="80"/>
    </row>
    <row r="371" spans="5:8" x14ac:dyDescent="0.35">
      <c r="E371" s="80"/>
      <c r="G371" s="80"/>
      <c r="H371" s="80"/>
    </row>
    <row r="372" spans="5:8" x14ac:dyDescent="0.35">
      <c r="E372" s="80"/>
      <c r="G372" s="80"/>
      <c r="H372" s="80"/>
    </row>
    <row r="373" spans="5:8" x14ac:dyDescent="0.35">
      <c r="E373" s="80"/>
      <c r="G373" s="80"/>
      <c r="H373" s="80"/>
    </row>
    <row r="374" spans="5:8" x14ac:dyDescent="0.35">
      <c r="E374" s="80"/>
      <c r="G374" s="80"/>
      <c r="H374" s="80"/>
    </row>
    <row r="375" spans="5:8" x14ac:dyDescent="0.35">
      <c r="E375" s="80"/>
      <c r="G375" s="80"/>
      <c r="H375" s="80"/>
    </row>
    <row r="376" spans="5:8" x14ac:dyDescent="0.35">
      <c r="E376" s="80"/>
      <c r="G376" s="80"/>
      <c r="H376" s="80"/>
    </row>
    <row r="377" spans="5:8" x14ac:dyDescent="0.35">
      <c r="E377" s="80"/>
      <c r="G377" s="80"/>
      <c r="H377" s="80"/>
    </row>
    <row r="378" spans="5:8" x14ac:dyDescent="0.35">
      <c r="E378" s="80"/>
      <c r="G378" s="80"/>
      <c r="H378" s="80"/>
    </row>
    <row r="379" spans="5:8" x14ac:dyDescent="0.35">
      <c r="E379" s="80"/>
      <c r="G379" s="80"/>
      <c r="H379" s="80"/>
    </row>
    <row r="380" spans="5:8" x14ac:dyDescent="0.35">
      <c r="E380" s="80"/>
      <c r="G380" s="80"/>
      <c r="H380" s="80"/>
    </row>
    <row r="381" spans="5:8" x14ac:dyDescent="0.35">
      <c r="E381" s="80"/>
      <c r="G381" s="80"/>
      <c r="H381" s="80"/>
    </row>
    <row r="382" spans="5:8" x14ac:dyDescent="0.35">
      <c r="E382" s="80"/>
      <c r="G382" s="80"/>
      <c r="H382" s="80"/>
    </row>
    <row r="383" spans="5:8" x14ac:dyDescent="0.35">
      <c r="E383" s="80"/>
      <c r="G383" s="80"/>
      <c r="H383" s="80"/>
    </row>
    <row r="384" spans="5:8" x14ac:dyDescent="0.35">
      <c r="E384" s="80"/>
      <c r="G384" s="80"/>
      <c r="H384" s="80"/>
    </row>
    <row r="385" spans="5:8" x14ac:dyDescent="0.35">
      <c r="E385" s="80"/>
      <c r="G385" s="80"/>
      <c r="H385" s="80"/>
    </row>
    <row r="386" spans="5:8" x14ac:dyDescent="0.35">
      <c r="E386" s="80"/>
      <c r="G386" s="80"/>
      <c r="H386" s="80"/>
    </row>
    <row r="387" spans="5:8" x14ac:dyDescent="0.35">
      <c r="E387" s="80"/>
      <c r="G387" s="80"/>
      <c r="H387" s="80"/>
    </row>
    <row r="388" spans="5:8" x14ac:dyDescent="0.35">
      <c r="E388" s="80"/>
      <c r="G388" s="80"/>
      <c r="H388" s="80"/>
    </row>
    <row r="389" spans="5:8" x14ac:dyDescent="0.35">
      <c r="E389" s="80"/>
      <c r="G389" s="80"/>
      <c r="H389" s="80"/>
    </row>
    <row r="390" spans="5:8" x14ac:dyDescent="0.35">
      <c r="E390" s="80"/>
      <c r="G390" s="80"/>
      <c r="H390" s="80"/>
    </row>
    <row r="391" spans="5:8" x14ac:dyDescent="0.35">
      <c r="E391" s="80"/>
      <c r="G391" s="80"/>
      <c r="H391" s="80"/>
    </row>
    <row r="392" spans="5:8" x14ac:dyDescent="0.35">
      <c r="E392" s="80"/>
      <c r="G392" s="80"/>
      <c r="H392" s="80"/>
    </row>
    <row r="393" spans="5:8" x14ac:dyDescent="0.35">
      <c r="E393" s="80"/>
      <c r="G393" s="80"/>
      <c r="H393" s="80"/>
    </row>
    <row r="394" spans="5:8" x14ac:dyDescent="0.35">
      <c r="E394" s="80"/>
      <c r="G394" s="80"/>
      <c r="H394" s="80"/>
    </row>
    <row r="395" spans="5:8" x14ac:dyDescent="0.35">
      <c r="E395" s="80"/>
      <c r="G395" s="80"/>
      <c r="H395" s="80"/>
    </row>
    <row r="396" spans="5:8" x14ac:dyDescent="0.35">
      <c r="E396" s="80"/>
      <c r="G396" s="80"/>
      <c r="H396" s="80"/>
    </row>
    <row r="397" spans="5:8" x14ac:dyDescent="0.35">
      <c r="E397" s="80"/>
      <c r="G397" s="80"/>
      <c r="H397" s="80"/>
    </row>
    <row r="398" spans="5:8" x14ac:dyDescent="0.35">
      <c r="E398" s="80"/>
      <c r="G398" s="80"/>
      <c r="H398" s="80"/>
    </row>
    <row r="399" spans="5:8" x14ac:dyDescent="0.35">
      <c r="E399" s="80"/>
      <c r="G399" s="80"/>
      <c r="H399" s="80"/>
    </row>
    <row r="400" spans="5:8" x14ac:dyDescent="0.35">
      <c r="E400" s="80"/>
      <c r="G400" s="80"/>
      <c r="H400" s="80"/>
    </row>
    <row r="401" spans="5:8" x14ac:dyDescent="0.35">
      <c r="E401" s="80"/>
      <c r="G401" s="80"/>
      <c r="H401" s="80"/>
    </row>
    <row r="402" spans="5:8" x14ac:dyDescent="0.35">
      <c r="E402" s="80"/>
      <c r="G402" s="80"/>
      <c r="H402" s="80"/>
    </row>
    <row r="403" spans="5:8" x14ac:dyDescent="0.35">
      <c r="E403" s="80"/>
      <c r="G403" s="80"/>
      <c r="H403" s="80"/>
    </row>
    <row r="404" spans="5:8" x14ac:dyDescent="0.35">
      <c r="E404" s="80"/>
      <c r="G404" s="80"/>
      <c r="H404" s="80"/>
    </row>
    <row r="405" spans="5:8" x14ac:dyDescent="0.35">
      <c r="E405" s="80"/>
      <c r="G405" s="80"/>
      <c r="H405" s="80"/>
    </row>
    <row r="406" spans="5:8" x14ac:dyDescent="0.35">
      <c r="E406" s="80"/>
      <c r="G406" s="80"/>
      <c r="H406" s="80"/>
    </row>
    <row r="407" spans="5:8" x14ac:dyDescent="0.35">
      <c r="E407" s="80"/>
      <c r="G407" s="80"/>
      <c r="H407" s="80"/>
    </row>
    <row r="408" spans="5:8" x14ac:dyDescent="0.35">
      <c r="E408" s="80"/>
      <c r="G408" s="80"/>
      <c r="H408" s="80"/>
    </row>
    <row r="409" spans="5:8" x14ac:dyDescent="0.35">
      <c r="E409" s="80"/>
      <c r="G409" s="80"/>
      <c r="H409" s="80"/>
    </row>
    <row r="410" spans="5:8" x14ac:dyDescent="0.35">
      <c r="E410" s="80"/>
      <c r="G410" s="80"/>
      <c r="H410" s="80"/>
    </row>
    <row r="411" spans="5:8" x14ac:dyDescent="0.35">
      <c r="E411" s="80"/>
      <c r="G411" s="80"/>
      <c r="H411" s="80"/>
    </row>
    <row r="412" spans="5:8" x14ac:dyDescent="0.35">
      <c r="E412" s="80"/>
      <c r="G412" s="80"/>
      <c r="H412" s="80"/>
    </row>
    <row r="413" spans="5:8" x14ac:dyDescent="0.35">
      <c r="E413" s="80"/>
      <c r="G413" s="80"/>
      <c r="H413" s="80"/>
    </row>
    <row r="414" spans="5:8" x14ac:dyDescent="0.35">
      <c r="E414" s="80"/>
      <c r="G414" s="80"/>
      <c r="H414" s="80"/>
    </row>
    <row r="415" spans="5:8" x14ac:dyDescent="0.35">
      <c r="E415" s="80"/>
      <c r="G415" s="80"/>
      <c r="H415" s="80"/>
    </row>
    <row r="416" spans="5:8" x14ac:dyDescent="0.35">
      <c r="E416" s="80"/>
      <c r="G416" s="80"/>
      <c r="H416" s="80"/>
    </row>
    <row r="417" spans="5:8" x14ac:dyDescent="0.35">
      <c r="E417" s="80"/>
      <c r="G417" s="80"/>
      <c r="H417" s="80"/>
    </row>
    <row r="418" spans="5:8" x14ac:dyDescent="0.35">
      <c r="E418" s="80"/>
      <c r="G418" s="80"/>
      <c r="H418" s="80"/>
    </row>
    <row r="419" spans="5:8" x14ac:dyDescent="0.35">
      <c r="E419" s="80"/>
      <c r="G419" s="80"/>
      <c r="H419" s="80"/>
    </row>
    <row r="420" spans="5:8" x14ac:dyDescent="0.35">
      <c r="E420" s="80"/>
      <c r="G420" s="80"/>
      <c r="H420" s="80"/>
    </row>
    <row r="421" spans="5:8" x14ac:dyDescent="0.35">
      <c r="E421" s="80"/>
      <c r="G421" s="80"/>
      <c r="H421" s="80"/>
    </row>
    <row r="422" spans="5:8" x14ac:dyDescent="0.35">
      <c r="E422" s="80"/>
      <c r="G422" s="80"/>
      <c r="H422" s="80"/>
    </row>
    <row r="423" spans="5:8" x14ac:dyDescent="0.35">
      <c r="E423" s="80"/>
      <c r="G423" s="80"/>
      <c r="H423" s="80"/>
    </row>
    <row r="424" spans="5:8" x14ac:dyDescent="0.35">
      <c r="E424" s="80"/>
      <c r="G424" s="80"/>
      <c r="H424" s="80"/>
    </row>
    <row r="425" spans="5:8" x14ac:dyDescent="0.35">
      <c r="E425" s="80"/>
      <c r="G425" s="80"/>
      <c r="H425" s="80"/>
    </row>
    <row r="426" spans="5:8" x14ac:dyDescent="0.35">
      <c r="E426" s="80"/>
      <c r="G426" s="80"/>
      <c r="H426" s="80"/>
    </row>
    <row r="427" spans="5:8" x14ac:dyDescent="0.35">
      <c r="E427" s="80"/>
      <c r="G427" s="80"/>
      <c r="H427" s="80"/>
    </row>
    <row r="428" spans="5:8" x14ac:dyDescent="0.35">
      <c r="E428" s="80"/>
      <c r="G428" s="80"/>
      <c r="H428" s="80"/>
    </row>
    <row r="429" spans="5:8" x14ac:dyDescent="0.35">
      <c r="E429" s="80"/>
      <c r="G429" s="80"/>
      <c r="H429" s="80"/>
    </row>
    <row r="430" spans="5:8" x14ac:dyDescent="0.35">
      <c r="E430" s="80"/>
      <c r="G430" s="80"/>
      <c r="H430" s="80"/>
    </row>
    <row r="431" spans="5:8" x14ac:dyDescent="0.35">
      <c r="E431" s="80"/>
      <c r="G431" s="80"/>
      <c r="H431" s="80"/>
    </row>
    <row r="432" spans="5:8" x14ac:dyDescent="0.35">
      <c r="E432" s="80"/>
      <c r="G432" s="80"/>
      <c r="H432" s="80"/>
    </row>
    <row r="433" spans="5:8" x14ac:dyDescent="0.35">
      <c r="E433" s="80"/>
      <c r="G433" s="80"/>
      <c r="H433" s="80"/>
    </row>
    <row r="434" spans="5:8" x14ac:dyDescent="0.35">
      <c r="E434" s="80"/>
      <c r="G434" s="80"/>
      <c r="H434" s="80"/>
    </row>
    <row r="435" spans="5:8" x14ac:dyDescent="0.35">
      <c r="E435" s="80"/>
      <c r="G435" s="80"/>
      <c r="H435" s="80"/>
    </row>
    <row r="436" spans="5:8" x14ac:dyDescent="0.35">
      <c r="E436" s="80"/>
      <c r="G436" s="80"/>
      <c r="H436" s="80"/>
    </row>
    <row r="437" spans="5:8" x14ac:dyDescent="0.35">
      <c r="E437" s="80"/>
      <c r="G437" s="80"/>
      <c r="H437" s="80"/>
    </row>
    <row r="438" spans="5:8" x14ac:dyDescent="0.35">
      <c r="E438" s="80"/>
      <c r="G438" s="80"/>
      <c r="H438" s="80"/>
    </row>
    <row r="439" spans="5:8" x14ac:dyDescent="0.35">
      <c r="E439" s="80"/>
      <c r="G439" s="80"/>
      <c r="H439" s="80"/>
    </row>
    <row r="440" spans="5:8" x14ac:dyDescent="0.35">
      <c r="E440" s="80"/>
      <c r="G440" s="80"/>
      <c r="H440" s="80"/>
    </row>
    <row r="441" spans="5:8" x14ac:dyDescent="0.35">
      <c r="E441" s="80"/>
      <c r="G441" s="80"/>
      <c r="H441" s="80"/>
    </row>
    <row r="442" spans="5:8" x14ac:dyDescent="0.35">
      <c r="E442" s="80"/>
      <c r="G442" s="80"/>
      <c r="H442" s="80"/>
    </row>
    <row r="443" spans="5:8" x14ac:dyDescent="0.35">
      <c r="E443" s="80"/>
      <c r="G443" s="80"/>
      <c r="H443" s="80"/>
    </row>
    <row r="444" spans="5:8" x14ac:dyDescent="0.35">
      <c r="E444" s="80"/>
      <c r="G444" s="80"/>
      <c r="H444" s="80"/>
    </row>
    <row r="445" spans="5:8" x14ac:dyDescent="0.35">
      <c r="E445" s="80"/>
      <c r="G445" s="80"/>
      <c r="H445" s="80"/>
    </row>
    <row r="446" spans="5:8" x14ac:dyDescent="0.35">
      <c r="E446" s="80"/>
      <c r="G446" s="80"/>
      <c r="H446" s="80"/>
    </row>
    <row r="447" spans="5:8" x14ac:dyDescent="0.35">
      <c r="E447" s="80"/>
      <c r="G447" s="80"/>
      <c r="H447" s="80"/>
    </row>
    <row r="448" spans="5:8" x14ac:dyDescent="0.35">
      <c r="E448" s="80"/>
      <c r="G448" s="80"/>
      <c r="H448" s="80"/>
    </row>
    <row r="449" spans="5:8" x14ac:dyDescent="0.35">
      <c r="E449" s="80"/>
      <c r="G449" s="80"/>
      <c r="H449" s="80"/>
    </row>
    <row r="450" spans="5:8" x14ac:dyDescent="0.35">
      <c r="E450" s="80"/>
      <c r="G450" s="80"/>
      <c r="H450" s="80"/>
    </row>
    <row r="451" spans="5:8" x14ac:dyDescent="0.35">
      <c r="E451" s="80"/>
      <c r="G451" s="80"/>
      <c r="H451" s="80"/>
    </row>
    <row r="452" spans="5:8" x14ac:dyDescent="0.35">
      <c r="E452" s="80"/>
      <c r="G452" s="80"/>
      <c r="H452" s="80"/>
    </row>
    <row r="453" spans="5:8" x14ac:dyDescent="0.35">
      <c r="E453" s="80"/>
      <c r="G453" s="80"/>
      <c r="H453" s="80"/>
    </row>
    <row r="454" spans="5:8" x14ac:dyDescent="0.35">
      <c r="E454" s="80"/>
      <c r="G454" s="80"/>
      <c r="H454" s="80"/>
    </row>
    <row r="455" spans="5:8" x14ac:dyDescent="0.35">
      <c r="E455" s="80"/>
      <c r="G455" s="80"/>
      <c r="H455" s="80"/>
    </row>
    <row r="456" spans="5:8" x14ac:dyDescent="0.35">
      <c r="E456" s="80"/>
      <c r="G456" s="80"/>
      <c r="H456" s="80"/>
    </row>
    <row r="457" spans="5:8" x14ac:dyDescent="0.35">
      <c r="E457" s="80"/>
      <c r="G457" s="80"/>
      <c r="H457" s="80"/>
    </row>
    <row r="458" spans="5:8" x14ac:dyDescent="0.35">
      <c r="E458" s="80"/>
      <c r="G458" s="80"/>
      <c r="H458" s="80"/>
    </row>
    <row r="459" spans="5:8" x14ac:dyDescent="0.35">
      <c r="E459" s="80"/>
      <c r="G459" s="80"/>
      <c r="H459" s="80"/>
    </row>
    <row r="460" spans="5:8" x14ac:dyDescent="0.35">
      <c r="E460" s="80"/>
      <c r="G460" s="80"/>
      <c r="H460" s="80"/>
    </row>
    <row r="461" spans="5:8" x14ac:dyDescent="0.35">
      <c r="E461" s="80"/>
      <c r="G461" s="80"/>
      <c r="H461" s="80"/>
    </row>
    <row r="462" spans="5:8" x14ac:dyDescent="0.35">
      <c r="E462" s="80"/>
      <c r="G462" s="80"/>
      <c r="H462" s="80"/>
    </row>
    <row r="463" spans="5:8" x14ac:dyDescent="0.35">
      <c r="E463" s="80"/>
      <c r="G463" s="80"/>
      <c r="H463" s="80"/>
    </row>
    <row r="464" spans="5:8" x14ac:dyDescent="0.35">
      <c r="E464" s="80"/>
      <c r="G464" s="80"/>
      <c r="H464" s="80"/>
    </row>
    <row r="465" spans="5:8" x14ac:dyDescent="0.35">
      <c r="E465" s="80"/>
      <c r="G465" s="80"/>
      <c r="H465" s="80"/>
    </row>
  </sheetData>
  <pageMargins left="0.7" right="0.7" top="0.75" bottom="0.75" header="0.3" footer="0.3"/>
  <pageSetup paperSize="9" scale="86" orientation="portrait" horizontalDpi="200" verticalDpi="200" r:id="rId2"/>
  <colBreaks count="2" manualBreakCount="2">
    <brk id="7" max="1048575" man="1"/>
    <brk id="1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B78A-4BB5-471F-B6EB-FAEF8067D44D}">
  <dimension ref="A2:X422"/>
  <sheetViews>
    <sheetView topLeftCell="C38" zoomScale="62" zoomScaleNormal="62" zoomScaleSheetLayoutView="75" workbookViewId="0">
      <selection activeCell="S53" sqref="S53"/>
    </sheetView>
  </sheetViews>
  <sheetFormatPr defaultRowHeight="14.5" x14ac:dyDescent="0.35"/>
  <cols>
    <col min="1" max="1" width="8.7265625" style="5"/>
    <col min="2" max="2" width="18.26953125" customWidth="1"/>
    <col min="3" max="3" width="8.7265625" style="5"/>
    <col min="4" max="4" width="25.54296875" customWidth="1"/>
    <col min="7" max="7" width="11.81640625" bestFit="1" customWidth="1"/>
    <col min="8" max="8" width="10.453125" bestFit="1" customWidth="1"/>
    <col min="10" max="10" width="14.453125" bestFit="1" customWidth="1"/>
    <col min="11" max="11" width="9.6328125" bestFit="1" customWidth="1"/>
    <col min="12" max="12" width="17.7265625" bestFit="1" customWidth="1"/>
    <col min="14" max="14" width="5.90625" customWidth="1"/>
    <col min="15" max="15" width="23.6328125" bestFit="1" customWidth="1"/>
    <col min="16" max="16" width="10.7265625" customWidth="1"/>
    <col min="17" max="17" width="8" customWidth="1"/>
    <col min="18" max="18" width="11.81640625" bestFit="1" customWidth="1"/>
    <col min="19" max="19" width="7.1796875" bestFit="1" customWidth="1"/>
    <col min="20" max="20" width="6.26953125" customWidth="1"/>
    <col min="21" max="21" width="23.6328125" bestFit="1" customWidth="1"/>
    <col min="22" max="22" width="11.453125" customWidth="1"/>
    <col min="23" max="23" width="8.81640625" customWidth="1"/>
    <col min="24" max="24" width="11.81640625" bestFit="1" customWidth="1"/>
  </cols>
  <sheetData>
    <row r="2" spans="1:24" x14ac:dyDescent="0.35">
      <c r="A2" s="56" t="s">
        <v>8</v>
      </c>
      <c r="B2" s="56" t="s">
        <v>2</v>
      </c>
      <c r="C2" s="56" t="s">
        <v>4</v>
      </c>
      <c r="D2" s="44" t="s">
        <v>128</v>
      </c>
      <c r="E2" s="90" t="s">
        <v>1</v>
      </c>
      <c r="F2" s="44" t="s">
        <v>0</v>
      </c>
      <c r="G2" s="90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346</v>
      </c>
      <c r="T2" s="40" t="s">
        <v>169</v>
      </c>
      <c r="W2" t="s">
        <v>346</v>
      </c>
    </row>
    <row r="3" spans="1:24" x14ac:dyDescent="0.35">
      <c r="A3" s="5">
        <v>1</v>
      </c>
      <c r="B3" t="s">
        <v>114</v>
      </c>
      <c r="C3" s="5">
        <v>4</v>
      </c>
      <c r="D3" t="s">
        <v>19</v>
      </c>
      <c r="E3" s="80">
        <f>VLOOKUP(D3,'Bu Erta'!$C$2:$E$66,3,0)</f>
        <v>200</v>
      </c>
      <c r="F3">
        <v>1.5</v>
      </c>
      <c r="G3" s="80">
        <f>E3*F3</f>
        <v>300</v>
      </c>
      <c r="H3" s="80">
        <f>VLOOKUP(D3,'Bu Erta'!$C$2:$F$66,4,0)*F3</f>
        <v>450</v>
      </c>
      <c r="J3" s="69" t="s">
        <v>327</v>
      </c>
      <c r="K3">
        <v>1</v>
      </c>
      <c r="L3" s="4">
        <v>5727.5</v>
      </c>
      <c r="N3" s="56" t="s">
        <v>8</v>
      </c>
      <c r="O3" s="44" t="s">
        <v>128</v>
      </c>
      <c r="P3" s="90" t="s">
        <v>1</v>
      </c>
      <c r="Q3" s="44" t="s">
        <v>0</v>
      </c>
      <c r="R3" s="90" t="s">
        <v>3</v>
      </c>
      <c r="T3" s="56" t="s">
        <v>8</v>
      </c>
      <c r="U3" s="44" t="s">
        <v>128</v>
      </c>
      <c r="V3" s="90" t="s">
        <v>1</v>
      </c>
      <c r="W3" s="44" t="s">
        <v>0</v>
      </c>
      <c r="X3" s="90" t="s">
        <v>3</v>
      </c>
    </row>
    <row r="4" spans="1:24" x14ac:dyDescent="0.35">
      <c r="B4" t="s">
        <v>114</v>
      </c>
      <c r="D4" t="s">
        <v>31</v>
      </c>
      <c r="E4" s="80">
        <f>VLOOKUP(D4,'Bu Erta'!$C$2:$E$66,3,0)</f>
        <v>1000</v>
      </c>
      <c r="F4">
        <f>0.95+1.9+0.8+0.55</f>
        <v>4.1999999999999993</v>
      </c>
      <c r="G4" s="80">
        <f t="shared" ref="G4:G72" si="0">E4*F4</f>
        <v>4199.9999999999991</v>
      </c>
      <c r="H4" s="80">
        <f>VLOOKUP(D4,'Bu Erta'!$C$2:$F$66,4,0)*F4</f>
        <v>4619.9999999999991</v>
      </c>
      <c r="J4" s="69" t="s">
        <v>193</v>
      </c>
      <c r="K4">
        <v>1</v>
      </c>
      <c r="L4" s="4">
        <v>7460</v>
      </c>
      <c r="N4" s="44">
        <v>1</v>
      </c>
      <c r="O4" s="17" t="s">
        <v>13</v>
      </c>
      <c r="P4" s="93">
        <f>VLOOKUP(O4,'Bu Erta'!$C$2:$F$66,4,0)</f>
        <v>1500</v>
      </c>
      <c r="Q4" s="94">
        <f>SUMIF($D$3:$D$289,O4,$F$3:$F$289)</f>
        <v>0</v>
      </c>
      <c r="R4" s="93">
        <f>P4*Q4</f>
        <v>0</v>
      </c>
      <c r="T4" s="44">
        <v>1</v>
      </c>
      <c r="U4" s="17" t="s">
        <v>13</v>
      </c>
      <c r="V4" s="93"/>
      <c r="W4" s="94"/>
      <c r="X4" s="93">
        <f>V4*W4</f>
        <v>0</v>
      </c>
    </row>
    <row r="5" spans="1:24" x14ac:dyDescent="0.35">
      <c r="B5" t="s">
        <v>114</v>
      </c>
      <c r="D5" t="s">
        <v>42</v>
      </c>
      <c r="E5" s="80">
        <f>VLOOKUP(D5,'Bu Erta'!$C$2:$E$66,3,0)</f>
        <v>1000</v>
      </c>
      <c r="F5">
        <v>3.35</v>
      </c>
      <c r="G5" s="80">
        <f t="shared" si="0"/>
        <v>3350</v>
      </c>
      <c r="H5" s="80">
        <f>VLOOKUP(D5,'Bu Erta'!$C$2:$F$66,4,0)*F5</f>
        <v>4020</v>
      </c>
      <c r="J5" s="69" t="s">
        <v>138</v>
      </c>
      <c r="K5">
        <v>1</v>
      </c>
      <c r="L5" s="4">
        <v>9162.5</v>
      </c>
      <c r="N5" s="44">
        <v>2</v>
      </c>
      <c r="O5" s="17" t="s">
        <v>14</v>
      </c>
      <c r="P5" s="93">
        <f>VLOOKUP(O5,'Bu Erta'!$C$2:$F$66,4,0)</f>
        <v>100000</v>
      </c>
      <c r="Q5" s="94">
        <f t="shared" ref="Q5:Q67" si="1">SUMIF($D$3:$D$289,O5,$F$3:$F$289)</f>
        <v>0</v>
      </c>
      <c r="R5" s="93">
        <f t="shared" ref="R5:R67" si="2">P5*Q5</f>
        <v>0</v>
      </c>
      <c r="T5" s="44">
        <v>2</v>
      </c>
      <c r="U5" s="17" t="s">
        <v>14</v>
      </c>
      <c r="V5" s="93"/>
      <c r="W5" s="94"/>
      <c r="X5" s="93">
        <f t="shared" ref="X5:X67" si="3">V5*W5</f>
        <v>0</v>
      </c>
    </row>
    <row r="6" spans="1:24" x14ac:dyDescent="0.35">
      <c r="B6" t="s">
        <v>114</v>
      </c>
      <c r="D6" t="s">
        <v>32</v>
      </c>
      <c r="E6" s="80">
        <f>VLOOKUP(D6,'Bu Erta'!$C$2:$E$66,3,0)</f>
        <v>4000</v>
      </c>
      <c r="F6">
        <v>1</v>
      </c>
      <c r="G6" s="80">
        <f t="shared" si="0"/>
        <v>4000</v>
      </c>
      <c r="H6" s="80">
        <f>VLOOKUP(D6,'Bu Erta'!$C$2:$F$66,4,0)*F6</f>
        <v>5000</v>
      </c>
      <c r="J6" s="69" t="s">
        <v>195</v>
      </c>
      <c r="K6">
        <v>1</v>
      </c>
      <c r="L6" s="4">
        <v>23150</v>
      </c>
      <c r="N6" s="44">
        <v>3</v>
      </c>
      <c r="O6" s="17" t="s">
        <v>15</v>
      </c>
      <c r="P6" s="93">
        <f>VLOOKUP(O6,'Bu Erta'!$C$2:$F$66,4,0)</f>
        <v>40000</v>
      </c>
      <c r="Q6" s="94">
        <f t="shared" si="1"/>
        <v>0</v>
      </c>
      <c r="R6" s="93">
        <f t="shared" si="2"/>
        <v>0</v>
      </c>
      <c r="T6" s="44">
        <v>3</v>
      </c>
      <c r="U6" s="17" t="s">
        <v>15</v>
      </c>
      <c r="V6" s="93"/>
      <c r="W6" s="94"/>
      <c r="X6" s="93">
        <f t="shared" si="3"/>
        <v>0</v>
      </c>
    </row>
    <row r="7" spans="1:24" x14ac:dyDescent="0.35">
      <c r="B7" t="s">
        <v>114</v>
      </c>
      <c r="D7" t="s">
        <v>7</v>
      </c>
      <c r="E7" s="80">
        <f>VLOOKUP(D7,'Bu Erta'!$C$2:$E$66,3,0)</f>
        <v>1400</v>
      </c>
      <c r="F7">
        <v>0.75</v>
      </c>
      <c r="G7" s="80">
        <f t="shared" si="0"/>
        <v>1050</v>
      </c>
      <c r="H7" s="80">
        <f>VLOOKUP(D7,'Bu Erta'!$C$2:$F$66,4,0)*F7</f>
        <v>1200</v>
      </c>
      <c r="J7" s="69" t="s">
        <v>194</v>
      </c>
      <c r="K7">
        <v>1</v>
      </c>
      <c r="L7" s="4">
        <v>150</v>
      </c>
      <c r="N7" s="44">
        <v>4</v>
      </c>
      <c r="O7" s="17" t="s">
        <v>16</v>
      </c>
      <c r="P7" s="93">
        <f>VLOOKUP(O7,'Bu Erta'!$C$2:$F$66,4,0)</f>
        <v>6500</v>
      </c>
      <c r="Q7" s="94">
        <f t="shared" si="1"/>
        <v>0</v>
      </c>
      <c r="R7" s="93">
        <f t="shared" si="2"/>
        <v>0</v>
      </c>
      <c r="T7" s="44">
        <v>4</v>
      </c>
      <c r="U7" s="17" t="s">
        <v>16</v>
      </c>
      <c r="V7" s="93"/>
      <c r="W7" s="94"/>
      <c r="X7" s="93">
        <f t="shared" si="3"/>
        <v>0</v>
      </c>
    </row>
    <row r="8" spans="1:24" x14ac:dyDescent="0.35">
      <c r="A8" s="5">
        <v>2</v>
      </c>
      <c r="B8" t="s">
        <v>192</v>
      </c>
      <c r="C8" s="5">
        <v>4</v>
      </c>
      <c r="D8" t="s">
        <v>42</v>
      </c>
      <c r="E8" s="80">
        <f>VLOOKUP(D8,'Bu Erta'!$C$2:$E$66,3,0)</f>
        <v>1000</v>
      </c>
      <c r="F8">
        <v>2.1</v>
      </c>
      <c r="G8" s="80">
        <f t="shared" ref="G8:G11" si="4">E8*F8</f>
        <v>2100</v>
      </c>
      <c r="H8" s="80">
        <f>VLOOKUP(D8,'Bu Erta'!$C$2:$F$66,4,0)*F8</f>
        <v>2520</v>
      </c>
      <c r="J8" s="69" t="s">
        <v>296</v>
      </c>
      <c r="K8">
        <v>1</v>
      </c>
      <c r="L8" s="4">
        <v>6650</v>
      </c>
      <c r="N8" s="44">
        <v>5</v>
      </c>
      <c r="O8" s="17" t="s">
        <v>17</v>
      </c>
      <c r="P8" s="93">
        <f>VLOOKUP(O8,'Bu Erta'!$C$2:$F$66,4,0)</f>
        <v>8500</v>
      </c>
      <c r="Q8" s="94">
        <f t="shared" si="1"/>
        <v>0.55000000000000004</v>
      </c>
      <c r="R8" s="93">
        <f t="shared" si="2"/>
        <v>4675</v>
      </c>
      <c r="T8" s="44">
        <v>5</v>
      </c>
      <c r="U8" s="17" t="s">
        <v>17</v>
      </c>
      <c r="V8" s="93"/>
      <c r="W8" s="94"/>
      <c r="X8" s="93">
        <f t="shared" si="3"/>
        <v>0</v>
      </c>
    </row>
    <row r="9" spans="1:24" x14ac:dyDescent="0.35">
      <c r="B9" t="s">
        <v>192</v>
      </c>
      <c r="D9" t="s">
        <v>31</v>
      </c>
      <c r="E9" s="80">
        <f>VLOOKUP(D9,'Bu Erta'!$C$2:$E$66,3,0)</f>
        <v>1000</v>
      </c>
      <c r="F9">
        <v>0.45</v>
      </c>
      <c r="G9" s="80">
        <f t="shared" si="4"/>
        <v>450</v>
      </c>
      <c r="H9" s="80">
        <f>VLOOKUP(D9,'Bu Erta'!$C$2:$F$66,4,0)*F9</f>
        <v>495</v>
      </c>
      <c r="J9" s="69" t="s">
        <v>139</v>
      </c>
      <c r="K9">
        <v>1</v>
      </c>
      <c r="L9" s="4">
        <v>840</v>
      </c>
      <c r="N9" s="44">
        <v>6</v>
      </c>
      <c r="O9" s="17" t="s">
        <v>18</v>
      </c>
      <c r="P9" s="93">
        <f>VLOOKUP(O9,'Bu Erta'!$C$2:$F$66,4,0)</f>
        <v>4000</v>
      </c>
      <c r="Q9" s="94">
        <f t="shared" si="1"/>
        <v>0</v>
      </c>
      <c r="R9" s="93">
        <f t="shared" si="2"/>
        <v>0</v>
      </c>
      <c r="T9" s="44">
        <v>6</v>
      </c>
      <c r="U9" s="17" t="s">
        <v>18</v>
      </c>
      <c r="V9" s="93"/>
      <c r="W9" s="94"/>
      <c r="X9" s="93">
        <f t="shared" si="3"/>
        <v>0</v>
      </c>
    </row>
    <row r="10" spans="1:24" x14ac:dyDescent="0.35">
      <c r="B10" t="s">
        <v>192</v>
      </c>
      <c r="D10" t="s">
        <v>63</v>
      </c>
      <c r="E10" s="80">
        <f>VLOOKUP(D10,'Bu Erta'!$C$2:$E$66,3,0)</f>
        <v>800</v>
      </c>
      <c r="F10">
        <v>0.2</v>
      </c>
      <c r="G10" s="80">
        <f t="shared" si="4"/>
        <v>160</v>
      </c>
      <c r="H10" s="80">
        <f>VLOOKUP(D10,'Bu Erta'!$C$2:$F$66,4,0)*F10</f>
        <v>200</v>
      </c>
      <c r="J10" s="69" t="s">
        <v>5</v>
      </c>
      <c r="K10">
        <v>2</v>
      </c>
      <c r="L10" s="4">
        <v>20260</v>
      </c>
      <c r="N10" s="44">
        <v>7</v>
      </c>
      <c r="O10" s="17" t="s">
        <v>19</v>
      </c>
      <c r="P10" s="93">
        <f>VLOOKUP(O10,'Bu Erta'!$C$2:$F$66,4,0)</f>
        <v>300</v>
      </c>
      <c r="Q10" s="94">
        <f t="shared" si="1"/>
        <v>26.25</v>
      </c>
      <c r="R10" s="93">
        <f t="shared" si="2"/>
        <v>7875</v>
      </c>
      <c r="T10" s="44">
        <v>7</v>
      </c>
      <c r="U10" s="17" t="s">
        <v>19</v>
      </c>
      <c r="V10" s="93"/>
      <c r="W10" s="94"/>
      <c r="X10" s="93">
        <f t="shared" si="3"/>
        <v>0</v>
      </c>
    </row>
    <row r="11" spans="1:24" x14ac:dyDescent="0.35">
      <c r="B11" t="s">
        <v>192</v>
      </c>
      <c r="D11" t="s">
        <v>22</v>
      </c>
      <c r="E11" s="80">
        <f>VLOOKUP(D11,'Bu Erta'!$C$2:$E$66,3,0)</f>
        <v>2500</v>
      </c>
      <c r="F11">
        <v>4.55</v>
      </c>
      <c r="G11" s="80">
        <f t="shared" si="4"/>
        <v>11375</v>
      </c>
      <c r="H11" s="80">
        <f>VLOOKUP(D11,'Bu Erta'!$C$2:$F$66,4,0)*F11</f>
        <v>13650</v>
      </c>
      <c r="J11" s="69" t="s">
        <v>115</v>
      </c>
      <c r="K11">
        <v>2</v>
      </c>
      <c r="L11" s="4">
        <v>4135</v>
      </c>
      <c r="N11" s="44">
        <v>8</v>
      </c>
      <c r="O11" s="17" t="s">
        <v>20</v>
      </c>
      <c r="P11" s="93">
        <f>VLOOKUP(O11,'Bu Erta'!$C$2:$F$66,4,0)</f>
        <v>8000</v>
      </c>
      <c r="Q11" s="94">
        <f t="shared" si="1"/>
        <v>0</v>
      </c>
      <c r="R11" s="93">
        <f t="shared" si="2"/>
        <v>0</v>
      </c>
      <c r="T11" s="44">
        <v>8</v>
      </c>
      <c r="U11" s="17" t="s">
        <v>20</v>
      </c>
      <c r="V11" s="93"/>
      <c r="W11" s="94"/>
      <c r="X11" s="93">
        <f t="shared" si="3"/>
        <v>0</v>
      </c>
    </row>
    <row r="12" spans="1:24" x14ac:dyDescent="0.35">
      <c r="A12" s="5">
        <v>3</v>
      </c>
      <c r="B12" t="s">
        <v>189</v>
      </c>
      <c r="C12" s="5">
        <v>5</v>
      </c>
      <c r="D12" t="s">
        <v>42</v>
      </c>
      <c r="E12" s="80">
        <f>VLOOKUP(D12,'Bu Erta'!$C$2:$E$66,3,0)</f>
        <v>1000</v>
      </c>
      <c r="F12">
        <v>4.95</v>
      </c>
      <c r="G12" s="80">
        <f t="shared" si="0"/>
        <v>4950</v>
      </c>
      <c r="H12" s="80">
        <f>VLOOKUP(D12,'Bu Erta'!$C$2:$F$66,4,0)*F12</f>
        <v>5940</v>
      </c>
      <c r="J12" s="69" t="s">
        <v>108</v>
      </c>
      <c r="K12">
        <v>2</v>
      </c>
      <c r="L12" s="4">
        <v>5570</v>
      </c>
      <c r="N12" s="44">
        <v>9</v>
      </c>
      <c r="O12" s="17" t="s">
        <v>21</v>
      </c>
      <c r="P12" s="93">
        <f>VLOOKUP(O12,'Bu Erta'!$C$2:$F$66,4,0)</f>
        <v>200</v>
      </c>
      <c r="Q12" s="94">
        <f t="shared" si="1"/>
        <v>0</v>
      </c>
      <c r="R12" s="93">
        <f t="shared" si="2"/>
        <v>0</v>
      </c>
      <c r="T12" s="44">
        <v>9</v>
      </c>
      <c r="U12" s="17" t="s">
        <v>21</v>
      </c>
      <c r="V12" s="93"/>
      <c r="W12" s="94"/>
      <c r="X12" s="93">
        <f t="shared" si="3"/>
        <v>0</v>
      </c>
    </row>
    <row r="13" spans="1:24" x14ac:dyDescent="0.35">
      <c r="B13" t="s">
        <v>189</v>
      </c>
      <c r="D13" t="s">
        <v>88</v>
      </c>
      <c r="E13" s="80">
        <f>VLOOKUP(D13,'Bu Erta'!$C$2:$E$66,3,0)</f>
        <v>300</v>
      </c>
      <c r="F13">
        <v>0.55000000000000004</v>
      </c>
      <c r="G13" s="80">
        <f t="shared" si="0"/>
        <v>165</v>
      </c>
      <c r="H13" s="80">
        <f>VLOOKUP(D13,'Bu Erta'!$C$2:$F$66,4,0)*F13</f>
        <v>220.00000000000003</v>
      </c>
      <c r="J13" s="69" t="s">
        <v>283</v>
      </c>
      <c r="K13">
        <v>2</v>
      </c>
      <c r="L13" s="4">
        <v>4970</v>
      </c>
      <c r="N13" s="44">
        <v>10</v>
      </c>
      <c r="O13" s="17" t="s">
        <v>22</v>
      </c>
      <c r="P13" s="93">
        <f>VLOOKUP(O13,'Bu Erta'!$C$2:$F$66,4,0)</f>
        <v>3000</v>
      </c>
      <c r="Q13" s="94">
        <v>0</v>
      </c>
      <c r="R13" s="93">
        <f t="shared" si="2"/>
        <v>0</v>
      </c>
      <c r="S13">
        <v>113.05</v>
      </c>
      <c r="T13" s="44">
        <v>10</v>
      </c>
      <c r="U13" s="17" t="s">
        <v>22</v>
      </c>
      <c r="V13" s="93"/>
      <c r="W13">
        <v>113.05</v>
      </c>
      <c r="X13" s="93">
        <v>256000</v>
      </c>
    </row>
    <row r="14" spans="1:24" x14ac:dyDescent="0.35">
      <c r="B14" t="s">
        <v>189</v>
      </c>
      <c r="D14" t="s">
        <v>69</v>
      </c>
      <c r="E14" s="80">
        <f>VLOOKUP(D14,'Bu Erta'!$C$2:$E$66,3,0)</f>
        <v>2500</v>
      </c>
      <c r="F14">
        <v>0.1</v>
      </c>
      <c r="G14" s="80">
        <f t="shared" si="0"/>
        <v>250</v>
      </c>
      <c r="H14" s="80">
        <f>VLOOKUP(D14,'Bu Erta'!$C$2:$F$66,4,0)*F14</f>
        <v>300</v>
      </c>
      <c r="J14" s="69" t="s">
        <v>127</v>
      </c>
      <c r="K14">
        <v>2</v>
      </c>
      <c r="L14" s="4">
        <v>19997.5</v>
      </c>
      <c r="N14" s="44">
        <v>11</v>
      </c>
      <c r="O14" s="17" t="s">
        <v>23</v>
      </c>
      <c r="P14" s="93">
        <f>VLOOKUP(O14,'Bu Erta'!$C$2:$F$66,4,0)</f>
        <v>400</v>
      </c>
      <c r="Q14" s="94">
        <f t="shared" si="1"/>
        <v>35.799999999999997</v>
      </c>
      <c r="R14" s="93">
        <f t="shared" si="2"/>
        <v>14319.999999999998</v>
      </c>
      <c r="T14" s="44">
        <v>11</v>
      </c>
      <c r="U14" s="17" t="s">
        <v>23</v>
      </c>
      <c r="V14" s="93"/>
      <c r="W14" s="94"/>
      <c r="X14" s="93">
        <f t="shared" si="3"/>
        <v>0</v>
      </c>
    </row>
    <row r="15" spans="1:24" x14ac:dyDescent="0.35">
      <c r="B15" t="s">
        <v>189</v>
      </c>
      <c r="D15" t="s">
        <v>34</v>
      </c>
      <c r="E15" s="80">
        <f>VLOOKUP(D15,'Bu Erta'!$C$2:$E$66,3,0)</f>
        <v>3500</v>
      </c>
      <c r="F15">
        <v>0.3</v>
      </c>
      <c r="G15" s="80">
        <f t="shared" ref="G15" si="5">E15*F15</f>
        <v>1050</v>
      </c>
      <c r="H15" s="80">
        <f>VLOOKUP(D15,'Bu Erta'!$C$2:$F$66,4,0)*F15</f>
        <v>1080</v>
      </c>
      <c r="J15" s="69" t="s">
        <v>244</v>
      </c>
      <c r="K15">
        <v>2</v>
      </c>
      <c r="L15" s="4">
        <v>8705</v>
      </c>
      <c r="N15" s="44">
        <v>12</v>
      </c>
      <c r="O15" s="17" t="s">
        <v>25</v>
      </c>
      <c r="P15" s="93">
        <f>VLOOKUP(O15,'Bu Erta'!$C$2:$F$66,4,0)</f>
        <v>1700</v>
      </c>
      <c r="Q15" s="94">
        <f>SUMIF($D$3:$D$289,O15,$F$3:$F$289)-5</f>
        <v>4.4000000000000004</v>
      </c>
      <c r="R15" s="93">
        <f t="shared" si="2"/>
        <v>7480.0000000000009</v>
      </c>
      <c r="T15" s="44">
        <v>12</v>
      </c>
      <c r="U15" s="17" t="s">
        <v>25</v>
      </c>
      <c r="V15" s="93"/>
      <c r="W15" s="94"/>
      <c r="X15" s="93">
        <f t="shared" si="3"/>
        <v>0</v>
      </c>
    </row>
    <row r="16" spans="1:24" x14ac:dyDescent="0.35">
      <c r="B16" t="s">
        <v>189</v>
      </c>
      <c r="D16" t="s">
        <v>19</v>
      </c>
      <c r="E16" s="80">
        <f>VLOOKUP(D16,'Bu Erta'!$C$2:$E$66,3,0)</f>
        <v>200</v>
      </c>
      <c r="F16">
        <v>0.15</v>
      </c>
      <c r="G16" s="80">
        <f t="shared" si="0"/>
        <v>30</v>
      </c>
      <c r="H16" s="80">
        <f>VLOOKUP(D16,'Bu Erta'!$C$2:$F$66,4,0)*F16</f>
        <v>45</v>
      </c>
      <c r="J16" s="69" t="s">
        <v>242</v>
      </c>
      <c r="K16">
        <v>3</v>
      </c>
      <c r="L16" s="4">
        <v>630</v>
      </c>
      <c r="N16" s="44">
        <v>13</v>
      </c>
      <c r="O16" s="17" t="s">
        <v>24</v>
      </c>
      <c r="P16" s="93">
        <f>VLOOKUP(O16,'Bu Erta'!$C$2:$F$66,4,0)</f>
        <v>200</v>
      </c>
      <c r="Q16" s="94">
        <f t="shared" si="1"/>
        <v>12.149999999999999</v>
      </c>
      <c r="R16" s="93">
        <f t="shared" si="2"/>
        <v>2429.9999999999995</v>
      </c>
      <c r="T16" s="44">
        <v>13</v>
      </c>
      <c r="U16" s="17" t="s">
        <v>24</v>
      </c>
      <c r="V16" s="93"/>
      <c r="W16" s="94"/>
      <c r="X16" s="93">
        <f t="shared" si="3"/>
        <v>0</v>
      </c>
    </row>
    <row r="17" spans="1:24" x14ac:dyDescent="0.35">
      <c r="B17" t="s">
        <v>189</v>
      </c>
      <c r="D17" t="s">
        <v>27</v>
      </c>
      <c r="E17" s="80">
        <f>VLOOKUP(D17,'Bu Erta'!$C$2:$E$66,3,0)</f>
        <v>2800</v>
      </c>
      <c r="F17">
        <v>0.45</v>
      </c>
      <c r="G17" s="80">
        <f t="shared" si="0"/>
        <v>1260</v>
      </c>
      <c r="H17" s="80">
        <f>VLOOKUP(D17,'Bu Erta'!$C$2:$F$66,4,0)*F17</f>
        <v>1395</v>
      </c>
      <c r="J17" s="69" t="s">
        <v>178</v>
      </c>
      <c r="K17">
        <v>3</v>
      </c>
      <c r="L17" s="4">
        <v>3225</v>
      </c>
      <c r="N17" s="44">
        <v>14</v>
      </c>
      <c r="O17" s="17" t="s">
        <v>26</v>
      </c>
      <c r="P17" s="93">
        <f>VLOOKUP(O17,'Bu Erta'!$C$2:$F$66,4,0)</f>
        <v>1000</v>
      </c>
      <c r="Q17" s="94">
        <f t="shared" si="1"/>
        <v>0</v>
      </c>
      <c r="R17" s="93">
        <f t="shared" si="2"/>
        <v>0</v>
      </c>
      <c r="T17" s="44">
        <v>14</v>
      </c>
      <c r="U17" s="17" t="s">
        <v>26</v>
      </c>
      <c r="V17" s="93"/>
      <c r="W17" s="94"/>
      <c r="X17" s="93">
        <f t="shared" si="3"/>
        <v>0</v>
      </c>
    </row>
    <row r="18" spans="1:24" x14ac:dyDescent="0.35">
      <c r="B18" t="s">
        <v>189</v>
      </c>
      <c r="D18" t="s">
        <v>23</v>
      </c>
      <c r="E18" s="80">
        <f>VLOOKUP(D18,'Bu Erta'!$C$2:$E$66,3,0)</f>
        <v>300</v>
      </c>
      <c r="F18">
        <v>0.6</v>
      </c>
      <c r="G18" s="80">
        <f t="shared" si="0"/>
        <v>180</v>
      </c>
      <c r="H18" s="80">
        <f>VLOOKUP(D18,'Bu Erta'!$C$2:$F$66,4,0)*F18</f>
        <v>240</v>
      </c>
      <c r="J18" s="69" t="s">
        <v>76</v>
      </c>
      <c r="K18">
        <v>3</v>
      </c>
      <c r="L18" s="4">
        <v>10100</v>
      </c>
      <c r="N18" s="44">
        <v>15</v>
      </c>
      <c r="O18" s="17" t="s">
        <v>27</v>
      </c>
      <c r="P18" s="93">
        <f>VLOOKUP(O18,'Bu Erta'!$C$2:$F$66,4,0)</f>
        <v>3100</v>
      </c>
      <c r="Q18" s="94">
        <f>SUMIF($D$3:$D$289,O18,$F$3:$F$289)+5</f>
        <v>32.100000000000009</v>
      </c>
      <c r="R18" s="93">
        <f t="shared" si="2"/>
        <v>99510.000000000029</v>
      </c>
      <c r="T18" s="44">
        <v>15</v>
      </c>
      <c r="U18" s="17" t="s">
        <v>27</v>
      </c>
      <c r="V18" s="93"/>
      <c r="W18" s="94"/>
      <c r="X18" s="93">
        <f t="shared" si="3"/>
        <v>0</v>
      </c>
    </row>
    <row r="19" spans="1:24" x14ac:dyDescent="0.35">
      <c r="B19" t="s">
        <v>189</v>
      </c>
      <c r="D19" t="s">
        <v>7</v>
      </c>
      <c r="E19" s="80">
        <f>VLOOKUP(D19,'Bu Erta'!$C$2:$E$66,3,0)</f>
        <v>1400</v>
      </c>
      <c r="F19">
        <f>0.45+0.5</f>
        <v>0.95</v>
      </c>
      <c r="G19" s="80">
        <f t="shared" si="0"/>
        <v>1330</v>
      </c>
      <c r="H19" s="80">
        <f>VLOOKUP(D19,'Bu Erta'!$C$2:$F$66,4,0)*F19</f>
        <v>1520</v>
      </c>
      <c r="J19" s="69" t="s">
        <v>259</v>
      </c>
      <c r="K19">
        <v>3</v>
      </c>
      <c r="L19" s="4">
        <v>4477.5</v>
      </c>
      <c r="N19" s="44">
        <v>16</v>
      </c>
      <c r="O19" s="17" t="s">
        <v>28</v>
      </c>
      <c r="P19" s="93">
        <f>VLOOKUP(O19,'Bu Erta'!$C$2:$F$66,4,0)</f>
        <v>1300</v>
      </c>
      <c r="Q19" s="94">
        <f t="shared" si="1"/>
        <v>7.6000000000000005</v>
      </c>
      <c r="R19" s="93">
        <f t="shared" si="2"/>
        <v>9880</v>
      </c>
      <c r="T19" s="44">
        <v>16</v>
      </c>
      <c r="U19" s="17" t="s">
        <v>28</v>
      </c>
      <c r="V19" s="93"/>
      <c r="W19" s="94"/>
      <c r="X19" s="93">
        <f t="shared" si="3"/>
        <v>0</v>
      </c>
    </row>
    <row r="20" spans="1:24" x14ac:dyDescent="0.35">
      <c r="B20" t="s">
        <v>189</v>
      </c>
      <c r="D20" t="s">
        <v>41</v>
      </c>
      <c r="E20" s="80">
        <f>VLOOKUP(D20,'Bu Erta'!$C$2:$E$66,3,0)</f>
        <v>1500</v>
      </c>
      <c r="F20">
        <v>0.15</v>
      </c>
      <c r="G20" s="80">
        <f t="shared" si="0"/>
        <v>225</v>
      </c>
      <c r="H20" s="80">
        <f>VLOOKUP(D20,'Bu Erta'!$C$2:$F$66,4,0)*F20</f>
        <v>300</v>
      </c>
      <c r="J20" s="69" t="s">
        <v>164</v>
      </c>
      <c r="K20">
        <v>3</v>
      </c>
      <c r="L20" s="4">
        <v>2585</v>
      </c>
      <c r="N20" s="44">
        <v>17</v>
      </c>
      <c r="O20" s="17" t="s">
        <v>29</v>
      </c>
      <c r="P20" s="93">
        <f>VLOOKUP(O20,'Bu Erta'!$C$2:$F$66,4,0)</f>
        <v>6000</v>
      </c>
      <c r="Q20" s="94">
        <f t="shared" si="1"/>
        <v>0</v>
      </c>
      <c r="R20" s="93">
        <f t="shared" si="2"/>
        <v>0</v>
      </c>
      <c r="T20" s="44">
        <v>17</v>
      </c>
      <c r="U20" s="17" t="s">
        <v>29</v>
      </c>
      <c r="V20" s="93"/>
      <c r="W20" s="94"/>
      <c r="X20" s="93">
        <f t="shared" si="3"/>
        <v>0</v>
      </c>
    </row>
    <row r="21" spans="1:24" x14ac:dyDescent="0.35">
      <c r="B21" t="s">
        <v>189</v>
      </c>
      <c r="D21" t="s">
        <v>24</v>
      </c>
      <c r="E21" s="80">
        <f>VLOOKUP(D21,'Bu Erta'!$C$2:$E$66,3,0)</f>
        <v>150</v>
      </c>
      <c r="F21">
        <v>1.6</v>
      </c>
      <c r="G21" s="80">
        <f t="shared" si="0"/>
        <v>240</v>
      </c>
      <c r="H21" s="80">
        <f>VLOOKUP(D21,'Bu Erta'!$C$2:$F$66,4,0)*F21</f>
        <v>320</v>
      </c>
      <c r="J21" s="69" t="s">
        <v>97</v>
      </c>
      <c r="K21">
        <v>4</v>
      </c>
      <c r="L21" s="4">
        <v>89172.5</v>
      </c>
      <c r="N21" s="44">
        <v>18</v>
      </c>
      <c r="O21" s="17" t="s">
        <v>30</v>
      </c>
      <c r="P21" s="93">
        <f>VLOOKUP(O21,'Bu Erta'!$C$2:$F$66,4,0)</f>
        <v>15000</v>
      </c>
      <c r="Q21" s="94">
        <f t="shared" si="1"/>
        <v>0</v>
      </c>
      <c r="R21" s="93">
        <f t="shared" si="2"/>
        <v>0</v>
      </c>
      <c r="T21" s="44">
        <v>18</v>
      </c>
      <c r="U21" s="17" t="s">
        <v>30</v>
      </c>
      <c r="V21" s="93"/>
      <c r="W21" s="94"/>
      <c r="X21" s="93">
        <f t="shared" si="3"/>
        <v>0</v>
      </c>
    </row>
    <row r="22" spans="1:24" x14ac:dyDescent="0.35">
      <c r="B22" t="s">
        <v>189</v>
      </c>
      <c r="D22" t="s">
        <v>6</v>
      </c>
      <c r="E22" s="80">
        <f>VLOOKUP(D22,'Bu Erta'!$C$2:$E$66,3,0)</f>
        <v>2000</v>
      </c>
      <c r="F22">
        <v>0.95</v>
      </c>
      <c r="G22" s="80">
        <f t="shared" si="0"/>
        <v>1900</v>
      </c>
      <c r="H22" s="80">
        <f>VLOOKUP(D22,'Bu Erta'!$C$2:$F$66,4,0)*F22</f>
        <v>2375</v>
      </c>
      <c r="J22" s="69" t="s">
        <v>182</v>
      </c>
      <c r="K22">
        <v>4</v>
      </c>
      <c r="L22" s="4">
        <v>4190</v>
      </c>
      <c r="N22" s="44">
        <v>19</v>
      </c>
      <c r="O22" s="17" t="s">
        <v>7</v>
      </c>
      <c r="P22" s="93">
        <f>VLOOKUP(O22,'Bu Erta'!$C$2:$F$66,4,0)</f>
        <v>1600</v>
      </c>
      <c r="Q22" s="94">
        <f t="shared" si="1"/>
        <v>71.000000000000014</v>
      </c>
      <c r="R22" s="93">
        <f t="shared" si="2"/>
        <v>113600.00000000003</v>
      </c>
      <c r="T22" s="44">
        <v>19</v>
      </c>
      <c r="U22" s="17" t="s">
        <v>7</v>
      </c>
      <c r="V22" s="93"/>
      <c r="W22" s="94"/>
      <c r="X22" s="93">
        <f t="shared" si="3"/>
        <v>0</v>
      </c>
    </row>
    <row r="23" spans="1:24" x14ac:dyDescent="0.35">
      <c r="A23" s="5">
        <v>4</v>
      </c>
      <c r="B23" t="s">
        <v>97</v>
      </c>
      <c r="C23" s="5">
        <v>4</v>
      </c>
      <c r="D23" t="s">
        <v>7</v>
      </c>
      <c r="E23" s="80">
        <f>VLOOKUP(D23,'Bu Erta'!$C$2:$E$66,3,0)</f>
        <v>1400</v>
      </c>
      <c r="F23">
        <f>1.75+6.35+0.45+6.3</f>
        <v>14.849999999999998</v>
      </c>
      <c r="G23" s="80">
        <f t="shared" si="0"/>
        <v>20789.999999999996</v>
      </c>
      <c r="H23" s="80">
        <f>VLOOKUP(D23,'Bu Erta'!$C$2:$F$66,4,0)*F23</f>
        <v>23759.999999999996</v>
      </c>
      <c r="J23" s="69" t="s">
        <v>192</v>
      </c>
      <c r="K23">
        <v>4</v>
      </c>
      <c r="L23" s="4">
        <v>14085</v>
      </c>
      <c r="N23" s="44">
        <v>20</v>
      </c>
      <c r="O23" s="17" t="s">
        <v>31</v>
      </c>
      <c r="P23" s="93">
        <f>VLOOKUP(O23,'Bu Erta'!$C$2:$F$66,4,0)</f>
        <v>1100</v>
      </c>
      <c r="Q23" s="94">
        <f t="shared" si="1"/>
        <v>38.749999999999993</v>
      </c>
      <c r="R23" s="93">
        <f t="shared" si="2"/>
        <v>42624.999999999993</v>
      </c>
      <c r="T23" s="44">
        <v>20</v>
      </c>
      <c r="U23" s="17" t="s">
        <v>31</v>
      </c>
      <c r="V23" s="93"/>
      <c r="W23" s="94"/>
      <c r="X23" s="93">
        <f t="shared" si="3"/>
        <v>0</v>
      </c>
    </row>
    <row r="24" spans="1:24" x14ac:dyDescent="0.35">
      <c r="B24" t="s">
        <v>97</v>
      </c>
      <c r="C24" s="5" t="s">
        <v>344</v>
      </c>
      <c r="D24" t="s">
        <v>22</v>
      </c>
      <c r="E24" s="80">
        <f>VLOOKUP(D24,'Bu Erta'!$C$2:$E$66,3,0)</f>
        <v>2500</v>
      </c>
      <c r="F24">
        <f>5.65+0.1</f>
        <v>5.75</v>
      </c>
      <c r="G24" s="80">
        <f t="shared" si="0"/>
        <v>14375</v>
      </c>
      <c r="H24" s="80">
        <f>VLOOKUP(D24,'Bu Erta'!$C$2:$F$66,4,0)*F24</f>
        <v>17250</v>
      </c>
      <c r="J24" s="69" t="s">
        <v>132</v>
      </c>
      <c r="K24">
        <v>4</v>
      </c>
      <c r="L24" s="4">
        <v>2610</v>
      </c>
      <c r="N24" s="44">
        <v>21</v>
      </c>
      <c r="O24" s="17" t="s">
        <v>32</v>
      </c>
      <c r="P24" s="93">
        <f>VLOOKUP(O24,'Bu Erta'!$C$2:$F$66,4,0)</f>
        <v>5000</v>
      </c>
      <c r="Q24" s="94">
        <f t="shared" si="1"/>
        <v>1</v>
      </c>
      <c r="R24" s="93">
        <f t="shared" si="2"/>
        <v>5000</v>
      </c>
      <c r="T24" s="44">
        <v>21</v>
      </c>
      <c r="U24" s="17" t="s">
        <v>32</v>
      </c>
      <c r="V24" s="93"/>
      <c r="W24" s="94"/>
      <c r="X24" s="93">
        <f t="shared" si="3"/>
        <v>0</v>
      </c>
    </row>
    <row r="25" spans="1:24" x14ac:dyDescent="0.35">
      <c r="B25" t="s">
        <v>97</v>
      </c>
      <c r="D25" t="s">
        <v>22</v>
      </c>
      <c r="E25" s="80">
        <f>VLOOKUP(D25,'Bu Erta'!$C$2:$E$66,3,0)</f>
        <v>2500</v>
      </c>
      <c r="F25">
        <f>11+2.75</f>
        <v>13.75</v>
      </c>
      <c r="G25" s="80">
        <f t="shared" si="0"/>
        <v>34375</v>
      </c>
      <c r="H25" s="80">
        <f>VLOOKUP(D25,'Bu Erta'!$C$2:$F$66,4,0)*F25</f>
        <v>41250</v>
      </c>
      <c r="J25" s="69" t="s">
        <v>94</v>
      </c>
      <c r="K25">
        <v>4</v>
      </c>
      <c r="L25" s="4">
        <v>3725</v>
      </c>
      <c r="N25" s="44">
        <v>22</v>
      </c>
      <c r="O25" s="17" t="s">
        <v>33</v>
      </c>
      <c r="P25" s="93">
        <f>VLOOKUP(O25,'Bu Erta'!$C$2:$F$66,4,0)</f>
        <v>1400</v>
      </c>
      <c r="Q25" s="94">
        <f t="shared" si="1"/>
        <v>0</v>
      </c>
      <c r="R25" s="93">
        <f t="shared" si="2"/>
        <v>0</v>
      </c>
      <c r="T25" s="44">
        <v>22</v>
      </c>
      <c r="U25" s="17" t="s">
        <v>33</v>
      </c>
      <c r="V25" s="93"/>
      <c r="W25" s="94"/>
      <c r="X25" s="93">
        <f t="shared" si="3"/>
        <v>0</v>
      </c>
    </row>
    <row r="26" spans="1:24" x14ac:dyDescent="0.35">
      <c r="B26" t="s">
        <v>97</v>
      </c>
      <c r="D26" t="s">
        <v>41</v>
      </c>
      <c r="E26" s="80">
        <f>VLOOKUP(D26,'Bu Erta'!$C$2:$E$66,3,0)</f>
        <v>1500</v>
      </c>
      <c r="F26">
        <v>0.9</v>
      </c>
      <c r="G26" s="80">
        <f t="shared" si="0"/>
        <v>1350</v>
      </c>
      <c r="H26" s="80">
        <f>VLOOKUP(D26,'Bu Erta'!$C$2:$F$66,4,0)*F26</f>
        <v>1800</v>
      </c>
      <c r="J26" s="69" t="s">
        <v>135</v>
      </c>
      <c r="K26">
        <v>4</v>
      </c>
      <c r="L26" s="4">
        <v>13410</v>
      </c>
      <c r="N26" s="44">
        <v>23</v>
      </c>
      <c r="O26" s="17" t="s">
        <v>34</v>
      </c>
      <c r="P26" s="93">
        <f>VLOOKUP(O26,'Bu Erta'!$C$2:$F$66,4,0)</f>
        <v>3600</v>
      </c>
      <c r="Q26" s="94">
        <f t="shared" si="1"/>
        <v>2.1</v>
      </c>
      <c r="R26" s="93">
        <f t="shared" si="2"/>
        <v>7560</v>
      </c>
      <c r="T26" s="44">
        <v>23</v>
      </c>
      <c r="U26" s="17" t="s">
        <v>34</v>
      </c>
      <c r="V26" s="93"/>
      <c r="W26" s="94"/>
      <c r="X26" s="93">
        <f t="shared" si="3"/>
        <v>0</v>
      </c>
    </row>
    <row r="27" spans="1:24" x14ac:dyDescent="0.35">
      <c r="B27" t="s">
        <v>97</v>
      </c>
      <c r="D27" t="s">
        <v>42</v>
      </c>
      <c r="E27" s="80">
        <f>VLOOKUP(D27,'Bu Erta'!$C$2:$E$66,3,0)</f>
        <v>1000</v>
      </c>
      <c r="F27">
        <v>7.75</v>
      </c>
      <c r="G27" s="80">
        <f t="shared" si="0"/>
        <v>7750</v>
      </c>
      <c r="H27" s="80">
        <f>VLOOKUP(D27,'Bu Erta'!$C$2:$F$66,4,0)*F27</f>
        <v>9300</v>
      </c>
      <c r="J27" s="69" t="s">
        <v>112</v>
      </c>
      <c r="K27">
        <v>4</v>
      </c>
      <c r="L27" s="4">
        <v>18420</v>
      </c>
      <c r="N27" s="44">
        <v>24</v>
      </c>
      <c r="O27" s="17" t="s">
        <v>35</v>
      </c>
      <c r="P27" s="93">
        <f>VLOOKUP(O27,'Bu Erta'!$C$2:$F$66,4,0)</f>
        <v>2000</v>
      </c>
      <c r="Q27" s="94">
        <f t="shared" si="1"/>
        <v>0</v>
      </c>
      <c r="R27" s="93">
        <f t="shared" si="2"/>
        <v>0</v>
      </c>
      <c r="T27" s="44">
        <v>24</v>
      </c>
      <c r="U27" s="17" t="s">
        <v>35</v>
      </c>
      <c r="V27" s="93"/>
      <c r="W27" s="94"/>
      <c r="X27" s="93">
        <f t="shared" si="3"/>
        <v>0</v>
      </c>
    </row>
    <row r="28" spans="1:24" x14ac:dyDescent="0.35">
      <c r="B28" t="s">
        <v>97</v>
      </c>
      <c r="D28" t="s">
        <v>23</v>
      </c>
      <c r="E28" s="80">
        <f>VLOOKUP(D28,'Bu Erta'!$C$2:$E$66,3,0)</f>
        <v>300</v>
      </c>
      <c r="F28">
        <f>2.3+1.9</f>
        <v>4.1999999999999993</v>
      </c>
      <c r="G28" s="80">
        <f t="shared" si="0"/>
        <v>1259.9999999999998</v>
      </c>
      <c r="H28" s="80">
        <f>VLOOKUP(D28,'Bu Erta'!$C$2:$F$66,4,0)*F28</f>
        <v>1679.9999999999998</v>
      </c>
      <c r="J28" s="69" t="s">
        <v>118</v>
      </c>
      <c r="K28">
        <v>4</v>
      </c>
      <c r="L28" s="4">
        <v>12720</v>
      </c>
      <c r="N28" s="44">
        <v>25</v>
      </c>
      <c r="O28" s="17" t="s">
        <v>36</v>
      </c>
      <c r="P28" s="93">
        <f>VLOOKUP(O28,'Bu Erta'!$C$2:$F$66,4,0)</f>
        <v>650</v>
      </c>
      <c r="Q28" s="94">
        <f t="shared" si="1"/>
        <v>0</v>
      </c>
      <c r="R28" s="93">
        <f t="shared" si="2"/>
        <v>0</v>
      </c>
      <c r="T28" s="44">
        <v>25</v>
      </c>
      <c r="U28" s="17" t="s">
        <v>36</v>
      </c>
      <c r="V28" s="93"/>
      <c r="W28" s="94"/>
      <c r="X28" s="93">
        <f t="shared" si="3"/>
        <v>0</v>
      </c>
    </row>
    <row r="29" spans="1:24" x14ac:dyDescent="0.35">
      <c r="B29" t="s">
        <v>97</v>
      </c>
      <c r="D29" t="s">
        <v>27</v>
      </c>
      <c r="E29" s="80">
        <f>VLOOKUP(D29,'Bu Erta'!$C$2:$E$66,3,0)</f>
        <v>2800</v>
      </c>
      <c r="F29">
        <f>1.35+0.75</f>
        <v>2.1</v>
      </c>
      <c r="G29" s="80">
        <f t="shared" si="0"/>
        <v>5880</v>
      </c>
      <c r="H29" s="80">
        <f>VLOOKUP(D29,'Bu Erta'!$C$2:$F$66,4,0)*F29</f>
        <v>6510</v>
      </c>
      <c r="J29" s="69" t="s">
        <v>136</v>
      </c>
      <c r="K29">
        <v>4</v>
      </c>
      <c r="L29" s="4">
        <v>5579.9999999999991</v>
      </c>
      <c r="N29" s="44">
        <v>26</v>
      </c>
      <c r="O29" s="17" t="s">
        <v>37</v>
      </c>
      <c r="P29" s="93">
        <f>VLOOKUP(O29,'Bu Erta'!$C$2:$F$66,4,0)</f>
        <v>2000</v>
      </c>
      <c r="Q29" s="94">
        <f t="shared" si="1"/>
        <v>2.8</v>
      </c>
      <c r="R29" s="93">
        <f t="shared" si="2"/>
        <v>5600</v>
      </c>
      <c r="T29" s="44">
        <v>26</v>
      </c>
      <c r="U29" s="17" t="s">
        <v>37</v>
      </c>
      <c r="V29" s="93"/>
      <c r="W29" s="94"/>
      <c r="X29" s="93">
        <f t="shared" si="3"/>
        <v>0</v>
      </c>
    </row>
    <row r="30" spans="1:24" x14ac:dyDescent="0.35">
      <c r="B30" t="s">
        <v>97</v>
      </c>
      <c r="D30" t="s">
        <v>19</v>
      </c>
      <c r="E30" s="80">
        <f>VLOOKUP(D30,'Bu Erta'!$C$2:$E$66,3,0)</f>
        <v>200</v>
      </c>
      <c r="F30">
        <v>1.9</v>
      </c>
      <c r="G30" s="80">
        <f t="shared" si="0"/>
        <v>380</v>
      </c>
      <c r="H30" s="80">
        <f>VLOOKUP(D30,'Bu Erta'!$C$2:$F$66,4,0)*F30</f>
        <v>570</v>
      </c>
      <c r="J30" s="69" t="s">
        <v>137</v>
      </c>
      <c r="K30">
        <v>4</v>
      </c>
      <c r="L30" s="4">
        <v>5695</v>
      </c>
      <c r="N30" s="44">
        <v>27</v>
      </c>
      <c r="O30" s="17" t="s">
        <v>38</v>
      </c>
      <c r="P30" s="93">
        <f>VLOOKUP(O30,'Bu Erta'!$C$2:$F$66,4,0)</f>
        <v>1600</v>
      </c>
      <c r="Q30" s="94">
        <f t="shared" si="1"/>
        <v>0.35</v>
      </c>
      <c r="R30" s="93">
        <f t="shared" si="2"/>
        <v>560</v>
      </c>
      <c r="T30" s="44">
        <v>27</v>
      </c>
      <c r="U30" s="17" t="s">
        <v>38</v>
      </c>
      <c r="V30" s="93"/>
      <c r="W30" s="94"/>
      <c r="X30" s="93">
        <f t="shared" si="3"/>
        <v>0</v>
      </c>
    </row>
    <row r="31" spans="1:24" x14ac:dyDescent="0.35">
      <c r="B31" t="s">
        <v>97</v>
      </c>
      <c r="D31" t="s">
        <v>25</v>
      </c>
      <c r="E31" s="80">
        <f>VLOOKUP(D31,'Bu Erta'!$C$2:$E$66,3,0)</f>
        <v>1600</v>
      </c>
      <c r="F31">
        <v>0.25</v>
      </c>
      <c r="G31" s="80">
        <f t="shared" si="0"/>
        <v>400</v>
      </c>
      <c r="H31" s="80">
        <f>VLOOKUP(D31,'Bu Erta'!$C$2:$F$66,4,0)*F31</f>
        <v>425</v>
      </c>
      <c r="J31" s="69" t="s">
        <v>142</v>
      </c>
      <c r="K31">
        <v>4</v>
      </c>
      <c r="L31" s="4">
        <v>13450</v>
      </c>
      <c r="N31" s="44">
        <v>28</v>
      </c>
      <c r="O31" s="17" t="s">
        <v>39</v>
      </c>
      <c r="P31" s="93">
        <f>VLOOKUP(O31,'Bu Erta'!$C$2:$F$66,4,0)</f>
        <v>200</v>
      </c>
      <c r="Q31" s="94">
        <f t="shared" si="1"/>
        <v>0.9</v>
      </c>
      <c r="R31" s="93">
        <f t="shared" si="2"/>
        <v>180</v>
      </c>
      <c r="T31" s="44">
        <v>28</v>
      </c>
      <c r="U31" s="17" t="s">
        <v>39</v>
      </c>
      <c r="V31" s="93"/>
      <c r="W31" s="94"/>
      <c r="X31" s="93">
        <f t="shared" si="3"/>
        <v>0</v>
      </c>
    </row>
    <row r="32" spans="1:24" x14ac:dyDescent="0.35">
      <c r="B32" t="s">
        <v>97</v>
      </c>
      <c r="D32" t="s">
        <v>88</v>
      </c>
      <c r="E32" s="80">
        <f>VLOOKUP(D32,'Bu Erta'!$C$2:$E$66,3,0)</f>
        <v>300</v>
      </c>
      <c r="F32">
        <v>1.25</v>
      </c>
      <c r="G32" s="80">
        <f t="shared" si="0"/>
        <v>375</v>
      </c>
      <c r="H32" s="80">
        <f>VLOOKUP(D32,'Bu Erta'!$C$2:$F$66,4,0)*F32</f>
        <v>500</v>
      </c>
      <c r="J32" s="69" t="s">
        <v>144</v>
      </c>
      <c r="K32">
        <v>4</v>
      </c>
      <c r="L32" s="4">
        <v>5385</v>
      </c>
      <c r="N32" s="44">
        <v>29</v>
      </c>
      <c r="O32" s="17" t="s">
        <v>77</v>
      </c>
      <c r="P32" s="93">
        <f>VLOOKUP(O32,'Bu Erta'!$C$2:$F$66,4,0)</f>
        <v>800</v>
      </c>
      <c r="Q32" s="94">
        <f t="shared" si="1"/>
        <v>0</v>
      </c>
      <c r="R32" s="93">
        <f t="shared" si="2"/>
        <v>0</v>
      </c>
      <c r="T32" s="44">
        <v>29</v>
      </c>
      <c r="U32" s="17" t="s">
        <v>77</v>
      </c>
      <c r="V32" s="93"/>
      <c r="W32" s="94"/>
      <c r="X32" s="93">
        <f t="shared" si="3"/>
        <v>0</v>
      </c>
    </row>
    <row r="33" spans="1:24" x14ac:dyDescent="0.35">
      <c r="B33" t="s">
        <v>97</v>
      </c>
      <c r="D33" t="s">
        <v>70</v>
      </c>
      <c r="E33" s="80">
        <f>VLOOKUP(D33,'Bu Erta'!$C$2:$E$66,3,0)</f>
        <v>3500</v>
      </c>
      <c r="F33">
        <v>0.35</v>
      </c>
      <c r="G33" s="80">
        <f t="shared" si="0"/>
        <v>1225</v>
      </c>
      <c r="H33" s="80">
        <f>VLOOKUP(D33,'Bu Erta'!$C$2:$F$66,4,0)*F33</f>
        <v>1400</v>
      </c>
      <c r="J33" s="69" t="s">
        <v>89</v>
      </c>
      <c r="K33">
        <v>4</v>
      </c>
      <c r="L33" s="4">
        <v>22415</v>
      </c>
      <c r="N33" s="44">
        <v>30</v>
      </c>
      <c r="O33" s="17" t="s">
        <v>40</v>
      </c>
      <c r="P33" s="93">
        <f>VLOOKUP(O33,'Bu Erta'!$C$2:$F$66,4,0)</f>
        <v>2000</v>
      </c>
      <c r="Q33" s="94">
        <f t="shared" si="1"/>
        <v>5.0500000000000007</v>
      </c>
      <c r="R33" s="93">
        <f t="shared" si="2"/>
        <v>10100.000000000002</v>
      </c>
      <c r="T33" s="44">
        <v>30</v>
      </c>
      <c r="U33" s="17" t="s">
        <v>40</v>
      </c>
      <c r="V33" s="93"/>
      <c r="W33" s="94"/>
      <c r="X33" s="93">
        <f t="shared" si="3"/>
        <v>0</v>
      </c>
    </row>
    <row r="34" spans="1:24" x14ac:dyDescent="0.35">
      <c r="B34" t="s">
        <v>97</v>
      </c>
      <c r="D34" t="s">
        <v>24</v>
      </c>
      <c r="E34" s="80">
        <f>VLOOKUP(D34,'Bu Erta'!$C$2:$E$66,3,0)</f>
        <v>150</v>
      </c>
      <c r="F34">
        <v>1.75</v>
      </c>
      <c r="G34" s="80">
        <f t="shared" si="0"/>
        <v>262.5</v>
      </c>
      <c r="H34" s="80">
        <f>VLOOKUP(D34,'Bu Erta'!$C$2:$F$66,4,0)*F34</f>
        <v>350</v>
      </c>
      <c r="J34" s="69" t="s">
        <v>140</v>
      </c>
      <c r="K34">
        <v>4</v>
      </c>
      <c r="L34" s="4">
        <v>6500</v>
      </c>
      <c r="N34" s="44">
        <v>31</v>
      </c>
      <c r="O34" s="17" t="s">
        <v>41</v>
      </c>
      <c r="P34" s="93">
        <f>VLOOKUP(O34,'Bu Erta'!$C$2:$F$66,4,0)</f>
        <v>2000</v>
      </c>
      <c r="Q34" s="94">
        <f t="shared" si="1"/>
        <v>3.4500000000000006</v>
      </c>
      <c r="R34" s="93">
        <f t="shared" si="2"/>
        <v>6900.0000000000009</v>
      </c>
      <c r="T34" s="44">
        <v>31</v>
      </c>
      <c r="U34" s="17" t="s">
        <v>41</v>
      </c>
      <c r="V34" s="93"/>
      <c r="W34" s="94"/>
      <c r="X34" s="93">
        <f t="shared" si="3"/>
        <v>0</v>
      </c>
    </row>
    <row r="35" spans="1:24" x14ac:dyDescent="0.35">
      <c r="B35" t="s">
        <v>97</v>
      </c>
      <c r="D35" t="s">
        <v>69</v>
      </c>
      <c r="E35" s="80">
        <f>VLOOKUP(D35,'Bu Erta'!$C$2:$E$66,3,0)</f>
        <v>2500</v>
      </c>
      <c r="F35">
        <v>0.3</v>
      </c>
      <c r="G35" s="80">
        <f t="shared" si="0"/>
        <v>750</v>
      </c>
      <c r="H35" s="80">
        <f>VLOOKUP(D35,'Bu Erta'!$C$2:$F$66,4,0)*F35</f>
        <v>900</v>
      </c>
      <c r="J35" s="69" t="s">
        <v>100</v>
      </c>
      <c r="K35">
        <v>4</v>
      </c>
      <c r="L35" s="4">
        <v>12240</v>
      </c>
      <c r="N35" s="44">
        <v>32</v>
      </c>
      <c r="O35" s="17" t="s">
        <v>42</v>
      </c>
      <c r="P35" s="93">
        <f>VLOOKUP(O35,'Bu Erta'!$C$2:$F$66,4,0)</f>
        <v>1200</v>
      </c>
      <c r="Q35" s="94">
        <f t="shared" si="1"/>
        <v>102.24999999999997</v>
      </c>
      <c r="R35" s="93">
        <f t="shared" si="2"/>
        <v>122699.99999999997</v>
      </c>
      <c r="T35" s="44">
        <v>32</v>
      </c>
      <c r="U35" s="17" t="s">
        <v>42</v>
      </c>
      <c r="V35" s="93"/>
      <c r="W35" s="94"/>
      <c r="X35" s="93">
        <f t="shared" si="3"/>
        <v>0</v>
      </c>
    </row>
    <row r="36" spans="1:24" x14ac:dyDescent="0.35">
      <c r="B36" t="s">
        <v>97</v>
      </c>
      <c r="D36" s="97" t="s">
        <v>20</v>
      </c>
      <c r="E36" s="80">
        <f>VLOOKUP(D36,'Bu Erta'!$C$2:$E$66,3,0)</f>
        <v>7500</v>
      </c>
      <c r="F36">
        <v>0</v>
      </c>
      <c r="G36" s="80">
        <f t="shared" si="0"/>
        <v>0</v>
      </c>
      <c r="H36" s="80">
        <f>VLOOKUP(D36,'Bu Erta'!$C$2:$F$66,4,0)*F36</f>
        <v>0</v>
      </c>
      <c r="J36" s="69" t="s">
        <v>102</v>
      </c>
      <c r="K36">
        <v>4</v>
      </c>
      <c r="L36" s="4">
        <v>22280</v>
      </c>
      <c r="N36" s="44">
        <v>33</v>
      </c>
      <c r="O36" s="17" t="s">
        <v>43</v>
      </c>
      <c r="P36" s="93">
        <f>VLOOKUP(O36,'Bu Erta'!$C$2:$F$66,4,0)</f>
        <v>500</v>
      </c>
      <c r="Q36" s="94">
        <f t="shared" si="1"/>
        <v>0</v>
      </c>
      <c r="R36" s="93">
        <f t="shared" si="2"/>
        <v>0</v>
      </c>
      <c r="T36" s="44">
        <v>33</v>
      </c>
      <c r="U36" s="17" t="s">
        <v>43</v>
      </c>
      <c r="V36" s="93"/>
      <c r="W36" s="94"/>
      <c r="X36" s="93">
        <f t="shared" si="3"/>
        <v>0</v>
      </c>
    </row>
    <row r="37" spans="1:24" x14ac:dyDescent="0.35">
      <c r="A37" s="5">
        <v>5</v>
      </c>
      <c r="B37" t="s">
        <v>136</v>
      </c>
      <c r="C37" s="5">
        <v>4</v>
      </c>
      <c r="D37" t="s">
        <v>27</v>
      </c>
      <c r="E37" s="80">
        <f>VLOOKUP(D37,'Bu Erta'!$C$2:$E$66,3,0)</f>
        <v>2800</v>
      </c>
      <c r="F37">
        <v>1.1499999999999999</v>
      </c>
      <c r="G37" s="80">
        <f t="shared" si="0"/>
        <v>3219.9999999999995</v>
      </c>
      <c r="H37" s="80">
        <f>VLOOKUP(D37,'Bu Erta'!$C$2:$F$66,4,0)*F37</f>
        <v>3564.9999999999995</v>
      </c>
      <c r="J37" s="69" t="s">
        <v>180</v>
      </c>
      <c r="K37">
        <v>4</v>
      </c>
      <c r="L37" s="4">
        <v>5580</v>
      </c>
      <c r="N37" s="44">
        <v>34</v>
      </c>
      <c r="O37" s="17" t="s">
        <v>44</v>
      </c>
      <c r="P37" s="93">
        <f>VLOOKUP(O37,'Bu Erta'!$C$2:$F$66,4,0)</f>
        <v>500</v>
      </c>
      <c r="Q37" s="94">
        <f t="shared" si="1"/>
        <v>0</v>
      </c>
      <c r="R37" s="93">
        <f t="shared" si="2"/>
        <v>0</v>
      </c>
      <c r="T37" s="44">
        <v>34</v>
      </c>
      <c r="U37" s="17" t="s">
        <v>44</v>
      </c>
      <c r="V37" s="93"/>
      <c r="W37" s="94"/>
      <c r="X37" s="93">
        <f t="shared" si="3"/>
        <v>0</v>
      </c>
    </row>
    <row r="38" spans="1:24" x14ac:dyDescent="0.35">
      <c r="B38" t="s">
        <v>136</v>
      </c>
      <c r="D38" t="s">
        <v>23</v>
      </c>
      <c r="E38" s="80">
        <f>VLOOKUP(D38,'Bu Erta'!$C$2:$E$66,3,0)</f>
        <v>300</v>
      </c>
      <c r="F38">
        <f>0.5+0.4</f>
        <v>0.9</v>
      </c>
      <c r="G38" s="80">
        <f t="shared" si="0"/>
        <v>270</v>
      </c>
      <c r="H38" s="80">
        <f>VLOOKUP(D38,'Bu Erta'!$C$2:$F$66,4,0)*F38</f>
        <v>360</v>
      </c>
      <c r="J38" s="69" t="s">
        <v>245</v>
      </c>
      <c r="K38">
        <v>4</v>
      </c>
      <c r="L38" s="4">
        <v>14420</v>
      </c>
      <c r="N38" s="44">
        <v>35</v>
      </c>
      <c r="O38" s="17" t="s">
        <v>45</v>
      </c>
      <c r="P38" s="93">
        <f>VLOOKUP(O38,'Bu Erta'!$C$2:$F$66,4,0)</f>
        <v>800</v>
      </c>
      <c r="Q38" s="94">
        <f t="shared" si="1"/>
        <v>0</v>
      </c>
      <c r="R38" s="93">
        <f t="shared" si="2"/>
        <v>0</v>
      </c>
      <c r="T38" s="44">
        <v>35</v>
      </c>
      <c r="U38" s="17" t="s">
        <v>45</v>
      </c>
      <c r="V38" s="93"/>
      <c r="W38" s="94"/>
      <c r="X38" s="93">
        <f t="shared" si="3"/>
        <v>0</v>
      </c>
    </row>
    <row r="39" spans="1:24" x14ac:dyDescent="0.35">
      <c r="B39" t="s">
        <v>136</v>
      </c>
      <c r="D39" t="s">
        <v>24</v>
      </c>
      <c r="E39" s="80">
        <f>VLOOKUP(D39,'Bu Erta'!$C$2:$E$66,3,0)</f>
        <v>150</v>
      </c>
      <c r="F39">
        <v>2.1</v>
      </c>
      <c r="G39" s="80">
        <f t="shared" si="0"/>
        <v>315</v>
      </c>
      <c r="H39" s="80">
        <f>VLOOKUP(D39,'Bu Erta'!$C$2:$F$66,4,0)*F39</f>
        <v>420</v>
      </c>
      <c r="J39" s="69" t="s">
        <v>86</v>
      </c>
      <c r="K39">
        <v>4</v>
      </c>
      <c r="L39" s="4">
        <v>25340</v>
      </c>
      <c r="N39" s="44">
        <v>36</v>
      </c>
      <c r="O39" s="17" t="s">
        <v>46</v>
      </c>
      <c r="P39" s="93">
        <f>VLOOKUP(O39,'Bu Erta'!$C$2:$F$66,4,0)</f>
        <v>1500</v>
      </c>
      <c r="Q39" s="94">
        <f t="shared" si="1"/>
        <v>18.55</v>
      </c>
      <c r="R39" s="93">
        <f t="shared" si="2"/>
        <v>27825</v>
      </c>
      <c r="T39" s="44">
        <v>36</v>
      </c>
      <c r="U39" s="17" t="s">
        <v>46</v>
      </c>
      <c r="V39" s="93"/>
      <c r="W39" s="94"/>
      <c r="X39" s="93">
        <f t="shared" si="3"/>
        <v>0</v>
      </c>
    </row>
    <row r="40" spans="1:24" x14ac:dyDescent="0.35">
      <c r="B40" t="s">
        <v>136</v>
      </c>
      <c r="D40" t="s">
        <v>7</v>
      </c>
      <c r="E40" s="80">
        <f>VLOOKUP(D40,'Bu Erta'!$C$2:$E$66,3,0)</f>
        <v>1400</v>
      </c>
      <c r="F40">
        <v>0.7</v>
      </c>
      <c r="G40" s="80">
        <f t="shared" si="0"/>
        <v>979.99999999999989</v>
      </c>
      <c r="H40" s="80">
        <f>VLOOKUP(D40,'Bu Erta'!$C$2:$F$66,4,0)*F40</f>
        <v>1120</v>
      </c>
      <c r="J40" s="69" t="s">
        <v>114</v>
      </c>
      <c r="K40">
        <v>4</v>
      </c>
      <c r="L40" s="4">
        <v>12900</v>
      </c>
      <c r="N40" s="44">
        <v>37</v>
      </c>
      <c r="O40" s="17" t="s">
        <v>47</v>
      </c>
      <c r="P40" s="93">
        <f>VLOOKUP(O40,'Bu Erta'!$C$2:$F$66,4,0)</f>
        <v>1500</v>
      </c>
      <c r="Q40" s="94">
        <f t="shared" si="1"/>
        <v>0</v>
      </c>
      <c r="R40" s="93">
        <f t="shared" si="2"/>
        <v>0</v>
      </c>
      <c r="T40" s="44">
        <v>37</v>
      </c>
      <c r="U40" s="17" t="s">
        <v>47</v>
      </c>
      <c r="V40" s="93"/>
      <c r="W40" s="94"/>
      <c r="X40" s="93">
        <f t="shared" si="3"/>
        <v>0</v>
      </c>
    </row>
    <row r="41" spans="1:24" x14ac:dyDescent="0.35">
      <c r="B41" t="s">
        <v>136</v>
      </c>
      <c r="D41" t="s">
        <v>19</v>
      </c>
      <c r="E41" s="80">
        <f>VLOOKUP(D41,'Bu Erta'!$C$2:$E$66,3,0)</f>
        <v>200</v>
      </c>
      <c r="F41">
        <f>0.4+0.15</f>
        <v>0.55000000000000004</v>
      </c>
      <c r="G41" s="80">
        <f t="shared" si="0"/>
        <v>110.00000000000001</v>
      </c>
      <c r="H41" s="80">
        <f>VLOOKUP(D41,'Bu Erta'!$C$2:$F$66,4,0)*F41</f>
        <v>165</v>
      </c>
      <c r="J41" s="69" t="s">
        <v>84</v>
      </c>
      <c r="K41">
        <v>4</v>
      </c>
      <c r="L41" s="4">
        <v>214740</v>
      </c>
      <c r="N41" s="44">
        <v>38</v>
      </c>
      <c r="O41" s="17" t="s">
        <v>48</v>
      </c>
      <c r="P41" s="93">
        <f>VLOOKUP(O41,'Bu Erta'!$C$2:$F$66,4,0)</f>
        <v>15000</v>
      </c>
      <c r="Q41" s="94">
        <f t="shared" si="1"/>
        <v>0</v>
      </c>
      <c r="R41" s="93">
        <f t="shared" si="2"/>
        <v>0</v>
      </c>
      <c r="T41" s="44">
        <v>38</v>
      </c>
      <c r="U41" s="17" t="s">
        <v>48</v>
      </c>
      <c r="V41" s="93"/>
      <c r="W41" s="94"/>
      <c r="X41" s="93">
        <f t="shared" si="3"/>
        <v>0</v>
      </c>
    </row>
    <row r="42" spans="1:24" x14ac:dyDescent="0.35">
      <c r="B42" t="s">
        <v>136</v>
      </c>
      <c r="D42" t="s">
        <v>88</v>
      </c>
      <c r="E42" s="80">
        <f>VLOOKUP(D42,'Bu Erta'!$C$2:$E$66,3,0)</f>
        <v>300</v>
      </c>
      <c r="F42">
        <f>1.3+0.15</f>
        <v>1.45</v>
      </c>
      <c r="G42" s="80">
        <f t="shared" si="0"/>
        <v>435</v>
      </c>
      <c r="H42" s="80">
        <f>VLOOKUP(D42,'Bu Erta'!$C$2:$F$66,4,0)*F42</f>
        <v>580</v>
      </c>
      <c r="J42" s="69" t="s">
        <v>111</v>
      </c>
      <c r="K42">
        <v>5</v>
      </c>
      <c r="L42" s="4">
        <v>29565</v>
      </c>
      <c r="N42" s="44">
        <v>39</v>
      </c>
      <c r="O42" s="17" t="s">
        <v>49</v>
      </c>
      <c r="P42" s="93">
        <f>VLOOKUP(O42,'Bu Erta'!$C$2:$F$66,4,0)</f>
        <v>900</v>
      </c>
      <c r="Q42" s="94">
        <f t="shared" si="1"/>
        <v>2.0499999999999998</v>
      </c>
      <c r="R42" s="93">
        <f t="shared" si="2"/>
        <v>1844.9999999999998</v>
      </c>
      <c r="T42" s="44">
        <v>39</v>
      </c>
      <c r="U42" s="17" t="s">
        <v>49</v>
      </c>
      <c r="V42" s="93"/>
      <c r="W42" s="94"/>
      <c r="X42" s="93">
        <f t="shared" si="3"/>
        <v>0</v>
      </c>
    </row>
    <row r="43" spans="1:24" x14ac:dyDescent="0.35">
      <c r="B43" t="s">
        <v>136</v>
      </c>
      <c r="D43" t="s">
        <v>69</v>
      </c>
      <c r="E43" s="80">
        <f>VLOOKUP(D43,'Bu Erta'!$C$2:$E$66,3,0)</f>
        <v>2500</v>
      </c>
      <c r="F43">
        <v>0.1</v>
      </c>
      <c r="G43" s="80">
        <f t="shared" si="0"/>
        <v>250</v>
      </c>
      <c r="H43" s="80">
        <f>VLOOKUP(D43,'Bu Erta'!$C$2:$F$66,4,0)*F43</f>
        <v>300</v>
      </c>
      <c r="J43" s="69" t="s">
        <v>345</v>
      </c>
      <c r="K43">
        <v>5</v>
      </c>
      <c r="L43" s="4">
        <v>29200</v>
      </c>
      <c r="N43" s="44">
        <v>40</v>
      </c>
      <c r="O43" s="17" t="s">
        <v>50</v>
      </c>
      <c r="P43" s="93">
        <f>VLOOKUP(O43,'Bu Erta'!$C$2:$F$66,4,0)</f>
        <v>45000</v>
      </c>
      <c r="Q43" s="94">
        <f t="shared" si="1"/>
        <v>0</v>
      </c>
      <c r="R43" s="93">
        <f t="shared" si="2"/>
        <v>0</v>
      </c>
      <c r="T43" s="44">
        <v>40</v>
      </c>
      <c r="U43" s="17" t="s">
        <v>50</v>
      </c>
      <c r="V43" s="93"/>
      <c r="W43" s="94"/>
      <c r="X43" s="93">
        <f t="shared" si="3"/>
        <v>0</v>
      </c>
    </row>
    <row r="44" spans="1:24" x14ac:dyDescent="0.35">
      <c r="A44" s="5">
        <v>6</v>
      </c>
      <c r="B44" t="s">
        <v>86</v>
      </c>
      <c r="C44" s="5">
        <v>4</v>
      </c>
      <c r="D44" t="s">
        <v>31</v>
      </c>
      <c r="E44" s="80">
        <f>VLOOKUP(D44,'Bu Erta'!$C$2:$E$66,3,0)</f>
        <v>1000</v>
      </c>
      <c r="F44">
        <f>1.85+1.05</f>
        <v>2.9000000000000004</v>
      </c>
      <c r="G44" s="80">
        <f t="shared" si="0"/>
        <v>2900.0000000000005</v>
      </c>
      <c r="H44" s="80">
        <f>VLOOKUP(D44,'Bu Erta'!$C$2:$F$66,4,0)*F44</f>
        <v>3190.0000000000005</v>
      </c>
      <c r="J44" s="69" t="s">
        <v>189</v>
      </c>
      <c r="K44">
        <v>5</v>
      </c>
      <c r="L44" s="4">
        <v>11580</v>
      </c>
      <c r="N44" s="44">
        <v>41</v>
      </c>
      <c r="O44" s="17" t="s">
        <v>51</v>
      </c>
      <c r="P44" s="93">
        <f>VLOOKUP(O44,'Bu Erta'!$C$2:$F$66,4,0)</f>
        <v>55000</v>
      </c>
      <c r="Q44" s="94">
        <f t="shared" si="1"/>
        <v>0</v>
      </c>
      <c r="R44" s="93">
        <f t="shared" si="2"/>
        <v>0</v>
      </c>
      <c r="T44" s="44">
        <v>41</v>
      </c>
      <c r="U44" s="17" t="s">
        <v>51</v>
      </c>
      <c r="V44" s="93"/>
      <c r="W44" s="94"/>
      <c r="X44" s="93">
        <f t="shared" si="3"/>
        <v>0</v>
      </c>
    </row>
    <row r="45" spans="1:24" x14ac:dyDescent="0.35">
      <c r="B45" t="s">
        <v>86</v>
      </c>
      <c r="D45" t="s">
        <v>69</v>
      </c>
      <c r="E45" s="80">
        <f>VLOOKUP(D45,'Bu Erta'!$C$2:$E$66,3,0)</f>
        <v>2500</v>
      </c>
      <c r="F45">
        <v>0.45</v>
      </c>
      <c r="G45" s="80">
        <f t="shared" si="0"/>
        <v>1125</v>
      </c>
      <c r="H45" s="80">
        <f>VLOOKUP(D45,'Bu Erta'!$C$2:$F$66,4,0)*F45</f>
        <v>1350</v>
      </c>
      <c r="J45" s="69" t="s">
        <v>149</v>
      </c>
      <c r="K45">
        <v>5</v>
      </c>
      <c r="L45" s="4">
        <v>6215</v>
      </c>
      <c r="N45" s="44">
        <v>42</v>
      </c>
      <c r="O45" s="17" t="s">
        <v>52</v>
      </c>
      <c r="P45" s="93">
        <f>VLOOKUP(O45,'Bu Erta'!$C$2:$F$66,4,0)</f>
        <v>30000</v>
      </c>
      <c r="Q45" s="94">
        <f t="shared" si="1"/>
        <v>0</v>
      </c>
      <c r="R45" s="93">
        <f t="shared" si="2"/>
        <v>0</v>
      </c>
      <c r="T45" s="44">
        <v>42</v>
      </c>
      <c r="U45" s="17" t="s">
        <v>52</v>
      </c>
      <c r="V45" s="93"/>
      <c r="W45" s="94"/>
      <c r="X45" s="93">
        <f t="shared" si="3"/>
        <v>0</v>
      </c>
    </row>
    <row r="46" spans="1:24" x14ac:dyDescent="0.35">
      <c r="B46" t="s">
        <v>86</v>
      </c>
      <c r="D46" t="s">
        <v>42</v>
      </c>
      <c r="E46" s="80">
        <f>VLOOKUP(D46,'Bu Erta'!$C$2:$E$66,3,0)</f>
        <v>1000</v>
      </c>
      <c r="F46">
        <v>3.45</v>
      </c>
      <c r="G46" s="80">
        <f t="shared" si="0"/>
        <v>3450</v>
      </c>
      <c r="H46" s="80">
        <f>VLOOKUP(D46,'Bu Erta'!$C$2:$F$66,4,0)*F46</f>
        <v>4140</v>
      </c>
      <c r="J46" s="69" t="s">
        <v>243</v>
      </c>
      <c r="K46">
        <v>5</v>
      </c>
      <c r="L46" s="4">
        <v>15515</v>
      </c>
      <c r="N46" s="44">
        <v>43</v>
      </c>
      <c r="O46" s="17" t="s">
        <v>53</v>
      </c>
      <c r="P46" s="93">
        <f>VLOOKUP(O46,'Bu Erta'!$C$2:$F$66,4,0)</f>
        <v>12000</v>
      </c>
      <c r="Q46" s="94">
        <f t="shared" si="1"/>
        <v>1</v>
      </c>
      <c r="R46" s="93">
        <f t="shared" si="2"/>
        <v>12000</v>
      </c>
      <c r="T46" s="44">
        <v>43</v>
      </c>
      <c r="U46" s="17" t="s">
        <v>53</v>
      </c>
      <c r="V46" s="93"/>
      <c r="W46" s="94"/>
      <c r="X46" s="93">
        <f t="shared" si="3"/>
        <v>0</v>
      </c>
    </row>
    <row r="47" spans="1:24" x14ac:dyDescent="0.35">
      <c r="B47" t="s">
        <v>86</v>
      </c>
      <c r="D47" t="s">
        <v>88</v>
      </c>
      <c r="E47" s="80">
        <f>VLOOKUP(D47,'Bu Erta'!$C$2:$E$66,3,0)</f>
        <v>300</v>
      </c>
      <c r="F47">
        <f>1.25+0.65</f>
        <v>1.9</v>
      </c>
      <c r="G47" s="80">
        <f t="shared" si="0"/>
        <v>570</v>
      </c>
      <c r="H47" s="80">
        <f>VLOOKUP(D47,'Bu Erta'!$C$2:$F$66,4,0)*F47</f>
        <v>760</v>
      </c>
      <c r="J47" s="69" t="s">
        <v>295</v>
      </c>
      <c r="K47">
        <v>6</v>
      </c>
      <c r="L47" s="4">
        <v>855</v>
      </c>
      <c r="N47" s="44">
        <v>44</v>
      </c>
      <c r="O47" s="17" t="s">
        <v>54</v>
      </c>
      <c r="P47" s="93">
        <f>VLOOKUP(O47,'Bu Erta'!$C$2:$F$66,4,0)</f>
        <v>650</v>
      </c>
      <c r="Q47" s="94">
        <f t="shared" si="1"/>
        <v>0.8</v>
      </c>
      <c r="R47" s="93">
        <f t="shared" si="2"/>
        <v>520</v>
      </c>
      <c r="T47" s="44">
        <v>44</v>
      </c>
      <c r="U47" s="17" t="s">
        <v>54</v>
      </c>
      <c r="V47" s="93"/>
      <c r="W47" s="94"/>
      <c r="X47" s="93">
        <f t="shared" si="3"/>
        <v>0</v>
      </c>
    </row>
    <row r="48" spans="1:24" x14ac:dyDescent="0.35">
      <c r="B48" t="s">
        <v>86</v>
      </c>
      <c r="D48" t="s">
        <v>7</v>
      </c>
      <c r="E48" s="80">
        <f>VLOOKUP(D48,'Bu Erta'!$C$2:$E$66,3,0)</f>
        <v>1400</v>
      </c>
      <c r="F48">
        <f>2.5+0.25+0.1+0.45+0.05</f>
        <v>3.35</v>
      </c>
      <c r="G48" s="80">
        <f t="shared" si="0"/>
        <v>4690</v>
      </c>
      <c r="H48" s="80">
        <f>VLOOKUP(D48,'Bu Erta'!$C$2:$F$66,4,0)*F48</f>
        <v>5360</v>
      </c>
      <c r="J48" s="69" t="s">
        <v>81</v>
      </c>
      <c r="K48">
        <v>149</v>
      </c>
      <c r="L48" s="4">
        <v>755582.5</v>
      </c>
      <c r="N48" s="44">
        <v>45</v>
      </c>
      <c r="O48" s="17" t="s">
        <v>55</v>
      </c>
      <c r="P48" s="93">
        <f>VLOOKUP(O48,'Bu Erta'!$C$2:$F$66,4,0)</f>
        <v>40000</v>
      </c>
      <c r="Q48" s="94">
        <f t="shared" si="1"/>
        <v>0</v>
      </c>
      <c r="R48" s="93">
        <f t="shared" si="2"/>
        <v>0</v>
      </c>
      <c r="T48" s="44">
        <v>45</v>
      </c>
      <c r="U48" s="17" t="s">
        <v>55</v>
      </c>
      <c r="V48" s="93"/>
      <c r="W48" s="94"/>
      <c r="X48" s="93">
        <f t="shared" si="3"/>
        <v>0</v>
      </c>
    </row>
    <row r="49" spans="1:24" x14ac:dyDescent="0.35">
      <c r="B49" t="s">
        <v>86</v>
      </c>
      <c r="D49" t="s">
        <v>67</v>
      </c>
      <c r="E49" s="80">
        <f>VLOOKUP(D49,'Bu Erta'!$C$2:$E$66,3,0)</f>
        <v>2700</v>
      </c>
      <c r="F49">
        <v>0.3</v>
      </c>
      <c r="G49" s="80">
        <f t="shared" si="0"/>
        <v>810</v>
      </c>
      <c r="H49" s="80">
        <f>VLOOKUP(D49,'Bu Erta'!$C$2:$F$66,4,0)*F49</f>
        <v>900</v>
      </c>
      <c r="N49" s="44">
        <v>46</v>
      </c>
      <c r="O49" s="17" t="s">
        <v>56</v>
      </c>
      <c r="P49" s="93">
        <f>VLOOKUP(O49,'Bu Erta'!$C$2:$F$66,4,0)</f>
        <v>5500</v>
      </c>
      <c r="Q49" s="94">
        <f t="shared" si="1"/>
        <v>4.7</v>
      </c>
      <c r="R49" s="93">
        <f t="shared" si="2"/>
        <v>25850</v>
      </c>
      <c r="T49" s="44">
        <v>46</v>
      </c>
      <c r="U49" s="17" t="s">
        <v>56</v>
      </c>
      <c r="V49" s="93"/>
      <c r="W49" s="94"/>
      <c r="X49" s="93">
        <f t="shared" si="3"/>
        <v>0</v>
      </c>
    </row>
    <row r="50" spans="1:24" x14ac:dyDescent="0.35">
      <c r="B50" t="s">
        <v>86</v>
      </c>
      <c r="D50" t="s">
        <v>41</v>
      </c>
      <c r="E50" s="80">
        <f>VLOOKUP(D50,'Bu Erta'!$C$2:$E$66,3,0)</f>
        <v>1500</v>
      </c>
      <c r="F50">
        <v>0.4</v>
      </c>
      <c r="G50" s="80">
        <f t="shared" si="0"/>
        <v>600</v>
      </c>
      <c r="H50" s="80">
        <f>VLOOKUP(D50,'Bu Erta'!$C$2:$F$66,4,0)*F50</f>
        <v>800</v>
      </c>
      <c r="N50" s="44">
        <v>47</v>
      </c>
      <c r="O50" s="17" t="s">
        <v>88</v>
      </c>
      <c r="P50" s="93">
        <f>VLOOKUP(O50,'Bu Erta'!$C$2:$F$66,4,0)</f>
        <v>400</v>
      </c>
      <c r="Q50" s="94">
        <v>0</v>
      </c>
      <c r="R50" s="93">
        <f t="shared" si="2"/>
        <v>0</v>
      </c>
      <c r="S50">
        <v>25.75</v>
      </c>
      <c r="T50" s="44">
        <v>47</v>
      </c>
      <c r="U50" s="17" t="s">
        <v>88</v>
      </c>
      <c r="V50" s="93"/>
      <c r="W50" s="94"/>
      <c r="X50" s="93">
        <f t="shared" si="3"/>
        <v>0</v>
      </c>
    </row>
    <row r="51" spans="1:24" x14ac:dyDescent="0.35">
      <c r="B51" t="s">
        <v>86</v>
      </c>
      <c r="D51" t="s">
        <v>22</v>
      </c>
      <c r="E51" s="80">
        <f>VLOOKUP(D51,'Bu Erta'!$C$2:$E$66,3,0)</f>
        <v>2500</v>
      </c>
      <c r="F51">
        <f>0.75+0.4</f>
        <v>1.1499999999999999</v>
      </c>
      <c r="G51" s="80">
        <f t="shared" si="0"/>
        <v>2875</v>
      </c>
      <c r="H51" s="80">
        <f>VLOOKUP(D51,'Bu Erta'!$C$2:$F$66,4,0)*F51</f>
        <v>3449.9999999999995</v>
      </c>
      <c r="J51" s="69" t="s">
        <v>228</v>
      </c>
      <c r="N51" s="44">
        <v>48</v>
      </c>
      <c r="O51" s="17" t="s">
        <v>57</v>
      </c>
      <c r="P51" s="93">
        <f>VLOOKUP(O51,'Bu Erta'!$C$2:$F$66,4,0)</f>
        <v>10000</v>
      </c>
      <c r="Q51" s="94">
        <f t="shared" si="1"/>
        <v>0</v>
      </c>
      <c r="R51" s="93">
        <f t="shared" si="2"/>
        <v>0</v>
      </c>
      <c r="T51" s="44">
        <v>48</v>
      </c>
      <c r="U51" s="17" t="s">
        <v>57</v>
      </c>
      <c r="V51" s="93"/>
      <c r="W51" s="94"/>
      <c r="X51" s="93">
        <f t="shared" si="3"/>
        <v>0</v>
      </c>
    </row>
    <row r="52" spans="1:24" x14ac:dyDescent="0.35">
      <c r="B52" t="s">
        <v>86</v>
      </c>
      <c r="D52" t="s">
        <v>49</v>
      </c>
      <c r="E52" s="80">
        <f>VLOOKUP(D52,'Bu Erta'!$C$2:$E$66,3,0)</f>
        <v>800</v>
      </c>
      <c r="F52">
        <v>2.0499999999999998</v>
      </c>
      <c r="G52" s="80">
        <f t="shared" si="0"/>
        <v>1639.9999999999998</v>
      </c>
      <c r="H52" s="80">
        <f>VLOOKUP(D52,'Bu Erta'!$C$2:$F$66,4,0)*F52</f>
        <v>1844.9999999999998</v>
      </c>
      <c r="J52" s="4">
        <f>R68+X68-GETPIVOTDATA("Sum of Total Harga",$J$2)</f>
        <v>47427.5</v>
      </c>
      <c r="N52" s="44">
        <v>49</v>
      </c>
      <c r="O52" s="17" t="s">
        <v>58</v>
      </c>
      <c r="P52" s="93">
        <f>VLOOKUP(O52,'Bu Erta'!$C$2:$F$66,4,0)</f>
        <v>15000</v>
      </c>
      <c r="Q52" s="94">
        <f t="shared" si="1"/>
        <v>0</v>
      </c>
      <c r="R52" s="93">
        <f t="shared" si="2"/>
        <v>0</v>
      </c>
      <c r="T52" s="44">
        <v>49</v>
      </c>
      <c r="U52" s="17" t="s">
        <v>58</v>
      </c>
      <c r="V52" s="93"/>
      <c r="W52" s="94"/>
      <c r="X52" s="93">
        <f t="shared" si="3"/>
        <v>0</v>
      </c>
    </row>
    <row r="53" spans="1:24" x14ac:dyDescent="0.35">
      <c r="B53" t="s">
        <v>86</v>
      </c>
      <c r="D53" t="s">
        <v>28</v>
      </c>
      <c r="E53" s="80">
        <f>VLOOKUP(D53,'Bu Erta'!$C$2:$E$66,3,0)</f>
        <v>1200</v>
      </c>
      <c r="F53">
        <f>3.65+1.5</f>
        <v>5.15</v>
      </c>
      <c r="G53" s="80">
        <f t="shared" si="0"/>
        <v>6180</v>
      </c>
      <c r="H53" s="80">
        <f>VLOOKUP(D53,'Bu Erta'!$C$2:$F$66,4,0)*F53</f>
        <v>6695.0000000000009</v>
      </c>
      <c r="L53" s="78"/>
      <c r="N53" s="44">
        <v>50</v>
      </c>
      <c r="O53" s="17" t="s">
        <v>6</v>
      </c>
      <c r="P53" s="93">
        <f>VLOOKUP(O53,'Bu Erta'!$C$2:$F$66,4,0)</f>
        <v>2500</v>
      </c>
      <c r="Q53" s="94">
        <f t="shared" si="1"/>
        <v>2.25</v>
      </c>
      <c r="R53" s="93">
        <f t="shared" si="2"/>
        <v>5625</v>
      </c>
      <c r="T53" s="44">
        <v>50</v>
      </c>
      <c r="U53" s="17" t="s">
        <v>6</v>
      </c>
      <c r="V53" s="93"/>
      <c r="W53" s="94"/>
      <c r="X53" s="93">
        <f t="shared" si="3"/>
        <v>0</v>
      </c>
    </row>
    <row r="54" spans="1:24" x14ac:dyDescent="0.35">
      <c r="B54" t="s">
        <v>86</v>
      </c>
      <c r="D54" t="s">
        <v>42</v>
      </c>
      <c r="E54" s="80">
        <f>VLOOKUP(D54,'Bu Erta'!$C$2:$E$66,3,0)</f>
        <v>1000</v>
      </c>
      <c r="F54">
        <v>0.5</v>
      </c>
      <c r="G54" s="80">
        <f t="shared" si="0"/>
        <v>500</v>
      </c>
      <c r="H54" s="80">
        <f>VLOOKUP(D54,'Bu Erta'!$C$2:$F$66,4,0)*F54</f>
        <v>600</v>
      </c>
      <c r="N54" s="44">
        <v>51</v>
      </c>
      <c r="O54" s="17" t="s">
        <v>59</v>
      </c>
      <c r="P54" s="93">
        <f>VLOOKUP(O54,'Bu Erta'!$C$2:$F$66,4,0)</f>
        <v>600</v>
      </c>
      <c r="Q54" s="94">
        <f t="shared" si="1"/>
        <v>0</v>
      </c>
      <c r="R54" s="93">
        <f t="shared" si="2"/>
        <v>0</v>
      </c>
      <c r="T54" s="44">
        <v>51</v>
      </c>
      <c r="U54" s="17" t="s">
        <v>59</v>
      </c>
      <c r="V54" s="93"/>
      <c r="W54" s="94"/>
      <c r="X54" s="93">
        <f t="shared" si="3"/>
        <v>0</v>
      </c>
    </row>
    <row r="55" spans="1:24" x14ac:dyDescent="0.35">
      <c r="A55" s="5">
        <v>7</v>
      </c>
      <c r="B55" t="s">
        <v>178</v>
      </c>
      <c r="C55" s="5">
        <v>3</v>
      </c>
      <c r="D55" t="s">
        <v>31</v>
      </c>
      <c r="E55" s="80">
        <f>VLOOKUP(D55,'Bu Erta'!$C$2:$E$66,3,0)</f>
        <v>1000</v>
      </c>
      <c r="F55">
        <f>0.8+0.2</f>
        <v>1</v>
      </c>
      <c r="G55" s="80">
        <f t="shared" si="0"/>
        <v>1000</v>
      </c>
      <c r="H55" s="80">
        <f>VLOOKUP(D55,'Bu Erta'!$C$2:$F$66,4,0)*F55</f>
        <v>1100</v>
      </c>
      <c r="N55" s="44">
        <v>52</v>
      </c>
      <c r="O55" s="17" t="s">
        <v>60</v>
      </c>
      <c r="P55" s="93">
        <f>VLOOKUP(O55,'Bu Erta'!$C$2:$F$66,4,0)</f>
        <v>1500</v>
      </c>
      <c r="Q55" s="94">
        <f t="shared" si="1"/>
        <v>0</v>
      </c>
      <c r="R55" s="93">
        <f t="shared" si="2"/>
        <v>0</v>
      </c>
      <c r="T55" s="44">
        <v>52</v>
      </c>
      <c r="U55" s="17" t="s">
        <v>60</v>
      </c>
      <c r="V55" s="93"/>
      <c r="W55" s="94"/>
      <c r="X55" s="93">
        <f t="shared" si="3"/>
        <v>0</v>
      </c>
    </row>
    <row r="56" spans="1:24" x14ac:dyDescent="0.35">
      <c r="B56" t="s">
        <v>178</v>
      </c>
      <c r="D56" t="s">
        <v>7</v>
      </c>
      <c r="E56" s="80">
        <f>VLOOKUP(D56,'Bu Erta'!$C$2:$E$66,3,0)</f>
        <v>1400</v>
      </c>
      <c r="F56">
        <f>0.3+0.3</f>
        <v>0.6</v>
      </c>
      <c r="G56" s="80">
        <f t="shared" si="0"/>
        <v>840</v>
      </c>
      <c r="H56" s="80">
        <f>VLOOKUP(D56,'Bu Erta'!$C$2:$F$66,4,0)*F56</f>
        <v>960</v>
      </c>
      <c r="N56" s="44">
        <v>53</v>
      </c>
      <c r="O56" s="17" t="s">
        <v>61</v>
      </c>
      <c r="P56" s="93">
        <f>VLOOKUP(O56,'Bu Erta'!$C$2:$F$66,4,0)</f>
        <v>900</v>
      </c>
      <c r="Q56" s="94">
        <f t="shared" si="1"/>
        <v>0</v>
      </c>
      <c r="R56" s="93">
        <f t="shared" si="2"/>
        <v>0</v>
      </c>
      <c r="T56" s="44">
        <v>53</v>
      </c>
      <c r="U56" s="17" t="s">
        <v>61</v>
      </c>
      <c r="V56" s="93"/>
      <c r="W56" s="94"/>
      <c r="X56" s="93">
        <f t="shared" si="3"/>
        <v>0</v>
      </c>
    </row>
    <row r="57" spans="1:24" x14ac:dyDescent="0.35">
      <c r="B57" t="s">
        <v>178</v>
      </c>
      <c r="D57" t="s">
        <v>88</v>
      </c>
      <c r="E57" s="80">
        <f>VLOOKUP(D57,'Bu Erta'!$C$2:$E$66,3,0)</f>
        <v>300</v>
      </c>
      <c r="F57">
        <f>0.3+0.5+0.2</f>
        <v>1</v>
      </c>
      <c r="G57" s="80">
        <f t="shared" si="0"/>
        <v>300</v>
      </c>
      <c r="H57" s="80">
        <f>VLOOKUP(D57,'Bu Erta'!$C$2:$F$66,4,0)*F57</f>
        <v>400</v>
      </c>
      <c r="N57" s="44">
        <v>54</v>
      </c>
      <c r="O57" s="17" t="s">
        <v>62</v>
      </c>
      <c r="P57" s="93">
        <f>VLOOKUP(O57,'Bu Erta'!$C$2:$F$66,4,0)</f>
        <v>500</v>
      </c>
      <c r="Q57" s="94">
        <f t="shared" si="1"/>
        <v>0</v>
      </c>
      <c r="R57" s="93">
        <f t="shared" si="2"/>
        <v>0</v>
      </c>
      <c r="T57" s="44">
        <v>54</v>
      </c>
      <c r="U57" s="17" t="s">
        <v>62</v>
      </c>
      <c r="V57" s="93"/>
      <c r="W57" s="94"/>
      <c r="X57" s="93">
        <f t="shared" si="3"/>
        <v>0</v>
      </c>
    </row>
    <row r="58" spans="1:24" x14ac:dyDescent="0.35">
      <c r="B58" t="s">
        <v>178</v>
      </c>
      <c r="D58" t="s">
        <v>24</v>
      </c>
      <c r="E58" s="80">
        <f>VLOOKUP(D58,'Bu Erta'!$C$2:$E$66,3,0)</f>
        <v>150</v>
      </c>
      <c r="F58">
        <v>0.4</v>
      </c>
      <c r="G58" s="80">
        <f t="shared" si="0"/>
        <v>60</v>
      </c>
      <c r="H58" s="80">
        <f>VLOOKUP(D58,'Bu Erta'!$C$2:$F$66,4,0)*F58</f>
        <v>80</v>
      </c>
      <c r="N58" s="44">
        <v>55</v>
      </c>
      <c r="O58" s="17" t="s">
        <v>63</v>
      </c>
      <c r="P58" s="93">
        <f>VLOOKUP(O58,'Bu Erta'!$C$2:$F$66,4,0)</f>
        <v>1000</v>
      </c>
      <c r="Q58" s="94">
        <f t="shared" si="1"/>
        <v>0.2</v>
      </c>
      <c r="R58" s="93">
        <f t="shared" si="2"/>
        <v>200</v>
      </c>
      <c r="T58" s="44">
        <v>55</v>
      </c>
      <c r="U58" s="17" t="s">
        <v>63</v>
      </c>
      <c r="V58" s="93"/>
      <c r="W58" s="94"/>
      <c r="X58" s="93">
        <f t="shared" si="3"/>
        <v>0</v>
      </c>
    </row>
    <row r="59" spans="1:24" x14ac:dyDescent="0.35">
      <c r="B59" t="s">
        <v>178</v>
      </c>
      <c r="D59" t="s">
        <v>23</v>
      </c>
      <c r="E59" s="80">
        <f>VLOOKUP(D59,'Bu Erta'!$C$2:$E$66,3,0)</f>
        <v>300</v>
      </c>
      <c r="F59">
        <v>0.55000000000000004</v>
      </c>
      <c r="G59" s="80">
        <f t="shared" si="0"/>
        <v>165</v>
      </c>
      <c r="H59" s="80">
        <f>VLOOKUP(D59,'Bu Erta'!$C$2:$F$66,4,0)*F59</f>
        <v>220.00000000000003</v>
      </c>
      <c r="N59" s="44">
        <v>56</v>
      </c>
      <c r="O59" s="17" t="s">
        <v>64</v>
      </c>
      <c r="P59" s="93">
        <f>VLOOKUP(O59,'Bu Erta'!$C$2:$F$66,4,0)</f>
        <v>900</v>
      </c>
      <c r="Q59" s="94">
        <f t="shared" si="1"/>
        <v>0</v>
      </c>
      <c r="R59" s="93">
        <f t="shared" si="2"/>
        <v>0</v>
      </c>
      <c r="T59" s="44">
        <v>56</v>
      </c>
      <c r="U59" s="17" t="s">
        <v>64</v>
      </c>
      <c r="V59" s="93"/>
      <c r="W59" s="94"/>
      <c r="X59" s="93">
        <f t="shared" si="3"/>
        <v>0</v>
      </c>
    </row>
    <row r="60" spans="1:24" x14ac:dyDescent="0.35">
      <c r="B60" t="s">
        <v>178</v>
      </c>
      <c r="D60" t="s">
        <v>19</v>
      </c>
      <c r="E60" s="80">
        <f>VLOOKUP(D60,'Bu Erta'!$C$2:$E$66,3,0)</f>
        <v>200</v>
      </c>
      <c r="F60">
        <v>0.65</v>
      </c>
      <c r="G60" s="80">
        <f t="shared" si="0"/>
        <v>130</v>
      </c>
      <c r="H60" s="80">
        <f>VLOOKUP(D60,'Bu Erta'!$C$2:$F$66,4,0)*F60</f>
        <v>195</v>
      </c>
      <c r="N60" s="44">
        <v>57</v>
      </c>
      <c r="O60" s="17" t="s">
        <v>65</v>
      </c>
      <c r="P60" s="93">
        <f>VLOOKUP(O60,'Bu Erta'!$C$2:$F$66,4,0)</f>
        <v>200</v>
      </c>
      <c r="Q60" s="94">
        <f t="shared" si="1"/>
        <v>0</v>
      </c>
      <c r="R60" s="93">
        <f t="shared" si="2"/>
        <v>0</v>
      </c>
      <c r="T60" s="44">
        <v>57</v>
      </c>
      <c r="U60" s="17" t="s">
        <v>65</v>
      </c>
      <c r="V60" s="93"/>
      <c r="W60" s="94"/>
      <c r="X60" s="93">
        <f t="shared" si="3"/>
        <v>0</v>
      </c>
    </row>
    <row r="61" spans="1:24" x14ac:dyDescent="0.35">
      <c r="B61" t="s">
        <v>178</v>
      </c>
      <c r="D61" t="s">
        <v>69</v>
      </c>
      <c r="E61" s="80">
        <f>VLOOKUP(D61,'Bu Erta'!$C$2:$E$66,3,0)</f>
        <v>2500</v>
      </c>
      <c r="F61">
        <v>0.1</v>
      </c>
      <c r="G61" s="80">
        <f t="shared" si="0"/>
        <v>250</v>
      </c>
      <c r="H61" s="80">
        <f>VLOOKUP(D61,'Bu Erta'!$C$2:$F$66,4,0)*F61</f>
        <v>300</v>
      </c>
      <c r="N61" s="44">
        <v>58</v>
      </c>
      <c r="O61" s="17" t="s">
        <v>66</v>
      </c>
      <c r="P61" s="93">
        <f>VLOOKUP(O61,'Bu Erta'!$C$2:$F$66,4,0)</f>
        <v>55000</v>
      </c>
      <c r="Q61" s="94">
        <f t="shared" si="1"/>
        <v>0</v>
      </c>
      <c r="R61" s="93">
        <f t="shared" si="2"/>
        <v>0</v>
      </c>
      <c r="T61" s="44">
        <v>58</v>
      </c>
      <c r="U61" s="17" t="s">
        <v>66</v>
      </c>
      <c r="V61" s="93"/>
      <c r="W61" s="94"/>
      <c r="X61" s="93">
        <f t="shared" si="3"/>
        <v>0</v>
      </c>
    </row>
    <row r="62" spans="1:24" x14ac:dyDescent="0.35">
      <c r="B62" t="s">
        <v>178</v>
      </c>
      <c r="D62" t="s">
        <v>25</v>
      </c>
      <c r="E62" s="80">
        <f>VLOOKUP(D62,'Bu Erta'!$C$2:$E$66,3,0)</f>
        <v>1600</v>
      </c>
      <c r="F62">
        <v>0.3</v>
      </c>
      <c r="G62" s="80">
        <f t="shared" si="0"/>
        <v>480</v>
      </c>
      <c r="H62" s="80">
        <f>VLOOKUP(D62,'Bu Erta'!$C$2:$F$66,4,0)*F62</f>
        <v>510</v>
      </c>
      <c r="N62" s="44">
        <v>59</v>
      </c>
      <c r="O62" s="17" t="s">
        <v>67</v>
      </c>
      <c r="P62" s="93">
        <f>VLOOKUP(O62,'Bu Erta'!$C$2:$F$66,4,0)</f>
        <v>3000</v>
      </c>
      <c r="Q62" s="94">
        <f t="shared" si="1"/>
        <v>0.3</v>
      </c>
      <c r="R62" s="93">
        <f t="shared" si="2"/>
        <v>900</v>
      </c>
      <c r="T62" s="44">
        <v>59</v>
      </c>
      <c r="U62" s="17" t="s">
        <v>67</v>
      </c>
      <c r="V62" s="93"/>
      <c r="W62" s="94"/>
      <c r="X62" s="93">
        <f t="shared" si="3"/>
        <v>0</v>
      </c>
    </row>
    <row r="63" spans="1:24" x14ac:dyDescent="0.35">
      <c r="A63" s="5">
        <v>8</v>
      </c>
      <c r="B63" t="s">
        <v>296</v>
      </c>
      <c r="C63" s="5">
        <v>1</v>
      </c>
      <c r="D63" t="s">
        <v>42</v>
      </c>
      <c r="E63" s="80">
        <f>VLOOKUP(D63,'Bu Erta'!$C$2:$E$66,3,0)</f>
        <v>1000</v>
      </c>
      <c r="F63">
        <f>0.5+0.35</f>
        <v>0.85</v>
      </c>
      <c r="G63" s="80">
        <f t="shared" si="0"/>
        <v>850</v>
      </c>
      <c r="H63" s="80">
        <f>VLOOKUP(D63,'Bu Erta'!$C$2:$F$66,4,0)*F63</f>
        <v>1020</v>
      </c>
      <c r="N63" s="44">
        <v>60</v>
      </c>
      <c r="O63" s="17" t="s">
        <v>68</v>
      </c>
      <c r="P63" s="93">
        <f>VLOOKUP(O63,'Bu Erta'!$C$2:$F$66,4,0)</f>
        <v>200</v>
      </c>
      <c r="Q63" s="94">
        <f t="shared" si="1"/>
        <v>0</v>
      </c>
      <c r="R63" s="93">
        <f t="shared" si="2"/>
        <v>0</v>
      </c>
      <c r="T63" s="44">
        <v>60</v>
      </c>
      <c r="U63" s="17" t="s">
        <v>68</v>
      </c>
      <c r="V63" s="93"/>
      <c r="W63" s="94"/>
      <c r="X63" s="93">
        <f t="shared" si="3"/>
        <v>0</v>
      </c>
    </row>
    <row r="64" spans="1:24" x14ac:dyDescent="0.35">
      <c r="B64" t="s">
        <v>296</v>
      </c>
      <c r="D64" t="s">
        <v>23</v>
      </c>
      <c r="E64" s="80">
        <f>VLOOKUP(D64,'Bu Erta'!$C$2:$E$66,3,0)</f>
        <v>300</v>
      </c>
      <c r="F64">
        <v>1.4</v>
      </c>
      <c r="G64" s="80">
        <f t="shared" si="0"/>
        <v>420</v>
      </c>
      <c r="H64" s="80">
        <f>VLOOKUP(D64,'Bu Erta'!$C$2:$F$66,4,0)*F64</f>
        <v>560</v>
      </c>
      <c r="N64" s="44">
        <v>61</v>
      </c>
      <c r="O64" s="17" t="s">
        <v>69</v>
      </c>
      <c r="P64" s="93">
        <f>VLOOKUP(O64,'Bu Erta'!$C$2:$F$66,4,0)</f>
        <v>3000</v>
      </c>
      <c r="Q64" s="94">
        <f t="shared" si="1"/>
        <v>2.75</v>
      </c>
      <c r="R64" s="93">
        <f t="shared" si="2"/>
        <v>8250</v>
      </c>
      <c r="T64" s="44">
        <v>61</v>
      </c>
      <c r="U64" s="17" t="s">
        <v>69</v>
      </c>
      <c r="V64" s="93"/>
      <c r="W64" s="94"/>
      <c r="X64" s="93">
        <f t="shared" si="3"/>
        <v>0</v>
      </c>
    </row>
    <row r="65" spans="1:24" x14ac:dyDescent="0.35">
      <c r="B65" t="s">
        <v>296</v>
      </c>
      <c r="D65" t="s">
        <v>31</v>
      </c>
      <c r="E65" s="80">
        <f>VLOOKUP(D65,'Bu Erta'!$C$2:$E$66,3,0)</f>
        <v>1000</v>
      </c>
      <c r="F65">
        <v>1.7</v>
      </c>
      <c r="G65" s="80">
        <f t="shared" si="0"/>
        <v>1700</v>
      </c>
      <c r="H65" s="80">
        <f>VLOOKUP(D65,'Bu Erta'!$C$2:$F$66,4,0)*F65</f>
        <v>1870</v>
      </c>
      <c r="N65" s="44">
        <v>62</v>
      </c>
      <c r="O65" s="17" t="s">
        <v>70</v>
      </c>
      <c r="P65" s="93">
        <f>VLOOKUP(O65,'Bu Erta'!$C$2:$F$66,4,0)</f>
        <v>4000</v>
      </c>
      <c r="Q65" s="94">
        <f t="shared" si="1"/>
        <v>0.75</v>
      </c>
      <c r="R65" s="93">
        <f t="shared" si="2"/>
        <v>3000</v>
      </c>
      <c r="T65" s="44">
        <v>62</v>
      </c>
      <c r="U65" s="17" t="s">
        <v>70</v>
      </c>
      <c r="V65" s="93"/>
      <c r="W65" s="94"/>
      <c r="X65" s="93">
        <f t="shared" si="3"/>
        <v>0</v>
      </c>
    </row>
    <row r="66" spans="1:24" x14ac:dyDescent="0.35">
      <c r="B66" t="s">
        <v>296</v>
      </c>
      <c r="D66" t="s">
        <v>25</v>
      </c>
      <c r="E66" s="80">
        <f>VLOOKUP(D66,'Bu Erta'!$C$2:$E$66,3,0)</f>
        <v>1600</v>
      </c>
      <c r="F66">
        <v>0.55000000000000004</v>
      </c>
      <c r="G66" s="80">
        <f t="shared" si="0"/>
        <v>880.00000000000011</v>
      </c>
      <c r="H66" s="80">
        <f>VLOOKUP(D66,'Bu Erta'!$C$2:$F$66,4,0)*F66</f>
        <v>935.00000000000011</v>
      </c>
      <c r="N66" s="44">
        <v>63</v>
      </c>
      <c r="O66" s="17" t="s">
        <v>71</v>
      </c>
      <c r="P66" s="93">
        <f>VLOOKUP(O66,'Bu Erta'!$C$2:$F$66,4,0)</f>
        <v>10000</v>
      </c>
      <c r="Q66" s="94">
        <f t="shared" si="1"/>
        <v>0</v>
      </c>
      <c r="R66" s="93">
        <f t="shared" si="2"/>
        <v>0</v>
      </c>
      <c r="T66" s="44">
        <v>63</v>
      </c>
      <c r="U66" s="17" t="s">
        <v>71</v>
      </c>
      <c r="V66" s="93"/>
      <c r="W66" s="94"/>
      <c r="X66" s="93">
        <f t="shared" si="3"/>
        <v>0</v>
      </c>
    </row>
    <row r="67" spans="1:24" x14ac:dyDescent="0.35">
      <c r="B67" t="s">
        <v>296</v>
      </c>
      <c r="D67" t="s">
        <v>56</v>
      </c>
      <c r="E67" s="80">
        <f>VLOOKUP(D67,'Bu Erta'!$C$2:$E$66,3,0)</f>
        <v>4000</v>
      </c>
      <c r="F67">
        <v>0.7</v>
      </c>
      <c r="G67" s="80">
        <f t="shared" si="0"/>
        <v>2800</v>
      </c>
      <c r="H67" s="80">
        <f>VLOOKUP(D67,'Bu Erta'!$C$2:$F$66,4,0)*F67</f>
        <v>3849.9999999999995</v>
      </c>
      <c r="N67" s="44">
        <v>64</v>
      </c>
      <c r="O67" s="17" t="s">
        <v>72</v>
      </c>
      <c r="P67" s="93">
        <f>VLOOKUP(O67,'Bu Erta'!$C$2:$F$66,4,0)</f>
        <v>15000</v>
      </c>
      <c r="Q67" s="94">
        <f t="shared" si="1"/>
        <v>0</v>
      </c>
      <c r="R67" s="93">
        <f t="shared" si="2"/>
        <v>0</v>
      </c>
      <c r="T67" s="44">
        <v>64</v>
      </c>
      <c r="U67" s="17" t="s">
        <v>72</v>
      </c>
      <c r="V67" s="93"/>
      <c r="W67" s="94"/>
      <c r="X67" s="93">
        <f t="shared" si="3"/>
        <v>0</v>
      </c>
    </row>
    <row r="68" spans="1:24" x14ac:dyDescent="0.35">
      <c r="A68" s="5">
        <v>9</v>
      </c>
      <c r="B68" t="s">
        <v>112</v>
      </c>
      <c r="C68" s="5">
        <v>4</v>
      </c>
      <c r="D68" t="s">
        <v>42</v>
      </c>
      <c r="E68" s="80">
        <f>VLOOKUP(D68,'Bu Erta'!$C$2:$E$66,3,0)</f>
        <v>1000</v>
      </c>
      <c r="F68">
        <v>4.55</v>
      </c>
      <c r="G68" s="80">
        <f t="shared" si="0"/>
        <v>4550</v>
      </c>
      <c r="H68" s="80">
        <f>VLOOKUP(D68,'Bu Erta'!$C$2:$F$66,4,0)*F68</f>
        <v>5460</v>
      </c>
      <c r="N68" s="17"/>
      <c r="O68" s="17"/>
      <c r="P68" s="95" t="s">
        <v>130</v>
      </c>
      <c r="Q68" s="95">
        <f>SUM(Q4:Q67)</f>
        <v>379.85</v>
      </c>
      <c r="R68" s="87">
        <f>SUM(R4:R67)</f>
        <v>547010</v>
      </c>
      <c r="T68" s="17"/>
      <c r="U68" s="17"/>
      <c r="V68" s="95" t="s">
        <v>130</v>
      </c>
      <c r="W68" s="95">
        <f>SUM(W4:W67)</f>
        <v>113.05</v>
      </c>
      <c r="X68" s="87">
        <f>SUM(X4:X67)</f>
        <v>256000</v>
      </c>
    </row>
    <row r="69" spans="1:24" x14ac:dyDescent="0.35">
      <c r="B69" t="s">
        <v>112</v>
      </c>
      <c r="D69" t="s">
        <v>25</v>
      </c>
      <c r="E69" s="80">
        <f>VLOOKUP(D69,'Bu Erta'!$C$2:$E$66,3,0)</f>
        <v>1600</v>
      </c>
      <c r="F69">
        <v>2.4</v>
      </c>
      <c r="G69" s="80">
        <f t="shared" si="0"/>
        <v>3840</v>
      </c>
      <c r="H69" s="80">
        <f>VLOOKUP(D69,'Bu Erta'!$C$2:$F$66,4,0)*F69</f>
        <v>4080</v>
      </c>
    </row>
    <row r="70" spans="1:24" x14ac:dyDescent="0.35">
      <c r="B70" t="s">
        <v>112</v>
      </c>
      <c r="D70" t="s">
        <v>53</v>
      </c>
      <c r="E70" s="80">
        <f>VLOOKUP(D70,'Bu Erta'!$C$2:$E$66,3,0)</f>
        <v>10000</v>
      </c>
      <c r="F70">
        <v>1</v>
      </c>
      <c r="G70" s="80">
        <f t="shared" si="0"/>
        <v>10000</v>
      </c>
      <c r="H70" s="80">
        <f>VLOOKUP(D70,'Bu Erta'!$C$2:$F$66,4,0)*F70</f>
        <v>12000</v>
      </c>
    </row>
    <row r="71" spans="1:24" x14ac:dyDescent="0.35">
      <c r="B71" t="s">
        <v>112</v>
      </c>
      <c r="D71" t="s">
        <v>88</v>
      </c>
      <c r="E71" s="80">
        <f>VLOOKUP(D71,'Bu Erta'!$C$2:$E$66,3,0)</f>
        <v>300</v>
      </c>
      <c r="F71">
        <v>0.1</v>
      </c>
      <c r="G71" s="80">
        <f t="shared" si="0"/>
        <v>30</v>
      </c>
      <c r="H71" s="80">
        <f>VLOOKUP(D71,'Bu Erta'!$C$2:$F$66,4,0)*F71</f>
        <v>40</v>
      </c>
    </row>
    <row r="72" spans="1:24" x14ac:dyDescent="0.35">
      <c r="A72" s="5">
        <v>10</v>
      </c>
      <c r="B72" t="s">
        <v>111</v>
      </c>
      <c r="C72" s="5">
        <v>5</v>
      </c>
      <c r="D72" t="s">
        <v>22</v>
      </c>
      <c r="E72" s="80">
        <f>VLOOKUP(D72,'Bu Erta'!$C$2:$E$66,3,0)</f>
        <v>2500</v>
      </c>
      <c r="F72">
        <v>0.7</v>
      </c>
      <c r="G72" s="80">
        <f t="shared" si="0"/>
        <v>1750</v>
      </c>
      <c r="H72" s="80">
        <f>VLOOKUP(D72,'Bu Erta'!$C$2:$F$66,4,0)*F72</f>
        <v>2100</v>
      </c>
    </row>
    <row r="73" spans="1:24" x14ac:dyDescent="0.35">
      <c r="B73" t="s">
        <v>111</v>
      </c>
      <c r="D73" t="s">
        <v>7</v>
      </c>
      <c r="E73" s="80">
        <f>VLOOKUP(D73,'Bu Erta'!$C$2:$E$66,3,0)</f>
        <v>1400</v>
      </c>
      <c r="F73">
        <f>2.5+0.75+0.85</f>
        <v>4.0999999999999996</v>
      </c>
      <c r="G73" s="80">
        <f t="shared" ref="G73:G136" si="6">E73*F73</f>
        <v>5739.9999999999991</v>
      </c>
      <c r="H73" s="80">
        <f>VLOOKUP(D73,'Bu Erta'!$C$2:$F$66,4,0)*F73</f>
        <v>6559.9999999999991</v>
      </c>
    </row>
    <row r="74" spans="1:24" x14ac:dyDescent="0.35">
      <c r="B74" t="s">
        <v>111</v>
      </c>
      <c r="D74" t="s">
        <v>27</v>
      </c>
      <c r="E74" s="80">
        <f>VLOOKUP(D74,'Bu Erta'!$C$2:$E$66,3,0)</f>
        <v>2800</v>
      </c>
      <c r="F74">
        <f>0.35+1.75</f>
        <v>2.1</v>
      </c>
      <c r="G74" s="80">
        <f t="shared" si="6"/>
        <v>5880</v>
      </c>
      <c r="H74" s="80">
        <f>VLOOKUP(D74,'Bu Erta'!$C$2:$F$66,4,0)*F74</f>
        <v>6510</v>
      </c>
    </row>
    <row r="75" spans="1:24" x14ac:dyDescent="0.35">
      <c r="B75" t="s">
        <v>111</v>
      </c>
      <c r="D75" t="s">
        <v>19</v>
      </c>
      <c r="E75" s="80">
        <f>VLOOKUP(D75,'Bu Erta'!$C$2:$E$66,3,0)</f>
        <v>200</v>
      </c>
      <c r="F75">
        <f>0.6+0.2+0.35</f>
        <v>1.1499999999999999</v>
      </c>
      <c r="G75" s="80">
        <f t="shared" si="6"/>
        <v>229.99999999999997</v>
      </c>
      <c r="H75" s="80">
        <f>VLOOKUP(D75,'Bu Erta'!$C$2:$F$66,4,0)*F75</f>
        <v>345</v>
      </c>
    </row>
    <row r="76" spans="1:24" x14ac:dyDescent="0.35">
      <c r="B76" t="s">
        <v>111</v>
      </c>
      <c r="D76" t="s">
        <v>88</v>
      </c>
      <c r="E76" s="80">
        <f>VLOOKUP(D76,'Bu Erta'!$C$2:$E$66,3,0)</f>
        <v>300</v>
      </c>
      <c r="F76">
        <f>1.15+0.85+0.3</f>
        <v>2.2999999999999998</v>
      </c>
      <c r="G76" s="80">
        <f t="shared" si="6"/>
        <v>690</v>
      </c>
      <c r="H76" s="80">
        <f>VLOOKUP(D76,'Bu Erta'!$C$2:$F$66,4,0)*F76</f>
        <v>919.99999999999989</v>
      </c>
    </row>
    <row r="77" spans="1:24" x14ac:dyDescent="0.35">
      <c r="B77" t="s">
        <v>111</v>
      </c>
      <c r="D77" t="s">
        <v>23</v>
      </c>
      <c r="E77" s="80">
        <f>VLOOKUP(D77,'Bu Erta'!$C$2:$E$66,3,0)</f>
        <v>300</v>
      </c>
      <c r="F77">
        <f>0.95+1.1+0.8</f>
        <v>2.8499999999999996</v>
      </c>
      <c r="G77" s="80">
        <f t="shared" si="6"/>
        <v>854.99999999999989</v>
      </c>
      <c r="H77" s="80">
        <f>VLOOKUP(D77,'Bu Erta'!$C$2:$F$66,4,0)*F77</f>
        <v>1139.9999999999998</v>
      </c>
    </row>
    <row r="78" spans="1:24" x14ac:dyDescent="0.35">
      <c r="B78" t="s">
        <v>111</v>
      </c>
      <c r="D78" t="s">
        <v>31</v>
      </c>
      <c r="E78" s="80">
        <f>VLOOKUP(D78,'Bu Erta'!$C$2:$E$66,3,0)</f>
        <v>1000</v>
      </c>
      <c r="F78">
        <v>0.75</v>
      </c>
      <c r="G78" s="80">
        <f t="shared" si="6"/>
        <v>750</v>
      </c>
      <c r="H78" s="80">
        <f>VLOOKUP(D78,'Bu Erta'!$C$2:$F$66,4,0)*F78</f>
        <v>825</v>
      </c>
    </row>
    <row r="79" spans="1:24" x14ac:dyDescent="0.35">
      <c r="B79" t="s">
        <v>111</v>
      </c>
      <c r="D79" t="s">
        <v>46</v>
      </c>
      <c r="E79" s="80">
        <f>VLOOKUP(D79,'Bu Erta'!$C$2:$E$66,3,0)</f>
        <v>1400</v>
      </c>
      <c r="F79">
        <v>4.8</v>
      </c>
      <c r="G79" s="80">
        <f t="shared" si="6"/>
        <v>6720</v>
      </c>
      <c r="H79" s="80">
        <f>VLOOKUP(D79,'Bu Erta'!$C$2:$F$66,4,0)*F79</f>
        <v>7200</v>
      </c>
    </row>
    <row r="80" spans="1:24" x14ac:dyDescent="0.35">
      <c r="B80" t="s">
        <v>111</v>
      </c>
      <c r="D80" t="s">
        <v>42</v>
      </c>
      <c r="E80" s="80">
        <f>VLOOKUP(D80,'Bu Erta'!$C$2:$E$66,3,0)</f>
        <v>1000</v>
      </c>
      <c r="F80">
        <f>0.1+6.85</f>
        <v>6.9499999999999993</v>
      </c>
      <c r="G80" s="80">
        <f t="shared" si="6"/>
        <v>6949.9999999999991</v>
      </c>
      <c r="H80" s="80">
        <f>VLOOKUP(D80,'Bu Erta'!$C$2:$F$66,4,0)*F80</f>
        <v>8340</v>
      </c>
    </row>
    <row r="81" spans="1:8" x14ac:dyDescent="0.35">
      <c r="A81" s="5">
        <v>11</v>
      </c>
      <c r="B81" t="s">
        <v>243</v>
      </c>
      <c r="C81" s="5">
        <v>5</v>
      </c>
      <c r="D81" t="s">
        <v>27</v>
      </c>
      <c r="E81" s="80">
        <f>VLOOKUP(D81,'Bu Erta'!$C$2:$E$66,3,0)</f>
        <v>2800</v>
      </c>
      <c r="F81">
        <v>1.1499999999999999</v>
      </c>
      <c r="G81" s="80">
        <f t="shared" si="6"/>
        <v>3219.9999999999995</v>
      </c>
      <c r="H81" s="80">
        <f>VLOOKUP(D81,'Bu Erta'!$C$2:$F$66,4,0)*F81</f>
        <v>3564.9999999999995</v>
      </c>
    </row>
    <row r="82" spans="1:8" x14ac:dyDescent="0.35">
      <c r="B82" t="s">
        <v>243</v>
      </c>
      <c r="D82" t="s">
        <v>31</v>
      </c>
      <c r="E82" s="80">
        <f>VLOOKUP(D82,'Bu Erta'!$C$2:$E$66,3,0)</f>
        <v>1000</v>
      </c>
      <c r="F82">
        <f>1.5+0.1</f>
        <v>1.6</v>
      </c>
      <c r="G82" s="80">
        <f t="shared" si="6"/>
        <v>1600</v>
      </c>
      <c r="H82" s="80">
        <f>VLOOKUP(D82,'Bu Erta'!$C$2:$F$66,4,0)*F82</f>
        <v>1760</v>
      </c>
    </row>
    <row r="83" spans="1:8" x14ac:dyDescent="0.35">
      <c r="B83" t="s">
        <v>243</v>
      </c>
      <c r="D83" t="s">
        <v>88</v>
      </c>
      <c r="E83" s="80">
        <f>VLOOKUP(D83,'Bu Erta'!$C$2:$E$66,3,0)</f>
        <v>300</v>
      </c>
      <c r="F83">
        <v>1.4</v>
      </c>
      <c r="G83" s="80">
        <f t="shared" si="6"/>
        <v>420</v>
      </c>
      <c r="H83" s="80">
        <f>VLOOKUP(D83,'Bu Erta'!$C$2:$F$66,4,0)*F83</f>
        <v>560</v>
      </c>
    </row>
    <row r="84" spans="1:8" x14ac:dyDescent="0.35">
      <c r="B84" t="s">
        <v>243</v>
      </c>
      <c r="D84" t="s">
        <v>19</v>
      </c>
      <c r="E84" s="80">
        <f>VLOOKUP(D84,'Bu Erta'!$C$2:$E$66,3,0)</f>
        <v>200</v>
      </c>
      <c r="F84">
        <v>0.5</v>
      </c>
      <c r="G84" s="80">
        <f t="shared" si="6"/>
        <v>100</v>
      </c>
      <c r="H84" s="80">
        <f>VLOOKUP(D84,'Bu Erta'!$C$2:$F$66,4,0)*F84</f>
        <v>150</v>
      </c>
    </row>
    <row r="85" spans="1:8" x14ac:dyDescent="0.35">
      <c r="B85" t="s">
        <v>243</v>
      </c>
      <c r="D85" t="s">
        <v>17</v>
      </c>
      <c r="E85" s="80">
        <f>VLOOKUP(D85,'Bu Erta'!$C$2:$E$66,3,0)</f>
        <v>8000</v>
      </c>
      <c r="F85">
        <v>0.1</v>
      </c>
      <c r="G85" s="80">
        <f t="shared" si="6"/>
        <v>800</v>
      </c>
      <c r="H85" s="80">
        <f>VLOOKUP(D85,'Bu Erta'!$C$2:$F$66,4,0)*F85</f>
        <v>850</v>
      </c>
    </row>
    <row r="86" spans="1:8" x14ac:dyDescent="0.35">
      <c r="B86" t="s">
        <v>243</v>
      </c>
      <c r="D86" t="s">
        <v>42</v>
      </c>
      <c r="E86" s="80">
        <f>VLOOKUP(D86,'Bu Erta'!$C$2:$E$66,3,0)</f>
        <v>1000</v>
      </c>
      <c r="F86">
        <f>5.6+1.6+0.2+0.85</f>
        <v>8.25</v>
      </c>
      <c r="G86" s="80">
        <f t="shared" si="6"/>
        <v>8250</v>
      </c>
      <c r="H86" s="80">
        <f>VLOOKUP(D86,'Bu Erta'!$C$2:$F$66,4,0)*F86</f>
        <v>9900</v>
      </c>
    </row>
    <row r="87" spans="1:8" x14ac:dyDescent="0.35">
      <c r="B87" t="s">
        <v>243</v>
      </c>
      <c r="D87" t="s">
        <v>23</v>
      </c>
      <c r="E87" s="80">
        <f>VLOOKUP(D87,'Bu Erta'!$C$2:$E$66,3,0)</f>
        <v>300</v>
      </c>
      <c r="F87">
        <v>1.45</v>
      </c>
      <c r="G87" s="80">
        <f t="shared" si="6"/>
        <v>435</v>
      </c>
      <c r="H87" s="80">
        <f>VLOOKUP(D87,'Bu Erta'!$C$2:$F$66,4,0)*F87</f>
        <v>580</v>
      </c>
    </row>
    <row r="88" spans="1:8" x14ac:dyDescent="0.35">
      <c r="B88" t="s">
        <v>243</v>
      </c>
      <c r="D88" t="s">
        <v>54</v>
      </c>
      <c r="E88" s="80">
        <f>VLOOKUP(D88,'Bu Erta'!$C$2:$E$66,3,0)</f>
        <v>600</v>
      </c>
      <c r="F88">
        <v>0.8</v>
      </c>
      <c r="G88" s="80">
        <f t="shared" si="6"/>
        <v>480</v>
      </c>
      <c r="H88" s="80">
        <f>VLOOKUP(D88,'Bu Erta'!$C$2:$F$66,4,0)*F88</f>
        <v>520</v>
      </c>
    </row>
    <row r="89" spans="1:8" x14ac:dyDescent="0.35">
      <c r="B89" t="s">
        <v>243</v>
      </c>
      <c r="D89" t="s">
        <v>7</v>
      </c>
      <c r="E89" s="80">
        <f>VLOOKUP(D89,'Bu Erta'!$C$2:$E$66,3,0)</f>
        <v>1400</v>
      </c>
      <c r="F89">
        <v>0.15</v>
      </c>
      <c r="G89" s="80">
        <f t="shared" si="6"/>
        <v>210</v>
      </c>
      <c r="H89" s="80">
        <f>VLOOKUP(D89,'Bu Erta'!$C$2:$F$66,4,0)*F89</f>
        <v>240</v>
      </c>
    </row>
    <row r="90" spans="1:8" x14ac:dyDescent="0.35">
      <c r="A90" s="5">
        <v>12</v>
      </c>
      <c r="B90" t="s">
        <v>242</v>
      </c>
      <c r="C90" s="5">
        <v>3</v>
      </c>
      <c r="D90" t="s">
        <v>88</v>
      </c>
      <c r="E90" s="80">
        <f>VLOOKUP(D90,'Bu Erta'!$C$2:$E$66,3,0)</f>
        <v>300</v>
      </c>
      <c r="F90">
        <f>0.5+0.4+0.2</f>
        <v>1.1000000000000001</v>
      </c>
      <c r="G90" s="80">
        <f t="shared" si="6"/>
        <v>330</v>
      </c>
      <c r="H90" s="80">
        <f>VLOOKUP(D90,'Bu Erta'!$C$2:$F$66,4,0)*F90</f>
        <v>440.00000000000006</v>
      </c>
    </row>
    <row r="91" spans="1:8" x14ac:dyDescent="0.35">
      <c r="B91" t="s">
        <v>242</v>
      </c>
      <c r="D91" t="s">
        <v>19</v>
      </c>
      <c r="E91" s="80">
        <f>VLOOKUP(D91,'Bu Erta'!$C$2:$E$66,3,0)</f>
        <v>200</v>
      </c>
      <c r="F91">
        <v>0.3</v>
      </c>
      <c r="G91" s="80">
        <f t="shared" si="6"/>
        <v>60</v>
      </c>
      <c r="H91" s="80">
        <f>VLOOKUP(D91,'Bu Erta'!$C$2:$F$66,4,0)*F91</f>
        <v>90</v>
      </c>
    </row>
    <row r="92" spans="1:8" x14ac:dyDescent="0.35">
      <c r="B92" t="s">
        <v>242</v>
      </c>
      <c r="D92" t="s">
        <v>25</v>
      </c>
      <c r="E92" s="80">
        <f>VLOOKUP(D92,'Bu Erta'!$C$2:$E$66,3,0)</f>
        <v>1600</v>
      </c>
      <c r="F92">
        <v>0.15</v>
      </c>
      <c r="G92" s="80">
        <f t="shared" si="6"/>
        <v>240</v>
      </c>
      <c r="H92" s="80">
        <f>VLOOKUP(D92,'Bu Erta'!$C$2:$F$66,4,0)*F92</f>
        <v>255</v>
      </c>
    </row>
    <row r="93" spans="1:8" x14ac:dyDescent="0.35">
      <c r="A93" s="5">
        <v>13</v>
      </c>
      <c r="B93" t="s">
        <v>142</v>
      </c>
      <c r="C93" s="5">
        <v>4</v>
      </c>
      <c r="D93" t="s">
        <v>56</v>
      </c>
      <c r="E93" s="80">
        <f>VLOOKUP(D93,'Bu Erta'!$C$2:$E$66,3,0)</f>
        <v>4000</v>
      </c>
      <c r="F93">
        <v>1.1499999999999999</v>
      </c>
      <c r="G93" s="80">
        <f t="shared" si="6"/>
        <v>4600</v>
      </c>
      <c r="H93" s="80">
        <f>VLOOKUP(D93,'Bu Erta'!$C$2:$F$66,4,0)*F93</f>
        <v>6324.9999999999991</v>
      </c>
    </row>
    <row r="94" spans="1:8" x14ac:dyDescent="0.35">
      <c r="B94" t="s">
        <v>142</v>
      </c>
      <c r="D94" t="s">
        <v>40</v>
      </c>
      <c r="E94" s="80">
        <f>VLOOKUP(D94,'Bu Erta'!$C$2:$E$66,3,0)</f>
        <v>1800</v>
      </c>
      <c r="F94">
        <v>1.2</v>
      </c>
      <c r="G94" s="80">
        <f t="shared" si="6"/>
        <v>2160</v>
      </c>
      <c r="H94" s="80">
        <f>VLOOKUP(D94,'Bu Erta'!$C$2:$F$66,4,0)*F94</f>
        <v>2400</v>
      </c>
    </row>
    <row r="95" spans="1:8" x14ac:dyDescent="0.35">
      <c r="B95" t="s">
        <v>142</v>
      </c>
      <c r="D95" t="s">
        <v>27</v>
      </c>
      <c r="E95" s="80">
        <f>VLOOKUP(D95,'Bu Erta'!$C$2:$E$66,3,0)</f>
        <v>2800</v>
      </c>
      <c r="F95">
        <v>0.7</v>
      </c>
      <c r="G95" s="80">
        <f t="shared" si="6"/>
        <v>1959.9999999999998</v>
      </c>
      <c r="H95" s="80">
        <f>VLOOKUP(D95,'Bu Erta'!$C$2:$F$66,4,0)*F95</f>
        <v>2170</v>
      </c>
    </row>
    <row r="96" spans="1:8" x14ac:dyDescent="0.35">
      <c r="B96" t="s">
        <v>142</v>
      </c>
      <c r="D96" t="s">
        <v>69</v>
      </c>
      <c r="E96" s="80">
        <f>VLOOKUP(D96,'Bu Erta'!$C$2:$E$66,3,0)</f>
        <v>2500</v>
      </c>
      <c r="F96">
        <v>0.15</v>
      </c>
      <c r="G96" s="80">
        <f t="shared" si="6"/>
        <v>375</v>
      </c>
      <c r="H96" s="80">
        <f>VLOOKUP(D96,'Bu Erta'!$C$2:$F$66,4,0)*F96</f>
        <v>450</v>
      </c>
    </row>
    <row r="97" spans="1:8" x14ac:dyDescent="0.35">
      <c r="B97" t="s">
        <v>142</v>
      </c>
      <c r="D97" t="s">
        <v>19</v>
      </c>
      <c r="E97" s="80">
        <f>VLOOKUP(D97,'Bu Erta'!$C$2:$E$66,3,0)</f>
        <v>200</v>
      </c>
      <c r="F97">
        <v>0.25</v>
      </c>
      <c r="G97" s="80">
        <f t="shared" si="6"/>
        <v>50</v>
      </c>
      <c r="H97" s="80">
        <f>VLOOKUP(D97,'Bu Erta'!$C$2:$F$66,4,0)*F97</f>
        <v>75</v>
      </c>
    </row>
    <row r="98" spans="1:8" x14ac:dyDescent="0.35">
      <c r="B98" t="s">
        <v>142</v>
      </c>
      <c r="D98" t="s">
        <v>88</v>
      </c>
      <c r="E98" s="80">
        <f>VLOOKUP(D98,'Bu Erta'!$C$2:$E$66,3,0)</f>
        <v>300</v>
      </c>
      <c r="F98">
        <v>0.5</v>
      </c>
      <c r="G98" s="80">
        <f t="shared" si="6"/>
        <v>150</v>
      </c>
      <c r="H98" s="80">
        <f>VLOOKUP(D98,'Bu Erta'!$C$2:$F$66,4,0)*F98</f>
        <v>200</v>
      </c>
    </row>
    <row r="99" spans="1:8" x14ac:dyDescent="0.35">
      <c r="B99" t="s">
        <v>142</v>
      </c>
      <c r="D99" t="s">
        <v>39</v>
      </c>
      <c r="E99" s="80">
        <f>VLOOKUP(D99,'Bu Erta'!$C$2:$E$66,3,0)</f>
        <v>150</v>
      </c>
      <c r="F99">
        <v>0.9</v>
      </c>
      <c r="G99" s="80">
        <f t="shared" si="6"/>
        <v>135</v>
      </c>
      <c r="H99" s="80">
        <f>VLOOKUP(D99,'Bu Erta'!$C$2:$F$66,4,0)*F99</f>
        <v>180</v>
      </c>
    </row>
    <row r="100" spans="1:8" x14ac:dyDescent="0.35">
      <c r="B100" t="s">
        <v>142</v>
      </c>
      <c r="D100" t="s">
        <v>31</v>
      </c>
      <c r="E100" s="80">
        <f>VLOOKUP(D100,'Bu Erta'!$C$2:$E$66,3,0)</f>
        <v>1000</v>
      </c>
      <c r="F100">
        <v>0.85</v>
      </c>
      <c r="G100" s="80">
        <f t="shared" si="6"/>
        <v>850</v>
      </c>
      <c r="H100" s="80">
        <f>VLOOKUP(D100,'Bu Erta'!$C$2:$F$66,4,0)*F100</f>
        <v>935</v>
      </c>
    </row>
    <row r="101" spans="1:8" x14ac:dyDescent="0.35">
      <c r="B101" t="s">
        <v>142</v>
      </c>
      <c r="D101" t="s">
        <v>42</v>
      </c>
      <c r="E101" s="80">
        <f>VLOOKUP(D101,'Bu Erta'!$C$2:$E$66,3,0)</f>
        <v>1000</v>
      </c>
      <c r="F101">
        <v>2.9</v>
      </c>
      <c r="G101" s="80">
        <f t="shared" si="6"/>
        <v>2900</v>
      </c>
      <c r="H101" s="80">
        <f>VLOOKUP(D101,'Bu Erta'!$C$2:$F$66,4,0)*F101</f>
        <v>3480</v>
      </c>
    </row>
    <row r="102" spans="1:8" x14ac:dyDescent="0.35">
      <c r="B102" t="s">
        <v>142</v>
      </c>
      <c r="D102" t="s">
        <v>23</v>
      </c>
      <c r="E102" s="80">
        <f>VLOOKUP(D102,'Bu Erta'!$C$2:$E$66,3,0)</f>
        <v>300</v>
      </c>
      <c r="F102">
        <v>0.9</v>
      </c>
      <c r="G102" s="80">
        <f t="shared" si="6"/>
        <v>270</v>
      </c>
      <c r="H102" s="80">
        <f>VLOOKUP(D102,'Bu Erta'!$C$2:$F$66,4,0)*F102</f>
        <v>360</v>
      </c>
    </row>
    <row r="103" spans="1:8" x14ac:dyDescent="0.35">
      <c r="A103" s="5">
        <v>14</v>
      </c>
      <c r="B103" t="s">
        <v>138</v>
      </c>
      <c r="C103" s="5">
        <v>1</v>
      </c>
      <c r="D103" t="s">
        <v>27</v>
      </c>
      <c r="E103" s="80">
        <f>VLOOKUP(D103,'Bu Erta'!$C$2:$E$66,3,0)</f>
        <v>2800</v>
      </c>
      <c r="F103">
        <v>1</v>
      </c>
      <c r="G103" s="80">
        <f t="shared" si="6"/>
        <v>2800</v>
      </c>
      <c r="H103" s="80">
        <f>VLOOKUP(D103,'Bu Erta'!$C$2:$F$66,4,0)*F103</f>
        <v>3100</v>
      </c>
    </row>
    <row r="104" spans="1:8" x14ac:dyDescent="0.35">
      <c r="B104" t="s">
        <v>138</v>
      </c>
      <c r="D104" t="s">
        <v>19</v>
      </c>
      <c r="E104" s="80">
        <f>VLOOKUP(D104,'Bu Erta'!$C$2:$E$66,3,0)</f>
        <v>200</v>
      </c>
      <c r="F104">
        <v>0.9</v>
      </c>
      <c r="G104" s="80">
        <f t="shared" si="6"/>
        <v>180</v>
      </c>
      <c r="H104" s="80">
        <f>VLOOKUP(D104,'Bu Erta'!$C$2:$F$66,4,0)*F104</f>
        <v>270</v>
      </c>
    </row>
    <row r="105" spans="1:8" x14ac:dyDescent="0.35">
      <c r="B105" t="s">
        <v>138</v>
      </c>
      <c r="D105" t="s">
        <v>88</v>
      </c>
      <c r="E105" s="80">
        <f>VLOOKUP(D105,'Bu Erta'!$C$2:$E$66,3,0)</f>
        <v>300</v>
      </c>
      <c r="F105">
        <f>0.35+0.75+0.25</f>
        <v>1.35</v>
      </c>
      <c r="G105" s="80">
        <f t="shared" si="6"/>
        <v>405</v>
      </c>
      <c r="H105" s="80">
        <f>VLOOKUP(D105,'Bu Erta'!$C$2:$F$66,4,0)*F105</f>
        <v>540</v>
      </c>
    </row>
    <row r="106" spans="1:8" x14ac:dyDescent="0.35">
      <c r="B106" t="s">
        <v>138</v>
      </c>
      <c r="D106" t="s">
        <v>31</v>
      </c>
      <c r="E106" s="80">
        <f>VLOOKUP(D106,'Bu Erta'!$C$2:$E$66,3,0)</f>
        <v>1000</v>
      </c>
      <c r="F106">
        <v>0.35</v>
      </c>
      <c r="G106" s="80">
        <f t="shared" si="6"/>
        <v>350</v>
      </c>
      <c r="H106" s="80">
        <f>VLOOKUP(D106,'Bu Erta'!$C$2:$F$66,4,0)*F106</f>
        <v>385</v>
      </c>
    </row>
    <row r="107" spans="1:8" x14ac:dyDescent="0.35">
      <c r="B107" t="s">
        <v>138</v>
      </c>
      <c r="D107" t="s">
        <v>23</v>
      </c>
      <c r="E107" s="80">
        <f>VLOOKUP(D107,'Bu Erta'!$C$2:$E$66,3,0)</f>
        <v>300</v>
      </c>
      <c r="F107">
        <v>2.4</v>
      </c>
      <c r="G107" s="80">
        <f t="shared" si="6"/>
        <v>720</v>
      </c>
      <c r="H107" s="80">
        <f>VLOOKUP(D107,'Bu Erta'!$C$2:$F$66,4,0)*F107</f>
        <v>960</v>
      </c>
    </row>
    <row r="108" spans="1:8" x14ac:dyDescent="0.35">
      <c r="B108" t="s">
        <v>138</v>
      </c>
      <c r="D108" t="s">
        <v>7</v>
      </c>
      <c r="E108" s="80">
        <f>VLOOKUP(D108,'Bu Erta'!$C$2:$E$66,3,0)</f>
        <v>1400</v>
      </c>
      <c r="F108">
        <v>1.35</v>
      </c>
      <c r="G108" s="80">
        <f t="shared" si="6"/>
        <v>1890.0000000000002</v>
      </c>
      <c r="H108" s="80">
        <f>VLOOKUP(D108,'Bu Erta'!$C$2:$F$66,4,0)*F108</f>
        <v>2160</v>
      </c>
    </row>
    <row r="109" spans="1:8" x14ac:dyDescent="0.35">
      <c r="B109" t="s">
        <v>138</v>
      </c>
      <c r="D109" t="s">
        <v>40</v>
      </c>
      <c r="E109" s="80">
        <f>VLOOKUP(D109,'Bu Erta'!$C$2:$E$66,3,0)</f>
        <v>1800</v>
      </c>
      <c r="F109">
        <v>0.75</v>
      </c>
      <c r="G109" s="80">
        <f t="shared" si="6"/>
        <v>1350</v>
      </c>
      <c r="H109" s="80">
        <f>VLOOKUP(D109,'Bu Erta'!$C$2:$F$66,4,0)*F109</f>
        <v>1500</v>
      </c>
    </row>
    <row r="110" spans="1:8" x14ac:dyDescent="0.35">
      <c r="B110" t="s">
        <v>138</v>
      </c>
      <c r="D110" t="s">
        <v>24</v>
      </c>
      <c r="E110" s="80">
        <f>VLOOKUP(D110,'Bu Erta'!$C$2:$E$66,3,0)</f>
        <v>150</v>
      </c>
      <c r="F110">
        <v>1.45</v>
      </c>
      <c r="G110" s="80">
        <f t="shared" si="6"/>
        <v>217.5</v>
      </c>
      <c r="H110" s="80">
        <f>VLOOKUP(D110,'Bu Erta'!$C$2:$F$66,4,0)*F110</f>
        <v>290</v>
      </c>
    </row>
    <row r="111" spans="1:8" x14ac:dyDescent="0.35">
      <c r="B111" t="s">
        <v>138</v>
      </c>
      <c r="D111" t="s">
        <v>22</v>
      </c>
      <c r="E111" s="80">
        <f>VLOOKUP(D111,'Bu Erta'!$C$2:$E$66,3,0)</f>
        <v>2500</v>
      </c>
      <c r="F111">
        <v>0.4</v>
      </c>
      <c r="G111" s="80">
        <f t="shared" si="6"/>
        <v>1000</v>
      </c>
      <c r="H111" s="80">
        <f>VLOOKUP(D111,'Bu Erta'!$C$2:$F$66,4,0)*F111</f>
        <v>1200</v>
      </c>
    </row>
    <row r="112" spans="1:8" x14ac:dyDescent="0.35">
      <c r="B112" t="s">
        <v>138</v>
      </c>
      <c r="D112" t="s">
        <v>69</v>
      </c>
      <c r="E112" s="80">
        <f>VLOOKUP(D112,'Bu Erta'!$C$2:$E$66,3,0)</f>
        <v>2500</v>
      </c>
      <c r="F112">
        <v>0.1</v>
      </c>
      <c r="G112" s="80">
        <f t="shared" si="6"/>
        <v>250</v>
      </c>
      <c r="H112" s="80">
        <f>VLOOKUP(D112,'Bu Erta'!$C$2:$F$66,4,0)*F112</f>
        <v>300</v>
      </c>
    </row>
    <row r="113" spans="1:8" x14ac:dyDescent="0.35">
      <c r="A113" s="5">
        <v>15</v>
      </c>
      <c r="B113" t="s">
        <v>102</v>
      </c>
      <c r="C113" s="5">
        <v>4</v>
      </c>
      <c r="D113" t="s">
        <v>7</v>
      </c>
      <c r="E113" s="80">
        <f>VLOOKUP(D113,'Bu Erta'!$C$2:$E$66,3,0)</f>
        <v>1400</v>
      </c>
      <c r="F113">
        <f>4.05+0.55</f>
        <v>4.5999999999999996</v>
      </c>
      <c r="G113" s="80">
        <f t="shared" si="6"/>
        <v>6439.9999999999991</v>
      </c>
      <c r="H113" s="80">
        <f>VLOOKUP(D113,'Bu Erta'!$C$2:$F$66,4,0)*F113</f>
        <v>7359.9999999999991</v>
      </c>
    </row>
    <row r="114" spans="1:8" x14ac:dyDescent="0.35">
      <c r="B114" t="s">
        <v>102</v>
      </c>
      <c r="D114" t="s">
        <v>27</v>
      </c>
      <c r="E114" s="80">
        <f>VLOOKUP(D114,'Bu Erta'!$C$2:$E$66,3,0)</f>
        <v>2800</v>
      </c>
      <c r="F114">
        <f>0.65+0.25</f>
        <v>0.9</v>
      </c>
      <c r="G114" s="80">
        <f t="shared" si="6"/>
        <v>2520</v>
      </c>
      <c r="H114" s="80">
        <f>VLOOKUP(D114,'Bu Erta'!$C$2:$F$66,4,0)*F114</f>
        <v>2790</v>
      </c>
    </row>
    <row r="115" spans="1:8" x14ac:dyDescent="0.35">
      <c r="B115" t="s">
        <v>102</v>
      </c>
      <c r="D115" t="s">
        <v>42</v>
      </c>
      <c r="E115" s="80">
        <f>VLOOKUP(D115,'Bu Erta'!$C$2:$E$66,3,0)</f>
        <v>1000</v>
      </c>
      <c r="F115">
        <v>3.25</v>
      </c>
      <c r="G115" s="80">
        <f t="shared" si="6"/>
        <v>3250</v>
      </c>
      <c r="H115" s="80">
        <f>VLOOKUP(D115,'Bu Erta'!$C$2:$F$66,4,0)*F115</f>
        <v>3900</v>
      </c>
    </row>
    <row r="116" spans="1:8" x14ac:dyDescent="0.35">
      <c r="B116" t="s">
        <v>102</v>
      </c>
      <c r="D116" t="s">
        <v>69</v>
      </c>
      <c r="E116" s="80">
        <f>VLOOKUP(D116,'Bu Erta'!$C$2:$E$66,3,0)</f>
        <v>2500</v>
      </c>
      <c r="F116">
        <v>0.15</v>
      </c>
      <c r="G116" s="80">
        <f t="shared" si="6"/>
        <v>375</v>
      </c>
      <c r="H116" s="80">
        <f>VLOOKUP(D116,'Bu Erta'!$C$2:$F$66,4,0)*F116</f>
        <v>450</v>
      </c>
    </row>
    <row r="117" spans="1:8" x14ac:dyDescent="0.35">
      <c r="B117" t="s">
        <v>102</v>
      </c>
      <c r="D117" t="s">
        <v>34</v>
      </c>
      <c r="E117" s="80">
        <f>VLOOKUP(D117,'Bu Erta'!$C$2:$E$66,3,0)</f>
        <v>3500</v>
      </c>
      <c r="F117">
        <v>0.2</v>
      </c>
      <c r="G117" s="80">
        <f t="shared" si="6"/>
        <v>700</v>
      </c>
      <c r="H117" s="80">
        <f>VLOOKUP(D117,'Bu Erta'!$C$2:$F$66,4,0)*F117</f>
        <v>720</v>
      </c>
    </row>
    <row r="118" spans="1:8" x14ac:dyDescent="0.35">
      <c r="B118" t="s">
        <v>102</v>
      </c>
      <c r="D118" t="s">
        <v>19</v>
      </c>
      <c r="E118" s="80">
        <f>VLOOKUP(D118,'Bu Erta'!$C$2:$E$66,3,0)</f>
        <v>200</v>
      </c>
      <c r="F118">
        <f>0.7+0.1</f>
        <v>0.79999999999999993</v>
      </c>
      <c r="G118" s="80">
        <f t="shared" si="6"/>
        <v>160</v>
      </c>
      <c r="H118" s="80">
        <f>VLOOKUP(D118,'Bu Erta'!$C$2:$F$66,4,0)*F118</f>
        <v>239.99999999999997</v>
      </c>
    </row>
    <row r="119" spans="1:8" x14ac:dyDescent="0.35">
      <c r="B119" t="s">
        <v>102</v>
      </c>
      <c r="D119" t="s">
        <v>88</v>
      </c>
      <c r="E119" s="80">
        <f>VLOOKUP(D119,'Bu Erta'!$C$2:$E$66,3,0)</f>
        <v>300</v>
      </c>
      <c r="F119">
        <v>0.7</v>
      </c>
      <c r="G119" s="80">
        <f t="shared" si="6"/>
        <v>210</v>
      </c>
      <c r="H119" s="80">
        <f>VLOOKUP(D119,'Bu Erta'!$C$2:$F$66,4,0)*F119</f>
        <v>280</v>
      </c>
    </row>
    <row r="120" spans="1:8" x14ac:dyDescent="0.35">
      <c r="B120" t="s">
        <v>102</v>
      </c>
      <c r="D120" t="s">
        <v>22</v>
      </c>
      <c r="E120" s="80">
        <f>VLOOKUP(D120,'Bu Erta'!$C$2:$E$66,3,0)</f>
        <v>2500</v>
      </c>
      <c r="F120">
        <v>3.45</v>
      </c>
      <c r="G120" s="80">
        <f t="shared" si="6"/>
        <v>8625</v>
      </c>
      <c r="H120" s="80">
        <f>VLOOKUP(D120,'Bu Erta'!$C$2:$F$66,4,0)*F120</f>
        <v>10350</v>
      </c>
    </row>
    <row r="121" spans="1:8" x14ac:dyDescent="0.35">
      <c r="A121" s="5">
        <v>16</v>
      </c>
      <c r="B121" t="s">
        <v>149</v>
      </c>
      <c r="C121" s="5">
        <v>5</v>
      </c>
      <c r="D121" t="s">
        <v>23</v>
      </c>
      <c r="E121" s="80">
        <f>VLOOKUP(D121,'Bu Erta'!$C$2:$E$66,3,0)</f>
        <v>300</v>
      </c>
      <c r="F121">
        <f>0.55+0.2</f>
        <v>0.75</v>
      </c>
      <c r="G121" s="80">
        <f t="shared" si="6"/>
        <v>225</v>
      </c>
      <c r="H121" s="80">
        <f>VLOOKUP(D121,'Bu Erta'!$C$2:$F$66,4,0)*F121</f>
        <v>300</v>
      </c>
    </row>
    <row r="122" spans="1:8" x14ac:dyDescent="0.35">
      <c r="B122" t="s">
        <v>149</v>
      </c>
      <c r="D122" t="s">
        <v>42</v>
      </c>
      <c r="E122" s="80">
        <f>VLOOKUP(D122,'Bu Erta'!$C$2:$E$66,3,0)</f>
        <v>1000</v>
      </c>
      <c r="F122">
        <v>1.3</v>
      </c>
      <c r="G122" s="80">
        <f t="shared" si="6"/>
        <v>1300</v>
      </c>
      <c r="H122" s="80">
        <f>VLOOKUP(D122,'Bu Erta'!$C$2:$F$66,4,0)*F122</f>
        <v>1560</v>
      </c>
    </row>
    <row r="123" spans="1:8" x14ac:dyDescent="0.35">
      <c r="B123" t="s">
        <v>149</v>
      </c>
      <c r="D123" t="s">
        <v>31</v>
      </c>
      <c r="E123" s="80">
        <f>VLOOKUP(D123,'Bu Erta'!$C$2:$E$66,3,0)</f>
        <v>1000</v>
      </c>
      <c r="F123">
        <v>1.05</v>
      </c>
      <c r="G123" s="80">
        <f t="shared" si="6"/>
        <v>1050</v>
      </c>
      <c r="H123" s="80">
        <f>VLOOKUP(D123,'Bu Erta'!$C$2:$F$66,4,0)*F123</f>
        <v>1155</v>
      </c>
    </row>
    <row r="124" spans="1:8" x14ac:dyDescent="0.35">
      <c r="B124" t="s">
        <v>149</v>
      </c>
      <c r="D124" t="s">
        <v>27</v>
      </c>
      <c r="E124" s="80">
        <f>VLOOKUP(D124,'Bu Erta'!$C$2:$E$66,3,0)</f>
        <v>2800</v>
      </c>
      <c r="F124">
        <v>1.3</v>
      </c>
      <c r="G124" s="80">
        <f t="shared" si="6"/>
        <v>3640</v>
      </c>
      <c r="H124" s="80">
        <f>VLOOKUP(D124,'Bu Erta'!$C$2:$F$66,4,0)*F124</f>
        <v>4030</v>
      </c>
    </row>
    <row r="125" spans="1:8" x14ac:dyDescent="0.35">
      <c r="A125" s="5">
        <v>17</v>
      </c>
      <c r="B125" t="s">
        <v>195</v>
      </c>
      <c r="C125" s="5">
        <v>1</v>
      </c>
      <c r="D125" t="s">
        <v>7</v>
      </c>
      <c r="E125" s="80">
        <f>VLOOKUP(D125,'Bu Erta'!$C$2:$E$66,3,0)</f>
        <v>1400</v>
      </c>
      <c r="F125">
        <f>1.85+0.65+0.05</f>
        <v>2.5499999999999998</v>
      </c>
      <c r="G125" s="80">
        <f t="shared" si="6"/>
        <v>3569.9999999999995</v>
      </c>
      <c r="H125" s="80">
        <f>VLOOKUP(D125,'Bu Erta'!$C$2:$F$66,4,0)*F125</f>
        <v>4079.9999999999995</v>
      </c>
    </row>
    <row r="126" spans="1:8" x14ac:dyDescent="0.35">
      <c r="B126" t="s">
        <v>195</v>
      </c>
      <c r="D126" t="s">
        <v>19</v>
      </c>
      <c r="E126" s="80">
        <f>VLOOKUP(D126,'Bu Erta'!$C$2:$E$66,3,0)</f>
        <v>200</v>
      </c>
      <c r="F126">
        <f>0.9+1.1</f>
        <v>2</v>
      </c>
      <c r="G126" s="80">
        <f t="shared" si="6"/>
        <v>400</v>
      </c>
      <c r="H126" s="80">
        <f>VLOOKUP(D126,'Bu Erta'!$C$2:$F$66,4,0)*F126</f>
        <v>600</v>
      </c>
    </row>
    <row r="127" spans="1:8" x14ac:dyDescent="0.35">
      <c r="B127" t="s">
        <v>195</v>
      </c>
      <c r="D127" t="s">
        <v>27</v>
      </c>
      <c r="E127" s="80">
        <f>VLOOKUP(D127,'Bu Erta'!$C$2:$E$66,3,0)</f>
        <v>2800</v>
      </c>
      <c r="F127">
        <f>0.95+1.45</f>
        <v>2.4</v>
      </c>
      <c r="G127" s="80">
        <f t="shared" si="6"/>
        <v>6720</v>
      </c>
      <c r="H127" s="80">
        <f>VLOOKUP(D127,'Bu Erta'!$C$2:$F$66,4,0)*F127</f>
        <v>7440</v>
      </c>
    </row>
    <row r="128" spans="1:8" x14ac:dyDescent="0.35">
      <c r="B128" t="s">
        <v>195</v>
      </c>
      <c r="D128" t="s">
        <v>88</v>
      </c>
      <c r="E128" s="80">
        <f>VLOOKUP(D128,'Bu Erta'!$C$2:$E$66,3,0)</f>
        <v>300</v>
      </c>
      <c r="F128">
        <v>0.55000000000000004</v>
      </c>
      <c r="G128" s="80">
        <f t="shared" si="6"/>
        <v>165</v>
      </c>
      <c r="H128" s="80">
        <f>VLOOKUP(D128,'Bu Erta'!$C$2:$F$66,4,0)*F128</f>
        <v>220.00000000000003</v>
      </c>
    </row>
    <row r="129" spans="1:8" x14ac:dyDescent="0.35">
      <c r="B129" t="s">
        <v>195</v>
      </c>
      <c r="D129" t="s">
        <v>69</v>
      </c>
      <c r="E129" s="80">
        <f>VLOOKUP(D129,'Bu Erta'!$C$2:$E$66,3,0)</f>
        <v>2500</v>
      </c>
      <c r="F129">
        <v>0.2</v>
      </c>
      <c r="G129" s="80">
        <f t="shared" si="6"/>
        <v>500</v>
      </c>
      <c r="H129" s="80">
        <f>VLOOKUP(D129,'Bu Erta'!$C$2:$F$66,4,0)*F129</f>
        <v>600</v>
      </c>
    </row>
    <row r="130" spans="1:8" x14ac:dyDescent="0.35">
      <c r="B130" t="s">
        <v>195</v>
      </c>
      <c r="D130" t="s">
        <v>37</v>
      </c>
      <c r="E130" s="80">
        <f>VLOOKUP(D130,'Bu Erta'!$C$2:$E$66,3,0)</f>
        <v>1600</v>
      </c>
      <c r="F130">
        <f>0.35+0.1</f>
        <v>0.44999999999999996</v>
      </c>
      <c r="G130" s="80">
        <f t="shared" si="6"/>
        <v>719.99999999999989</v>
      </c>
      <c r="H130" s="80">
        <f>VLOOKUP(D130,'Bu Erta'!$C$2:$F$66,4,0)*F130</f>
        <v>899.99999999999989</v>
      </c>
    </row>
    <row r="131" spans="1:8" x14ac:dyDescent="0.35">
      <c r="B131" t="s">
        <v>195</v>
      </c>
      <c r="D131" t="s">
        <v>40</v>
      </c>
      <c r="E131" s="80">
        <f>VLOOKUP(D131,'Bu Erta'!$C$2:$E$66,3,0)</f>
        <v>1800</v>
      </c>
      <c r="F131">
        <v>1.75</v>
      </c>
      <c r="G131" s="80">
        <f t="shared" si="6"/>
        <v>3150</v>
      </c>
      <c r="H131" s="80">
        <f>VLOOKUP(D131,'Bu Erta'!$C$2:$F$66,4,0)*F131</f>
        <v>3500</v>
      </c>
    </row>
    <row r="132" spans="1:8" x14ac:dyDescent="0.35">
      <c r="B132" t="s">
        <v>195</v>
      </c>
      <c r="D132" t="s">
        <v>34</v>
      </c>
      <c r="E132" s="80">
        <f>VLOOKUP(D132,'Bu Erta'!$C$2:$E$66,3,0)</f>
        <v>3500</v>
      </c>
      <c r="F132">
        <v>0.15</v>
      </c>
      <c r="G132" s="80">
        <f t="shared" si="6"/>
        <v>525</v>
      </c>
      <c r="H132" s="80">
        <f>VLOOKUP(D132,'Bu Erta'!$C$2:$F$66,4,0)*F132</f>
        <v>540</v>
      </c>
    </row>
    <row r="133" spans="1:8" x14ac:dyDescent="0.35">
      <c r="B133" t="s">
        <v>195</v>
      </c>
      <c r="D133" t="s">
        <v>56</v>
      </c>
      <c r="E133" s="80">
        <f>VLOOKUP(D133,'Bu Erta'!$C$2:$E$66,3,0)</f>
        <v>4000</v>
      </c>
      <c r="F133">
        <v>1.85</v>
      </c>
      <c r="G133" s="80">
        <f t="shared" si="6"/>
        <v>7400</v>
      </c>
      <c r="H133" s="80">
        <f>VLOOKUP(D133,'Bu Erta'!$C$2:$F$66,4,0)*F133</f>
        <v>10175</v>
      </c>
    </row>
    <row r="134" spans="1:8" x14ac:dyDescent="0.35">
      <c r="A134" s="5">
        <v>18</v>
      </c>
      <c r="B134" t="s">
        <v>76</v>
      </c>
      <c r="C134" s="5">
        <v>3</v>
      </c>
      <c r="D134" t="s">
        <v>42</v>
      </c>
      <c r="E134" s="80">
        <f>VLOOKUP(D134,'Bu Erta'!$C$2:$E$66,3,0)</f>
        <v>1000</v>
      </c>
      <c r="F134">
        <f>2+2.05</f>
        <v>4.05</v>
      </c>
      <c r="G134" s="80">
        <f t="shared" si="6"/>
        <v>4050</v>
      </c>
      <c r="H134" s="80">
        <f>VLOOKUP(D134,'Bu Erta'!$C$2:$F$66,4,0)*F134</f>
        <v>4860</v>
      </c>
    </row>
    <row r="135" spans="1:8" x14ac:dyDescent="0.35">
      <c r="B135" t="s">
        <v>76</v>
      </c>
      <c r="D135" t="s">
        <v>23</v>
      </c>
      <c r="E135" s="80">
        <f>VLOOKUP(D135,'Bu Erta'!$C$2:$E$66,3,0)</f>
        <v>300</v>
      </c>
      <c r="F135">
        <v>1.5</v>
      </c>
      <c r="G135" s="80">
        <f t="shared" si="6"/>
        <v>450</v>
      </c>
      <c r="H135" s="80">
        <f>VLOOKUP(D135,'Bu Erta'!$C$2:$F$66,4,0)*F135</f>
        <v>600</v>
      </c>
    </row>
    <row r="136" spans="1:8" x14ac:dyDescent="0.35">
      <c r="B136" t="s">
        <v>76</v>
      </c>
      <c r="D136" t="s">
        <v>37</v>
      </c>
      <c r="E136" s="80">
        <f>VLOOKUP(D136,'Bu Erta'!$C$2:$E$66,3,0)</f>
        <v>1600</v>
      </c>
      <c r="F136">
        <v>0.45</v>
      </c>
      <c r="G136" s="80">
        <f t="shared" si="6"/>
        <v>720</v>
      </c>
      <c r="H136" s="80">
        <f>VLOOKUP(D136,'Bu Erta'!$C$2:$F$66,4,0)*F136</f>
        <v>900</v>
      </c>
    </row>
    <row r="137" spans="1:8" x14ac:dyDescent="0.35">
      <c r="B137" t="s">
        <v>76</v>
      </c>
      <c r="D137" t="s">
        <v>34</v>
      </c>
      <c r="E137" s="80">
        <f>VLOOKUP(D137,'Bu Erta'!$C$2:$E$66,3,0)</f>
        <v>3500</v>
      </c>
      <c r="F137">
        <v>0.2</v>
      </c>
      <c r="G137" s="80">
        <f t="shared" ref="G137:G200" si="7">E137*F137</f>
        <v>700</v>
      </c>
      <c r="H137" s="80">
        <f>VLOOKUP(D137,'Bu Erta'!$C$2:$F$66,4,0)*F137</f>
        <v>720</v>
      </c>
    </row>
    <row r="138" spans="1:8" x14ac:dyDescent="0.35">
      <c r="B138" t="s">
        <v>76</v>
      </c>
      <c r="D138" t="s">
        <v>19</v>
      </c>
      <c r="E138" s="80">
        <f>VLOOKUP(D138,'Bu Erta'!$C$2:$E$66,3,0)</f>
        <v>200</v>
      </c>
      <c r="F138">
        <v>0.95</v>
      </c>
      <c r="G138" s="80">
        <f t="shared" si="7"/>
        <v>190</v>
      </c>
      <c r="H138" s="80">
        <f>VLOOKUP(D138,'Bu Erta'!$C$2:$F$66,4,0)*F138</f>
        <v>285</v>
      </c>
    </row>
    <row r="139" spans="1:8" x14ac:dyDescent="0.35">
      <c r="B139" t="s">
        <v>76</v>
      </c>
      <c r="D139" t="s">
        <v>88</v>
      </c>
      <c r="E139" s="80">
        <f>VLOOKUP(D139,'Bu Erta'!$C$2:$E$66,3,0)</f>
        <v>300</v>
      </c>
      <c r="F139">
        <v>0.7</v>
      </c>
      <c r="G139" s="80">
        <f t="shared" si="7"/>
        <v>210</v>
      </c>
      <c r="H139" s="80">
        <f>VLOOKUP(D139,'Bu Erta'!$C$2:$F$66,4,0)*F139</f>
        <v>280</v>
      </c>
    </row>
    <row r="140" spans="1:8" x14ac:dyDescent="0.35">
      <c r="B140" t="s">
        <v>76</v>
      </c>
      <c r="D140" t="s">
        <v>27</v>
      </c>
      <c r="E140" s="80">
        <f>VLOOKUP(D140,'Bu Erta'!$C$2:$E$66,3,0)</f>
        <v>2800</v>
      </c>
      <c r="F140">
        <v>1.35</v>
      </c>
      <c r="G140" s="80">
        <f t="shared" si="7"/>
        <v>3780.0000000000005</v>
      </c>
      <c r="H140" s="80">
        <f>VLOOKUP(D140,'Bu Erta'!$C$2:$F$66,4,0)*F140</f>
        <v>4185</v>
      </c>
    </row>
    <row r="141" spans="1:8" x14ac:dyDescent="0.35">
      <c r="A141" s="5">
        <v>19</v>
      </c>
      <c r="B141" t="s">
        <v>327</v>
      </c>
      <c r="C141" s="5">
        <v>1</v>
      </c>
      <c r="D141" t="s">
        <v>24</v>
      </c>
      <c r="E141" s="80">
        <f>VLOOKUP(D141,'Bu Erta'!$C$2:$E$66,3,0)</f>
        <v>150</v>
      </c>
      <c r="F141">
        <v>1.45</v>
      </c>
      <c r="G141" s="80">
        <f t="shared" si="7"/>
        <v>217.5</v>
      </c>
      <c r="H141" s="80">
        <f>VLOOKUP(D141,'Bu Erta'!$C$2:$F$66,4,0)*F141</f>
        <v>290</v>
      </c>
    </row>
    <row r="142" spans="1:8" x14ac:dyDescent="0.35">
      <c r="B142" t="s">
        <v>327</v>
      </c>
      <c r="D142" t="s">
        <v>17</v>
      </c>
      <c r="E142" s="80">
        <f>VLOOKUP(D142,'Bu Erta'!$C$2:$E$66,3,0)</f>
        <v>8000</v>
      </c>
      <c r="F142">
        <v>0.25</v>
      </c>
      <c r="G142" s="80">
        <f t="shared" si="7"/>
        <v>2000</v>
      </c>
      <c r="H142" s="80">
        <f>VLOOKUP(D142,'Bu Erta'!$C$2:$F$66,4,0)*F142</f>
        <v>2125</v>
      </c>
    </row>
    <row r="143" spans="1:8" x14ac:dyDescent="0.35">
      <c r="B143" t="s">
        <v>327</v>
      </c>
      <c r="D143" t="s">
        <v>7</v>
      </c>
      <c r="E143" s="80">
        <f>VLOOKUP(D143,'Bu Erta'!$C$2:$E$66,3,0)</f>
        <v>1400</v>
      </c>
      <c r="F143">
        <v>0.55000000000000004</v>
      </c>
      <c r="G143" s="80">
        <f t="shared" si="7"/>
        <v>770.00000000000011</v>
      </c>
      <c r="H143" s="80">
        <f>VLOOKUP(D143,'Bu Erta'!$C$2:$F$66,4,0)*F143</f>
        <v>880.00000000000011</v>
      </c>
    </row>
    <row r="144" spans="1:8" x14ac:dyDescent="0.35">
      <c r="B144" t="s">
        <v>327</v>
      </c>
      <c r="D144" t="s">
        <v>27</v>
      </c>
      <c r="E144" s="80">
        <f>VLOOKUP(D144,'Bu Erta'!$C$2:$E$66,3,0)</f>
        <v>2800</v>
      </c>
      <c r="F144">
        <v>0.4</v>
      </c>
      <c r="G144" s="80">
        <f t="shared" si="7"/>
        <v>1120</v>
      </c>
      <c r="H144" s="80">
        <f>VLOOKUP(D144,'Bu Erta'!$C$2:$F$66,4,0)*F144</f>
        <v>1240</v>
      </c>
    </row>
    <row r="145" spans="1:8" x14ac:dyDescent="0.35">
      <c r="B145" t="s">
        <v>327</v>
      </c>
      <c r="D145" t="s">
        <v>25</v>
      </c>
      <c r="E145" s="80">
        <f>VLOOKUP(D145,'Bu Erta'!$C$2:$E$66,3,0)</f>
        <v>1600</v>
      </c>
      <c r="F145">
        <v>0.3</v>
      </c>
      <c r="G145" s="80">
        <f t="shared" si="7"/>
        <v>480</v>
      </c>
      <c r="H145" s="80">
        <f>VLOOKUP(D145,'Bu Erta'!$C$2:$F$66,4,0)*F145</f>
        <v>510</v>
      </c>
    </row>
    <row r="146" spans="1:8" x14ac:dyDescent="0.35">
      <c r="B146" t="s">
        <v>327</v>
      </c>
      <c r="D146" t="s">
        <v>23</v>
      </c>
      <c r="E146" s="80">
        <f>VLOOKUP(D146,'Bu Erta'!$C$2:$E$66,3,0)</f>
        <v>300</v>
      </c>
      <c r="F146">
        <v>0.8</v>
      </c>
      <c r="G146" s="80">
        <f t="shared" si="7"/>
        <v>240</v>
      </c>
      <c r="H146" s="80">
        <f>VLOOKUP(D146,'Bu Erta'!$C$2:$F$66,4,0)*F146</f>
        <v>320</v>
      </c>
    </row>
    <row r="147" spans="1:8" x14ac:dyDescent="0.35">
      <c r="B147" t="s">
        <v>327</v>
      </c>
      <c r="D147" t="s">
        <v>31</v>
      </c>
      <c r="E147" s="80">
        <f>VLOOKUP(D147,'Bu Erta'!$C$2:$E$66,3,0)</f>
        <v>1000</v>
      </c>
      <c r="F147">
        <v>0.9</v>
      </c>
      <c r="G147" s="80">
        <f t="shared" si="7"/>
        <v>900</v>
      </c>
      <c r="H147" s="80">
        <f>VLOOKUP(D147,'Bu Erta'!$C$2:$F$66,4,0)*F147</f>
        <v>990</v>
      </c>
    </row>
    <row r="148" spans="1:8" x14ac:dyDescent="0.35">
      <c r="A148" s="5">
        <v>20</v>
      </c>
      <c r="B148" t="s">
        <v>132</v>
      </c>
      <c r="C148" s="5">
        <v>4</v>
      </c>
      <c r="D148" t="s">
        <v>31</v>
      </c>
      <c r="E148" s="80">
        <f>VLOOKUP(D148,'Bu Erta'!$C$2:$E$66,3,0)</f>
        <v>1000</v>
      </c>
      <c r="F148">
        <v>1.1000000000000001</v>
      </c>
      <c r="G148" s="80">
        <f t="shared" si="7"/>
        <v>1100</v>
      </c>
      <c r="H148" s="80">
        <f>VLOOKUP(D148,'Bu Erta'!$C$2:$F$66,4,0)*F148</f>
        <v>1210</v>
      </c>
    </row>
    <row r="149" spans="1:8" x14ac:dyDescent="0.35">
      <c r="B149" t="s">
        <v>132</v>
      </c>
      <c r="D149" t="s">
        <v>27</v>
      </c>
      <c r="E149" s="80">
        <f>VLOOKUP(D149,'Bu Erta'!$C$2:$E$66,3,0)</f>
        <v>2800</v>
      </c>
      <c r="F149">
        <v>0.5</v>
      </c>
      <c r="G149" s="80">
        <f t="shared" si="7"/>
        <v>1400</v>
      </c>
      <c r="H149" s="80">
        <f>VLOOKUP(D149,'Bu Erta'!$C$2:$F$66,4,0)*F149</f>
        <v>1550</v>
      </c>
    </row>
    <row r="150" spans="1:8" x14ac:dyDescent="0.35">
      <c r="B150" t="s">
        <v>132</v>
      </c>
      <c r="D150" t="s">
        <v>19</v>
      </c>
      <c r="E150" s="80">
        <f>VLOOKUP(D150,'Bu Erta'!$C$2:$E$66,3,0)</f>
        <v>200</v>
      </c>
      <c r="F150">
        <v>0.55000000000000004</v>
      </c>
      <c r="G150" s="80">
        <f t="shared" si="7"/>
        <v>110.00000000000001</v>
      </c>
      <c r="H150" s="80">
        <f>VLOOKUP(D150,'Bu Erta'!$C$2:$F$66,4,0)*F150</f>
        <v>165</v>
      </c>
    </row>
    <row r="151" spans="1:8" x14ac:dyDescent="0.35">
      <c r="A151" s="5">
        <v>21</v>
      </c>
      <c r="B151" t="s">
        <v>182</v>
      </c>
      <c r="C151" s="5">
        <v>4</v>
      </c>
      <c r="D151" t="s">
        <v>31</v>
      </c>
      <c r="E151" s="80">
        <f>VLOOKUP(D151,'Bu Erta'!$C$2:$E$66,3,0)</f>
        <v>1000</v>
      </c>
      <c r="F151">
        <f>1.4+0.8+0.35+1.4</f>
        <v>3.95</v>
      </c>
      <c r="G151" s="80">
        <f t="shared" si="7"/>
        <v>3950</v>
      </c>
      <c r="H151" s="80">
        <f>VLOOKUP(D151,'Bu Erta'!$C$2:$F$66,4,0)*F151</f>
        <v>4345</v>
      </c>
    </row>
    <row r="152" spans="1:8" x14ac:dyDescent="0.35">
      <c r="B152" t="s">
        <v>182</v>
      </c>
      <c r="D152" t="s">
        <v>88</v>
      </c>
      <c r="E152" s="80">
        <f>VLOOKUP(D152,'Bu Erta'!$C$2:$E$66,3,0)</f>
        <v>300</v>
      </c>
      <c r="F152">
        <v>0.8</v>
      </c>
      <c r="G152" s="80">
        <f t="shared" si="7"/>
        <v>240</v>
      </c>
      <c r="H152" s="80">
        <f>VLOOKUP(D152,'Bu Erta'!$C$2:$F$66,4,0)*F152</f>
        <v>320</v>
      </c>
    </row>
    <row r="153" spans="1:8" x14ac:dyDescent="0.35">
      <c r="A153" s="5">
        <v>22</v>
      </c>
      <c r="B153" t="s">
        <v>127</v>
      </c>
      <c r="C153" s="5">
        <v>2</v>
      </c>
      <c r="D153" t="s">
        <v>88</v>
      </c>
      <c r="E153" s="80">
        <f>VLOOKUP(D153,'Bu Erta'!$C$2:$E$66,3,0)</f>
        <v>300</v>
      </c>
      <c r="F153">
        <v>0.7</v>
      </c>
      <c r="G153" s="80">
        <f t="shared" si="7"/>
        <v>210</v>
      </c>
      <c r="H153" s="80">
        <f>VLOOKUP(D153,'Bu Erta'!$C$2:$F$66,4,0)*F153</f>
        <v>280</v>
      </c>
    </row>
    <row r="154" spans="1:8" x14ac:dyDescent="0.35">
      <c r="B154" t="s">
        <v>127</v>
      </c>
      <c r="D154" t="s">
        <v>19</v>
      </c>
      <c r="E154" s="80">
        <f>VLOOKUP(D154,'Bu Erta'!$C$2:$E$66,3,0)</f>
        <v>200</v>
      </c>
      <c r="F154">
        <v>0.6</v>
      </c>
      <c r="G154" s="80">
        <f t="shared" si="7"/>
        <v>120</v>
      </c>
      <c r="H154" s="80">
        <f>VLOOKUP(D154,'Bu Erta'!$C$2:$F$66,4,0)*F154</f>
        <v>180</v>
      </c>
    </row>
    <row r="155" spans="1:8" x14ac:dyDescent="0.35">
      <c r="B155" t="s">
        <v>127</v>
      </c>
      <c r="D155" t="s">
        <v>7</v>
      </c>
      <c r="E155" s="80">
        <f>VLOOKUP(D155,'Bu Erta'!$C$2:$E$66,3,0)</f>
        <v>1400</v>
      </c>
      <c r="F155">
        <f>1.75+1.7</f>
        <v>3.45</v>
      </c>
      <c r="G155" s="80">
        <f t="shared" si="7"/>
        <v>4830</v>
      </c>
      <c r="H155" s="80">
        <f>VLOOKUP(D155,'Bu Erta'!$C$2:$F$66,4,0)*F155</f>
        <v>5520</v>
      </c>
    </row>
    <row r="156" spans="1:8" x14ac:dyDescent="0.35">
      <c r="B156" t="s">
        <v>127</v>
      </c>
      <c r="D156" t="s">
        <v>23</v>
      </c>
      <c r="E156" s="80">
        <f>VLOOKUP(D156,'Bu Erta'!$C$2:$E$66,3,0)</f>
        <v>300</v>
      </c>
      <c r="F156">
        <f>0.25+1.7+1.4</f>
        <v>3.3499999999999996</v>
      </c>
      <c r="G156" s="80">
        <f t="shared" si="7"/>
        <v>1004.9999999999999</v>
      </c>
      <c r="H156" s="80">
        <f>VLOOKUP(D156,'Bu Erta'!$C$2:$F$66,4,0)*F156</f>
        <v>1339.9999999999998</v>
      </c>
    </row>
    <row r="157" spans="1:8" x14ac:dyDescent="0.35">
      <c r="B157" t="s">
        <v>127</v>
      </c>
      <c r="D157" t="s">
        <v>37</v>
      </c>
      <c r="E157" s="80">
        <f>VLOOKUP(D157,'Bu Erta'!$C$2:$E$66,3,0)</f>
        <v>1600</v>
      </c>
      <c r="F157">
        <v>0.35</v>
      </c>
      <c r="G157" s="80">
        <f t="shared" si="7"/>
        <v>560</v>
      </c>
      <c r="H157" s="80">
        <f>VLOOKUP(D157,'Bu Erta'!$C$2:$F$66,4,0)*F157</f>
        <v>700</v>
      </c>
    </row>
    <row r="158" spans="1:8" x14ac:dyDescent="0.35">
      <c r="B158" t="s">
        <v>127</v>
      </c>
      <c r="D158" t="s">
        <v>25</v>
      </c>
      <c r="E158" s="80">
        <f>VLOOKUP(D158,'Bu Erta'!$C$2:$E$66,3,0)</f>
        <v>1600</v>
      </c>
      <c r="F158">
        <f>0.5+1.65</f>
        <v>2.15</v>
      </c>
      <c r="G158" s="80">
        <f t="shared" si="7"/>
        <v>3440</v>
      </c>
      <c r="H158" s="80">
        <f>VLOOKUP(D158,'Bu Erta'!$C$2:$F$66,4,0)*F158</f>
        <v>3655</v>
      </c>
    </row>
    <row r="159" spans="1:8" x14ac:dyDescent="0.35">
      <c r="B159" t="s">
        <v>127</v>
      </c>
      <c r="D159" t="s">
        <v>41</v>
      </c>
      <c r="E159" s="80">
        <f>VLOOKUP(D159,'Bu Erta'!$C$2:$E$66,3,0)</f>
        <v>1500</v>
      </c>
      <c r="F159">
        <v>0.95</v>
      </c>
      <c r="G159" s="80">
        <f t="shared" si="7"/>
        <v>1425</v>
      </c>
      <c r="H159" s="80">
        <f>VLOOKUP(D159,'Bu Erta'!$C$2:$F$66,4,0)*F159</f>
        <v>1900</v>
      </c>
    </row>
    <row r="160" spans="1:8" x14ac:dyDescent="0.35">
      <c r="B160" t="s">
        <v>127</v>
      </c>
      <c r="D160" t="s">
        <v>70</v>
      </c>
      <c r="E160" s="80">
        <f>VLOOKUP(D160,'Bu Erta'!$C$2:$E$66,3,0)</f>
        <v>3500</v>
      </c>
      <c r="F160">
        <v>0.15</v>
      </c>
      <c r="G160" s="80">
        <f t="shared" si="7"/>
        <v>525</v>
      </c>
      <c r="H160" s="80">
        <f>VLOOKUP(D160,'Bu Erta'!$C$2:$F$66,4,0)*F160</f>
        <v>600</v>
      </c>
    </row>
    <row r="161" spans="1:8" x14ac:dyDescent="0.35">
      <c r="B161" t="s">
        <v>127</v>
      </c>
      <c r="D161" t="s">
        <v>69</v>
      </c>
      <c r="E161" s="80">
        <f>VLOOKUP(D161,'Bu Erta'!$C$2:$E$66,3,0)</f>
        <v>2500</v>
      </c>
      <c r="F161">
        <v>0.15</v>
      </c>
      <c r="G161" s="80">
        <f t="shared" si="7"/>
        <v>375</v>
      </c>
      <c r="H161" s="80">
        <f>VLOOKUP(D161,'Bu Erta'!$C$2:$F$66,4,0)*F161</f>
        <v>450</v>
      </c>
    </row>
    <row r="162" spans="1:8" x14ac:dyDescent="0.35">
      <c r="B162" t="s">
        <v>127</v>
      </c>
      <c r="D162" t="s">
        <v>24</v>
      </c>
      <c r="E162" s="80">
        <f>VLOOKUP(D162,'Bu Erta'!$C$2:$E$66,3,0)</f>
        <v>150</v>
      </c>
      <c r="F162">
        <v>0.45</v>
      </c>
      <c r="G162" s="80">
        <f t="shared" si="7"/>
        <v>67.5</v>
      </c>
      <c r="H162" s="80">
        <f>VLOOKUP(D162,'Bu Erta'!$C$2:$F$66,4,0)*F162</f>
        <v>90</v>
      </c>
    </row>
    <row r="163" spans="1:8" x14ac:dyDescent="0.35">
      <c r="B163" t="s">
        <v>127</v>
      </c>
      <c r="D163" t="s">
        <v>28</v>
      </c>
      <c r="E163" s="80">
        <f>VLOOKUP(D163,'Bu Erta'!$C$2:$E$66,3,0)</f>
        <v>1200</v>
      </c>
      <c r="F163">
        <v>2.4500000000000002</v>
      </c>
      <c r="G163" s="80">
        <f t="shared" si="7"/>
        <v>2940</v>
      </c>
      <c r="H163" s="80">
        <f>VLOOKUP(D163,'Bu Erta'!$C$2:$F$66,4,0)*F163</f>
        <v>3185.0000000000005</v>
      </c>
    </row>
    <row r="164" spans="1:8" x14ac:dyDescent="0.35">
      <c r="B164" t="s">
        <v>127</v>
      </c>
      <c r="D164" t="s">
        <v>42</v>
      </c>
      <c r="E164" s="80">
        <f>VLOOKUP(D164,'Bu Erta'!$C$2:$E$66,3,0)</f>
        <v>1000</v>
      </c>
      <c r="F164">
        <v>4.5</v>
      </c>
      <c r="G164" s="80">
        <f t="shared" si="7"/>
        <v>4500</v>
      </c>
      <c r="H164" s="80">
        <f>VLOOKUP(D164,'Bu Erta'!$C$2:$F$66,4,0)*F164</f>
        <v>5400</v>
      </c>
    </row>
    <row r="165" spans="1:8" x14ac:dyDescent="0.35">
      <c r="A165" s="5">
        <v>23</v>
      </c>
      <c r="B165" t="s">
        <v>283</v>
      </c>
      <c r="C165" s="5">
        <v>2</v>
      </c>
      <c r="D165" t="s">
        <v>27</v>
      </c>
      <c r="E165" s="80">
        <f>VLOOKUP(D165,'Bu Erta'!$C$2:$E$66,3,0)</f>
        <v>2800</v>
      </c>
      <c r="F165">
        <v>0.9</v>
      </c>
      <c r="G165" s="80">
        <f t="shared" si="7"/>
        <v>2520</v>
      </c>
      <c r="H165" s="80">
        <f>VLOOKUP(D165,'Bu Erta'!$C$2:$F$66,4,0)*F165</f>
        <v>2790</v>
      </c>
    </row>
    <row r="166" spans="1:8" x14ac:dyDescent="0.35">
      <c r="B166" t="s">
        <v>283</v>
      </c>
      <c r="D166" t="s">
        <v>34</v>
      </c>
      <c r="E166" s="80">
        <f>VLOOKUP(D166,'Bu Erta'!$C$2:$E$66,3,0)</f>
        <v>3500</v>
      </c>
      <c r="F166">
        <v>0.7</v>
      </c>
      <c r="G166" s="80">
        <f t="shared" si="7"/>
        <v>2450</v>
      </c>
      <c r="H166" s="80">
        <f>VLOOKUP(D166,'Bu Erta'!$C$2:$F$66,4,0)*F166</f>
        <v>2520</v>
      </c>
    </row>
    <row r="167" spans="1:8" x14ac:dyDescent="0.35">
      <c r="A167" s="5">
        <v>24</v>
      </c>
      <c r="B167" t="s">
        <v>100</v>
      </c>
      <c r="C167" s="5">
        <v>4</v>
      </c>
      <c r="D167" t="s">
        <v>22</v>
      </c>
      <c r="E167" s="80">
        <f>VLOOKUP(D167,'Bu Erta'!$C$2:$E$66,3,0)</f>
        <v>2500</v>
      </c>
      <c r="F167">
        <v>2.4</v>
      </c>
      <c r="G167" s="80">
        <f t="shared" si="7"/>
        <v>6000</v>
      </c>
      <c r="H167" s="80">
        <f>VLOOKUP(D167,'Bu Erta'!$C$2:$F$66,4,0)*F167</f>
        <v>7200</v>
      </c>
    </row>
    <row r="168" spans="1:8" x14ac:dyDescent="0.35">
      <c r="B168" t="s">
        <v>100</v>
      </c>
      <c r="D168" t="s">
        <v>42</v>
      </c>
      <c r="E168" s="80">
        <f>VLOOKUP(D168,'Bu Erta'!$C$2:$E$66,3,0)</f>
        <v>1000</v>
      </c>
      <c r="F168">
        <v>2.4</v>
      </c>
      <c r="G168" s="80">
        <f t="shared" si="7"/>
        <v>2400</v>
      </c>
      <c r="H168" s="80">
        <f>VLOOKUP(D168,'Bu Erta'!$C$2:$F$66,4,0)*F168</f>
        <v>2880</v>
      </c>
    </row>
    <row r="169" spans="1:8" x14ac:dyDescent="0.35">
      <c r="B169" t="s">
        <v>100</v>
      </c>
      <c r="D169" t="s">
        <v>23</v>
      </c>
      <c r="E169" s="80">
        <f>VLOOKUP(D169,'Bu Erta'!$C$2:$E$66,3,0)</f>
        <v>300</v>
      </c>
      <c r="F169">
        <v>0.4</v>
      </c>
      <c r="G169" s="80">
        <f t="shared" si="7"/>
        <v>120</v>
      </c>
      <c r="H169" s="80">
        <f>VLOOKUP(D169,'Bu Erta'!$C$2:$F$66,4,0)*F169</f>
        <v>160</v>
      </c>
    </row>
    <row r="170" spans="1:8" x14ac:dyDescent="0.35">
      <c r="B170" t="s">
        <v>100</v>
      </c>
      <c r="D170" t="s">
        <v>19</v>
      </c>
      <c r="E170" s="80">
        <f>VLOOKUP(D170,'Bu Erta'!$C$2:$E$66,3,0)</f>
        <v>200</v>
      </c>
      <c r="F170">
        <v>0.3</v>
      </c>
      <c r="G170" s="80">
        <f t="shared" si="7"/>
        <v>60</v>
      </c>
      <c r="H170" s="80">
        <f>VLOOKUP(D170,'Bu Erta'!$C$2:$F$66,4,0)*F170</f>
        <v>90</v>
      </c>
    </row>
    <row r="171" spans="1:8" x14ac:dyDescent="0.35">
      <c r="B171" t="s">
        <v>100</v>
      </c>
      <c r="D171" t="s">
        <v>6</v>
      </c>
      <c r="E171" s="80">
        <f>VLOOKUP(D171,'Bu Erta'!$C$2:$E$66,3,0)</f>
        <v>2000</v>
      </c>
      <c r="F171">
        <v>0.25</v>
      </c>
      <c r="G171" s="80">
        <f t="shared" si="7"/>
        <v>500</v>
      </c>
      <c r="H171" s="80">
        <f>VLOOKUP(D171,'Bu Erta'!$C$2:$F$66,4,0)*F171</f>
        <v>625</v>
      </c>
    </row>
    <row r="172" spans="1:8" x14ac:dyDescent="0.35">
      <c r="B172" t="s">
        <v>100</v>
      </c>
      <c r="D172" t="s">
        <v>40</v>
      </c>
      <c r="E172" s="80">
        <f>VLOOKUP(D172,'Bu Erta'!$C$2:$E$66,3,0)</f>
        <v>1800</v>
      </c>
      <c r="F172">
        <v>1.2</v>
      </c>
      <c r="G172" s="80">
        <f t="shared" si="7"/>
        <v>2160</v>
      </c>
      <c r="H172" s="80">
        <f>VLOOKUP(D172,'Bu Erta'!$C$2:$F$66,4,0)*F172</f>
        <v>2400</v>
      </c>
    </row>
    <row r="173" spans="1:8" x14ac:dyDescent="0.35">
      <c r="B173" t="s">
        <v>100</v>
      </c>
      <c r="D173" t="s">
        <v>31</v>
      </c>
      <c r="E173" s="80">
        <f>VLOOKUP(D173,'Bu Erta'!$C$2:$E$66,3,0)</f>
        <v>1000</v>
      </c>
      <c r="F173">
        <v>1</v>
      </c>
      <c r="G173" s="80">
        <f t="shared" si="7"/>
        <v>1000</v>
      </c>
      <c r="H173" s="80">
        <f>VLOOKUP(D173,'Bu Erta'!$C$2:$F$66,4,0)*F173</f>
        <v>1100</v>
      </c>
    </row>
    <row r="174" spans="1:8" x14ac:dyDescent="0.35">
      <c r="A174" s="5">
        <v>25</v>
      </c>
      <c r="B174" t="s">
        <v>84</v>
      </c>
      <c r="C174" s="5">
        <v>4</v>
      </c>
      <c r="D174" t="s">
        <v>23</v>
      </c>
      <c r="E174" s="80">
        <f>VLOOKUP(D174,'Bu Erta'!$C$2:$E$66,3,0)</f>
        <v>300</v>
      </c>
      <c r="F174">
        <f>2.45+1.85+1.6</f>
        <v>5.9</v>
      </c>
      <c r="G174" s="80">
        <f t="shared" si="7"/>
        <v>1770</v>
      </c>
      <c r="H174" s="80">
        <f>VLOOKUP(D174,'Bu Erta'!$C$2:$F$66,4,0)*F174</f>
        <v>2360</v>
      </c>
    </row>
    <row r="175" spans="1:8" x14ac:dyDescent="0.35">
      <c r="B175" t="s">
        <v>84</v>
      </c>
      <c r="D175" t="s">
        <v>22</v>
      </c>
      <c r="E175" s="80">
        <f>VLOOKUP(D175,'Bu Erta'!$C$2:$E$66,3,0)</f>
        <v>2500</v>
      </c>
      <c r="F175">
        <f>11.25+65.5+3.65+0.5</f>
        <v>80.900000000000006</v>
      </c>
      <c r="G175" s="80">
        <f t="shared" si="7"/>
        <v>202250</v>
      </c>
      <c r="H175" s="80">
        <f>VLOOKUP(D175,'Bu Erta'!$C$2:$F$66,4,0)*F175</f>
        <v>242700.00000000003</v>
      </c>
    </row>
    <row r="176" spans="1:8" x14ac:dyDescent="0.35">
      <c r="B176" t="s">
        <v>84</v>
      </c>
      <c r="D176" t="s">
        <v>7</v>
      </c>
      <c r="E176" s="80">
        <f>VLOOKUP(D176,'Bu Erta'!$C$2:$E$66,3,0)</f>
        <v>1400</v>
      </c>
      <c r="F176">
        <f>0.3+1.6+0.15+0.3</f>
        <v>2.35</v>
      </c>
      <c r="G176" s="80">
        <f t="shared" si="7"/>
        <v>3290</v>
      </c>
      <c r="H176" s="80">
        <f>VLOOKUP(D176,'Bu Erta'!$C$2:$F$66,4,0)*F176</f>
        <v>3760</v>
      </c>
    </row>
    <row r="177" spans="1:8" x14ac:dyDescent="0.35">
      <c r="B177" t="s">
        <v>84</v>
      </c>
      <c r="D177" t="s">
        <v>42</v>
      </c>
      <c r="E177" s="80">
        <f>VLOOKUP(D177,'Bu Erta'!$C$2:$E$66,3,0)</f>
        <v>1000</v>
      </c>
      <c r="F177">
        <f>2.55+1.1+1.45</f>
        <v>5.0999999999999996</v>
      </c>
      <c r="G177" s="80">
        <f t="shared" si="7"/>
        <v>5100</v>
      </c>
      <c r="H177" s="80">
        <f>VLOOKUP(D177,'Bu Erta'!$C$2:$F$66,4,0)*F177</f>
        <v>6120</v>
      </c>
    </row>
    <row r="178" spans="1:8" x14ac:dyDescent="0.35">
      <c r="B178" t="s">
        <v>84</v>
      </c>
      <c r="D178" t="s">
        <v>31</v>
      </c>
      <c r="E178" s="80">
        <f>VLOOKUP(D178,'Bu Erta'!$C$2:$E$66,3,0)</f>
        <v>1000</v>
      </c>
      <c r="F178">
        <v>0.15</v>
      </c>
      <c r="G178" s="80">
        <f t="shared" si="7"/>
        <v>150</v>
      </c>
      <c r="H178" s="80">
        <f>VLOOKUP(D178,'Bu Erta'!$C$2:$F$66,4,0)*F178</f>
        <v>165</v>
      </c>
    </row>
    <row r="179" spans="1:8" x14ac:dyDescent="0.35">
      <c r="B179" t="s">
        <v>84</v>
      </c>
      <c r="D179" t="s">
        <v>88</v>
      </c>
      <c r="E179" s="80">
        <f>VLOOKUP(D179,'Bu Erta'!$C$2:$E$66,3,0)</f>
        <v>300</v>
      </c>
      <c r="F179">
        <v>1.35</v>
      </c>
      <c r="G179" s="80">
        <f t="shared" si="7"/>
        <v>405</v>
      </c>
      <c r="H179" s="80">
        <f>VLOOKUP(D179,'Bu Erta'!$C$2:$F$66,4,0)*F179</f>
        <v>540</v>
      </c>
    </row>
    <row r="180" spans="1:8" x14ac:dyDescent="0.35">
      <c r="B180" t="s">
        <v>84</v>
      </c>
      <c r="D180" t="s">
        <v>27</v>
      </c>
      <c r="E180" s="80">
        <f>VLOOKUP(D180,'Bu Erta'!$C$2:$E$66,3,0)</f>
        <v>2800</v>
      </c>
      <c r="F180">
        <v>0.45</v>
      </c>
      <c r="G180" s="80">
        <f t="shared" si="7"/>
        <v>1260</v>
      </c>
      <c r="H180" s="80">
        <f>VLOOKUP(D180,'Bu Erta'!$C$2:$F$66,4,0)*F180</f>
        <v>1395</v>
      </c>
    </row>
    <row r="181" spans="1:8" x14ac:dyDescent="0.35">
      <c r="B181" t="s">
        <v>84</v>
      </c>
      <c r="D181" t="s">
        <v>6</v>
      </c>
      <c r="E181" s="80">
        <f>VLOOKUP(D181,'Bu Erta'!$C$2:$E$66,3,0)</f>
        <v>2000</v>
      </c>
      <c r="F181">
        <v>0.15</v>
      </c>
      <c r="G181" s="80">
        <f t="shared" si="7"/>
        <v>300</v>
      </c>
      <c r="H181" s="80">
        <f>VLOOKUP(D181,'Bu Erta'!$C$2:$F$66,4,0)*F181</f>
        <v>375</v>
      </c>
    </row>
    <row r="182" spans="1:8" x14ac:dyDescent="0.35">
      <c r="B182" t="s">
        <v>84</v>
      </c>
      <c r="D182" t="s">
        <v>24</v>
      </c>
      <c r="E182" s="80">
        <f>VLOOKUP(D182,'Bu Erta'!$C$2:$E$66,3,0)</f>
        <v>150</v>
      </c>
      <c r="F182">
        <v>0.1</v>
      </c>
      <c r="G182" s="80">
        <f t="shared" si="7"/>
        <v>15</v>
      </c>
      <c r="H182" s="80">
        <f>VLOOKUP(D182,'Bu Erta'!$C$2:$F$66,4,0)*F182</f>
        <v>20</v>
      </c>
    </row>
    <row r="183" spans="1:8" x14ac:dyDescent="0.35">
      <c r="B183" t="s">
        <v>84</v>
      </c>
      <c r="D183" t="s">
        <v>19</v>
      </c>
      <c r="E183" s="80">
        <f>VLOOKUP(D183,'Bu Erta'!$C$2:$E$66,3,0)</f>
        <v>200</v>
      </c>
      <c r="F183">
        <v>1</v>
      </c>
      <c r="G183" s="80">
        <f t="shared" si="7"/>
        <v>200</v>
      </c>
      <c r="H183" s="80">
        <f>VLOOKUP(D183,'Bu Erta'!$C$2:$F$66,4,0)*F183</f>
        <v>300</v>
      </c>
    </row>
    <row r="184" spans="1:8" x14ac:dyDescent="0.35">
      <c r="A184" s="5">
        <v>26</v>
      </c>
      <c r="B184" t="s">
        <v>140</v>
      </c>
      <c r="C184" s="5">
        <v>4</v>
      </c>
      <c r="D184" t="s">
        <v>42</v>
      </c>
      <c r="E184" s="80">
        <f>VLOOKUP(D184,'Bu Erta'!$C$2:$E$66,3,0)</f>
        <v>1000</v>
      </c>
      <c r="F184">
        <v>1.6</v>
      </c>
      <c r="G184" s="80">
        <f t="shared" si="7"/>
        <v>1600</v>
      </c>
      <c r="H184" s="80">
        <f>VLOOKUP(D184,'Bu Erta'!$C$2:$F$66,4,0)*F184</f>
        <v>1920</v>
      </c>
    </row>
    <row r="185" spans="1:8" x14ac:dyDescent="0.35">
      <c r="B185" t="s">
        <v>140</v>
      </c>
      <c r="D185" t="s">
        <v>7</v>
      </c>
      <c r="E185" s="80">
        <f>VLOOKUP(D185,'Bu Erta'!$C$2:$E$66,3,0)</f>
        <v>1400</v>
      </c>
      <c r="F185">
        <f>1.55+0.9</f>
        <v>2.4500000000000002</v>
      </c>
      <c r="G185" s="80">
        <f t="shared" si="7"/>
        <v>3430.0000000000005</v>
      </c>
      <c r="H185" s="80">
        <f>VLOOKUP(D185,'Bu Erta'!$C$2:$F$66,4,0)*F185</f>
        <v>3920.0000000000005</v>
      </c>
    </row>
    <row r="186" spans="1:8" x14ac:dyDescent="0.35">
      <c r="B186" t="s">
        <v>140</v>
      </c>
      <c r="D186" t="s">
        <v>38</v>
      </c>
      <c r="E186" s="80">
        <f>VLOOKUP(D186,'Bu Erta'!$C$2:$E$66,3,0)</f>
        <v>1400</v>
      </c>
      <c r="F186">
        <v>0.35</v>
      </c>
      <c r="G186" s="80">
        <f t="shared" si="7"/>
        <v>489.99999999999994</v>
      </c>
      <c r="H186" s="80">
        <f>VLOOKUP(D186,'Bu Erta'!$C$2:$F$66,4,0)*F186</f>
        <v>560</v>
      </c>
    </row>
    <row r="187" spans="1:8" x14ac:dyDescent="0.35">
      <c r="B187" t="s">
        <v>140</v>
      </c>
      <c r="D187" t="s">
        <v>40</v>
      </c>
      <c r="E187" s="80">
        <f>VLOOKUP(D187,'Bu Erta'!$C$2:$E$66,3,0)</f>
        <v>1800</v>
      </c>
      <c r="F187">
        <v>0.15</v>
      </c>
      <c r="G187" s="80">
        <f t="shared" si="7"/>
        <v>270</v>
      </c>
      <c r="H187" s="80">
        <f>VLOOKUP(D187,'Bu Erta'!$C$2:$F$66,4,0)*F187</f>
        <v>300</v>
      </c>
    </row>
    <row r="188" spans="1:8" x14ac:dyDescent="0.35">
      <c r="B188" t="s">
        <v>140</v>
      </c>
      <c r="D188" t="s">
        <v>27</v>
      </c>
      <c r="E188" s="80">
        <f>VLOOKUP(D188,'Bu Erta'!$C$2:$E$66,3,0)</f>
        <v>2800</v>
      </c>
      <c r="F188">
        <v>0.2</v>
      </c>
      <c r="G188" s="80">
        <f t="shared" si="7"/>
        <v>560</v>
      </c>
      <c r="H188" s="80">
        <f>VLOOKUP(D188,'Bu Erta'!$C$2:$F$66,4,0)*F188</f>
        <v>620</v>
      </c>
    </row>
    <row r="189" spans="1:8" x14ac:dyDescent="0.35">
      <c r="B189" t="s">
        <v>140</v>
      </c>
      <c r="D189" t="s">
        <v>31</v>
      </c>
      <c r="E189" s="80">
        <f>VLOOKUP(D189,'Bu Erta'!$C$2:$E$66,3,0)</f>
        <v>1000</v>
      </c>
      <c r="F189">
        <v>0.15</v>
      </c>
      <c r="G189" s="80">
        <f t="shared" si="7"/>
        <v>150</v>
      </c>
      <c r="H189" s="80">
        <f>VLOOKUP(D189,'Bu Erta'!$C$2:$F$66,4,0)*F189</f>
        <v>165</v>
      </c>
    </row>
    <row r="190" spans="1:8" x14ac:dyDescent="0.35">
      <c r="A190" s="5">
        <v>27</v>
      </c>
      <c r="B190" t="s">
        <v>180</v>
      </c>
      <c r="C190" s="5">
        <v>4</v>
      </c>
      <c r="D190" t="s">
        <v>42</v>
      </c>
      <c r="E190" s="80">
        <f>VLOOKUP(D190,'Bu Erta'!$C$2:$E$66,3,0)</f>
        <v>1000</v>
      </c>
      <c r="F190">
        <v>2.8</v>
      </c>
      <c r="G190" s="80">
        <f t="shared" si="7"/>
        <v>2800</v>
      </c>
      <c r="H190" s="80">
        <f>VLOOKUP(D190,'Bu Erta'!$C$2:$F$66,4,0)*F190</f>
        <v>3360</v>
      </c>
    </row>
    <row r="191" spans="1:8" x14ac:dyDescent="0.35">
      <c r="B191" t="s">
        <v>180</v>
      </c>
      <c r="D191" t="s">
        <v>23</v>
      </c>
      <c r="E191" s="80">
        <f>VLOOKUP(D191,'Bu Erta'!$C$2:$E$66,3,0)</f>
        <v>300</v>
      </c>
      <c r="F191">
        <v>0.5</v>
      </c>
      <c r="G191" s="80">
        <f t="shared" si="7"/>
        <v>150</v>
      </c>
      <c r="H191" s="80">
        <f>VLOOKUP(D191,'Bu Erta'!$C$2:$F$66,4,0)*F191</f>
        <v>200</v>
      </c>
    </row>
    <row r="192" spans="1:8" x14ac:dyDescent="0.35">
      <c r="B192" t="s">
        <v>180</v>
      </c>
      <c r="D192" t="s">
        <v>27</v>
      </c>
      <c r="E192" s="80">
        <f>VLOOKUP(D192,'Bu Erta'!$C$2:$E$66,3,0)</f>
        <v>2800</v>
      </c>
      <c r="F192">
        <v>0.6</v>
      </c>
      <c r="G192" s="80">
        <f t="shared" si="7"/>
        <v>1680</v>
      </c>
      <c r="H192" s="80">
        <f>VLOOKUP(D192,'Bu Erta'!$C$2:$F$66,4,0)*F192</f>
        <v>1860</v>
      </c>
    </row>
    <row r="193" spans="1:8" x14ac:dyDescent="0.35">
      <c r="B193" t="s">
        <v>180</v>
      </c>
      <c r="D193" t="s">
        <v>31</v>
      </c>
      <c r="E193" s="80">
        <f>VLOOKUP(D193,'Bu Erta'!$C$2:$E$66,3,0)</f>
        <v>1000</v>
      </c>
      <c r="F193">
        <v>0.95</v>
      </c>
      <c r="G193" s="80">
        <f t="shared" si="7"/>
        <v>950</v>
      </c>
      <c r="H193" s="80">
        <f>VLOOKUP(D193,'Bu Erta'!$C$2:$F$66,4,0)*F193</f>
        <v>1045</v>
      </c>
    </row>
    <row r="194" spans="1:8" x14ac:dyDescent="0.35">
      <c r="A194" s="5">
        <v>28</v>
      </c>
      <c r="B194" t="s">
        <v>194</v>
      </c>
      <c r="C194" s="5">
        <v>1</v>
      </c>
      <c r="D194" t="s">
        <v>88</v>
      </c>
      <c r="E194" s="80">
        <f>VLOOKUP(D194,'Bu Erta'!$C$2:$E$66,3,0)</f>
        <v>300</v>
      </c>
      <c r="F194">
        <v>0.5</v>
      </c>
      <c r="G194" s="80">
        <f t="shared" si="7"/>
        <v>150</v>
      </c>
      <c r="H194" s="80">
        <f>VLOOKUP(D194,'Bu Erta'!$C$2:$F$66,4,0)*F194</f>
        <v>200</v>
      </c>
    </row>
    <row r="195" spans="1:8" x14ac:dyDescent="0.35">
      <c r="A195" s="5">
        <v>29</v>
      </c>
      <c r="B195" t="s">
        <v>139</v>
      </c>
      <c r="C195" s="5">
        <v>1</v>
      </c>
      <c r="D195" t="s">
        <v>19</v>
      </c>
      <c r="E195" s="80">
        <f>VLOOKUP(D195,'Bu Erta'!$C$2:$E$66,3,0)</f>
        <v>200</v>
      </c>
      <c r="F195">
        <v>0.7</v>
      </c>
      <c r="G195" s="80">
        <f t="shared" si="7"/>
        <v>140</v>
      </c>
      <c r="H195" s="80">
        <f>VLOOKUP(D195,'Bu Erta'!$C$2:$F$66,4,0)*F195</f>
        <v>210</v>
      </c>
    </row>
    <row r="196" spans="1:8" x14ac:dyDescent="0.35">
      <c r="B196" t="s">
        <v>139</v>
      </c>
      <c r="D196" t="s">
        <v>88</v>
      </c>
      <c r="E196" s="80">
        <f>VLOOKUP(D196,'Bu Erta'!$C$2:$E$66,3,0)</f>
        <v>300</v>
      </c>
      <c r="F196">
        <v>0.7</v>
      </c>
      <c r="G196" s="80">
        <f t="shared" si="7"/>
        <v>210</v>
      </c>
      <c r="H196" s="80">
        <f>VLOOKUP(D196,'Bu Erta'!$C$2:$F$66,4,0)*F196</f>
        <v>280</v>
      </c>
    </row>
    <row r="197" spans="1:8" x14ac:dyDescent="0.35">
      <c r="B197" t="s">
        <v>139</v>
      </c>
      <c r="D197" t="s">
        <v>23</v>
      </c>
      <c r="E197" s="80">
        <f>VLOOKUP(D197,'Bu Erta'!$C$2:$E$66,3,0)</f>
        <v>300</v>
      </c>
      <c r="F197">
        <v>0.8</v>
      </c>
      <c r="G197" s="80">
        <f t="shared" si="7"/>
        <v>240</v>
      </c>
      <c r="H197" s="80">
        <f>VLOOKUP(D197,'Bu Erta'!$C$2:$F$66,4,0)*F197</f>
        <v>320</v>
      </c>
    </row>
    <row r="198" spans="1:8" x14ac:dyDescent="0.35">
      <c r="B198" t="s">
        <v>139</v>
      </c>
      <c r="D198" t="s">
        <v>31</v>
      </c>
      <c r="E198" s="80">
        <f>VLOOKUP(D198,'Bu Erta'!$C$2:$E$66,3,0)</f>
        <v>1000</v>
      </c>
      <c r="F198">
        <v>0.25</v>
      </c>
      <c r="G198" s="80">
        <f t="shared" si="7"/>
        <v>250</v>
      </c>
      <c r="H198" s="80">
        <f>VLOOKUP(D198,'Bu Erta'!$C$2:$F$66,4,0)*F198</f>
        <v>275</v>
      </c>
    </row>
    <row r="199" spans="1:8" x14ac:dyDescent="0.35">
      <c r="A199" s="5">
        <v>30</v>
      </c>
      <c r="B199" t="s">
        <v>108</v>
      </c>
      <c r="C199" s="5">
        <v>2</v>
      </c>
      <c r="D199" t="s">
        <v>27</v>
      </c>
      <c r="E199" s="80">
        <f>VLOOKUP(D199,'Bu Erta'!$C$2:$E$66,3,0)</f>
        <v>2800</v>
      </c>
      <c r="F199">
        <v>0.6</v>
      </c>
      <c r="G199" s="80">
        <f t="shared" si="7"/>
        <v>1680</v>
      </c>
      <c r="H199" s="80">
        <f>VLOOKUP(D199,'Bu Erta'!$C$2:$F$66,4,0)*F199</f>
        <v>1860</v>
      </c>
    </row>
    <row r="200" spans="1:8" x14ac:dyDescent="0.35">
      <c r="B200" t="s">
        <v>108</v>
      </c>
      <c r="D200" t="s">
        <v>88</v>
      </c>
      <c r="E200" s="80">
        <f>VLOOKUP(D200,'Bu Erta'!$C$2:$E$66,3,0)</f>
        <v>300</v>
      </c>
      <c r="F200">
        <v>0.45</v>
      </c>
      <c r="G200" s="80">
        <f t="shared" si="7"/>
        <v>135</v>
      </c>
      <c r="H200" s="80">
        <f>VLOOKUP(D200,'Bu Erta'!$C$2:$F$66,4,0)*F200</f>
        <v>180</v>
      </c>
    </row>
    <row r="201" spans="1:8" x14ac:dyDescent="0.35">
      <c r="B201" t="s">
        <v>108</v>
      </c>
      <c r="D201" t="s">
        <v>31</v>
      </c>
      <c r="E201" s="80">
        <f>VLOOKUP(D201,'Bu Erta'!$C$2:$E$66,3,0)</f>
        <v>1000</v>
      </c>
      <c r="F201">
        <f>0.3+1.85</f>
        <v>2.15</v>
      </c>
      <c r="G201" s="80">
        <f t="shared" ref="G201:G264" si="8">E201*F201</f>
        <v>2150</v>
      </c>
      <c r="H201" s="80">
        <f>VLOOKUP(D201,'Bu Erta'!$C$2:$F$66,4,0)*F201</f>
        <v>2365</v>
      </c>
    </row>
    <row r="202" spans="1:8" x14ac:dyDescent="0.35">
      <c r="B202" t="s">
        <v>108</v>
      </c>
      <c r="D202" t="s">
        <v>23</v>
      </c>
      <c r="E202" s="80">
        <f>VLOOKUP(D202,'Bu Erta'!$C$2:$E$66,3,0)</f>
        <v>300</v>
      </c>
      <c r="F202">
        <v>0.6</v>
      </c>
      <c r="G202" s="80">
        <f t="shared" si="8"/>
        <v>180</v>
      </c>
      <c r="H202" s="80">
        <f>VLOOKUP(D202,'Bu Erta'!$C$2:$F$66,4,0)*F202</f>
        <v>240</v>
      </c>
    </row>
    <row r="203" spans="1:8" x14ac:dyDescent="0.35">
      <c r="B203" t="s">
        <v>108</v>
      </c>
      <c r="D203" t="s">
        <v>19</v>
      </c>
      <c r="E203" s="80">
        <f>VLOOKUP(D203,'Bu Erta'!$C$2:$E$66,3,0)</f>
        <v>200</v>
      </c>
      <c r="F203">
        <v>0.45</v>
      </c>
      <c r="G203" s="80">
        <f t="shared" si="8"/>
        <v>90</v>
      </c>
      <c r="H203" s="80">
        <f>VLOOKUP(D203,'Bu Erta'!$C$2:$F$66,4,0)*F203</f>
        <v>135</v>
      </c>
    </row>
    <row r="204" spans="1:8" x14ac:dyDescent="0.35">
      <c r="B204" t="s">
        <v>108</v>
      </c>
      <c r="D204" t="s">
        <v>69</v>
      </c>
      <c r="E204" s="80">
        <f>VLOOKUP(D204,'Bu Erta'!$C$2:$E$66,3,0)</f>
        <v>2500</v>
      </c>
      <c r="F204">
        <v>0.15</v>
      </c>
      <c r="G204" s="80">
        <f t="shared" si="8"/>
        <v>375</v>
      </c>
      <c r="H204" s="80">
        <f>VLOOKUP(D204,'Bu Erta'!$C$2:$F$66,4,0)*F204</f>
        <v>450</v>
      </c>
    </row>
    <row r="205" spans="1:8" x14ac:dyDescent="0.35">
      <c r="B205" t="s">
        <v>108</v>
      </c>
      <c r="D205" t="s">
        <v>25</v>
      </c>
      <c r="E205" s="80">
        <f>VLOOKUP(D205,'Bu Erta'!$C$2:$E$66,3,0)</f>
        <v>1600</v>
      </c>
      <c r="F205">
        <v>0.6</v>
      </c>
      <c r="G205" s="80">
        <f t="shared" si="8"/>
        <v>960</v>
      </c>
      <c r="H205" s="80">
        <f>VLOOKUP(D205,'Bu Erta'!$C$2:$F$66,4,0)*F205</f>
        <v>1020</v>
      </c>
    </row>
    <row r="206" spans="1:8" x14ac:dyDescent="0.35">
      <c r="A206" s="5">
        <v>31</v>
      </c>
      <c r="B206" t="s">
        <v>89</v>
      </c>
      <c r="C206" s="5">
        <v>4</v>
      </c>
      <c r="D206" t="s">
        <v>88</v>
      </c>
      <c r="E206" s="80">
        <f>VLOOKUP(D206,'Bu Erta'!$C$2:$E$66,3,0)</f>
        <v>300</v>
      </c>
      <c r="F206">
        <v>3.4</v>
      </c>
      <c r="G206" s="80">
        <f t="shared" si="8"/>
        <v>1020</v>
      </c>
      <c r="H206" s="80">
        <f>VLOOKUP(D206,'Bu Erta'!$C$2:$F$66,4,0)*F206</f>
        <v>1360</v>
      </c>
    </row>
    <row r="207" spans="1:8" x14ac:dyDescent="0.35">
      <c r="B207" t="s">
        <v>89</v>
      </c>
      <c r="D207" t="s">
        <v>23</v>
      </c>
      <c r="E207" s="80">
        <f>VLOOKUP(D207,'Bu Erta'!$C$2:$E$66,3,0)</f>
        <v>300</v>
      </c>
      <c r="F207">
        <f>0.25+1.8</f>
        <v>2.0499999999999998</v>
      </c>
      <c r="G207" s="80">
        <f t="shared" si="8"/>
        <v>615</v>
      </c>
      <c r="H207" s="80">
        <f>VLOOKUP(D207,'Bu Erta'!$C$2:$F$66,4,0)*F207</f>
        <v>819.99999999999989</v>
      </c>
    </row>
    <row r="208" spans="1:8" x14ac:dyDescent="0.35">
      <c r="B208" t="s">
        <v>89</v>
      </c>
      <c r="D208" t="s">
        <v>27</v>
      </c>
      <c r="E208" s="80">
        <f>VLOOKUP(D208,'Bu Erta'!$C$2:$E$66,3,0)</f>
        <v>2800</v>
      </c>
      <c r="F208">
        <v>0.8</v>
      </c>
      <c r="G208" s="80">
        <f t="shared" si="8"/>
        <v>2240</v>
      </c>
      <c r="H208" s="80">
        <f>VLOOKUP(D208,'Bu Erta'!$C$2:$F$66,4,0)*F208</f>
        <v>2480</v>
      </c>
    </row>
    <row r="209" spans="1:8" x14ac:dyDescent="0.35">
      <c r="B209" t="s">
        <v>89</v>
      </c>
      <c r="D209" t="s">
        <v>7</v>
      </c>
      <c r="E209" s="80">
        <f>VLOOKUP(D209,'Bu Erta'!$C$2:$E$66,3,0)</f>
        <v>1400</v>
      </c>
      <c r="F209">
        <v>0.85</v>
      </c>
      <c r="G209" s="80">
        <f t="shared" si="8"/>
        <v>1190</v>
      </c>
      <c r="H209" s="80">
        <f>VLOOKUP(D209,'Bu Erta'!$C$2:$F$66,4,0)*F209</f>
        <v>1360</v>
      </c>
    </row>
    <row r="210" spans="1:8" x14ac:dyDescent="0.35">
      <c r="B210" t="s">
        <v>89</v>
      </c>
      <c r="D210" t="s">
        <v>19</v>
      </c>
      <c r="E210" s="80">
        <f>VLOOKUP(D210,'Bu Erta'!$C$2:$E$66,3,0)</f>
        <v>200</v>
      </c>
      <c r="F210">
        <f>0.4+0.6</f>
        <v>1</v>
      </c>
      <c r="G210" s="80">
        <f t="shared" si="8"/>
        <v>200</v>
      </c>
      <c r="H210" s="80">
        <f>VLOOKUP(D210,'Bu Erta'!$C$2:$F$66,4,0)*F210</f>
        <v>300</v>
      </c>
    </row>
    <row r="211" spans="1:8" x14ac:dyDescent="0.35">
      <c r="B211" t="s">
        <v>89</v>
      </c>
      <c r="D211" t="s">
        <v>46</v>
      </c>
      <c r="E211" s="80">
        <f>VLOOKUP(D211,'Bu Erta'!$C$2:$E$66,3,0)</f>
        <v>1400</v>
      </c>
      <c r="F211">
        <v>12.25</v>
      </c>
      <c r="G211" s="80">
        <f t="shared" si="8"/>
        <v>17150</v>
      </c>
      <c r="H211" s="80">
        <f>VLOOKUP(D211,'Bu Erta'!$C$2:$F$66,4,0)*F211</f>
        <v>18375</v>
      </c>
    </row>
    <row r="212" spans="1:8" x14ac:dyDescent="0.35">
      <c r="A212" s="5">
        <v>32</v>
      </c>
      <c r="B212" t="s">
        <v>345</v>
      </c>
      <c r="C212" s="5">
        <v>5</v>
      </c>
      <c r="D212" t="s">
        <v>42</v>
      </c>
      <c r="E212" s="80">
        <f>VLOOKUP(D212,'Bu Erta'!$C$2:$E$66,3,0)</f>
        <v>1000</v>
      </c>
      <c r="F212">
        <f>11.95+0.7</f>
        <v>12.649999999999999</v>
      </c>
      <c r="G212" s="80">
        <f t="shared" si="8"/>
        <v>12649.999999999998</v>
      </c>
      <c r="H212" s="80">
        <f>VLOOKUP(D212,'Bu Erta'!$C$2:$F$66,4,0)*F212</f>
        <v>15179.999999999998</v>
      </c>
    </row>
    <row r="213" spans="1:8" x14ac:dyDescent="0.35">
      <c r="B213" t="s">
        <v>345</v>
      </c>
      <c r="D213" t="s">
        <v>27</v>
      </c>
      <c r="E213" s="80">
        <f>VLOOKUP(D213,'Bu Erta'!$C$2:$E$66,3,0)</f>
        <v>2800</v>
      </c>
      <c r="F213">
        <f>1.35+0.3+0.25</f>
        <v>1.9000000000000001</v>
      </c>
      <c r="G213" s="80">
        <f t="shared" si="8"/>
        <v>5320</v>
      </c>
      <c r="H213" s="80">
        <f>VLOOKUP(D213,'Bu Erta'!$C$2:$F$66,4,0)*F213</f>
        <v>5890</v>
      </c>
    </row>
    <row r="214" spans="1:8" x14ac:dyDescent="0.35">
      <c r="B214" t="s">
        <v>345</v>
      </c>
      <c r="D214" t="s">
        <v>25</v>
      </c>
      <c r="E214" s="80">
        <f>VLOOKUP(D214,'Bu Erta'!$C$2:$E$66,3,0)</f>
        <v>1600</v>
      </c>
      <c r="F214">
        <f>0.95+0.65</f>
        <v>1.6</v>
      </c>
      <c r="G214" s="80">
        <f t="shared" si="8"/>
        <v>2560</v>
      </c>
      <c r="H214" s="80">
        <f>VLOOKUP(D214,'Bu Erta'!$C$2:$F$66,4,0)*F214</f>
        <v>2720</v>
      </c>
    </row>
    <row r="215" spans="1:8" x14ac:dyDescent="0.35">
      <c r="B215" t="s">
        <v>345</v>
      </c>
      <c r="D215" t="s">
        <v>6</v>
      </c>
      <c r="E215" s="80">
        <f>VLOOKUP(D215,'Bu Erta'!$C$2:$E$66,3,0)</f>
        <v>2000</v>
      </c>
      <c r="F215">
        <f>0.2+0.2</f>
        <v>0.4</v>
      </c>
      <c r="G215" s="80">
        <f t="shared" si="8"/>
        <v>800</v>
      </c>
      <c r="H215" s="80">
        <f>VLOOKUP(D215,'Bu Erta'!$C$2:$F$66,4,0)*F215</f>
        <v>1000</v>
      </c>
    </row>
    <row r="216" spans="1:8" x14ac:dyDescent="0.35">
      <c r="B216" t="s">
        <v>345</v>
      </c>
      <c r="D216" t="s">
        <v>7</v>
      </c>
      <c r="E216" s="80">
        <f>VLOOKUP(D216,'Bu Erta'!$C$2:$E$66,3,0)</f>
        <v>1400</v>
      </c>
      <c r="F216">
        <f>0.1+1.3+2.8</f>
        <v>4.2</v>
      </c>
      <c r="G216" s="80">
        <f t="shared" si="8"/>
        <v>5880</v>
      </c>
      <c r="H216" s="80">
        <f>VLOOKUP(D216,'Bu Erta'!$C$2:$F$66,4,0)*F216</f>
        <v>6720</v>
      </c>
    </row>
    <row r="217" spans="1:8" x14ac:dyDescent="0.35">
      <c r="B217" t="s">
        <v>345</v>
      </c>
      <c r="D217" t="s">
        <v>69</v>
      </c>
      <c r="E217" s="80">
        <f>VLOOKUP(D217,'Bu Erta'!$C$2:$E$66,3,0)</f>
        <v>2500</v>
      </c>
      <c r="F217">
        <v>0.15</v>
      </c>
      <c r="G217" s="80">
        <f t="shared" si="8"/>
        <v>375</v>
      </c>
      <c r="H217" s="80">
        <f>VLOOKUP(D217,'Bu Erta'!$C$2:$F$66,4,0)*F217</f>
        <v>450</v>
      </c>
    </row>
    <row r="218" spans="1:8" x14ac:dyDescent="0.35">
      <c r="B218" t="s">
        <v>345</v>
      </c>
      <c r="D218" t="s">
        <v>37</v>
      </c>
      <c r="E218" s="80">
        <f>VLOOKUP(D218,'Bu Erta'!$C$2:$E$66,3,0)</f>
        <v>1600</v>
      </c>
      <c r="F218">
        <f>0.6+0.4</f>
        <v>1</v>
      </c>
      <c r="G218" s="80">
        <f t="shared" si="8"/>
        <v>1600</v>
      </c>
      <c r="H218" s="80">
        <f>VLOOKUP(D218,'Bu Erta'!$C$2:$F$66,4,0)*F218</f>
        <v>2000</v>
      </c>
    </row>
    <row r="219" spans="1:8" x14ac:dyDescent="0.35">
      <c r="B219" t="s">
        <v>345</v>
      </c>
      <c r="D219" t="s">
        <v>23</v>
      </c>
      <c r="E219" s="80">
        <f>VLOOKUP(D219,'Bu Erta'!$C$2:$E$66,3,0)</f>
        <v>300</v>
      </c>
      <c r="F219">
        <v>0.05</v>
      </c>
      <c r="G219" s="80">
        <f t="shared" si="8"/>
        <v>15</v>
      </c>
      <c r="H219" s="80">
        <f>VLOOKUP(D219,'Bu Erta'!$C$2:$F$66,4,0)*F219</f>
        <v>20</v>
      </c>
    </row>
    <row r="220" spans="1:8" x14ac:dyDescent="0.35">
      <c r="A220" s="5">
        <v>33</v>
      </c>
      <c r="B220" t="s">
        <v>144</v>
      </c>
      <c r="C220" s="5">
        <v>4</v>
      </c>
      <c r="D220" t="s">
        <v>31</v>
      </c>
      <c r="E220" s="80">
        <f>VLOOKUP(D220,'Bu Erta'!$C$2:$E$66,3,0)</f>
        <v>1000</v>
      </c>
      <c r="F220">
        <v>1.25</v>
      </c>
      <c r="G220" s="80">
        <f t="shared" si="8"/>
        <v>1250</v>
      </c>
      <c r="H220" s="80">
        <f>VLOOKUP(D220,'Bu Erta'!$C$2:$F$66,4,0)*F220</f>
        <v>1375</v>
      </c>
    </row>
    <row r="221" spans="1:8" x14ac:dyDescent="0.35">
      <c r="B221" t="s">
        <v>144</v>
      </c>
      <c r="D221" t="s">
        <v>56</v>
      </c>
      <c r="E221" s="80">
        <f>VLOOKUP(D221,'Bu Erta'!$C$2:$E$66,3,0)</f>
        <v>4000</v>
      </c>
      <c r="F221">
        <v>1</v>
      </c>
      <c r="G221" s="80">
        <f t="shared" si="8"/>
        <v>4000</v>
      </c>
      <c r="H221" s="80">
        <f>VLOOKUP(D221,'Bu Erta'!$C$2:$F$66,4,0)*F221</f>
        <v>5500</v>
      </c>
    </row>
    <row r="222" spans="1:8" x14ac:dyDescent="0.35">
      <c r="B222" t="s">
        <v>144</v>
      </c>
      <c r="D222" t="s">
        <v>24</v>
      </c>
      <c r="E222" s="80">
        <f>VLOOKUP(D222,'Bu Erta'!$C$2:$E$66,3,0)</f>
        <v>150</v>
      </c>
      <c r="F222">
        <v>0.9</v>
      </c>
      <c r="G222" s="80">
        <f t="shared" si="8"/>
        <v>135</v>
      </c>
      <c r="H222" s="80">
        <f>VLOOKUP(D222,'Bu Erta'!$C$2:$F$66,4,0)*F222</f>
        <v>180</v>
      </c>
    </row>
    <row r="223" spans="1:8" x14ac:dyDescent="0.35">
      <c r="A223" s="5">
        <v>34</v>
      </c>
      <c r="B223" t="s">
        <v>193</v>
      </c>
      <c r="C223" s="5">
        <v>1</v>
      </c>
      <c r="D223" t="s">
        <v>7</v>
      </c>
      <c r="E223" s="80">
        <f>VLOOKUP(D223,'Bu Erta'!$C$2:$E$66,3,0)</f>
        <v>1400</v>
      </c>
      <c r="F223">
        <v>2.9</v>
      </c>
      <c r="G223" s="80">
        <f t="shared" si="8"/>
        <v>4060</v>
      </c>
      <c r="H223" s="80">
        <f>VLOOKUP(D223,'Bu Erta'!$C$2:$F$66,4,0)*F223</f>
        <v>4640</v>
      </c>
    </row>
    <row r="224" spans="1:8" x14ac:dyDescent="0.35">
      <c r="B224" t="s">
        <v>193</v>
      </c>
      <c r="D224" t="s">
        <v>31</v>
      </c>
      <c r="E224" s="80">
        <f>VLOOKUP(D224,'Bu Erta'!$C$2:$E$66,3,0)</f>
        <v>1000</v>
      </c>
      <c r="F224">
        <f>1.75+1.65</f>
        <v>3.4</v>
      </c>
      <c r="G224" s="80">
        <f t="shared" si="8"/>
        <v>3400</v>
      </c>
      <c r="H224" s="80">
        <f>VLOOKUP(D224,'Bu Erta'!$C$2:$F$66,4,0)*F224</f>
        <v>3740</v>
      </c>
    </row>
    <row r="225" spans="1:8" x14ac:dyDescent="0.35">
      <c r="A225" s="5">
        <v>35</v>
      </c>
      <c r="B225" t="s">
        <v>137</v>
      </c>
      <c r="C225" s="5">
        <v>4</v>
      </c>
      <c r="D225" t="s">
        <v>7</v>
      </c>
      <c r="E225" s="80">
        <f>VLOOKUP(D225,'Bu Erta'!$C$2:$E$66,3,0)</f>
        <v>1400</v>
      </c>
      <c r="F225">
        <v>0.85</v>
      </c>
      <c r="G225" s="80">
        <f t="shared" si="8"/>
        <v>1190</v>
      </c>
      <c r="H225" s="80">
        <f>VLOOKUP(D225,'Bu Erta'!$C$2:$F$66,4,0)*F225</f>
        <v>1360</v>
      </c>
    </row>
    <row r="226" spans="1:8" x14ac:dyDescent="0.35">
      <c r="B226" t="s">
        <v>137</v>
      </c>
      <c r="D226" t="s">
        <v>69</v>
      </c>
      <c r="E226" s="80">
        <f>VLOOKUP(D226,'Bu Erta'!$C$2:$E$66,3,0)</f>
        <v>2500</v>
      </c>
      <c r="F226">
        <v>0.2</v>
      </c>
      <c r="G226" s="80">
        <f t="shared" si="8"/>
        <v>500</v>
      </c>
      <c r="H226" s="80">
        <f>VLOOKUP(D226,'Bu Erta'!$C$2:$F$66,4,0)*F226</f>
        <v>600</v>
      </c>
    </row>
    <row r="227" spans="1:8" x14ac:dyDescent="0.35">
      <c r="B227" t="s">
        <v>137</v>
      </c>
      <c r="D227" t="s">
        <v>88</v>
      </c>
      <c r="E227" s="80">
        <f>VLOOKUP(D227,'Bu Erta'!$C$2:$E$66,3,0)</f>
        <v>300</v>
      </c>
      <c r="F227">
        <v>0.85</v>
      </c>
      <c r="G227" s="80">
        <f t="shared" si="8"/>
        <v>255</v>
      </c>
      <c r="H227" s="80">
        <f>VLOOKUP(D227,'Bu Erta'!$C$2:$F$66,4,0)*F227</f>
        <v>340</v>
      </c>
    </row>
    <row r="228" spans="1:8" x14ac:dyDescent="0.35">
      <c r="B228" t="s">
        <v>137</v>
      </c>
      <c r="D228" t="s">
        <v>31</v>
      </c>
      <c r="E228" s="80">
        <f>VLOOKUP(D228,'Bu Erta'!$C$2:$E$66,3,0)</f>
        <v>1000</v>
      </c>
      <c r="F228">
        <v>1.65</v>
      </c>
      <c r="G228" s="80">
        <f t="shared" si="8"/>
        <v>1650</v>
      </c>
      <c r="H228" s="80">
        <f>VLOOKUP(D228,'Bu Erta'!$C$2:$F$66,4,0)*F228</f>
        <v>1815</v>
      </c>
    </row>
    <row r="229" spans="1:8" x14ac:dyDescent="0.35">
      <c r="B229" t="s">
        <v>137</v>
      </c>
      <c r="D229" t="s">
        <v>42</v>
      </c>
      <c r="E229" s="80">
        <f>VLOOKUP(D229,'Bu Erta'!$C$2:$E$66,3,0)</f>
        <v>1000</v>
      </c>
      <c r="F229">
        <v>1.6</v>
      </c>
      <c r="G229" s="80">
        <f t="shared" si="8"/>
        <v>1600</v>
      </c>
      <c r="H229" s="80">
        <f>VLOOKUP(D229,'Bu Erta'!$C$2:$F$66,4,0)*F229</f>
        <v>1920</v>
      </c>
    </row>
    <row r="230" spans="1:8" x14ac:dyDescent="0.35">
      <c r="B230" t="s">
        <v>137</v>
      </c>
      <c r="D230" t="s">
        <v>6</v>
      </c>
      <c r="E230" s="80">
        <f>VLOOKUP(D230,'Bu Erta'!$C$2:$E$66,3,0)</f>
        <v>2000</v>
      </c>
      <c r="F230">
        <v>0.25</v>
      </c>
      <c r="G230" s="80">
        <f t="shared" si="8"/>
        <v>500</v>
      </c>
      <c r="H230" s="80">
        <f>VLOOKUP(D230,'Bu Erta'!$C$2:$F$66,4,0)*F230</f>
        <v>625</v>
      </c>
    </row>
    <row r="231" spans="1:8" x14ac:dyDescent="0.35">
      <c r="A231" s="5">
        <v>36</v>
      </c>
      <c r="B231" t="s">
        <v>259</v>
      </c>
      <c r="C231" s="5">
        <v>3</v>
      </c>
      <c r="D231" t="s">
        <v>19</v>
      </c>
      <c r="E231" s="80">
        <f>VLOOKUP(D231,'Bu Erta'!$C$2:$E$66,3,0)</f>
        <v>200</v>
      </c>
      <c r="F231">
        <v>0.65</v>
      </c>
      <c r="G231" s="80">
        <f t="shared" si="8"/>
        <v>130</v>
      </c>
      <c r="H231" s="80">
        <f>VLOOKUP(D231,'Bu Erta'!$C$2:$F$66,4,0)*F231</f>
        <v>195</v>
      </c>
    </row>
    <row r="232" spans="1:8" x14ac:dyDescent="0.35">
      <c r="B232" t="s">
        <v>259</v>
      </c>
      <c r="D232" t="s">
        <v>88</v>
      </c>
      <c r="E232" s="80">
        <f>VLOOKUP(D232,'Bu Erta'!$C$2:$E$66,3,0)</f>
        <v>300</v>
      </c>
      <c r="F232">
        <v>0.5</v>
      </c>
      <c r="G232" s="80">
        <f t="shared" si="8"/>
        <v>150</v>
      </c>
      <c r="H232" s="80">
        <f>VLOOKUP(D232,'Bu Erta'!$C$2:$F$66,4,0)*F232</f>
        <v>200</v>
      </c>
    </row>
    <row r="233" spans="1:8" x14ac:dyDescent="0.35">
      <c r="B233" t="s">
        <v>259</v>
      </c>
      <c r="D233" t="s">
        <v>24</v>
      </c>
      <c r="E233" s="80">
        <f>VLOOKUP(D233,'Bu Erta'!$C$2:$E$66,3,0)</f>
        <v>150</v>
      </c>
      <c r="F233">
        <v>1.35</v>
      </c>
      <c r="G233" s="80">
        <f t="shared" si="8"/>
        <v>202.5</v>
      </c>
      <c r="H233" s="80">
        <f>VLOOKUP(D233,'Bu Erta'!$C$2:$F$66,4,0)*F233</f>
        <v>270</v>
      </c>
    </row>
    <row r="234" spans="1:8" x14ac:dyDescent="0.35">
      <c r="B234" t="s">
        <v>259</v>
      </c>
      <c r="D234" t="s">
        <v>7</v>
      </c>
      <c r="E234" s="80">
        <f>VLOOKUP(D234,'Bu Erta'!$C$2:$E$66,3,0)</f>
        <v>1400</v>
      </c>
      <c r="F234">
        <v>0.4</v>
      </c>
      <c r="G234" s="80">
        <f t="shared" si="8"/>
        <v>560</v>
      </c>
      <c r="H234" s="80">
        <f>VLOOKUP(D234,'Bu Erta'!$C$2:$F$66,4,0)*F234</f>
        <v>640</v>
      </c>
    </row>
    <row r="235" spans="1:8" x14ac:dyDescent="0.35">
      <c r="B235" t="s">
        <v>259</v>
      </c>
      <c r="D235" t="s">
        <v>27</v>
      </c>
      <c r="E235" s="80">
        <f>VLOOKUP(D235,'Bu Erta'!$C$2:$E$66,3,0)</f>
        <v>2800</v>
      </c>
      <c r="F235">
        <v>0.6</v>
      </c>
      <c r="G235" s="80">
        <f t="shared" si="8"/>
        <v>1680</v>
      </c>
      <c r="H235" s="80">
        <f>VLOOKUP(D235,'Bu Erta'!$C$2:$F$66,4,0)*F235</f>
        <v>1860</v>
      </c>
    </row>
    <row r="236" spans="1:8" x14ac:dyDescent="0.35">
      <c r="B236" t="s">
        <v>259</v>
      </c>
      <c r="D236" t="s">
        <v>41</v>
      </c>
      <c r="E236" s="80">
        <f>VLOOKUP(D236,'Bu Erta'!$C$2:$E$66,3,0)</f>
        <v>1500</v>
      </c>
      <c r="F236">
        <v>0.35</v>
      </c>
      <c r="G236" s="80">
        <f t="shared" si="8"/>
        <v>525</v>
      </c>
      <c r="H236" s="80">
        <f>VLOOKUP(D236,'Bu Erta'!$C$2:$F$66,4,0)*F236</f>
        <v>700</v>
      </c>
    </row>
    <row r="237" spans="1:8" x14ac:dyDescent="0.35">
      <c r="B237" t="s">
        <v>259</v>
      </c>
      <c r="D237" t="s">
        <v>37</v>
      </c>
      <c r="E237" s="80">
        <f>VLOOKUP(D237,'Bu Erta'!$C$2:$E$66,3,0)</f>
        <v>1600</v>
      </c>
      <c r="F237">
        <v>0.05</v>
      </c>
      <c r="G237" s="80">
        <f t="shared" si="8"/>
        <v>80</v>
      </c>
      <c r="H237" s="80">
        <f>VLOOKUP(D237,'Bu Erta'!$C$2:$F$66,4,0)*F237</f>
        <v>100</v>
      </c>
    </row>
    <row r="238" spans="1:8" x14ac:dyDescent="0.35">
      <c r="B238" t="s">
        <v>259</v>
      </c>
      <c r="D238" t="s">
        <v>42</v>
      </c>
      <c r="E238" s="80">
        <f>VLOOKUP(D238,'Bu Erta'!$C$2:$E$66,3,0)</f>
        <v>1000</v>
      </c>
      <c r="F238">
        <v>1.1499999999999999</v>
      </c>
      <c r="G238" s="80">
        <f t="shared" si="8"/>
        <v>1150</v>
      </c>
      <c r="H238" s="80">
        <f>VLOOKUP(D238,'Bu Erta'!$C$2:$F$66,4,0)*F238</f>
        <v>1380</v>
      </c>
    </row>
    <row r="239" spans="1:8" x14ac:dyDescent="0.35">
      <c r="A239" s="5">
        <v>37</v>
      </c>
      <c r="B239" t="s">
        <v>245</v>
      </c>
      <c r="C239" s="5">
        <v>4</v>
      </c>
      <c r="D239" t="s">
        <v>7</v>
      </c>
      <c r="E239" s="80">
        <f>VLOOKUP(D239,'Bu Erta'!$C$2:$E$66,3,0)</f>
        <v>1400</v>
      </c>
      <c r="F239">
        <f>9.5+0.35</f>
        <v>9.85</v>
      </c>
      <c r="G239" s="80">
        <f t="shared" si="8"/>
        <v>13790</v>
      </c>
      <c r="H239" s="80">
        <f>VLOOKUP(D239,'Bu Erta'!$C$2:$F$66,4,0)*F239</f>
        <v>15760</v>
      </c>
    </row>
    <row r="240" spans="1:8" x14ac:dyDescent="0.35">
      <c r="B240" t="s">
        <v>245</v>
      </c>
      <c r="D240" t="s">
        <v>23</v>
      </c>
      <c r="E240" s="80">
        <f>VLOOKUP(D240,'Bu Erta'!$C$2:$E$66,3,0)</f>
        <v>300</v>
      </c>
      <c r="F240">
        <v>0.2</v>
      </c>
      <c r="G240" s="80">
        <f t="shared" si="8"/>
        <v>60</v>
      </c>
      <c r="H240" s="80">
        <f>VLOOKUP(D240,'Bu Erta'!$C$2:$F$66,4,0)*F240</f>
        <v>80</v>
      </c>
    </row>
    <row r="241" spans="1:8" x14ac:dyDescent="0.35">
      <c r="B241" t="s">
        <v>245</v>
      </c>
      <c r="D241" t="s">
        <v>31</v>
      </c>
      <c r="E241" s="80">
        <f>VLOOKUP(D241,'Bu Erta'!$C$2:$E$66,3,0)</f>
        <v>1000</v>
      </c>
      <c r="F241">
        <v>0.5</v>
      </c>
      <c r="G241" s="80">
        <f t="shared" si="8"/>
        <v>500</v>
      </c>
      <c r="H241" s="80">
        <f>VLOOKUP(D241,'Bu Erta'!$C$2:$F$66,4,0)*F241</f>
        <v>550</v>
      </c>
    </row>
    <row r="242" spans="1:8" x14ac:dyDescent="0.35">
      <c r="B242" t="s">
        <v>245</v>
      </c>
      <c r="D242" t="s">
        <v>88</v>
      </c>
      <c r="E242" s="80">
        <f>VLOOKUP(D242,'Bu Erta'!$C$2:$E$66,3,0)</f>
        <v>300</v>
      </c>
      <c r="F242">
        <v>0.2</v>
      </c>
      <c r="G242" s="80">
        <f t="shared" si="8"/>
        <v>60</v>
      </c>
      <c r="H242" s="80">
        <f>VLOOKUP(D242,'Bu Erta'!$C$2:$F$66,4,0)*F242</f>
        <v>80</v>
      </c>
    </row>
    <row r="243" spans="1:8" x14ac:dyDescent="0.35">
      <c r="B243" t="s">
        <v>245</v>
      </c>
      <c r="D243" t="s">
        <v>19</v>
      </c>
      <c r="E243" s="80">
        <f>VLOOKUP(D243,'Bu Erta'!$C$2:$E$66,3,0)</f>
        <v>200</v>
      </c>
      <c r="F243">
        <v>0.05</v>
      </c>
      <c r="G243" s="80">
        <f t="shared" si="8"/>
        <v>10</v>
      </c>
      <c r="H243" s="80">
        <f>VLOOKUP(D243,'Bu Erta'!$C$2:$F$66,4,0)*F243</f>
        <v>15</v>
      </c>
    </row>
    <row r="244" spans="1:8" x14ac:dyDescent="0.35">
      <c r="A244" s="5">
        <v>38</v>
      </c>
      <c r="B244" t="s">
        <v>5</v>
      </c>
      <c r="C244" s="5">
        <v>2</v>
      </c>
      <c r="D244" t="s">
        <v>42</v>
      </c>
      <c r="E244" s="80">
        <f>VLOOKUP(D244,'Bu Erta'!$C$2:$E$66,3,0)</f>
        <v>1000</v>
      </c>
      <c r="F244">
        <f>4.4+5.5</f>
        <v>9.9</v>
      </c>
      <c r="G244" s="80">
        <f t="shared" si="8"/>
        <v>9900</v>
      </c>
      <c r="H244" s="80">
        <f>VLOOKUP(D244,'Bu Erta'!$C$2:$F$66,4,0)*F244</f>
        <v>11880</v>
      </c>
    </row>
    <row r="245" spans="1:8" x14ac:dyDescent="0.35">
      <c r="B245" t="s">
        <v>5</v>
      </c>
      <c r="D245" t="s">
        <v>27</v>
      </c>
      <c r="E245" s="80">
        <f>VLOOKUP(D245,'Bu Erta'!$C$2:$E$66,3,0)</f>
        <v>2800</v>
      </c>
      <c r="F245">
        <f>1.3+0.85</f>
        <v>2.15</v>
      </c>
      <c r="G245" s="80">
        <f t="shared" si="8"/>
        <v>6020</v>
      </c>
      <c r="H245" s="80">
        <f>VLOOKUP(D245,'Bu Erta'!$C$2:$F$66,4,0)*F245</f>
        <v>6665</v>
      </c>
    </row>
    <row r="246" spans="1:8" x14ac:dyDescent="0.35">
      <c r="B246" t="s">
        <v>5</v>
      </c>
      <c r="D246" t="s">
        <v>25</v>
      </c>
      <c r="E246" s="80">
        <f>VLOOKUP(D246,'Bu Erta'!$C$2:$E$66,3,0)</f>
        <v>1600</v>
      </c>
      <c r="F246">
        <v>0.3</v>
      </c>
      <c r="G246" s="80">
        <f t="shared" si="8"/>
        <v>480</v>
      </c>
      <c r="H246" s="80">
        <f>VLOOKUP(D246,'Bu Erta'!$C$2:$F$66,4,0)*F246</f>
        <v>510</v>
      </c>
    </row>
    <row r="247" spans="1:8" x14ac:dyDescent="0.35">
      <c r="B247" t="s">
        <v>5</v>
      </c>
      <c r="D247" t="s">
        <v>7</v>
      </c>
      <c r="E247" s="80">
        <f>VLOOKUP(D247,'Bu Erta'!$C$2:$E$66,3,0)</f>
        <v>1400</v>
      </c>
      <c r="F247">
        <f>0.2+0.7</f>
        <v>0.89999999999999991</v>
      </c>
      <c r="G247" s="80">
        <f t="shared" si="8"/>
        <v>1259.9999999999998</v>
      </c>
      <c r="H247" s="80">
        <f>VLOOKUP(D247,'Bu Erta'!$C$2:$F$66,4,0)*F247</f>
        <v>1439.9999999999998</v>
      </c>
    </row>
    <row r="248" spans="1:8" x14ac:dyDescent="0.35">
      <c r="B248" t="s">
        <v>5</v>
      </c>
      <c r="D248" t="s">
        <v>6</v>
      </c>
      <c r="E248" s="80">
        <f>VLOOKUP(D248,'Bu Erta'!$C$2:$E$66,3,0)</f>
        <v>2000</v>
      </c>
      <c r="F248">
        <v>0.25</v>
      </c>
      <c r="G248" s="80">
        <f t="shared" si="8"/>
        <v>500</v>
      </c>
      <c r="H248" s="80">
        <f>VLOOKUP(D248,'Bu Erta'!$C$2:$F$66,4,0)*F248</f>
        <v>625</v>
      </c>
    </row>
    <row r="249" spans="1:8" x14ac:dyDescent="0.35">
      <c r="B249" t="s">
        <v>5</v>
      </c>
      <c r="D249" t="s">
        <v>46</v>
      </c>
      <c r="E249" s="80">
        <f>VLOOKUP(D249,'Bu Erta'!$C$2:$E$66,3,0)</f>
        <v>1400</v>
      </c>
      <c r="F249">
        <v>1.5</v>
      </c>
      <c r="G249" s="80">
        <f t="shared" si="8"/>
        <v>2100</v>
      </c>
      <c r="H249" s="80">
        <f>VLOOKUP(D249,'Bu Erta'!$C$2:$F$66,4,0)*F249</f>
        <v>2250</v>
      </c>
    </row>
    <row r="250" spans="1:8" x14ac:dyDescent="0.35">
      <c r="A250" s="5">
        <v>39</v>
      </c>
      <c r="B250" t="s">
        <v>94</v>
      </c>
      <c r="C250" s="5">
        <v>4</v>
      </c>
      <c r="D250" t="s">
        <v>42</v>
      </c>
      <c r="E250" s="80">
        <f>VLOOKUP(D250,'Bu Erta'!$C$2:$E$66,3,0)</f>
        <v>1000</v>
      </c>
      <c r="F250">
        <v>1.1499999999999999</v>
      </c>
      <c r="G250" s="80">
        <f t="shared" si="8"/>
        <v>1150</v>
      </c>
      <c r="H250" s="80">
        <f>VLOOKUP(D250,'Bu Erta'!$C$2:$F$66,4,0)*F250</f>
        <v>1380</v>
      </c>
    </row>
    <row r="251" spans="1:8" x14ac:dyDescent="0.35">
      <c r="B251" t="s">
        <v>94</v>
      </c>
      <c r="D251" t="s">
        <v>31</v>
      </c>
      <c r="E251" s="80">
        <f>VLOOKUP(D251,'Bu Erta'!$C$2:$E$66,3,0)</f>
        <v>1000</v>
      </c>
      <c r="F251">
        <f>0.6+1.55</f>
        <v>2.15</v>
      </c>
      <c r="G251" s="80">
        <f t="shared" si="8"/>
        <v>2150</v>
      </c>
      <c r="H251" s="80">
        <f>VLOOKUP(D251,'Bu Erta'!$C$2:$F$66,4,0)*F251</f>
        <v>2365</v>
      </c>
    </row>
    <row r="252" spans="1:8" x14ac:dyDescent="0.35">
      <c r="B252" t="s">
        <v>94</v>
      </c>
      <c r="D252" t="s">
        <v>19</v>
      </c>
      <c r="E252" s="80">
        <f>VLOOKUP(D252,'Bu Erta'!$C$2:$E$66,3,0)</f>
        <v>200</v>
      </c>
      <c r="F252">
        <v>0.25</v>
      </c>
      <c r="G252" s="80">
        <f t="shared" si="8"/>
        <v>50</v>
      </c>
      <c r="H252" s="80">
        <f>VLOOKUP(D252,'Bu Erta'!$C$2:$F$66,4,0)*F252</f>
        <v>75</v>
      </c>
    </row>
    <row r="253" spans="1:8" x14ac:dyDescent="0.35">
      <c r="B253" t="s">
        <v>94</v>
      </c>
      <c r="D253" t="s">
        <v>69</v>
      </c>
      <c r="E253" s="80">
        <f>VLOOKUP(D253,'Bu Erta'!$C$2:$E$66,3,0)</f>
        <v>2500</v>
      </c>
      <c r="F253">
        <v>0.15</v>
      </c>
      <c r="G253" s="80">
        <f t="shared" si="8"/>
        <v>375</v>
      </c>
      <c r="H253" s="80">
        <f>VLOOKUP(D253,'Bu Erta'!$C$2:$F$66,4,0)*F253</f>
        <v>450</v>
      </c>
    </row>
    <row r="254" spans="1:8" x14ac:dyDescent="0.35">
      <c r="A254" s="5">
        <v>40</v>
      </c>
      <c r="B254" t="s">
        <v>244</v>
      </c>
      <c r="C254" s="5">
        <v>2</v>
      </c>
      <c r="D254" t="s">
        <v>31</v>
      </c>
      <c r="E254" s="80">
        <f>VLOOKUP(D254,'Bu Erta'!$C$2:$E$66,3,0)</f>
        <v>1000</v>
      </c>
      <c r="F254">
        <v>2.85</v>
      </c>
      <c r="G254" s="80">
        <f t="shared" si="8"/>
        <v>2850</v>
      </c>
      <c r="H254" s="80">
        <f>VLOOKUP(D254,'Bu Erta'!$C$2:$F$66,4,0)*F254</f>
        <v>3135</v>
      </c>
    </row>
    <row r="255" spans="1:8" x14ac:dyDescent="0.35">
      <c r="B255" t="s">
        <v>244</v>
      </c>
      <c r="D255" t="s">
        <v>7</v>
      </c>
      <c r="E255" s="80">
        <f>VLOOKUP(D255,'Bu Erta'!$C$2:$E$66,3,0)</f>
        <v>1400</v>
      </c>
      <c r="F255">
        <f>2.6+0.35+0.35</f>
        <v>3.3000000000000003</v>
      </c>
      <c r="G255" s="80">
        <f t="shared" si="8"/>
        <v>4620</v>
      </c>
      <c r="H255" s="80">
        <f>VLOOKUP(D255,'Bu Erta'!$C$2:$F$66,4,0)*F255</f>
        <v>5280</v>
      </c>
    </row>
    <row r="256" spans="1:8" x14ac:dyDescent="0.35">
      <c r="B256" t="s">
        <v>244</v>
      </c>
      <c r="D256" t="s">
        <v>19</v>
      </c>
      <c r="E256" s="80">
        <f>VLOOKUP(D256,'Bu Erta'!$C$2:$E$66,3,0)</f>
        <v>200</v>
      </c>
      <c r="F256">
        <f>0.1+0.3+0.15</f>
        <v>0.55000000000000004</v>
      </c>
      <c r="G256" s="80">
        <f t="shared" si="8"/>
        <v>110.00000000000001</v>
      </c>
      <c r="H256" s="80">
        <f>VLOOKUP(D256,'Bu Erta'!$C$2:$F$66,4,0)*F256</f>
        <v>165</v>
      </c>
    </row>
    <row r="257" spans="1:8" x14ac:dyDescent="0.35">
      <c r="B257" t="s">
        <v>244</v>
      </c>
      <c r="D257" t="s">
        <v>88</v>
      </c>
      <c r="E257" s="80">
        <f>VLOOKUP(D257,'Bu Erta'!$C$2:$E$66,3,0)</f>
        <v>300</v>
      </c>
      <c r="F257">
        <v>0.5</v>
      </c>
      <c r="G257" s="80">
        <f t="shared" si="8"/>
        <v>150</v>
      </c>
      <c r="H257" s="80">
        <f>VLOOKUP(D257,'Bu Erta'!$C$2:$F$66,4,0)*F257</f>
        <v>200</v>
      </c>
    </row>
    <row r="258" spans="1:8" x14ac:dyDescent="0.35">
      <c r="B258" t="s">
        <v>244</v>
      </c>
      <c r="D258" t="s">
        <v>23</v>
      </c>
      <c r="E258" s="80">
        <f>VLOOKUP(D258,'Bu Erta'!$C$2:$E$66,3,0)</f>
        <v>300</v>
      </c>
      <c r="F258">
        <v>0.25</v>
      </c>
      <c r="G258" s="80">
        <f t="shared" si="8"/>
        <v>75</v>
      </c>
      <c r="H258" s="80">
        <f>VLOOKUP(D258,'Bu Erta'!$C$2:$F$66,4,0)*F258</f>
        <v>100</v>
      </c>
    </row>
    <row r="259" spans="1:8" x14ac:dyDescent="0.35">
      <c r="B259" t="s">
        <v>244</v>
      </c>
      <c r="D259" t="s">
        <v>37</v>
      </c>
      <c r="E259" s="80">
        <f>VLOOKUP(D259,'Bu Erta'!$C$2:$E$66,3,0)</f>
        <v>1600</v>
      </c>
      <c r="F259">
        <v>0.5</v>
      </c>
      <c r="G259" s="80">
        <f t="shared" si="8"/>
        <v>800</v>
      </c>
      <c r="H259" s="80">
        <f>VLOOKUP(D259,'Bu Erta'!$C$2:$F$66,4,0)*F259</f>
        <v>1000</v>
      </c>
    </row>
    <row r="260" spans="1:8" x14ac:dyDescent="0.35">
      <c r="B260" t="s">
        <v>244</v>
      </c>
      <c r="D260" t="s">
        <v>42</v>
      </c>
      <c r="E260" s="80">
        <f>VLOOKUP(D260,'Bu Erta'!$C$2:$E$66,3,0)</f>
        <v>1000</v>
      </c>
      <c r="F260">
        <v>0.1</v>
      </c>
      <c r="G260" s="80">
        <f t="shared" si="8"/>
        <v>100</v>
      </c>
      <c r="H260" s="80">
        <f>VLOOKUP(D260,'Bu Erta'!$C$2:$F$66,4,0)*F260</f>
        <v>120</v>
      </c>
    </row>
    <row r="261" spans="1:8" x14ac:dyDescent="0.35">
      <c r="A261" s="5">
        <v>41</v>
      </c>
      <c r="B261" t="s">
        <v>115</v>
      </c>
      <c r="C261" s="5">
        <v>2</v>
      </c>
      <c r="D261" t="s">
        <v>27</v>
      </c>
      <c r="E261" s="80">
        <f>VLOOKUP(D261,'Bu Erta'!$C$2:$E$66,3,0)</f>
        <v>2800</v>
      </c>
      <c r="F261">
        <f>0.2+0.4+0.25</f>
        <v>0.85000000000000009</v>
      </c>
      <c r="G261" s="80">
        <f t="shared" si="8"/>
        <v>2380.0000000000005</v>
      </c>
      <c r="H261" s="80">
        <f>VLOOKUP(D261,'Bu Erta'!$C$2:$F$66,4,0)*F261</f>
        <v>2635.0000000000005</v>
      </c>
    </row>
    <row r="262" spans="1:8" x14ac:dyDescent="0.35">
      <c r="B262" t="s">
        <v>115</v>
      </c>
      <c r="D262" t="s">
        <v>42</v>
      </c>
      <c r="E262" s="80">
        <f>VLOOKUP(D262,'Bu Erta'!$C$2:$E$66,3,0)</f>
        <v>1000</v>
      </c>
      <c r="F262">
        <v>0.6</v>
      </c>
      <c r="G262" s="80">
        <f t="shared" si="8"/>
        <v>600</v>
      </c>
      <c r="H262" s="80">
        <f>VLOOKUP(D262,'Bu Erta'!$C$2:$F$66,4,0)*F262</f>
        <v>720</v>
      </c>
    </row>
    <row r="263" spans="1:8" x14ac:dyDescent="0.35">
      <c r="B263" t="s">
        <v>115</v>
      </c>
      <c r="D263" t="s">
        <v>23</v>
      </c>
      <c r="E263" s="80">
        <f>VLOOKUP(D263,'Bu Erta'!$C$2:$E$66,3,0)</f>
        <v>300</v>
      </c>
      <c r="F263">
        <v>0.3</v>
      </c>
      <c r="G263" s="80">
        <f t="shared" si="8"/>
        <v>90</v>
      </c>
      <c r="H263" s="80">
        <f>VLOOKUP(D263,'Bu Erta'!$C$2:$F$66,4,0)*F263</f>
        <v>120</v>
      </c>
    </row>
    <row r="264" spans="1:8" x14ac:dyDescent="0.35">
      <c r="B264" t="s">
        <v>115</v>
      </c>
      <c r="D264" t="s">
        <v>41</v>
      </c>
      <c r="E264" s="80">
        <f>VLOOKUP(D264,'Bu Erta'!$C$2:$E$66,3,0)</f>
        <v>1500</v>
      </c>
      <c r="F264">
        <v>0.1</v>
      </c>
      <c r="G264" s="80">
        <f t="shared" si="8"/>
        <v>150</v>
      </c>
      <c r="H264" s="80">
        <f>VLOOKUP(D264,'Bu Erta'!$C$2:$F$66,4,0)*F264</f>
        <v>200</v>
      </c>
    </row>
    <row r="265" spans="1:8" x14ac:dyDescent="0.35">
      <c r="B265" t="s">
        <v>115</v>
      </c>
      <c r="D265" t="s">
        <v>88</v>
      </c>
      <c r="E265" s="80">
        <f>VLOOKUP(D265,'Bu Erta'!$C$2:$E$66,3,0)</f>
        <v>300</v>
      </c>
      <c r="F265">
        <f>0.15+0.2</f>
        <v>0.35</v>
      </c>
      <c r="G265" s="80">
        <f t="shared" ref="G265:G289" si="9">E265*F265</f>
        <v>105</v>
      </c>
      <c r="H265" s="80">
        <f>VLOOKUP(D265,'Bu Erta'!$C$2:$F$66,4,0)*F265</f>
        <v>140</v>
      </c>
    </row>
    <row r="266" spans="1:8" x14ac:dyDescent="0.35">
      <c r="B266" t="s">
        <v>115</v>
      </c>
      <c r="D266" t="s">
        <v>69</v>
      </c>
      <c r="E266" s="80">
        <f>VLOOKUP(D266,'Bu Erta'!$C$2:$E$66,3,0)</f>
        <v>2500</v>
      </c>
      <c r="F266">
        <v>0.1</v>
      </c>
      <c r="G266" s="80">
        <f t="shared" si="9"/>
        <v>250</v>
      </c>
      <c r="H266" s="80">
        <f>VLOOKUP(D266,'Bu Erta'!$C$2:$F$66,4,0)*F266</f>
        <v>300</v>
      </c>
    </row>
    <row r="267" spans="1:8" x14ac:dyDescent="0.35">
      <c r="B267" t="s">
        <v>115</v>
      </c>
      <c r="D267" t="s">
        <v>7</v>
      </c>
      <c r="E267" s="80">
        <f>VLOOKUP(D267,'Bu Erta'!$C$2:$E$66,3,0)</f>
        <v>1400</v>
      </c>
      <c r="F267">
        <v>0.4</v>
      </c>
      <c r="G267" s="80">
        <f t="shared" si="9"/>
        <v>560</v>
      </c>
      <c r="H267" s="80">
        <f>VLOOKUP(D267,'Bu Erta'!$C$2:$F$66,4,0)*F267</f>
        <v>640</v>
      </c>
    </row>
    <row r="268" spans="1:8" x14ac:dyDescent="0.35">
      <c r="A268" s="5">
        <v>42</v>
      </c>
      <c r="B268" t="s">
        <v>118</v>
      </c>
      <c r="C268" s="5">
        <v>4</v>
      </c>
      <c r="D268" t="s">
        <v>7</v>
      </c>
      <c r="E268" s="80">
        <f>VLOOKUP(D268,'Bu Erta'!$C$2:$E$66,3,0)</f>
        <v>1400</v>
      </c>
      <c r="F268">
        <v>3.7</v>
      </c>
      <c r="G268" s="80">
        <f t="shared" si="9"/>
        <v>5180</v>
      </c>
      <c r="H268" s="80">
        <f>VLOOKUP(D268,'Bu Erta'!$C$2:$F$66,4,0)*F268</f>
        <v>5920</v>
      </c>
    </row>
    <row r="269" spans="1:8" x14ac:dyDescent="0.35">
      <c r="B269" t="s">
        <v>118</v>
      </c>
      <c r="D269" t="s">
        <v>27</v>
      </c>
      <c r="E269" s="80">
        <f>VLOOKUP(D269,'Bu Erta'!$C$2:$E$66,3,0)</f>
        <v>2800</v>
      </c>
      <c r="F269">
        <v>0.55000000000000004</v>
      </c>
      <c r="G269" s="80">
        <f t="shared" si="9"/>
        <v>1540.0000000000002</v>
      </c>
      <c r="H269" s="80">
        <f>VLOOKUP(D269,'Bu Erta'!$C$2:$F$66,4,0)*F269</f>
        <v>1705.0000000000002</v>
      </c>
    </row>
    <row r="270" spans="1:8" x14ac:dyDescent="0.35">
      <c r="B270" t="s">
        <v>118</v>
      </c>
      <c r="D270" t="s">
        <v>34</v>
      </c>
      <c r="E270" s="80">
        <f>VLOOKUP(D270,'Bu Erta'!$C$2:$E$66,3,0)</f>
        <v>3500</v>
      </c>
      <c r="F270">
        <v>0.55000000000000004</v>
      </c>
      <c r="G270" s="80">
        <f t="shared" si="9"/>
        <v>1925.0000000000002</v>
      </c>
      <c r="H270" s="80">
        <f>VLOOKUP(D270,'Bu Erta'!$C$2:$F$66,4,0)*F270</f>
        <v>1980.0000000000002</v>
      </c>
    </row>
    <row r="271" spans="1:8" x14ac:dyDescent="0.35">
      <c r="B271" t="s">
        <v>118</v>
      </c>
      <c r="D271" t="s">
        <v>88</v>
      </c>
      <c r="E271" s="80">
        <f>VLOOKUP(D271,'Bu Erta'!$C$2:$E$66,3,0)</f>
        <v>300</v>
      </c>
      <c r="F271">
        <v>0.25</v>
      </c>
      <c r="G271" s="80">
        <f t="shared" si="9"/>
        <v>75</v>
      </c>
      <c r="H271" s="80">
        <f>VLOOKUP(D271,'Bu Erta'!$C$2:$F$66,4,0)*F271</f>
        <v>100</v>
      </c>
    </row>
    <row r="272" spans="1:8" x14ac:dyDescent="0.35">
      <c r="B272" t="s">
        <v>118</v>
      </c>
      <c r="D272" t="s">
        <v>42</v>
      </c>
      <c r="E272" s="80">
        <f>VLOOKUP(D272,'Bu Erta'!$C$2:$E$66,3,0)</f>
        <v>1000</v>
      </c>
      <c r="F272">
        <v>3.8</v>
      </c>
      <c r="G272" s="80">
        <f t="shared" si="9"/>
        <v>3800</v>
      </c>
      <c r="H272" s="80">
        <f>VLOOKUP(D272,'Bu Erta'!$C$2:$F$66,4,0)*F272</f>
        <v>4560</v>
      </c>
    </row>
    <row r="273" spans="1:8" x14ac:dyDescent="0.35">
      <c r="B273" t="s">
        <v>118</v>
      </c>
      <c r="D273" t="s">
        <v>19</v>
      </c>
      <c r="E273" s="80">
        <f>VLOOKUP(D273,'Bu Erta'!$C$2:$E$66,3,0)</f>
        <v>200</v>
      </c>
      <c r="F273">
        <v>1</v>
      </c>
      <c r="G273" s="80">
        <f t="shared" si="9"/>
        <v>200</v>
      </c>
      <c r="H273" s="80">
        <f>VLOOKUP(D273,'Bu Erta'!$C$2:$F$66,4,0)*F273</f>
        <v>300</v>
      </c>
    </row>
    <row r="274" spans="1:8" x14ac:dyDescent="0.35">
      <c r="A274" s="5">
        <v>43</v>
      </c>
      <c r="B274" t="s">
        <v>135</v>
      </c>
      <c r="C274" s="5">
        <v>4</v>
      </c>
      <c r="D274" t="s">
        <v>27</v>
      </c>
      <c r="E274" s="80">
        <f>VLOOKUP(D274,'Bu Erta'!$C$2:$E$66,3,0)</f>
        <v>2800</v>
      </c>
      <c r="F274">
        <f>1.1+0.9</f>
        <v>2</v>
      </c>
      <c r="G274" s="80">
        <f t="shared" si="9"/>
        <v>5600</v>
      </c>
      <c r="H274" s="80">
        <f>VLOOKUP(D274,'Bu Erta'!$C$2:$F$66,4,0)*F274</f>
        <v>6200</v>
      </c>
    </row>
    <row r="275" spans="1:8" x14ac:dyDescent="0.35">
      <c r="B275" t="s">
        <v>135</v>
      </c>
      <c r="D275" t="s">
        <v>19</v>
      </c>
      <c r="E275" s="80">
        <f>VLOOKUP(D275,'Bu Erta'!$C$2:$E$66,3,0)</f>
        <v>200</v>
      </c>
      <c r="F275">
        <f>4.1+3.45</f>
        <v>7.55</v>
      </c>
      <c r="G275" s="80">
        <f t="shared" si="9"/>
        <v>1510</v>
      </c>
      <c r="H275" s="80">
        <f>VLOOKUP(D275,'Bu Erta'!$C$2:$F$66,4,0)*F275</f>
        <v>2265</v>
      </c>
    </row>
    <row r="276" spans="1:8" x14ac:dyDescent="0.35">
      <c r="B276" t="s">
        <v>135</v>
      </c>
      <c r="D276" t="s">
        <v>23</v>
      </c>
      <c r="E276" s="80">
        <f>VLOOKUP(D276,'Bu Erta'!$C$2:$E$66,3,0)</f>
        <v>300</v>
      </c>
      <c r="F276">
        <v>2.75</v>
      </c>
      <c r="G276" s="80">
        <f t="shared" si="9"/>
        <v>825</v>
      </c>
      <c r="H276" s="80">
        <f>VLOOKUP(D276,'Bu Erta'!$C$2:$F$66,4,0)*F276</f>
        <v>1100</v>
      </c>
    </row>
    <row r="277" spans="1:8" x14ac:dyDescent="0.35">
      <c r="B277" t="s">
        <v>135</v>
      </c>
      <c r="D277" t="s">
        <v>42</v>
      </c>
      <c r="E277" s="80">
        <f>VLOOKUP(D277,'Bu Erta'!$C$2:$E$66,3,0)</f>
        <v>1000</v>
      </c>
      <c r="F277">
        <v>0.25</v>
      </c>
      <c r="G277" s="80">
        <f t="shared" si="9"/>
        <v>250</v>
      </c>
      <c r="H277" s="80">
        <f>VLOOKUP(D277,'Bu Erta'!$C$2:$F$66,4,0)*F277</f>
        <v>300</v>
      </c>
    </row>
    <row r="278" spans="1:8" x14ac:dyDescent="0.35">
      <c r="B278" t="s">
        <v>135</v>
      </c>
      <c r="D278" t="s">
        <v>69</v>
      </c>
      <c r="E278" s="80">
        <f>VLOOKUP(D278,'Bu Erta'!$C$2:$E$66,3,0)</f>
        <v>2500</v>
      </c>
      <c r="F278">
        <v>0.2</v>
      </c>
      <c r="G278" s="80">
        <f t="shared" si="9"/>
        <v>500</v>
      </c>
      <c r="H278" s="80">
        <f>VLOOKUP(D278,'Bu Erta'!$C$2:$F$66,4,0)*F278</f>
        <v>600</v>
      </c>
    </row>
    <row r="279" spans="1:8" x14ac:dyDescent="0.35">
      <c r="B279" t="s">
        <v>135</v>
      </c>
      <c r="D279" t="s">
        <v>70</v>
      </c>
      <c r="E279" s="80">
        <f>VLOOKUP(D279,'Bu Erta'!$C$2:$E$66,3,0)</f>
        <v>3500</v>
      </c>
      <c r="F279">
        <v>0.25</v>
      </c>
      <c r="G279" s="80">
        <f t="shared" si="9"/>
        <v>875</v>
      </c>
      <c r="H279" s="80">
        <f>VLOOKUP(D279,'Bu Erta'!$C$2:$F$66,4,0)*F279</f>
        <v>1000</v>
      </c>
    </row>
    <row r="280" spans="1:8" x14ac:dyDescent="0.35">
      <c r="B280" t="s">
        <v>135</v>
      </c>
      <c r="D280" t="s">
        <v>24</v>
      </c>
      <c r="E280" s="80">
        <f>VLOOKUP(D280,'Bu Erta'!$C$2:$E$66,3,0)</f>
        <v>150</v>
      </c>
      <c r="F280">
        <v>0.6</v>
      </c>
      <c r="G280" s="80">
        <f t="shared" si="9"/>
        <v>90</v>
      </c>
      <c r="H280" s="80">
        <f>VLOOKUP(D280,'Bu Erta'!$C$2:$F$66,4,0)*F280</f>
        <v>120</v>
      </c>
    </row>
    <row r="281" spans="1:8" x14ac:dyDescent="0.35">
      <c r="B281" t="s">
        <v>135</v>
      </c>
      <c r="D281" t="s">
        <v>41</v>
      </c>
      <c r="E281" s="80">
        <f>VLOOKUP(D281,'Bu Erta'!$C$2:$E$66,3,0)</f>
        <v>1500</v>
      </c>
      <c r="F281">
        <v>0.6</v>
      </c>
      <c r="G281" s="80">
        <f t="shared" si="9"/>
        <v>900</v>
      </c>
      <c r="H281" s="80">
        <f>VLOOKUP(D281,'Bu Erta'!$C$2:$F$66,4,0)*F281</f>
        <v>1200</v>
      </c>
    </row>
    <row r="282" spans="1:8" x14ac:dyDescent="0.35">
      <c r="B282" t="s">
        <v>135</v>
      </c>
      <c r="D282" t="s">
        <v>17</v>
      </c>
      <c r="E282" s="80">
        <f>VLOOKUP(D282,'Bu Erta'!$C$2:$E$66,3,0)</f>
        <v>8000</v>
      </c>
      <c r="F282">
        <v>0.2</v>
      </c>
      <c r="G282" s="80">
        <f t="shared" si="9"/>
        <v>1600</v>
      </c>
      <c r="H282" s="80">
        <f>VLOOKUP(D282,'Bu Erta'!$C$2:$F$66,4,0)*F282</f>
        <v>1700</v>
      </c>
    </row>
    <row r="283" spans="1:8" x14ac:dyDescent="0.35">
      <c r="B283" t="s">
        <v>135</v>
      </c>
      <c r="D283" t="s">
        <v>7</v>
      </c>
      <c r="E283" s="80">
        <f>VLOOKUP(D283,'Bu Erta'!$C$2:$E$66,3,0)</f>
        <v>1400</v>
      </c>
      <c r="F283">
        <f>0.15+0.75</f>
        <v>0.9</v>
      </c>
      <c r="G283" s="80">
        <f t="shared" si="9"/>
        <v>1260</v>
      </c>
      <c r="H283" s="80">
        <f>VLOOKUP(D283,'Bu Erta'!$C$2:$F$66,4,0)*F283</f>
        <v>1440</v>
      </c>
    </row>
    <row r="284" spans="1:8" x14ac:dyDescent="0.35">
      <c r="A284" s="5">
        <v>44</v>
      </c>
      <c r="B284" t="s">
        <v>164</v>
      </c>
      <c r="C284" s="5">
        <v>3</v>
      </c>
      <c r="D284" t="s">
        <v>25</v>
      </c>
      <c r="E284" s="80">
        <f>VLOOKUP(D284,'Bu Erta'!$C$2:$E$66,3,0)</f>
        <v>1600</v>
      </c>
      <c r="F284">
        <v>0.8</v>
      </c>
      <c r="G284" s="80">
        <f t="shared" si="9"/>
        <v>1280</v>
      </c>
      <c r="H284" s="80">
        <f>VLOOKUP(D284,'Bu Erta'!$C$2:$F$66,4,0)*F284</f>
        <v>1360</v>
      </c>
    </row>
    <row r="285" spans="1:8" x14ac:dyDescent="0.35">
      <c r="B285" t="s">
        <v>164</v>
      </c>
      <c r="D285" t="s">
        <v>42</v>
      </c>
      <c r="E285" s="80">
        <f>VLOOKUP(D285,'Bu Erta'!$C$2:$E$66,3,0)</f>
        <v>1000</v>
      </c>
      <c r="F285">
        <v>0.45</v>
      </c>
      <c r="G285" s="80">
        <f t="shared" si="9"/>
        <v>450</v>
      </c>
      <c r="H285" s="80">
        <f>VLOOKUP(D285,'Bu Erta'!$C$2:$F$66,4,0)*F285</f>
        <v>540</v>
      </c>
    </row>
    <row r="286" spans="1:8" x14ac:dyDescent="0.35">
      <c r="B286" t="s">
        <v>164</v>
      </c>
      <c r="D286" t="s">
        <v>88</v>
      </c>
      <c r="E286" s="80">
        <f>VLOOKUP(D286,'Bu Erta'!$C$2:$E$66,3,0)</f>
        <v>300</v>
      </c>
      <c r="F286">
        <v>0.35</v>
      </c>
      <c r="G286" s="80">
        <f t="shared" si="9"/>
        <v>105</v>
      </c>
      <c r="H286" s="80">
        <f>VLOOKUP(D286,'Bu Erta'!$C$2:$F$66,4,0)*F286</f>
        <v>140</v>
      </c>
    </row>
    <row r="287" spans="1:8" x14ac:dyDescent="0.35">
      <c r="B287" t="s">
        <v>164</v>
      </c>
      <c r="D287" t="s">
        <v>31</v>
      </c>
      <c r="E287" s="80">
        <f>VLOOKUP(D287,'Bu Erta'!$C$2:$E$66,3,0)</f>
        <v>1000</v>
      </c>
      <c r="F287">
        <v>0.75</v>
      </c>
      <c r="G287" s="80">
        <f t="shared" si="9"/>
        <v>750</v>
      </c>
      <c r="H287" s="80">
        <f>VLOOKUP(D287,'Bu Erta'!$C$2:$F$66,4,0)*F287</f>
        <v>825</v>
      </c>
    </row>
    <row r="288" spans="1:8" x14ac:dyDescent="0.35">
      <c r="A288" s="5">
        <v>45</v>
      </c>
      <c r="B288" t="s">
        <v>295</v>
      </c>
      <c r="C288" s="5">
        <v>6</v>
      </c>
      <c r="D288" t="s">
        <v>23</v>
      </c>
      <c r="E288" s="80">
        <f>VLOOKUP(D288,'Bu Erta'!$C$2:$E$66,3,0)</f>
        <v>300</v>
      </c>
      <c r="F288">
        <v>0.35</v>
      </c>
      <c r="G288" s="80">
        <f t="shared" si="9"/>
        <v>105</v>
      </c>
      <c r="H288" s="80">
        <f>VLOOKUP(D288,'Bu Erta'!$C$2:$F$66,4,0)*F288</f>
        <v>140</v>
      </c>
    </row>
    <row r="289" spans="2:8" x14ac:dyDescent="0.35">
      <c r="B289" t="s">
        <v>295</v>
      </c>
      <c r="D289" t="s">
        <v>31</v>
      </c>
      <c r="E289" s="80">
        <f>VLOOKUP(D289,'Bu Erta'!$C$2:$E$66,3,0)</f>
        <v>1000</v>
      </c>
      <c r="F289">
        <v>0.75</v>
      </c>
      <c r="G289" s="80">
        <f t="shared" si="9"/>
        <v>750</v>
      </c>
      <c r="H289" s="80">
        <f>VLOOKUP(D289,'Bu Erta'!$C$2:$F$66,4,0)*F289</f>
        <v>825</v>
      </c>
    </row>
    <row r="290" spans="2:8" x14ac:dyDescent="0.35">
      <c r="E290" s="80"/>
      <c r="G290" s="80">
        <f>SUM(G3:G289)</f>
        <v>755582.5</v>
      </c>
      <c r="H290" s="80">
        <f>SUM(H3:H289)</f>
        <v>889460</v>
      </c>
    </row>
    <row r="291" spans="2:8" x14ac:dyDescent="0.35">
      <c r="E291" s="80"/>
      <c r="G291" s="80"/>
      <c r="H291" s="80"/>
    </row>
    <row r="292" spans="2:8" x14ac:dyDescent="0.35">
      <c r="E292" s="80"/>
      <c r="G292" s="80"/>
      <c r="H292" s="80"/>
    </row>
    <row r="293" spans="2:8" x14ac:dyDescent="0.35">
      <c r="E293" s="80"/>
      <c r="G293" s="80"/>
      <c r="H293" s="80"/>
    </row>
    <row r="294" spans="2:8" x14ac:dyDescent="0.35">
      <c r="E294" s="80"/>
      <c r="G294" s="80"/>
      <c r="H294" s="80"/>
    </row>
    <row r="295" spans="2:8" x14ac:dyDescent="0.35">
      <c r="E295" s="80"/>
      <c r="G295" s="80"/>
      <c r="H295" s="80"/>
    </row>
    <row r="296" spans="2:8" x14ac:dyDescent="0.35">
      <c r="E296" s="80"/>
      <c r="G296" s="80"/>
      <c r="H296" s="80"/>
    </row>
    <row r="297" spans="2:8" x14ac:dyDescent="0.35">
      <c r="E297" s="80"/>
      <c r="G297" s="80"/>
      <c r="H297" s="80"/>
    </row>
    <row r="298" spans="2:8" x14ac:dyDescent="0.35">
      <c r="E298" s="80"/>
      <c r="G298" s="80"/>
      <c r="H298" s="80"/>
    </row>
    <row r="299" spans="2:8" x14ac:dyDescent="0.35">
      <c r="E299" s="80"/>
      <c r="G299" s="80"/>
      <c r="H299" s="80"/>
    </row>
    <row r="300" spans="2:8" x14ac:dyDescent="0.35">
      <c r="E300" s="80"/>
      <c r="G300" s="80"/>
      <c r="H300" s="80"/>
    </row>
    <row r="301" spans="2:8" x14ac:dyDescent="0.35">
      <c r="E301" s="80"/>
      <c r="G301" s="80"/>
      <c r="H301" s="80"/>
    </row>
    <row r="302" spans="2:8" x14ac:dyDescent="0.35">
      <c r="E302" s="80"/>
      <c r="G302" s="80"/>
      <c r="H302" s="80"/>
    </row>
    <row r="303" spans="2:8" x14ac:dyDescent="0.35">
      <c r="E303" s="80"/>
      <c r="G303" s="80"/>
      <c r="H303" s="80"/>
    </row>
    <row r="304" spans="2:8" x14ac:dyDescent="0.35">
      <c r="E304" s="80"/>
      <c r="G304" s="80"/>
      <c r="H304" s="80"/>
    </row>
    <row r="305" spans="5:8" x14ac:dyDescent="0.35">
      <c r="E305" s="80"/>
      <c r="G305" s="80"/>
      <c r="H305" s="80"/>
    </row>
    <row r="306" spans="5:8" x14ac:dyDescent="0.35">
      <c r="E306" s="80"/>
      <c r="G306" s="80"/>
      <c r="H306" s="80"/>
    </row>
    <row r="307" spans="5:8" x14ac:dyDescent="0.35">
      <c r="E307" s="80"/>
      <c r="G307" s="80"/>
      <c r="H307" s="80"/>
    </row>
    <row r="308" spans="5:8" x14ac:dyDescent="0.35">
      <c r="E308" s="80"/>
      <c r="G308" s="80"/>
      <c r="H308" s="80"/>
    </row>
    <row r="309" spans="5:8" x14ac:dyDescent="0.35">
      <c r="E309" s="80"/>
      <c r="G309" s="80"/>
      <c r="H309" s="80"/>
    </row>
    <row r="310" spans="5:8" x14ac:dyDescent="0.35">
      <c r="E310" s="80"/>
      <c r="G310" s="80"/>
      <c r="H310" s="80"/>
    </row>
    <row r="311" spans="5:8" x14ac:dyDescent="0.35">
      <c r="E311" s="80"/>
      <c r="G311" s="80"/>
      <c r="H311" s="80"/>
    </row>
    <row r="312" spans="5:8" x14ac:dyDescent="0.35">
      <c r="E312" s="80"/>
      <c r="G312" s="80"/>
      <c r="H312" s="80"/>
    </row>
    <row r="313" spans="5:8" x14ac:dyDescent="0.35">
      <c r="E313" s="80"/>
      <c r="G313" s="80"/>
      <c r="H313" s="80"/>
    </row>
    <row r="314" spans="5:8" x14ac:dyDescent="0.35">
      <c r="E314" s="80"/>
      <c r="G314" s="80"/>
      <c r="H314" s="80"/>
    </row>
    <row r="315" spans="5:8" x14ac:dyDescent="0.35">
      <c r="E315" s="80"/>
      <c r="G315" s="80"/>
      <c r="H315" s="80"/>
    </row>
    <row r="316" spans="5:8" x14ac:dyDescent="0.35">
      <c r="E316" s="80"/>
      <c r="G316" s="80"/>
      <c r="H316" s="80"/>
    </row>
    <row r="317" spans="5:8" x14ac:dyDescent="0.35">
      <c r="E317" s="80"/>
      <c r="G317" s="80"/>
      <c r="H317" s="80"/>
    </row>
    <row r="318" spans="5:8" x14ac:dyDescent="0.35">
      <c r="E318" s="80"/>
      <c r="G318" s="80"/>
      <c r="H318" s="80"/>
    </row>
    <row r="319" spans="5:8" x14ac:dyDescent="0.35">
      <c r="E319" s="80"/>
      <c r="G319" s="80"/>
      <c r="H319" s="80"/>
    </row>
    <row r="320" spans="5:8" x14ac:dyDescent="0.35">
      <c r="E320" s="80"/>
      <c r="G320" s="80"/>
      <c r="H320" s="80"/>
    </row>
    <row r="321" spans="5:8" x14ac:dyDescent="0.35">
      <c r="E321" s="80"/>
      <c r="G321" s="80"/>
      <c r="H321" s="80"/>
    </row>
    <row r="322" spans="5:8" x14ac:dyDescent="0.35">
      <c r="E322" s="80"/>
      <c r="G322" s="80"/>
      <c r="H322" s="80"/>
    </row>
    <row r="323" spans="5:8" x14ac:dyDescent="0.35">
      <c r="E323" s="80"/>
      <c r="G323" s="80"/>
      <c r="H323" s="80"/>
    </row>
    <row r="324" spans="5:8" x14ac:dyDescent="0.35">
      <c r="E324" s="80"/>
      <c r="G324" s="80"/>
      <c r="H324" s="80"/>
    </row>
    <row r="325" spans="5:8" x14ac:dyDescent="0.35">
      <c r="E325" s="80"/>
      <c r="G325" s="80"/>
      <c r="H325" s="80"/>
    </row>
    <row r="326" spans="5:8" x14ac:dyDescent="0.35">
      <c r="E326" s="80"/>
      <c r="G326" s="80"/>
      <c r="H326" s="80"/>
    </row>
    <row r="327" spans="5:8" x14ac:dyDescent="0.35">
      <c r="E327" s="80"/>
      <c r="G327" s="80"/>
      <c r="H327" s="80"/>
    </row>
    <row r="328" spans="5:8" x14ac:dyDescent="0.35">
      <c r="E328" s="80"/>
      <c r="G328" s="80"/>
      <c r="H328" s="80"/>
    </row>
    <row r="329" spans="5:8" x14ac:dyDescent="0.35">
      <c r="E329" s="80"/>
      <c r="G329" s="80"/>
      <c r="H329" s="80"/>
    </row>
    <row r="330" spans="5:8" x14ac:dyDescent="0.35">
      <c r="E330" s="80"/>
      <c r="G330" s="80"/>
      <c r="H330" s="80"/>
    </row>
    <row r="331" spans="5:8" x14ac:dyDescent="0.35">
      <c r="E331" s="80"/>
      <c r="G331" s="80"/>
      <c r="H331" s="80"/>
    </row>
    <row r="332" spans="5:8" x14ac:dyDescent="0.35">
      <c r="E332" s="80"/>
      <c r="G332" s="80"/>
      <c r="H332" s="80"/>
    </row>
    <row r="333" spans="5:8" x14ac:dyDescent="0.35">
      <c r="E333" s="80"/>
      <c r="G333" s="80"/>
      <c r="H333" s="80"/>
    </row>
    <row r="334" spans="5:8" x14ac:dyDescent="0.35">
      <c r="E334" s="80"/>
      <c r="G334" s="80"/>
      <c r="H334" s="80"/>
    </row>
    <row r="335" spans="5:8" x14ac:dyDescent="0.35">
      <c r="E335" s="80"/>
      <c r="G335" s="80"/>
      <c r="H335" s="80"/>
    </row>
    <row r="336" spans="5:8" x14ac:dyDescent="0.35">
      <c r="E336" s="80"/>
      <c r="G336" s="80"/>
      <c r="H336" s="80"/>
    </row>
    <row r="337" spans="5:8" x14ac:dyDescent="0.35">
      <c r="E337" s="80"/>
      <c r="G337" s="80"/>
      <c r="H337" s="80"/>
    </row>
    <row r="338" spans="5:8" x14ac:dyDescent="0.35">
      <c r="E338" s="80"/>
      <c r="G338" s="80"/>
      <c r="H338" s="80"/>
    </row>
    <row r="339" spans="5:8" x14ac:dyDescent="0.35">
      <c r="E339" s="80"/>
      <c r="G339" s="80"/>
      <c r="H339" s="80"/>
    </row>
    <row r="340" spans="5:8" x14ac:dyDescent="0.35">
      <c r="E340" s="80"/>
      <c r="G340" s="80"/>
      <c r="H340" s="80"/>
    </row>
    <row r="341" spans="5:8" x14ac:dyDescent="0.35">
      <c r="E341" s="80"/>
      <c r="G341" s="80"/>
      <c r="H341" s="80"/>
    </row>
    <row r="342" spans="5:8" x14ac:dyDescent="0.35">
      <c r="E342" s="80"/>
      <c r="G342" s="80"/>
      <c r="H342" s="80"/>
    </row>
    <row r="343" spans="5:8" x14ac:dyDescent="0.35">
      <c r="E343" s="80"/>
      <c r="G343" s="80"/>
      <c r="H343" s="80"/>
    </row>
    <row r="344" spans="5:8" x14ac:dyDescent="0.35">
      <c r="E344" s="80"/>
      <c r="G344" s="80"/>
      <c r="H344" s="80"/>
    </row>
    <row r="345" spans="5:8" x14ac:dyDescent="0.35">
      <c r="E345" s="80"/>
      <c r="G345" s="80"/>
      <c r="H345" s="80"/>
    </row>
    <row r="346" spans="5:8" x14ac:dyDescent="0.35">
      <c r="E346" s="80"/>
      <c r="G346" s="80"/>
      <c r="H346" s="80"/>
    </row>
    <row r="347" spans="5:8" x14ac:dyDescent="0.35">
      <c r="E347" s="80"/>
      <c r="G347" s="80"/>
      <c r="H347" s="80"/>
    </row>
    <row r="348" spans="5:8" x14ac:dyDescent="0.35">
      <c r="E348" s="80"/>
      <c r="G348" s="80"/>
      <c r="H348" s="80"/>
    </row>
    <row r="349" spans="5:8" x14ac:dyDescent="0.35">
      <c r="E349" s="80"/>
      <c r="G349" s="80"/>
      <c r="H349" s="80"/>
    </row>
    <row r="350" spans="5:8" x14ac:dyDescent="0.35">
      <c r="E350" s="80"/>
      <c r="G350" s="80"/>
      <c r="H350" s="80"/>
    </row>
    <row r="351" spans="5:8" x14ac:dyDescent="0.35">
      <c r="E351" s="80"/>
      <c r="G351" s="80"/>
      <c r="H351" s="80"/>
    </row>
    <row r="352" spans="5:8" x14ac:dyDescent="0.35">
      <c r="E352" s="80"/>
      <c r="G352" s="80"/>
      <c r="H352" s="80"/>
    </row>
    <row r="353" spans="5:8" x14ac:dyDescent="0.35">
      <c r="E353" s="80"/>
      <c r="G353" s="80"/>
      <c r="H353" s="80"/>
    </row>
    <row r="354" spans="5:8" x14ac:dyDescent="0.35">
      <c r="E354" s="80"/>
      <c r="G354" s="80"/>
      <c r="H354" s="80"/>
    </row>
    <row r="355" spans="5:8" x14ac:dyDescent="0.35">
      <c r="E355" s="80"/>
      <c r="G355" s="80"/>
      <c r="H355" s="80"/>
    </row>
    <row r="356" spans="5:8" x14ac:dyDescent="0.35">
      <c r="E356" s="80"/>
      <c r="G356" s="80"/>
      <c r="H356" s="80"/>
    </row>
    <row r="357" spans="5:8" x14ac:dyDescent="0.35">
      <c r="E357" s="80"/>
      <c r="G357" s="80"/>
      <c r="H357" s="80"/>
    </row>
    <row r="358" spans="5:8" x14ac:dyDescent="0.35">
      <c r="E358" s="80"/>
      <c r="G358" s="80"/>
      <c r="H358" s="80"/>
    </row>
    <row r="359" spans="5:8" x14ac:dyDescent="0.35">
      <c r="E359" s="80"/>
      <c r="G359" s="80"/>
      <c r="H359" s="80"/>
    </row>
    <row r="360" spans="5:8" x14ac:dyDescent="0.35">
      <c r="E360" s="80"/>
      <c r="G360" s="80"/>
      <c r="H360" s="80"/>
    </row>
    <row r="361" spans="5:8" x14ac:dyDescent="0.35">
      <c r="E361" s="80"/>
      <c r="G361" s="80"/>
      <c r="H361" s="80"/>
    </row>
    <row r="362" spans="5:8" x14ac:dyDescent="0.35">
      <c r="E362" s="80"/>
      <c r="G362" s="80"/>
      <c r="H362" s="80"/>
    </row>
    <row r="363" spans="5:8" x14ac:dyDescent="0.35">
      <c r="E363" s="80"/>
      <c r="G363" s="80"/>
      <c r="H363" s="80"/>
    </row>
    <row r="364" spans="5:8" x14ac:dyDescent="0.35">
      <c r="E364" s="80"/>
      <c r="G364" s="80"/>
      <c r="H364" s="80"/>
    </row>
    <row r="365" spans="5:8" x14ac:dyDescent="0.35">
      <c r="E365" s="80"/>
      <c r="G365" s="80"/>
      <c r="H365" s="80"/>
    </row>
    <row r="366" spans="5:8" x14ac:dyDescent="0.35">
      <c r="E366" s="80"/>
      <c r="G366" s="80"/>
      <c r="H366" s="80"/>
    </row>
    <row r="367" spans="5:8" x14ac:dyDescent="0.35">
      <c r="E367" s="80"/>
      <c r="G367" s="80"/>
      <c r="H367" s="80"/>
    </row>
    <row r="368" spans="5:8" x14ac:dyDescent="0.35">
      <c r="E368" s="80"/>
      <c r="G368" s="80"/>
      <c r="H368" s="80"/>
    </row>
    <row r="369" spans="5:8" x14ac:dyDescent="0.35">
      <c r="E369" s="80"/>
      <c r="G369" s="80"/>
      <c r="H369" s="80"/>
    </row>
    <row r="370" spans="5:8" x14ac:dyDescent="0.35">
      <c r="E370" s="80"/>
      <c r="G370" s="80"/>
      <c r="H370" s="80"/>
    </row>
    <row r="371" spans="5:8" x14ac:dyDescent="0.35">
      <c r="E371" s="80"/>
      <c r="G371" s="80"/>
      <c r="H371" s="80"/>
    </row>
    <row r="372" spans="5:8" x14ac:dyDescent="0.35">
      <c r="E372" s="80"/>
      <c r="G372" s="80"/>
      <c r="H372" s="80"/>
    </row>
    <row r="373" spans="5:8" x14ac:dyDescent="0.35">
      <c r="E373" s="80"/>
      <c r="G373" s="80"/>
      <c r="H373" s="80"/>
    </row>
    <row r="374" spans="5:8" x14ac:dyDescent="0.35">
      <c r="E374" s="80"/>
      <c r="G374" s="80"/>
      <c r="H374" s="80"/>
    </row>
    <row r="375" spans="5:8" x14ac:dyDescent="0.35">
      <c r="E375" s="80"/>
      <c r="G375" s="80"/>
      <c r="H375" s="80"/>
    </row>
    <row r="376" spans="5:8" x14ac:dyDescent="0.35">
      <c r="E376" s="80"/>
      <c r="G376" s="80"/>
      <c r="H376" s="80"/>
    </row>
    <row r="377" spans="5:8" x14ac:dyDescent="0.35">
      <c r="E377" s="80"/>
      <c r="G377" s="80"/>
      <c r="H377" s="80"/>
    </row>
    <row r="378" spans="5:8" x14ac:dyDescent="0.35">
      <c r="E378" s="80"/>
      <c r="G378" s="80"/>
      <c r="H378" s="80"/>
    </row>
    <row r="379" spans="5:8" x14ac:dyDescent="0.35">
      <c r="E379" s="80"/>
      <c r="G379" s="80"/>
      <c r="H379" s="80"/>
    </row>
    <row r="380" spans="5:8" x14ac:dyDescent="0.35">
      <c r="E380" s="80"/>
      <c r="G380" s="80"/>
      <c r="H380" s="80"/>
    </row>
    <row r="381" spans="5:8" x14ac:dyDescent="0.35">
      <c r="E381" s="80"/>
      <c r="G381" s="80"/>
      <c r="H381" s="80"/>
    </row>
    <row r="382" spans="5:8" x14ac:dyDescent="0.35">
      <c r="E382" s="80"/>
      <c r="G382" s="80"/>
      <c r="H382" s="80"/>
    </row>
    <row r="383" spans="5:8" x14ac:dyDescent="0.35">
      <c r="E383" s="80"/>
      <c r="G383" s="80"/>
      <c r="H383" s="80"/>
    </row>
    <row r="384" spans="5:8" x14ac:dyDescent="0.35">
      <c r="E384" s="80"/>
      <c r="G384" s="80"/>
      <c r="H384" s="80"/>
    </row>
    <row r="385" spans="5:8" x14ac:dyDescent="0.35">
      <c r="E385" s="80"/>
      <c r="G385" s="80"/>
      <c r="H385" s="80"/>
    </row>
    <row r="386" spans="5:8" x14ac:dyDescent="0.35">
      <c r="E386" s="80"/>
      <c r="G386" s="80"/>
      <c r="H386" s="80"/>
    </row>
    <row r="387" spans="5:8" x14ac:dyDescent="0.35">
      <c r="E387" s="80"/>
      <c r="G387" s="80"/>
      <c r="H387" s="80"/>
    </row>
    <row r="388" spans="5:8" x14ac:dyDescent="0.35">
      <c r="E388" s="80"/>
      <c r="G388" s="80"/>
      <c r="H388" s="80"/>
    </row>
    <row r="389" spans="5:8" x14ac:dyDescent="0.35">
      <c r="E389" s="80"/>
      <c r="G389" s="80"/>
      <c r="H389" s="80"/>
    </row>
    <row r="390" spans="5:8" x14ac:dyDescent="0.35">
      <c r="E390" s="80"/>
      <c r="G390" s="80"/>
      <c r="H390" s="80"/>
    </row>
    <row r="391" spans="5:8" x14ac:dyDescent="0.35">
      <c r="E391" s="80"/>
      <c r="G391" s="80"/>
      <c r="H391" s="80"/>
    </row>
    <row r="392" spans="5:8" x14ac:dyDescent="0.35">
      <c r="E392" s="80"/>
      <c r="G392" s="80"/>
      <c r="H392" s="80"/>
    </row>
    <row r="393" spans="5:8" x14ac:dyDescent="0.35">
      <c r="E393" s="80"/>
      <c r="G393" s="80"/>
      <c r="H393" s="80"/>
    </row>
    <row r="394" spans="5:8" x14ac:dyDescent="0.35">
      <c r="E394" s="80"/>
      <c r="G394" s="80"/>
      <c r="H394" s="80"/>
    </row>
    <row r="395" spans="5:8" x14ac:dyDescent="0.35">
      <c r="E395" s="80"/>
      <c r="G395" s="80"/>
      <c r="H395" s="80"/>
    </row>
    <row r="396" spans="5:8" x14ac:dyDescent="0.35">
      <c r="E396" s="80"/>
      <c r="G396" s="80"/>
      <c r="H396" s="80"/>
    </row>
    <row r="397" spans="5:8" x14ac:dyDescent="0.35">
      <c r="E397" s="80"/>
      <c r="G397" s="80"/>
      <c r="H397" s="80"/>
    </row>
    <row r="398" spans="5:8" x14ac:dyDescent="0.35">
      <c r="E398" s="80"/>
      <c r="G398" s="80"/>
      <c r="H398" s="80"/>
    </row>
    <row r="399" spans="5:8" x14ac:dyDescent="0.35">
      <c r="E399" s="80"/>
      <c r="G399" s="80"/>
      <c r="H399" s="80"/>
    </row>
    <row r="400" spans="5:8" x14ac:dyDescent="0.35">
      <c r="E400" s="80"/>
      <c r="G400" s="80"/>
      <c r="H400" s="80"/>
    </row>
    <row r="401" spans="5:8" x14ac:dyDescent="0.35">
      <c r="E401" s="80"/>
      <c r="G401" s="80"/>
      <c r="H401" s="80"/>
    </row>
    <row r="402" spans="5:8" x14ac:dyDescent="0.35">
      <c r="E402" s="80"/>
      <c r="G402" s="80"/>
      <c r="H402" s="80"/>
    </row>
    <row r="403" spans="5:8" x14ac:dyDescent="0.35">
      <c r="E403" s="80"/>
      <c r="G403" s="80"/>
      <c r="H403" s="80"/>
    </row>
    <row r="404" spans="5:8" x14ac:dyDescent="0.35">
      <c r="E404" s="80"/>
      <c r="G404" s="80"/>
      <c r="H404" s="80"/>
    </row>
    <row r="405" spans="5:8" x14ac:dyDescent="0.35">
      <c r="E405" s="80"/>
      <c r="G405" s="80"/>
      <c r="H405" s="80"/>
    </row>
    <row r="406" spans="5:8" x14ac:dyDescent="0.35">
      <c r="E406" s="80"/>
      <c r="G406" s="80"/>
      <c r="H406" s="80"/>
    </row>
    <row r="407" spans="5:8" x14ac:dyDescent="0.35">
      <c r="E407" s="80"/>
      <c r="G407" s="80"/>
      <c r="H407" s="80"/>
    </row>
    <row r="408" spans="5:8" x14ac:dyDescent="0.35">
      <c r="E408" s="80"/>
      <c r="G408" s="80"/>
      <c r="H408" s="80"/>
    </row>
    <row r="409" spans="5:8" x14ac:dyDescent="0.35">
      <c r="E409" s="80"/>
      <c r="G409" s="80"/>
      <c r="H409" s="80"/>
    </row>
    <row r="410" spans="5:8" x14ac:dyDescent="0.35">
      <c r="E410" s="80"/>
      <c r="G410" s="80"/>
      <c r="H410" s="80"/>
    </row>
    <row r="411" spans="5:8" x14ac:dyDescent="0.35">
      <c r="E411" s="80"/>
      <c r="G411" s="80"/>
      <c r="H411" s="80"/>
    </row>
    <row r="412" spans="5:8" x14ac:dyDescent="0.35">
      <c r="E412" s="80"/>
      <c r="G412" s="80"/>
      <c r="H412" s="80"/>
    </row>
    <row r="413" spans="5:8" x14ac:dyDescent="0.35">
      <c r="E413" s="80"/>
      <c r="G413" s="80"/>
      <c r="H413" s="80"/>
    </row>
    <row r="414" spans="5:8" x14ac:dyDescent="0.35">
      <c r="E414" s="80"/>
      <c r="G414" s="80"/>
      <c r="H414" s="80"/>
    </row>
    <row r="415" spans="5:8" x14ac:dyDescent="0.35">
      <c r="E415" s="80"/>
      <c r="G415" s="80"/>
      <c r="H415" s="80"/>
    </row>
    <row r="416" spans="5:8" x14ac:dyDescent="0.35">
      <c r="E416" s="80"/>
      <c r="G416" s="80"/>
      <c r="H416" s="80"/>
    </row>
    <row r="417" spans="5:8" x14ac:dyDescent="0.35">
      <c r="E417" s="80"/>
      <c r="G417" s="80"/>
      <c r="H417" s="80"/>
    </row>
    <row r="418" spans="5:8" x14ac:dyDescent="0.35">
      <c r="E418" s="80"/>
      <c r="G418" s="80"/>
      <c r="H418" s="80"/>
    </row>
    <row r="419" spans="5:8" x14ac:dyDescent="0.35">
      <c r="E419" s="80"/>
      <c r="G419" s="80"/>
      <c r="H419" s="80"/>
    </row>
    <row r="420" spans="5:8" x14ac:dyDescent="0.35">
      <c r="E420" s="80"/>
      <c r="G420" s="80"/>
      <c r="H420" s="80"/>
    </row>
    <row r="421" spans="5:8" x14ac:dyDescent="0.35">
      <c r="E421" s="80"/>
      <c r="G421" s="80"/>
      <c r="H421" s="80"/>
    </row>
    <row r="422" spans="5:8" x14ac:dyDescent="0.35">
      <c r="E422" s="80"/>
      <c r="G422" s="80"/>
      <c r="H422" s="80"/>
    </row>
  </sheetData>
  <pageMargins left="0.7" right="0.7" top="0.75" bottom="0.75" header="0.3" footer="0.3"/>
  <pageSetup paperSize="9" scale="86" orientation="portrait" horizontalDpi="200" verticalDpi="200" r:id="rId2"/>
  <colBreaks count="2" manualBreakCount="2">
    <brk id="7" max="1048575" man="1"/>
    <brk id="1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8E67-3FF1-41C3-BC4D-F142D58E13E8}">
  <dimension ref="A2:X668"/>
  <sheetViews>
    <sheetView topLeftCell="E55" zoomScale="73" zoomScaleNormal="80" workbookViewId="0">
      <selection activeCell="Q72" sqref="Q72"/>
    </sheetView>
  </sheetViews>
  <sheetFormatPr defaultRowHeight="14.5" x14ac:dyDescent="0.35"/>
  <cols>
    <col min="1" max="1" width="7.26953125" style="5" customWidth="1"/>
    <col min="2" max="2" width="14.453125" bestFit="1" customWidth="1"/>
    <col min="3" max="3" width="5.6328125" style="5" customWidth="1"/>
    <col min="4" max="4" width="23.6328125" bestFit="1" customWidth="1"/>
    <col min="5" max="5" width="11.81640625" customWidth="1"/>
    <col min="6" max="6" width="9.26953125" customWidth="1"/>
    <col min="7" max="7" width="11.81640625" bestFit="1" customWidth="1"/>
    <col min="8" max="8" width="10.453125" bestFit="1" customWidth="1"/>
    <col min="10" max="10" width="14.453125" bestFit="1" customWidth="1"/>
    <col min="11" max="11" width="9.7265625" bestFit="1" customWidth="1"/>
    <col min="12" max="12" width="17.6328125" bestFit="1" customWidth="1"/>
    <col min="15" max="15" width="23.6328125" bestFit="1" customWidth="1"/>
    <col min="18" max="18" width="11.81640625" bestFit="1" customWidth="1"/>
    <col min="21" max="21" width="23.6328125" bestFit="1" customWidth="1"/>
    <col min="24" max="24" width="11.81640625" bestFit="1" customWidth="1"/>
  </cols>
  <sheetData>
    <row r="2" spans="1:24" x14ac:dyDescent="0.35">
      <c r="A2" s="56" t="s">
        <v>8</v>
      </c>
      <c r="B2" s="56" t="s">
        <v>2</v>
      </c>
      <c r="C2" s="56" t="s">
        <v>4</v>
      </c>
      <c r="D2" s="44" t="s">
        <v>128</v>
      </c>
      <c r="E2" s="90" t="s">
        <v>1</v>
      </c>
      <c r="F2" s="44" t="s">
        <v>0</v>
      </c>
      <c r="G2" s="90" t="s">
        <v>3</v>
      </c>
      <c r="J2" t="s">
        <v>170</v>
      </c>
      <c r="K2" t="s">
        <v>172</v>
      </c>
      <c r="L2" t="s">
        <v>82</v>
      </c>
      <c r="N2" s="40" t="s">
        <v>131</v>
      </c>
      <c r="Q2" t="s">
        <v>338</v>
      </c>
      <c r="T2" s="40" t="s">
        <v>169</v>
      </c>
      <c r="W2" t="s">
        <v>338</v>
      </c>
    </row>
    <row r="3" spans="1:24" x14ac:dyDescent="0.35">
      <c r="A3" s="5">
        <v>1</v>
      </c>
      <c r="B3" t="s">
        <v>78</v>
      </c>
      <c r="C3" s="5">
        <v>2</v>
      </c>
      <c r="D3" t="s">
        <v>28</v>
      </c>
      <c r="E3" s="80">
        <f>VLOOKUP(D3,'Bu Erta'!$C$2:$E$66,3,0)</f>
        <v>1200</v>
      </c>
      <c r="F3">
        <f>20.3+6.7</f>
        <v>27</v>
      </c>
      <c r="G3" s="80">
        <f>E3*F3</f>
        <v>32400</v>
      </c>
      <c r="H3" s="80">
        <f>VLOOKUP(D3,'Bu Erta'!$C$2:$F$66,4,0)*F3</f>
        <v>35100</v>
      </c>
      <c r="J3" s="69" t="s">
        <v>198</v>
      </c>
      <c r="K3">
        <v>0</v>
      </c>
      <c r="L3" s="4">
        <v>8670</v>
      </c>
      <c r="N3" s="56" t="s">
        <v>8</v>
      </c>
      <c r="O3" s="44" t="s">
        <v>128</v>
      </c>
      <c r="P3" s="90" t="s">
        <v>1</v>
      </c>
      <c r="Q3" s="44" t="s">
        <v>0</v>
      </c>
      <c r="R3" s="90" t="s">
        <v>3</v>
      </c>
      <c r="T3" s="56" t="s">
        <v>8</v>
      </c>
      <c r="U3" s="44" t="s">
        <v>128</v>
      </c>
      <c r="V3" s="90" t="s">
        <v>1</v>
      </c>
      <c r="W3" s="44" t="s">
        <v>0</v>
      </c>
      <c r="X3" s="90" t="s">
        <v>3</v>
      </c>
    </row>
    <row r="4" spans="1:24" x14ac:dyDescent="0.35">
      <c r="B4" t="s">
        <v>78</v>
      </c>
      <c r="D4" t="s">
        <v>46</v>
      </c>
      <c r="E4" s="80">
        <f>VLOOKUP(D4,'Bu Erta'!$C$2:$E$66,3,0)</f>
        <v>1400</v>
      </c>
      <c r="F4">
        <f>8.4+11.7+1.1</f>
        <v>21.200000000000003</v>
      </c>
      <c r="G4" s="80">
        <f t="shared" ref="G4:G67" si="0">E4*F4</f>
        <v>29680.000000000004</v>
      </c>
      <c r="H4" s="80">
        <f>VLOOKUP(D4,'Bu Erta'!$C$2:$F$66,4,0)*F4</f>
        <v>31800.000000000004</v>
      </c>
      <c r="J4" s="69" t="s">
        <v>193</v>
      </c>
      <c r="K4">
        <v>1</v>
      </c>
      <c r="L4" s="4">
        <v>3200</v>
      </c>
      <c r="N4" s="44">
        <v>1</v>
      </c>
      <c r="O4" s="17" t="s">
        <v>13</v>
      </c>
      <c r="P4" s="93">
        <f>VLOOKUP(O4,'Bu Erta'!$C$2:$F$66,4,0)</f>
        <v>1500</v>
      </c>
      <c r="Q4" s="94">
        <f>SUMIF($D$3:$D$368,O4,$F$3:$F$368)</f>
        <v>0</v>
      </c>
      <c r="R4" s="93">
        <f>P4*Q4</f>
        <v>0</v>
      </c>
      <c r="T4" s="44">
        <v>1</v>
      </c>
      <c r="U4" s="17" t="s">
        <v>13</v>
      </c>
      <c r="V4" s="93"/>
      <c r="W4" s="94"/>
      <c r="X4" s="93">
        <f>V4*W4</f>
        <v>0</v>
      </c>
    </row>
    <row r="5" spans="1:24" x14ac:dyDescent="0.35">
      <c r="B5" t="s">
        <v>78</v>
      </c>
      <c r="D5" t="s">
        <v>23</v>
      </c>
      <c r="E5" s="80">
        <f>VLOOKUP(D5,'Bu Erta'!$C$2:$E$66,3,0)</f>
        <v>300</v>
      </c>
      <c r="F5">
        <v>0.55000000000000004</v>
      </c>
      <c r="G5" s="80">
        <f t="shared" si="0"/>
        <v>165</v>
      </c>
      <c r="H5" s="80">
        <f>VLOOKUP(D5,'Bu Erta'!$C$2:$F$66,4,0)*F5</f>
        <v>220.00000000000003</v>
      </c>
      <c r="J5" s="69" t="s">
        <v>327</v>
      </c>
      <c r="K5">
        <v>1</v>
      </c>
      <c r="L5" s="4">
        <v>5257.5</v>
      </c>
      <c r="N5" s="44">
        <v>2</v>
      </c>
      <c r="O5" s="17" t="s">
        <v>14</v>
      </c>
      <c r="P5" s="93">
        <f>VLOOKUP(O5,'Bu Erta'!$C$2:$F$66,4,0)</f>
        <v>100000</v>
      </c>
      <c r="Q5" s="94">
        <f t="shared" ref="Q5:Q67" si="1">SUMIF($D$3:$D$368,O5,$F$3:$F$368)</f>
        <v>0</v>
      </c>
      <c r="R5" s="93">
        <f t="shared" ref="R5:R67" si="2">P5*Q5</f>
        <v>0</v>
      </c>
      <c r="T5" s="44">
        <v>2</v>
      </c>
      <c r="U5" s="17" t="s">
        <v>14</v>
      </c>
      <c r="V5" s="93"/>
      <c r="W5" s="94"/>
      <c r="X5" s="93">
        <f t="shared" ref="X5:X67" si="3">V5*W5</f>
        <v>0</v>
      </c>
    </row>
    <row r="6" spans="1:24" x14ac:dyDescent="0.35">
      <c r="B6" t="s">
        <v>78</v>
      </c>
      <c r="D6" t="s">
        <v>54</v>
      </c>
      <c r="E6" s="80">
        <f>VLOOKUP(D6,'Bu Erta'!$C$2:$E$66,3,0)</f>
        <v>600</v>
      </c>
      <c r="F6">
        <v>2.8</v>
      </c>
      <c r="G6" s="80">
        <f t="shared" si="0"/>
        <v>1680</v>
      </c>
      <c r="H6" s="80">
        <f>VLOOKUP(D6,'Bu Erta'!$C$2:$F$66,4,0)*F6</f>
        <v>1819.9999999999998</v>
      </c>
      <c r="J6" s="69" t="s">
        <v>217</v>
      </c>
      <c r="K6">
        <v>1</v>
      </c>
      <c r="L6" s="4">
        <v>24155</v>
      </c>
      <c r="N6" s="44">
        <v>3</v>
      </c>
      <c r="O6" s="17" t="s">
        <v>15</v>
      </c>
      <c r="P6" s="93">
        <f>VLOOKUP(O6,'Bu Erta'!$C$2:$F$66,4,0)</f>
        <v>40000</v>
      </c>
      <c r="Q6" s="94">
        <f t="shared" si="1"/>
        <v>0</v>
      </c>
      <c r="R6" s="93">
        <f t="shared" si="2"/>
        <v>0</v>
      </c>
      <c r="T6" s="44">
        <v>3</v>
      </c>
      <c r="U6" s="17" t="s">
        <v>15</v>
      </c>
      <c r="V6" s="93"/>
      <c r="W6" s="94"/>
      <c r="X6" s="93">
        <f t="shared" si="3"/>
        <v>0</v>
      </c>
    </row>
    <row r="7" spans="1:24" x14ac:dyDescent="0.35">
      <c r="B7" t="s">
        <v>78</v>
      </c>
      <c r="D7" t="s">
        <v>27</v>
      </c>
      <c r="E7" s="80">
        <f>VLOOKUP(D7,'Bu Erta'!$C$2:$E$66,3,0)</f>
        <v>2800</v>
      </c>
      <c r="F7">
        <v>0.35</v>
      </c>
      <c r="G7" s="80">
        <f t="shared" si="0"/>
        <v>979.99999999999989</v>
      </c>
      <c r="H7" s="80">
        <f>VLOOKUP(D7,'Bu Erta'!$C$2:$F$66,4,0)*F7</f>
        <v>1085</v>
      </c>
      <c r="J7" s="69" t="s">
        <v>143</v>
      </c>
      <c r="K7">
        <v>1</v>
      </c>
      <c r="L7" s="4">
        <v>1800</v>
      </c>
      <c r="N7" s="44">
        <v>4</v>
      </c>
      <c r="O7" s="17" t="s">
        <v>16</v>
      </c>
      <c r="P7" s="93">
        <f>VLOOKUP(O7,'Bu Erta'!$C$2:$F$66,4,0)</f>
        <v>6500</v>
      </c>
      <c r="Q7" s="94">
        <f>SUMIF($D$3:$D$368,O7,$F$3:$F$368)-3.4</f>
        <v>0</v>
      </c>
      <c r="R7" s="93">
        <f t="shared" si="2"/>
        <v>0</v>
      </c>
      <c r="S7">
        <v>3.4</v>
      </c>
      <c r="T7" s="44">
        <v>4</v>
      </c>
      <c r="U7" s="17" t="s">
        <v>16</v>
      </c>
      <c r="V7" s="93"/>
      <c r="W7" s="94"/>
      <c r="X7" s="93">
        <f t="shared" si="3"/>
        <v>0</v>
      </c>
    </row>
    <row r="8" spans="1:24" x14ac:dyDescent="0.35">
      <c r="B8" t="s">
        <v>78</v>
      </c>
      <c r="D8" t="s">
        <v>19</v>
      </c>
      <c r="E8" s="80">
        <f>VLOOKUP(D8,'Bu Erta'!$C$2:$E$66,3,0)</f>
        <v>200</v>
      </c>
      <c r="F8">
        <v>0.25</v>
      </c>
      <c r="G8" s="80">
        <f t="shared" si="0"/>
        <v>50</v>
      </c>
      <c r="H8" s="80">
        <f>VLOOKUP(D8,'Bu Erta'!$C$2:$F$66,4,0)*F8</f>
        <v>75</v>
      </c>
      <c r="J8" s="69" t="s">
        <v>139</v>
      </c>
      <c r="K8">
        <v>1</v>
      </c>
      <c r="L8" s="4">
        <v>2300</v>
      </c>
      <c r="N8" s="44">
        <v>5</v>
      </c>
      <c r="O8" s="17" t="s">
        <v>17</v>
      </c>
      <c r="P8" s="93">
        <f>VLOOKUP(O8,'Bu Erta'!$C$2:$F$66,4,0)</f>
        <v>8500</v>
      </c>
      <c r="Q8" s="94">
        <f t="shared" si="1"/>
        <v>0.55000000000000004</v>
      </c>
      <c r="R8" s="93">
        <f t="shared" si="2"/>
        <v>4675</v>
      </c>
      <c r="T8" s="44">
        <v>5</v>
      </c>
      <c r="U8" s="17" t="s">
        <v>17</v>
      </c>
      <c r="V8" s="93"/>
      <c r="W8" s="94"/>
      <c r="X8" s="93">
        <f t="shared" si="3"/>
        <v>0</v>
      </c>
    </row>
    <row r="9" spans="1:24" x14ac:dyDescent="0.35">
      <c r="B9" t="s">
        <v>78</v>
      </c>
      <c r="D9" t="s">
        <v>42</v>
      </c>
      <c r="E9" s="80">
        <f>VLOOKUP(D9,'Bu Erta'!$C$2:$E$66,3,0)</f>
        <v>1000</v>
      </c>
      <c r="F9">
        <v>5.85</v>
      </c>
      <c r="G9" s="80">
        <f t="shared" si="0"/>
        <v>5850</v>
      </c>
      <c r="H9" s="80">
        <f>VLOOKUP(D9,'Bu Erta'!$C$2:$F$66,4,0)*F9</f>
        <v>7020</v>
      </c>
      <c r="J9" s="69" t="s">
        <v>218</v>
      </c>
      <c r="K9">
        <v>1</v>
      </c>
      <c r="L9" s="4">
        <v>12695</v>
      </c>
      <c r="N9" s="44">
        <v>6</v>
      </c>
      <c r="O9" s="17" t="s">
        <v>18</v>
      </c>
      <c r="P9" s="93">
        <f>VLOOKUP(O9,'Bu Erta'!$C$2:$F$66,4,0)</f>
        <v>4000</v>
      </c>
      <c r="Q9" s="94">
        <f t="shared" si="1"/>
        <v>0</v>
      </c>
      <c r="R9" s="93">
        <f t="shared" si="2"/>
        <v>0</v>
      </c>
      <c r="T9" s="44">
        <v>6</v>
      </c>
      <c r="U9" s="17" t="s">
        <v>18</v>
      </c>
      <c r="V9" s="93"/>
      <c r="W9" s="94"/>
      <c r="X9" s="93">
        <f t="shared" si="3"/>
        <v>0</v>
      </c>
    </row>
    <row r="10" spans="1:24" x14ac:dyDescent="0.35">
      <c r="A10" s="5">
        <v>2</v>
      </c>
      <c r="B10" t="s">
        <v>114</v>
      </c>
      <c r="C10" s="5">
        <v>4</v>
      </c>
      <c r="D10" t="s">
        <v>25</v>
      </c>
      <c r="E10" s="80">
        <f>VLOOKUP(D10,'Bu Erta'!$C$2:$E$66,3,0)</f>
        <v>1600</v>
      </c>
      <c r="F10">
        <f>2.05+0.55</f>
        <v>2.5999999999999996</v>
      </c>
      <c r="G10" s="80">
        <f t="shared" si="0"/>
        <v>4159.9999999999991</v>
      </c>
      <c r="H10" s="80">
        <f>VLOOKUP(D10,'Bu Erta'!$C$2:$F$66,4,0)*F10</f>
        <v>4419.9999999999991</v>
      </c>
      <c r="J10" s="69" t="s">
        <v>83</v>
      </c>
      <c r="K10">
        <v>1</v>
      </c>
      <c r="L10" s="4">
        <v>9965</v>
      </c>
      <c r="N10" s="44">
        <v>7</v>
      </c>
      <c r="O10" s="17" t="s">
        <v>19</v>
      </c>
      <c r="P10" s="93">
        <f>VLOOKUP(O10,'Bu Erta'!$C$2:$F$66,4,0)</f>
        <v>300</v>
      </c>
      <c r="Q10" s="94">
        <f t="shared" si="1"/>
        <v>52.300000000000011</v>
      </c>
      <c r="R10" s="93">
        <f t="shared" si="2"/>
        <v>15690.000000000004</v>
      </c>
      <c r="T10" s="44">
        <v>7</v>
      </c>
      <c r="U10" s="17" t="s">
        <v>19</v>
      </c>
      <c r="V10" s="93"/>
      <c r="W10" s="94"/>
      <c r="X10" s="93">
        <f t="shared" si="3"/>
        <v>0</v>
      </c>
    </row>
    <row r="11" spans="1:24" x14ac:dyDescent="0.35">
      <c r="B11" t="s">
        <v>114</v>
      </c>
      <c r="D11" t="s">
        <v>19</v>
      </c>
      <c r="E11" s="80">
        <f>VLOOKUP(D11,'Bu Erta'!$C$2:$E$66,3,0)</f>
        <v>200</v>
      </c>
      <c r="F11">
        <v>0.5</v>
      </c>
      <c r="G11" s="80">
        <f t="shared" si="0"/>
        <v>100</v>
      </c>
      <c r="H11" s="80">
        <f>VLOOKUP(D11,'Bu Erta'!$C$2:$F$66,4,0)*F11</f>
        <v>150</v>
      </c>
      <c r="J11" s="69" t="s">
        <v>197</v>
      </c>
      <c r="K11">
        <v>1</v>
      </c>
      <c r="L11" s="4">
        <v>4742.5</v>
      </c>
      <c r="N11" s="44">
        <v>8</v>
      </c>
      <c r="O11" s="17" t="s">
        <v>20</v>
      </c>
      <c r="P11" s="93">
        <f>VLOOKUP(O11,'Bu Erta'!$C$2:$F$66,4,0)</f>
        <v>8000</v>
      </c>
      <c r="Q11" s="94">
        <f t="shared" si="1"/>
        <v>0</v>
      </c>
      <c r="R11" s="93">
        <f t="shared" si="2"/>
        <v>0</v>
      </c>
      <c r="T11" s="44">
        <v>8</v>
      </c>
      <c r="U11" s="17" t="s">
        <v>20</v>
      </c>
      <c r="V11" s="93"/>
      <c r="W11" s="94"/>
      <c r="X11" s="93">
        <f t="shared" si="3"/>
        <v>0</v>
      </c>
    </row>
    <row r="12" spans="1:24" x14ac:dyDescent="0.35">
      <c r="B12" t="s">
        <v>114</v>
      </c>
      <c r="D12" t="s">
        <v>42</v>
      </c>
      <c r="E12" s="80">
        <f>VLOOKUP(D12,'Bu Erta'!$C$2:$E$66,3,0)</f>
        <v>1000</v>
      </c>
      <c r="F12">
        <f>2.6+0.05</f>
        <v>2.65</v>
      </c>
      <c r="G12" s="80">
        <f t="shared" si="0"/>
        <v>2650</v>
      </c>
      <c r="H12" s="80">
        <f>VLOOKUP(D12,'Bu Erta'!$C$2:$F$66,4,0)*F12</f>
        <v>3180</v>
      </c>
      <c r="J12" s="69" t="s">
        <v>5</v>
      </c>
      <c r="K12">
        <v>2</v>
      </c>
      <c r="L12" s="4">
        <v>19200</v>
      </c>
      <c r="N12" s="44">
        <v>9</v>
      </c>
      <c r="O12" s="17" t="s">
        <v>21</v>
      </c>
      <c r="P12" s="93">
        <f>VLOOKUP(O12,'Bu Erta'!$C$2:$F$66,4,0)</f>
        <v>200</v>
      </c>
      <c r="Q12" s="94">
        <f t="shared" si="1"/>
        <v>0</v>
      </c>
      <c r="R12" s="93">
        <f t="shared" si="2"/>
        <v>0</v>
      </c>
      <c r="T12" s="44">
        <v>9</v>
      </c>
      <c r="U12" s="17" t="s">
        <v>21</v>
      </c>
      <c r="V12" s="93"/>
      <c r="W12" s="94"/>
      <c r="X12" s="93">
        <f t="shared" si="3"/>
        <v>0</v>
      </c>
    </row>
    <row r="13" spans="1:24" x14ac:dyDescent="0.35">
      <c r="B13" t="s">
        <v>114</v>
      </c>
      <c r="D13" t="s">
        <v>31</v>
      </c>
      <c r="E13" s="80">
        <f>VLOOKUP(D13,'Bu Erta'!$C$2:$E$66,3,0)</f>
        <v>1000</v>
      </c>
      <c r="F13">
        <f>2.2+2.1</f>
        <v>4.3000000000000007</v>
      </c>
      <c r="G13" s="80">
        <f t="shared" si="0"/>
        <v>4300.0000000000009</v>
      </c>
      <c r="H13" s="80">
        <f>VLOOKUP(D13,'Bu Erta'!$C$2:$F$66,4,0)*F13</f>
        <v>4730.0000000000009</v>
      </c>
      <c r="J13" s="69" t="s">
        <v>216</v>
      </c>
      <c r="K13">
        <v>2</v>
      </c>
      <c r="L13" s="4">
        <v>4370</v>
      </c>
      <c r="N13" s="44">
        <v>10</v>
      </c>
      <c r="O13" s="17" t="s">
        <v>22</v>
      </c>
      <c r="P13" s="93">
        <f>VLOOKUP(O13,'Bu Erta'!$C$2:$F$66,4,0)</f>
        <v>3000</v>
      </c>
      <c r="Q13" s="94">
        <f>SUMIF($D$3:$D$368,O13,$F$3:$F$368)-26.95</f>
        <v>0</v>
      </c>
      <c r="R13" s="93">
        <f t="shared" si="2"/>
        <v>0</v>
      </c>
      <c r="T13" s="44">
        <v>10</v>
      </c>
      <c r="U13" s="17" t="s">
        <v>22</v>
      </c>
      <c r="V13" s="93">
        <v>4200</v>
      </c>
      <c r="W13">
        <v>30</v>
      </c>
      <c r="X13" s="93">
        <f>81000+54000</f>
        <v>135000</v>
      </c>
    </row>
    <row r="14" spans="1:24" x14ac:dyDescent="0.35">
      <c r="B14" t="s">
        <v>114</v>
      </c>
      <c r="D14" t="s">
        <v>7</v>
      </c>
      <c r="E14" s="80">
        <f>VLOOKUP(D14,'Bu Erta'!$C$2:$E$66,3,0)</f>
        <v>1400</v>
      </c>
      <c r="F14">
        <f>0.55+0.2</f>
        <v>0.75</v>
      </c>
      <c r="G14" s="80">
        <f t="shared" si="0"/>
        <v>1050</v>
      </c>
      <c r="H14" s="80">
        <f>VLOOKUP(D14,'Bu Erta'!$C$2:$F$66,4,0)*F14</f>
        <v>1200</v>
      </c>
      <c r="J14" s="69" t="s">
        <v>98</v>
      </c>
      <c r="K14">
        <v>2</v>
      </c>
      <c r="L14" s="4">
        <v>21140</v>
      </c>
      <c r="N14" s="44">
        <v>11</v>
      </c>
      <c r="O14" s="17" t="s">
        <v>23</v>
      </c>
      <c r="P14" s="93">
        <f>VLOOKUP(O14,'Bu Erta'!$C$2:$F$66,4,0)</f>
        <v>400</v>
      </c>
      <c r="Q14" s="94">
        <f t="shared" si="1"/>
        <v>50.449999999999996</v>
      </c>
      <c r="R14" s="93">
        <f t="shared" si="2"/>
        <v>20180</v>
      </c>
      <c r="T14" s="44">
        <v>11</v>
      </c>
      <c r="U14" s="17" t="s">
        <v>23</v>
      </c>
      <c r="V14" s="93"/>
      <c r="W14" s="94"/>
      <c r="X14" s="93">
        <f t="shared" si="3"/>
        <v>0</v>
      </c>
    </row>
    <row r="15" spans="1:24" x14ac:dyDescent="0.35">
      <c r="B15" t="s">
        <v>114</v>
      </c>
      <c r="D15" t="s">
        <v>215</v>
      </c>
      <c r="E15" s="80">
        <f>VLOOKUP(D15,'Bu Erta'!$C$2:$E$66,3,0)</f>
        <v>6000</v>
      </c>
      <c r="F15">
        <v>1.3</v>
      </c>
      <c r="G15" s="80">
        <f t="shared" si="0"/>
        <v>7800</v>
      </c>
      <c r="H15" s="80">
        <f>VLOOKUP(D15,'Bu Erta'!$C$2:$F$66,4,0)*F15</f>
        <v>8450</v>
      </c>
      <c r="J15" s="69" t="s">
        <v>181</v>
      </c>
      <c r="K15">
        <v>2</v>
      </c>
      <c r="L15" s="4">
        <v>9355</v>
      </c>
      <c r="N15" s="44">
        <v>12</v>
      </c>
      <c r="O15" s="17" t="s">
        <v>25</v>
      </c>
      <c r="P15" s="93">
        <f>VLOOKUP(O15,'Bu Erta'!$C$2:$F$66,4,0)</f>
        <v>1700</v>
      </c>
      <c r="Q15" s="94">
        <f>SUMIF($D$3:$D$368,O15,$F$3:$F$368)-14</f>
        <v>1.6000000000000014</v>
      </c>
      <c r="R15" s="93">
        <f t="shared" si="2"/>
        <v>2720.0000000000023</v>
      </c>
      <c r="T15" s="44">
        <v>12</v>
      </c>
      <c r="U15" s="17" t="s">
        <v>25</v>
      </c>
      <c r="V15" s="93"/>
      <c r="W15" s="94"/>
      <c r="X15" s="93">
        <f t="shared" si="3"/>
        <v>0</v>
      </c>
    </row>
    <row r="16" spans="1:24" x14ac:dyDescent="0.35">
      <c r="B16" t="s">
        <v>114</v>
      </c>
      <c r="D16" t="s">
        <v>22</v>
      </c>
      <c r="E16" s="80">
        <f>VLOOKUP(D16,'Bu Erta'!$C$2:$E$66,3,0)</f>
        <v>2500</v>
      </c>
      <c r="F16">
        <v>1.35</v>
      </c>
      <c r="G16" s="80">
        <f t="shared" si="0"/>
        <v>3375</v>
      </c>
      <c r="H16" s="80">
        <f>VLOOKUP(D16,'Bu Erta'!$C$2:$F$66,4,0)*F16</f>
        <v>4050.0000000000005</v>
      </c>
      <c r="J16" s="69" t="s">
        <v>108</v>
      </c>
      <c r="K16">
        <v>2</v>
      </c>
      <c r="L16" s="4">
        <v>36465</v>
      </c>
      <c r="N16" s="44">
        <v>13</v>
      </c>
      <c r="O16" s="17" t="s">
        <v>24</v>
      </c>
      <c r="P16" s="93">
        <f>VLOOKUP(O16,'Bu Erta'!$C$2:$F$66,4,0)</f>
        <v>200</v>
      </c>
      <c r="Q16" s="94">
        <f t="shared" si="1"/>
        <v>16.399999999999999</v>
      </c>
      <c r="R16" s="93">
        <f t="shared" si="2"/>
        <v>3279.9999999999995</v>
      </c>
      <c r="T16" s="44">
        <v>13</v>
      </c>
      <c r="U16" s="17" t="s">
        <v>24</v>
      </c>
      <c r="V16" s="93"/>
      <c r="W16" s="94"/>
      <c r="X16" s="93">
        <f t="shared" si="3"/>
        <v>0</v>
      </c>
    </row>
    <row r="17" spans="1:24" x14ac:dyDescent="0.35">
      <c r="A17" s="5">
        <v>3</v>
      </c>
      <c r="B17" t="s">
        <v>187</v>
      </c>
      <c r="C17" s="5">
        <v>4</v>
      </c>
      <c r="D17" t="s">
        <v>23</v>
      </c>
      <c r="E17" s="80">
        <f>VLOOKUP(D17,'Bu Erta'!$C$2:$E$66,3,0)</f>
        <v>300</v>
      </c>
      <c r="F17">
        <v>0.45</v>
      </c>
      <c r="G17" s="80">
        <f t="shared" si="0"/>
        <v>135</v>
      </c>
      <c r="H17" s="80">
        <f>VLOOKUP(D17,'Bu Erta'!$C$2:$F$66,4,0)*F17</f>
        <v>180</v>
      </c>
      <c r="J17" s="69" t="s">
        <v>244</v>
      </c>
      <c r="K17">
        <v>2</v>
      </c>
      <c r="L17" s="4">
        <v>24805</v>
      </c>
      <c r="N17" s="44">
        <v>14</v>
      </c>
      <c r="O17" s="17" t="s">
        <v>26</v>
      </c>
      <c r="P17" s="93">
        <f>VLOOKUP(O17,'Bu Erta'!$C$2:$F$66,4,0)</f>
        <v>1000</v>
      </c>
      <c r="Q17" s="94">
        <f t="shared" si="1"/>
        <v>0</v>
      </c>
      <c r="R17" s="93">
        <f t="shared" si="2"/>
        <v>0</v>
      </c>
      <c r="T17" s="44">
        <v>14</v>
      </c>
      <c r="U17" s="17" t="s">
        <v>26</v>
      </c>
      <c r="V17" s="93"/>
      <c r="W17" s="94"/>
      <c r="X17" s="93">
        <f t="shared" si="3"/>
        <v>0</v>
      </c>
    </row>
    <row r="18" spans="1:24" x14ac:dyDescent="0.35">
      <c r="B18" t="s">
        <v>187</v>
      </c>
      <c r="D18" t="s">
        <v>42</v>
      </c>
      <c r="E18" s="80">
        <f>VLOOKUP(D18,'Bu Erta'!$C$2:$E$66,3,0)</f>
        <v>1000</v>
      </c>
      <c r="F18">
        <f>1.55+1.45</f>
        <v>3</v>
      </c>
      <c r="G18" s="80">
        <f t="shared" si="0"/>
        <v>3000</v>
      </c>
      <c r="H18" s="80">
        <f>VLOOKUP(D18,'Bu Erta'!$C$2:$F$66,4,0)*F18</f>
        <v>3600</v>
      </c>
      <c r="J18" s="69" t="s">
        <v>117</v>
      </c>
      <c r="K18">
        <v>2</v>
      </c>
      <c r="L18" s="4">
        <v>5845</v>
      </c>
      <c r="N18" s="44">
        <v>15</v>
      </c>
      <c r="O18" s="17" t="s">
        <v>27</v>
      </c>
      <c r="P18" s="93">
        <f>VLOOKUP(O18,'Bu Erta'!$C$2:$F$66,4,0)</f>
        <v>3100</v>
      </c>
      <c r="Q18" s="94">
        <f>SUMIF($D$3:$D$368,O18,$F$3:$F$368)+14+3</f>
        <v>60.250000000000007</v>
      </c>
      <c r="R18" s="93">
        <f t="shared" si="2"/>
        <v>186775.00000000003</v>
      </c>
      <c r="S18">
        <f>2.95+9.4+1.05+12.6+2.26</f>
        <v>28.259999999999998</v>
      </c>
      <c r="T18" s="44">
        <v>15</v>
      </c>
      <c r="U18" s="17" t="s">
        <v>27</v>
      </c>
      <c r="V18" s="93"/>
      <c r="W18" s="94"/>
      <c r="X18" s="93">
        <f t="shared" si="3"/>
        <v>0</v>
      </c>
    </row>
    <row r="19" spans="1:24" x14ac:dyDescent="0.35">
      <c r="B19" t="s">
        <v>187</v>
      </c>
      <c r="D19" t="s">
        <v>22</v>
      </c>
      <c r="E19" s="80">
        <f>VLOOKUP(D19,'Bu Erta'!$C$2:$E$66,3,0)</f>
        <v>2500</v>
      </c>
      <c r="F19">
        <v>0.55000000000000004</v>
      </c>
      <c r="G19" s="80">
        <f t="shared" si="0"/>
        <v>1375</v>
      </c>
      <c r="H19" s="80">
        <f>VLOOKUP(D19,'Bu Erta'!$C$2:$F$66,4,0)*F19</f>
        <v>1650.0000000000002</v>
      </c>
      <c r="J19" s="69" t="s">
        <v>127</v>
      </c>
      <c r="K19">
        <v>2</v>
      </c>
      <c r="L19" s="4">
        <v>27105</v>
      </c>
      <c r="N19" s="44">
        <v>16</v>
      </c>
      <c r="O19" s="17" t="s">
        <v>28</v>
      </c>
      <c r="P19" s="93">
        <f>VLOOKUP(O19,'Bu Erta'!$C$2:$F$66,4,0)</f>
        <v>1300</v>
      </c>
      <c r="Q19" s="94">
        <f t="shared" si="1"/>
        <v>56.8</v>
      </c>
      <c r="R19" s="93">
        <f t="shared" si="2"/>
        <v>73840</v>
      </c>
      <c r="T19" s="44">
        <v>16</v>
      </c>
      <c r="U19" s="17" t="s">
        <v>28</v>
      </c>
      <c r="V19" s="93"/>
      <c r="W19" s="94"/>
      <c r="X19" s="93">
        <f t="shared" si="3"/>
        <v>0</v>
      </c>
    </row>
    <row r="20" spans="1:24" x14ac:dyDescent="0.35">
      <c r="B20" t="s">
        <v>187</v>
      </c>
      <c r="D20" t="s">
        <v>25</v>
      </c>
      <c r="E20" s="80">
        <f>VLOOKUP(D20,'Bu Erta'!$C$2:$E$66,3,0)</f>
        <v>1600</v>
      </c>
      <c r="F20">
        <v>1</v>
      </c>
      <c r="G20" s="80">
        <f t="shared" si="0"/>
        <v>1600</v>
      </c>
      <c r="H20" s="80">
        <f>VLOOKUP(D20,'Bu Erta'!$C$2:$F$66,4,0)*F20</f>
        <v>1700</v>
      </c>
      <c r="J20" s="69" t="s">
        <v>78</v>
      </c>
      <c r="K20">
        <v>2</v>
      </c>
      <c r="L20" s="4">
        <v>70805</v>
      </c>
      <c r="N20" s="44">
        <v>17</v>
      </c>
      <c r="O20" s="17" t="s">
        <v>29</v>
      </c>
      <c r="P20" s="93">
        <f>VLOOKUP(O20,'Bu Erta'!$C$2:$F$66,4,0)</f>
        <v>6000</v>
      </c>
      <c r="Q20" s="94">
        <f t="shared" si="1"/>
        <v>0</v>
      </c>
      <c r="R20" s="93">
        <f t="shared" si="2"/>
        <v>0</v>
      </c>
      <c r="T20" s="44">
        <v>17</v>
      </c>
      <c r="U20" s="17" t="s">
        <v>29</v>
      </c>
      <c r="V20" s="93"/>
      <c r="W20" s="94"/>
      <c r="X20" s="93">
        <f t="shared" si="3"/>
        <v>0</v>
      </c>
    </row>
    <row r="21" spans="1:24" x14ac:dyDescent="0.35">
      <c r="B21" t="s">
        <v>187</v>
      </c>
      <c r="D21" t="s">
        <v>7</v>
      </c>
      <c r="E21" s="80">
        <f>VLOOKUP(D21,'Bu Erta'!$C$2:$E$66,3,0)</f>
        <v>1400</v>
      </c>
      <c r="F21">
        <v>1.65</v>
      </c>
      <c r="G21" s="80">
        <f t="shared" si="0"/>
        <v>2310</v>
      </c>
      <c r="H21" s="80">
        <f>VLOOKUP(D21,'Bu Erta'!$C$2:$F$66,4,0)*F21</f>
        <v>2640</v>
      </c>
      <c r="J21" s="69" t="s">
        <v>115</v>
      </c>
      <c r="K21">
        <v>2</v>
      </c>
      <c r="L21" s="4">
        <v>3410.0000000000005</v>
      </c>
      <c r="N21" s="44">
        <v>18</v>
      </c>
      <c r="O21" s="17" t="s">
        <v>30</v>
      </c>
      <c r="P21" s="93">
        <f>VLOOKUP(O21,'Bu Erta'!$C$2:$F$66,4,0)</f>
        <v>15000</v>
      </c>
      <c r="Q21" s="94">
        <f t="shared" si="1"/>
        <v>0</v>
      </c>
      <c r="R21" s="93">
        <f t="shared" si="2"/>
        <v>0</v>
      </c>
      <c r="T21" s="44">
        <v>18</v>
      </c>
      <c r="U21" s="17" t="s">
        <v>30</v>
      </c>
      <c r="V21" s="93"/>
      <c r="W21" s="94"/>
      <c r="X21" s="93">
        <f t="shared" si="3"/>
        <v>0</v>
      </c>
    </row>
    <row r="22" spans="1:24" x14ac:dyDescent="0.35">
      <c r="B22" t="s">
        <v>187</v>
      </c>
      <c r="D22" t="s">
        <v>36</v>
      </c>
      <c r="E22" s="80">
        <f>VLOOKUP(D22,'Bu Erta'!$C$2:$E$66,3,0)</f>
        <v>600</v>
      </c>
      <c r="F22">
        <v>3.45</v>
      </c>
      <c r="G22" s="80">
        <f t="shared" si="0"/>
        <v>2070</v>
      </c>
      <c r="H22" s="80">
        <f>VLOOKUP(D22,'Bu Erta'!$C$2:$F$66,4,0)*F22</f>
        <v>2242.5</v>
      </c>
      <c r="J22" s="69" t="s">
        <v>147</v>
      </c>
      <c r="K22">
        <v>3</v>
      </c>
      <c r="L22" s="4">
        <v>12400</v>
      </c>
      <c r="N22" s="44">
        <v>19</v>
      </c>
      <c r="O22" s="17" t="s">
        <v>7</v>
      </c>
      <c r="P22" s="93">
        <f>VLOOKUP(O22,'Bu Erta'!$C$2:$F$66,4,0)</f>
        <v>1600</v>
      </c>
      <c r="Q22" s="94">
        <f t="shared" si="1"/>
        <v>49.749999999999986</v>
      </c>
      <c r="R22" s="93">
        <f t="shared" si="2"/>
        <v>79599.999999999971</v>
      </c>
      <c r="T22" s="44">
        <v>19</v>
      </c>
      <c r="U22" s="17" t="s">
        <v>7</v>
      </c>
      <c r="V22" s="93"/>
      <c r="W22" s="94"/>
      <c r="X22" s="93">
        <f t="shared" si="3"/>
        <v>0</v>
      </c>
    </row>
    <row r="23" spans="1:24" x14ac:dyDescent="0.35">
      <c r="A23" s="5">
        <v>4</v>
      </c>
      <c r="B23" t="s">
        <v>189</v>
      </c>
      <c r="C23" s="5">
        <v>5</v>
      </c>
      <c r="D23" t="s">
        <v>7</v>
      </c>
      <c r="E23" s="80">
        <f>VLOOKUP(D23,'Bu Erta'!$C$2:$E$66,3,0)</f>
        <v>1400</v>
      </c>
      <c r="F23">
        <f>1.9+0.9</f>
        <v>2.8</v>
      </c>
      <c r="G23" s="80">
        <f t="shared" si="0"/>
        <v>3919.9999999999995</v>
      </c>
      <c r="H23" s="80">
        <f>VLOOKUP(D23,'Bu Erta'!$C$2:$F$66,4,0)*F23</f>
        <v>4480</v>
      </c>
      <c r="J23" s="69" t="s">
        <v>76</v>
      </c>
      <c r="K23">
        <v>3</v>
      </c>
      <c r="L23" s="4">
        <v>32912.5</v>
      </c>
      <c r="N23" s="44">
        <v>20</v>
      </c>
      <c r="O23" s="17" t="s">
        <v>31</v>
      </c>
      <c r="P23" s="93">
        <f>VLOOKUP(O23,'Bu Erta'!$C$2:$F$66,4,0)</f>
        <v>1100</v>
      </c>
      <c r="Q23" s="94">
        <f>SUMIF($D$3:$D$368,O23,$F$3:$F$368)-3</f>
        <v>63.699999999999989</v>
      </c>
      <c r="R23" s="93">
        <f t="shared" si="2"/>
        <v>70069.999999999985</v>
      </c>
      <c r="T23" s="44">
        <v>20</v>
      </c>
      <c r="U23" s="17" t="s">
        <v>31</v>
      </c>
      <c r="V23" s="93"/>
      <c r="W23" s="94"/>
      <c r="X23" s="93">
        <f t="shared" si="3"/>
        <v>0</v>
      </c>
    </row>
    <row r="24" spans="1:24" x14ac:dyDescent="0.35">
      <c r="B24" t="s">
        <v>189</v>
      </c>
      <c r="D24" t="s">
        <v>42</v>
      </c>
      <c r="E24" s="80">
        <f>VLOOKUP(D24,'Bu Erta'!$C$2:$E$66,3,0)</f>
        <v>1000</v>
      </c>
      <c r="F24">
        <f>9.5+0.1</f>
        <v>9.6</v>
      </c>
      <c r="G24" s="80">
        <f t="shared" si="0"/>
        <v>9600</v>
      </c>
      <c r="H24" s="80">
        <f>VLOOKUP(D24,'Bu Erta'!$C$2:$F$66,4,0)*F24</f>
        <v>11520</v>
      </c>
      <c r="J24" s="69" t="s">
        <v>178</v>
      </c>
      <c r="K24">
        <v>3</v>
      </c>
      <c r="L24" s="4">
        <v>18920</v>
      </c>
      <c r="N24" s="44">
        <v>21</v>
      </c>
      <c r="O24" s="17" t="s">
        <v>32</v>
      </c>
      <c r="P24" s="93">
        <f>VLOOKUP(O24,'Bu Erta'!$C$2:$F$66,4,0)</f>
        <v>5000</v>
      </c>
      <c r="Q24" s="94">
        <f t="shared" si="1"/>
        <v>2</v>
      </c>
      <c r="R24" s="93">
        <f t="shared" si="2"/>
        <v>10000</v>
      </c>
      <c r="T24" s="44">
        <v>21</v>
      </c>
      <c r="U24" s="17" t="s">
        <v>32</v>
      </c>
      <c r="V24" s="93"/>
      <c r="W24" s="94"/>
      <c r="X24" s="93">
        <f t="shared" si="3"/>
        <v>0</v>
      </c>
    </row>
    <row r="25" spans="1:24" x14ac:dyDescent="0.35">
      <c r="B25" t="s">
        <v>189</v>
      </c>
      <c r="D25" t="s">
        <v>27</v>
      </c>
      <c r="E25" s="80">
        <f>VLOOKUP(D25,'Bu Erta'!$C$2:$E$66,3,0)</f>
        <v>2800</v>
      </c>
      <c r="F25">
        <v>0.55000000000000004</v>
      </c>
      <c r="G25" s="80">
        <f t="shared" si="0"/>
        <v>1540.0000000000002</v>
      </c>
      <c r="H25" s="80">
        <f>VLOOKUP(D25,'Bu Erta'!$C$2:$F$66,4,0)*F25</f>
        <v>1705.0000000000002</v>
      </c>
      <c r="J25" s="69" t="s">
        <v>242</v>
      </c>
      <c r="K25">
        <v>3</v>
      </c>
      <c r="L25" s="4">
        <v>530</v>
      </c>
      <c r="N25" s="44">
        <v>22</v>
      </c>
      <c r="O25" s="17" t="s">
        <v>33</v>
      </c>
      <c r="P25" s="93">
        <f>VLOOKUP(O25,'Bu Erta'!$C$2:$F$66,4,0)</f>
        <v>1400</v>
      </c>
      <c r="Q25" s="94">
        <f t="shared" si="1"/>
        <v>0</v>
      </c>
      <c r="R25" s="93">
        <f t="shared" si="2"/>
        <v>0</v>
      </c>
      <c r="T25" s="44">
        <v>22</v>
      </c>
      <c r="U25" s="17" t="s">
        <v>33</v>
      </c>
      <c r="V25" s="93"/>
      <c r="W25" s="94"/>
      <c r="X25" s="93">
        <f t="shared" si="3"/>
        <v>0</v>
      </c>
    </row>
    <row r="26" spans="1:24" x14ac:dyDescent="0.35">
      <c r="B26" t="s">
        <v>189</v>
      </c>
      <c r="D26" t="s">
        <v>69</v>
      </c>
      <c r="E26" s="80">
        <f>VLOOKUP(D26,'Bu Erta'!$C$2:$E$66,3,0)</f>
        <v>2500</v>
      </c>
      <c r="F26">
        <v>0.55000000000000004</v>
      </c>
      <c r="G26" s="80">
        <f t="shared" si="0"/>
        <v>1375</v>
      </c>
      <c r="H26" s="80">
        <f>VLOOKUP(D26,'Bu Erta'!$C$2:$F$66,4,0)*F26</f>
        <v>1650.0000000000002</v>
      </c>
      <c r="J26" s="69" t="s">
        <v>259</v>
      </c>
      <c r="K26">
        <v>3</v>
      </c>
      <c r="L26" s="4">
        <v>8150</v>
      </c>
      <c r="N26" s="44">
        <v>23</v>
      </c>
      <c r="O26" s="17" t="s">
        <v>34</v>
      </c>
      <c r="P26" s="93">
        <f>VLOOKUP(O26,'Bu Erta'!$C$2:$F$66,4,0)</f>
        <v>3600</v>
      </c>
      <c r="Q26" s="94">
        <f t="shared" si="1"/>
        <v>6.1499999999999995</v>
      </c>
      <c r="R26" s="93">
        <f t="shared" si="2"/>
        <v>22139.999999999996</v>
      </c>
      <c r="T26" s="44">
        <v>23</v>
      </c>
      <c r="U26" s="17" t="s">
        <v>34</v>
      </c>
      <c r="V26" s="93"/>
      <c r="W26" s="94"/>
      <c r="X26" s="93">
        <f t="shared" si="3"/>
        <v>0</v>
      </c>
    </row>
    <row r="27" spans="1:24" x14ac:dyDescent="0.35">
      <c r="B27" t="s">
        <v>189</v>
      </c>
      <c r="D27" t="s">
        <v>34</v>
      </c>
      <c r="E27" s="80">
        <f>VLOOKUP(D27,'Bu Erta'!$C$2:$E$66,3,0)</f>
        <v>3500</v>
      </c>
      <c r="F27">
        <v>1.1000000000000001</v>
      </c>
      <c r="G27" s="80">
        <f t="shared" si="0"/>
        <v>3850.0000000000005</v>
      </c>
      <c r="H27" s="80">
        <f>VLOOKUP(D27,'Bu Erta'!$C$2:$F$66,4,0)*F27</f>
        <v>3960.0000000000005</v>
      </c>
      <c r="J27" s="69" t="s">
        <v>94</v>
      </c>
      <c r="K27">
        <v>4</v>
      </c>
      <c r="L27" s="4">
        <v>3505</v>
      </c>
      <c r="N27" s="44">
        <v>24</v>
      </c>
      <c r="O27" s="17" t="s">
        <v>35</v>
      </c>
      <c r="P27" s="93">
        <f>VLOOKUP(O27,'Bu Erta'!$C$2:$F$66,4,0)</f>
        <v>2000</v>
      </c>
      <c r="Q27" s="94">
        <f t="shared" si="1"/>
        <v>0</v>
      </c>
      <c r="R27" s="93">
        <f t="shared" si="2"/>
        <v>0</v>
      </c>
      <c r="T27" s="44">
        <v>24</v>
      </c>
      <c r="U27" s="17" t="s">
        <v>35</v>
      </c>
      <c r="V27" s="93"/>
      <c r="W27" s="94"/>
      <c r="X27" s="93">
        <f t="shared" si="3"/>
        <v>0</v>
      </c>
    </row>
    <row r="28" spans="1:24" x14ac:dyDescent="0.35">
      <c r="B28" t="s">
        <v>189</v>
      </c>
      <c r="D28" t="s">
        <v>19</v>
      </c>
      <c r="E28" s="80">
        <f>VLOOKUP(D28,'Bu Erta'!$C$2:$E$66,3,0)</f>
        <v>200</v>
      </c>
      <c r="F28">
        <v>1.9</v>
      </c>
      <c r="G28" s="80">
        <f t="shared" si="0"/>
        <v>380</v>
      </c>
      <c r="H28" s="80">
        <f>VLOOKUP(D28,'Bu Erta'!$C$2:$F$66,4,0)*F28</f>
        <v>570</v>
      </c>
      <c r="J28" s="69" t="s">
        <v>102</v>
      </c>
      <c r="K28">
        <v>4</v>
      </c>
      <c r="L28" s="4">
        <v>30970</v>
      </c>
      <c r="N28" s="44">
        <v>25</v>
      </c>
      <c r="O28" s="17" t="s">
        <v>36</v>
      </c>
      <c r="P28" s="93">
        <f>VLOOKUP(O28,'Bu Erta'!$C$2:$F$66,4,0)</f>
        <v>650</v>
      </c>
      <c r="Q28" s="94">
        <f t="shared" si="1"/>
        <v>4</v>
      </c>
      <c r="R28" s="93">
        <f t="shared" si="2"/>
        <v>2600</v>
      </c>
      <c r="T28" s="44">
        <v>25</v>
      </c>
      <c r="U28" s="17" t="s">
        <v>36</v>
      </c>
      <c r="V28" s="93"/>
      <c r="W28" s="94"/>
      <c r="X28" s="93">
        <f t="shared" si="3"/>
        <v>0</v>
      </c>
    </row>
    <row r="29" spans="1:24" x14ac:dyDescent="0.35">
      <c r="B29" t="s">
        <v>189</v>
      </c>
      <c r="D29" t="s">
        <v>23</v>
      </c>
      <c r="E29" s="80">
        <f>VLOOKUP(D29,'Bu Erta'!$C$2:$E$66,3,0)</f>
        <v>300</v>
      </c>
      <c r="F29">
        <v>6.25</v>
      </c>
      <c r="G29" s="80">
        <f t="shared" si="0"/>
        <v>1875</v>
      </c>
      <c r="H29" s="80">
        <f>VLOOKUP(D29,'Bu Erta'!$C$2:$F$66,4,0)*F29</f>
        <v>2500</v>
      </c>
      <c r="J29" s="69" t="s">
        <v>84</v>
      </c>
      <c r="K29">
        <v>4</v>
      </c>
      <c r="L29" s="4">
        <v>5865</v>
      </c>
      <c r="N29" s="44">
        <v>26</v>
      </c>
      <c r="O29" s="17" t="s">
        <v>37</v>
      </c>
      <c r="P29" s="93">
        <f>VLOOKUP(O29,'Bu Erta'!$C$2:$F$66,4,0)</f>
        <v>2000</v>
      </c>
      <c r="Q29" s="94">
        <f t="shared" si="1"/>
        <v>1.75</v>
      </c>
      <c r="R29" s="93">
        <f t="shared" si="2"/>
        <v>3500</v>
      </c>
      <c r="T29" s="44">
        <v>26</v>
      </c>
      <c r="U29" s="17" t="s">
        <v>37</v>
      </c>
      <c r="V29" s="93"/>
      <c r="W29" s="94"/>
      <c r="X29" s="93">
        <f t="shared" si="3"/>
        <v>0</v>
      </c>
    </row>
    <row r="30" spans="1:24" x14ac:dyDescent="0.35">
      <c r="B30" t="s">
        <v>189</v>
      </c>
      <c r="D30" t="s">
        <v>25</v>
      </c>
      <c r="E30" s="80">
        <f>VLOOKUP(D30,'Bu Erta'!$C$2:$E$66,3,0)</f>
        <v>1600</v>
      </c>
      <c r="F30">
        <v>0.55000000000000004</v>
      </c>
      <c r="G30" s="80">
        <f t="shared" si="0"/>
        <v>880.00000000000011</v>
      </c>
      <c r="H30" s="80">
        <f>VLOOKUP(D30,'Bu Erta'!$C$2:$F$66,4,0)*F30</f>
        <v>935.00000000000011</v>
      </c>
      <c r="J30" s="69" t="s">
        <v>142</v>
      </c>
      <c r="K30">
        <v>4</v>
      </c>
      <c r="L30" s="4">
        <v>17800</v>
      </c>
      <c r="N30" s="44">
        <v>27</v>
      </c>
      <c r="O30" s="17" t="s">
        <v>38</v>
      </c>
      <c r="P30" s="93">
        <f>VLOOKUP(O30,'Bu Erta'!$C$2:$F$66,4,0)</f>
        <v>1600</v>
      </c>
      <c r="Q30" s="94">
        <f t="shared" si="1"/>
        <v>0</v>
      </c>
      <c r="R30" s="93">
        <f t="shared" si="2"/>
        <v>0</v>
      </c>
      <c r="T30" s="44">
        <v>27</v>
      </c>
      <c r="U30" s="17" t="s">
        <v>38</v>
      </c>
      <c r="V30" s="93"/>
      <c r="W30" s="94"/>
      <c r="X30" s="93">
        <f t="shared" si="3"/>
        <v>0</v>
      </c>
    </row>
    <row r="31" spans="1:24" x14ac:dyDescent="0.35">
      <c r="A31" s="5">
        <v>5</v>
      </c>
      <c r="B31" t="s">
        <v>334</v>
      </c>
      <c r="C31" s="5">
        <v>7</v>
      </c>
      <c r="D31" t="s">
        <v>42</v>
      </c>
      <c r="E31" s="80">
        <f>VLOOKUP(D31,'Bu Erta'!$C$2:$E$66,3,0)</f>
        <v>1000</v>
      </c>
      <c r="F31">
        <v>0.45</v>
      </c>
      <c r="G31" s="80">
        <f t="shared" si="0"/>
        <v>450</v>
      </c>
      <c r="H31" s="80">
        <f>VLOOKUP(D31,'Bu Erta'!$C$2:$F$66,4,0)*F31</f>
        <v>540</v>
      </c>
      <c r="J31" s="69" t="s">
        <v>100</v>
      </c>
      <c r="K31">
        <v>4</v>
      </c>
      <c r="L31" s="4">
        <v>8245</v>
      </c>
      <c r="N31" s="44">
        <v>28</v>
      </c>
      <c r="O31" s="17" t="s">
        <v>39</v>
      </c>
      <c r="P31" s="93">
        <f>VLOOKUP(O31,'Bu Erta'!$C$2:$F$66,4,0)</f>
        <v>200</v>
      </c>
      <c r="Q31" s="94">
        <f t="shared" si="1"/>
        <v>1.1499999999999999</v>
      </c>
      <c r="R31" s="93">
        <f t="shared" si="2"/>
        <v>229.99999999999997</v>
      </c>
      <c r="T31" s="44">
        <v>28</v>
      </c>
      <c r="U31" s="17" t="s">
        <v>39</v>
      </c>
      <c r="V31" s="93"/>
      <c r="W31" s="94"/>
      <c r="X31" s="93">
        <f t="shared" si="3"/>
        <v>0</v>
      </c>
    </row>
    <row r="32" spans="1:24" x14ac:dyDescent="0.35">
      <c r="B32" t="s">
        <v>334</v>
      </c>
      <c r="D32" t="s">
        <v>25</v>
      </c>
      <c r="E32" s="80">
        <f>VLOOKUP(D32,'Bu Erta'!$C$2:$E$66,3,0)</f>
        <v>1600</v>
      </c>
      <c r="F32">
        <v>0.45</v>
      </c>
      <c r="G32" s="80">
        <f t="shared" si="0"/>
        <v>720</v>
      </c>
      <c r="H32" s="80">
        <f>VLOOKUP(D32,'Bu Erta'!$C$2:$F$66,4,0)*F32</f>
        <v>765</v>
      </c>
      <c r="J32" s="69" t="s">
        <v>187</v>
      </c>
      <c r="K32">
        <v>4</v>
      </c>
      <c r="L32" s="4">
        <v>10490</v>
      </c>
      <c r="N32" s="44">
        <v>29</v>
      </c>
      <c r="O32" s="17" t="s">
        <v>77</v>
      </c>
      <c r="P32" s="93">
        <f>VLOOKUP(O32,'Bu Erta'!$C$2:$F$66,4,0)</f>
        <v>800</v>
      </c>
      <c r="Q32" s="94">
        <f t="shared" si="1"/>
        <v>1.25</v>
      </c>
      <c r="R32" s="93">
        <f t="shared" si="2"/>
        <v>1000</v>
      </c>
      <c r="T32" s="44">
        <v>29</v>
      </c>
      <c r="U32" s="17" t="s">
        <v>77</v>
      </c>
      <c r="V32" s="93"/>
      <c r="W32" s="94"/>
      <c r="X32" s="93">
        <f t="shared" si="3"/>
        <v>0</v>
      </c>
    </row>
    <row r="33" spans="1:24" x14ac:dyDescent="0.35">
      <c r="A33" s="5">
        <v>6</v>
      </c>
      <c r="B33" t="s">
        <v>178</v>
      </c>
      <c r="C33" s="5">
        <v>3</v>
      </c>
      <c r="D33" t="s">
        <v>42</v>
      </c>
      <c r="E33" s="80">
        <f>VLOOKUP(D33,'Bu Erta'!$C$2:$E$66,3,0)</f>
        <v>1000</v>
      </c>
      <c r="F33">
        <v>14.5</v>
      </c>
      <c r="G33" s="80">
        <f t="shared" si="0"/>
        <v>14500</v>
      </c>
      <c r="H33" s="80">
        <f>VLOOKUP(D33,'Bu Erta'!$C$2:$F$66,4,0)*F33</f>
        <v>17400</v>
      </c>
      <c r="J33" s="69" t="s">
        <v>132</v>
      </c>
      <c r="K33">
        <v>4</v>
      </c>
      <c r="L33" s="4">
        <v>5462.5</v>
      </c>
      <c r="N33" s="44">
        <v>30</v>
      </c>
      <c r="O33" s="17" t="s">
        <v>40</v>
      </c>
      <c r="P33" s="93">
        <f>VLOOKUP(O33,'Bu Erta'!$C$2:$F$66,4,0)</f>
        <v>2000</v>
      </c>
      <c r="Q33" s="94">
        <f t="shared" si="1"/>
        <v>13.549999999999999</v>
      </c>
      <c r="R33" s="93">
        <f t="shared" si="2"/>
        <v>27099.999999999996</v>
      </c>
      <c r="T33" s="44">
        <v>30</v>
      </c>
      <c r="U33" s="17" t="s">
        <v>40</v>
      </c>
      <c r="V33" s="93"/>
      <c r="W33" s="94"/>
      <c r="X33" s="93">
        <f t="shared" si="3"/>
        <v>0</v>
      </c>
    </row>
    <row r="34" spans="1:24" x14ac:dyDescent="0.35">
      <c r="B34" t="s">
        <v>178</v>
      </c>
      <c r="D34" t="s">
        <v>31</v>
      </c>
      <c r="E34" s="80">
        <f>VLOOKUP(D34,'Bu Erta'!$C$2:$E$66,3,0)</f>
        <v>1000</v>
      </c>
      <c r="F34">
        <v>2.5499999999999998</v>
      </c>
      <c r="G34" s="80">
        <f t="shared" si="0"/>
        <v>2550</v>
      </c>
      <c r="H34" s="80">
        <f>VLOOKUP(D34,'Bu Erta'!$C$2:$F$66,4,0)*F34</f>
        <v>2805</v>
      </c>
      <c r="J34" s="69" t="s">
        <v>97</v>
      </c>
      <c r="K34">
        <v>4</v>
      </c>
      <c r="L34" s="4">
        <v>10000</v>
      </c>
      <c r="N34" s="44">
        <v>31</v>
      </c>
      <c r="O34" s="17" t="s">
        <v>41</v>
      </c>
      <c r="P34" s="93">
        <f>VLOOKUP(O34,'Bu Erta'!$C$2:$F$66,4,0)</f>
        <v>2000</v>
      </c>
      <c r="Q34" s="94">
        <f t="shared" si="1"/>
        <v>11.449999999999998</v>
      </c>
      <c r="R34" s="93">
        <f t="shared" si="2"/>
        <v>22899.999999999996</v>
      </c>
      <c r="T34" s="44">
        <v>31</v>
      </c>
      <c r="U34" s="17" t="s">
        <v>41</v>
      </c>
      <c r="V34" s="93"/>
      <c r="W34" s="94"/>
      <c r="X34" s="93">
        <f t="shared" si="3"/>
        <v>0</v>
      </c>
    </row>
    <row r="35" spans="1:24" x14ac:dyDescent="0.35">
      <c r="B35" t="s">
        <v>178</v>
      </c>
      <c r="D35" t="s">
        <v>23</v>
      </c>
      <c r="E35" s="80">
        <f>VLOOKUP(D35,'Bu Erta'!$C$2:$E$66,3,0)</f>
        <v>300</v>
      </c>
      <c r="F35">
        <f>3.05+0.25</f>
        <v>3.3</v>
      </c>
      <c r="G35" s="80">
        <f t="shared" si="0"/>
        <v>990</v>
      </c>
      <c r="H35" s="80">
        <f>VLOOKUP(D35,'Bu Erta'!$C$2:$F$66,4,0)*F35</f>
        <v>1320</v>
      </c>
      <c r="J35" s="69" t="s">
        <v>87</v>
      </c>
      <c r="K35">
        <v>4</v>
      </c>
      <c r="L35" s="4">
        <v>14962.5</v>
      </c>
      <c r="N35" s="44">
        <v>32</v>
      </c>
      <c r="O35" s="17" t="s">
        <v>42</v>
      </c>
      <c r="P35" s="93">
        <f>VLOOKUP(O35,'Bu Erta'!$C$2:$F$66,4,0)</f>
        <v>1200</v>
      </c>
      <c r="Q35" s="94">
        <f t="shared" si="1"/>
        <v>149.70000000000002</v>
      </c>
      <c r="R35" s="93">
        <f t="shared" si="2"/>
        <v>179640.00000000003</v>
      </c>
      <c r="T35" s="44">
        <v>32</v>
      </c>
      <c r="U35" s="17" t="s">
        <v>42</v>
      </c>
      <c r="V35" s="93"/>
      <c r="W35" s="94"/>
      <c r="X35" s="93">
        <f t="shared" si="3"/>
        <v>0</v>
      </c>
    </row>
    <row r="36" spans="1:24" x14ac:dyDescent="0.35">
      <c r="B36" t="s">
        <v>178</v>
      </c>
      <c r="D36" t="s">
        <v>19</v>
      </c>
      <c r="E36" s="80">
        <f>VLOOKUP(D36,'Bu Erta'!$C$2:$E$66,3,0)</f>
        <v>200</v>
      </c>
      <c r="F36">
        <f>1.25+1+0.5</f>
        <v>2.75</v>
      </c>
      <c r="G36" s="80">
        <f t="shared" si="0"/>
        <v>550</v>
      </c>
      <c r="H36" s="80">
        <f>VLOOKUP(D36,'Bu Erta'!$C$2:$F$66,4,0)*F36</f>
        <v>825</v>
      </c>
      <c r="J36" s="69" t="s">
        <v>89</v>
      </c>
      <c r="K36">
        <v>4</v>
      </c>
      <c r="L36" s="4">
        <v>14225</v>
      </c>
      <c r="N36" s="44">
        <v>33</v>
      </c>
      <c r="O36" s="17" t="s">
        <v>43</v>
      </c>
      <c r="P36" s="93">
        <f>VLOOKUP(O36,'Bu Erta'!$C$2:$F$66,4,0)</f>
        <v>500</v>
      </c>
      <c r="Q36" s="94">
        <f t="shared" si="1"/>
        <v>0</v>
      </c>
      <c r="R36" s="93">
        <f t="shared" si="2"/>
        <v>0</v>
      </c>
      <c r="T36" s="44">
        <v>33</v>
      </c>
      <c r="U36" s="17" t="s">
        <v>43</v>
      </c>
      <c r="V36" s="93"/>
      <c r="W36" s="94"/>
      <c r="X36" s="93">
        <f t="shared" si="3"/>
        <v>0</v>
      </c>
    </row>
    <row r="37" spans="1:24" x14ac:dyDescent="0.35">
      <c r="B37" t="s">
        <v>178</v>
      </c>
      <c r="D37" t="s">
        <v>36</v>
      </c>
      <c r="E37" s="80">
        <f>VLOOKUP(D37,'Bu Erta'!$C$2:$E$66,3,0)</f>
        <v>600</v>
      </c>
      <c r="F37">
        <v>0.55000000000000004</v>
      </c>
      <c r="G37" s="80">
        <f t="shared" si="0"/>
        <v>330</v>
      </c>
      <c r="H37" s="80">
        <f>VLOOKUP(D37,'Bu Erta'!$C$2:$F$66,4,0)*F37</f>
        <v>357.50000000000006</v>
      </c>
      <c r="J37" s="69" t="s">
        <v>140</v>
      </c>
      <c r="K37">
        <v>4</v>
      </c>
      <c r="L37" s="4">
        <v>35735</v>
      </c>
      <c r="N37" s="44">
        <v>34</v>
      </c>
      <c r="O37" s="17" t="s">
        <v>44</v>
      </c>
      <c r="P37" s="93">
        <f>VLOOKUP(O37,'Bu Erta'!$C$2:$F$66,4,0)</f>
        <v>500</v>
      </c>
      <c r="Q37" s="94">
        <f t="shared" si="1"/>
        <v>0.15</v>
      </c>
      <c r="R37" s="93">
        <f t="shared" si="2"/>
        <v>75</v>
      </c>
      <c r="T37" s="44">
        <v>34</v>
      </c>
      <c r="U37" s="17" t="s">
        <v>44</v>
      </c>
      <c r="V37" s="93"/>
      <c r="W37" s="94"/>
      <c r="X37" s="93">
        <f t="shared" si="3"/>
        <v>0</v>
      </c>
    </row>
    <row r="38" spans="1:24" x14ac:dyDescent="0.35">
      <c r="A38" s="5">
        <v>7</v>
      </c>
      <c r="B38" t="s">
        <v>136</v>
      </c>
      <c r="C38" s="5">
        <v>4</v>
      </c>
      <c r="D38" t="s">
        <v>34</v>
      </c>
      <c r="E38" s="80">
        <f>VLOOKUP(D38,'Bu Erta'!$C$2:$E$66,3,0)</f>
        <v>3500</v>
      </c>
      <c r="F38">
        <f>0.15+0.25</f>
        <v>0.4</v>
      </c>
      <c r="G38" s="80">
        <f t="shared" si="0"/>
        <v>1400</v>
      </c>
      <c r="H38" s="80">
        <f>VLOOKUP(D38,'Bu Erta'!$C$2:$F$66,4,0)*F38</f>
        <v>1440</v>
      </c>
      <c r="J38" s="69" t="s">
        <v>250</v>
      </c>
      <c r="K38">
        <v>4</v>
      </c>
      <c r="L38" s="4">
        <v>9635</v>
      </c>
      <c r="N38" s="44">
        <v>35</v>
      </c>
      <c r="O38" s="17" t="s">
        <v>45</v>
      </c>
      <c r="P38" s="93">
        <f>VLOOKUP(O38,'Bu Erta'!$C$2:$F$66,4,0)</f>
        <v>800</v>
      </c>
      <c r="Q38" s="94">
        <f t="shared" si="1"/>
        <v>0</v>
      </c>
      <c r="R38" s="93">
        <f t="shared" si="2"/>
        <v>0</v>
      </c>
      <c r="T38" s="44">
        <v>35</v>
      </c>
      <c r="U38" s="17" t="s">
        <v>45</v>
      </c>
      <c r="V38" s="93"/>
      <c r="W38" s="94"/>
      <c r="X38" s="93">
        <f t="shared" si="3"/>
        <v>0</v>
      </c>
    </row>
    <row r="39" spans="1:24" x14ac:dyDescent="0.35">
      <c r="B39" t="s">
        <v>136</v>
      </c>
      <c r="D39" t="s">
        <v>23</v>
      </c>
      <c r="E39" s="80">
        <f>VLOOKUP(D39,'Bu Erta'!$C$2:$E$66,3,0)</f>
        <v>300</v>
      </c>
      <c r="F39">
        <f>0.65+0.5</f>
        <v>1.1499999999999999</v>
      </c>
      <c r="G39" s="80">
        <f t="shared" si="0"/>
        <v>345</v>
      </c>
      <c r="H39" s="80">
        <f>VLOOKUP(D39,'Bu Erta'!$C$2:$F$66,4,0)*F39</f>
        <v>459.99999999999994</v>
      </c>
      <c r="J39" s="69" t="s">
        <v>137</v>
      </c>
      <c r="K39">
        <v>4</v>
      </c>
      <c r="L39" s="4">
        <v>5632.5</v>
      </c>
      <c r="N39" s="44">
        <v>36</v>
      </c>
      <c r="O39" s="17" t="s">
        <v>46</v>
      </c>
      <c r="P39" s="93">
        <f>VLOOKUP(O39,'Bu Erta'!$C$2:$F$66,4,0)</f>
        <v>1500</v>
      </c>
      <c r="Q39" s="94">
        <f t="shared" si="1"/>
        <v>25.200000000000003</v>
      </c>
      <c r="R39" s="93">
        <f t="shared" si="2"/>
        <v>37800.000000000007</v>
      </c>
      <c r="T39" s="44">
        <v>36</v>
      </c>
      <c r="U39" s="17" t="s">
        <v>46</v>
      </c>
      <c r="V39" s="93"/>
      <c r="W39" s="94"/>
      <c r="X39" s="93">
        <f t="shared" si="3"/>
        <v>0</v>
      </c>
    </row>
    <row r="40" spans="1:24" x14ac:dyDescent="0.35">
      <c r="B40" t="s">
        <v>136</v>
      </c>
      <c r="D40" t="s">
        <v>27</v>
      </c>
      <c r="E40" s="80">
        <f>VLOOKUP(D40,'Bu Erta'!$C$2:$E$66,3,0)</f>
        <v>2800</v>
      </c>
      <c r="F40">
        <f>1+1.25</f>
        <v>2.25</v>
      </c>
      <c r="G40" s="80">
        <f t="shared" si="0"/>
        <v>6300</v>
      </c>
      <c r="H40" s="80">
        <f>VLOOKUP(D40,'Bu Erta'!$C$2:$F$66,4,0)*F40</f>
        <v>6975</v>
      </c>
      <c r="J40" s="69" t="s">
        <v>182</v>
      </c>
      <c r="K40">
        <v>4</v>
      </c>
      <c r="L40" s="4">
        <v>4830</v>
      </c>
      <c r="N40" s="44">
        <v>37</v>
      </c>
      <c r="O40" s="17" t="s">
        <v>47</v>
      </c>
      <c r="P40" s="93">
        <f>VLOOKUP(O40,'Bu Erta'!$C$2:$F$66,4,0)</f>
        <v>1500</v>
      </c>
      <c r="Q40" s="94">
        <f t="shared" si="1"/>
        <v>0</v>
      </c>
      <c r="R40" s="93">
        <f t="shared" si="2"/>
        <v>0</v>
      </c>
      <c r="T40" s="44">
        <v>37</v>
      </c>
      <c r="U40" s="17" t="s">
        <v>47</v>
      </c>
      <c r="V40" s="93"/>
      <c r="W40" s="94"/>
      <c r="X40" s="93">
        <f t="shared" si="3"/>
        <v>0</v>
      </c>
    </row>
    <row r="41" spans="1:24" x14ac:dyDescent="0.35">
      <c r="B41" t="s">
        <v>136</v>
      </c>
      <c r="D41" t="s">
        <v>24</v>
      </c>
      <c r="E41" s="80">
        <f>VLOOKUP(D41,'Bu Erta'!$C$2:$E$66,3,0)</f>
        <v>150</v>
      </c>
      <c r="F41">
        <v>2.25</v>
      </c>
      <c r="G41" s="80">
        <f t="shared" si="0"/>
        <v>337.5</v>
      </c>
      <c r="H41" s="80">
        <f>VLOOKUP(D41,'Bu Erta'!$C$2:$F$66,4,0)*F41</f>
        <v>450</v>
      </c>
      <c r="J41" s="69" t="s">
        <v>105</v>
      </c>
      <c r="K41">
        <v>4</v>
      </c>
      <c r="L41" s="4">
        <v>2460</v>
      </c>
      <c r="N41" s="44">
        <v>38</v>
      </c>
      <c r="O41" s="17" t="s">
        <v>48</v>
      </c>
      <c r="P41" s="93">
        <f>VLOOKUP(O41,'Bu Erta'!$C$2:$F$66,4,0)</f>
        <v>15000</v>
      </c>
      <c r="Q41" s="94">
        <f>SUMIF($D$3:$D$368,O41,$F$3:$F$368)-3</f>
        <v>0</v>
      </c>
      <c r="R41" s="93">
        <f t="shared" si="2"/>
        <v>0</v>
      </c>
      <c r="T41" s="44">
        <v>38</v>
      </c>
      <c r="U41" s="17" t="s">
        <v>48</v>
      </c>
      <c r="V41" s="93"/>
      <c r="W41" s="94"/>
      <c r="X41" s="93">
        <f t="shared" si="3"/>
        <v>0</v>
      </c>
    </row>
    <row r="42" spans="1:24" x14ac:dyDescent="0.35">
      <c r="B42" t="s">
        <v>136</v>
      </c>
      <c r="D42" t="s">
        <v>31</v>
      </c>
      <c r="E42" s="80">
        <f>VLOOKUP(D42,'Bu Erta'!$C$2:$E$66,3,0)</f>
        <v>1000</v>
      </c>
      <c r="F42">
        <v>1.5</v>
      </c>
      <c r="G42" s="80">
        <f t="shared" si="0"/>
        <v>1500</v>
      </c>
      <c r="H42" s="80">
        <f>VLOOKUP(D42,'Bu Erta'!$C$2:$F$66,4,0)*F42</f>
        <v>1650</v>
      </c>
      <c r="J42" s="69" t="s">
        <v>136</v>
      </c>
      <c r="K42">
        <v>4</v>
      </c>
      <c r="L42" s="4">
        <v>24227.5</v>
      </c>
      <c r="N42" s="44">
        <v>39</v>
      </c>
      <c r="O42" s="17" t="s">
        <v>49</v>
      </c>
      <c r="P42" s="93">
        <f>VLOOKUP(O42,'Bu Erta'!$C$2:$F$66,4,0)</f>
        <v>900</v>
      </c>
      <c r="Q42" s="94">
        <f t="shared" si="1"/>
        <v>0</v>
      </c>
      <c r="R42" s="93">
        <f t="shared" si="2"/>
        <v>0</v>
      </c>
      <c r="T42" s="44">
        <v>39</v>
      </c>
      <c r="U42" s="17" t="s">
        <v>49</v>
      </c>
      <c r="V42" s="93"/>
      <c r="W42" s="94"/>
      <c r="X42" s="93">
        <f t="shared" si="3"/>
        <v>0</v>
      </c>
    </row>
    <row r="43" spans="1:24" x14ac:dyDescent="0.35">
      <c r="B43" t="s">
        <v>136</v>
      </c>
      <c r="D43" t="s">
        <v>42</v>
      </c>
      <c r="E43" s="80">
        <f>VLOOKUP(D43,'Bu Erta'!$C$2:$E$66,3,0)</f>
        <v>1000</v>
      </c>
      <c r="F43">
        <v>6.65</v>
      </c>
      <c r="G43" s="80">
        <f t="shared" si="0"/>
        <v>6650</v>
      </c>
      <c r="H43" s="80">
        <f>VLOOKUP(D43,'Bu Erta'!$C$2:$F$66,4,0)*F43</f>
        <v>7980</v>
      </c>
      <c r="J43" s="69" t="s">
        <v>118</v>
      </c>
      <c r="K43">
        <v>4</v>
      </c>
      <c r="L43" s="4">
        <v>16905</v>
      </c>
      <c r="N43" s="44">
        <v>40</v>
      </c>
      <c r="O43" s="17" t="s">
        <v>50</v>
      </c>
      <c r="P43" s="93">
        <f>VLOOKUP(O43,'Bu Erta'!$C$2:$F$66,4,0)</f>
        <v>45000</v>
      </c>
      <c r="Q43" s="94">
        <f t="shared" si="1"/>
        <v>0</v>
      </c>
      <c r="R43" s="93">
        <f t="shared" si="2"/>
        <v>0</v>
      </c>
      <c r="T43" s="44">
        <v>40</v>
      </c>
      <c r="U43" s="17" t="s">
        <v>50</v>
      </c>
      <c r="V43" s="93"/>
      <c r="W43" s="94"/>
      <c r="X43" s="93">
        <f t="shared" si="3"/>
        <v>0</v>
      </c>
    </row>
    <row r="44" spans="1:24" x14ac:dyDescent="0.35">
      <c r="B44" t="s">
        <v>136</v>
      </c>
      <c r="D44" t="s">
        <v>19</v>
      </c>
      <c r="E44" s="80">
        <f>VLOOKUP(D44,'Bu Erta'!$C$2:$E$66,3,0)</f>
        <v>200</v>
      </c>
      <c r="F44">
        <f>0.75+0.2</f>
        <v>0.95</v>
      </c>
      <c r="G44" s="80">
        <f t="shared" si="0"/>
        <v>190</v>
      </c>
      <c r="H44" s="80">
        <f>VLOOKUP(D44,'Bu Erta'!$C$2:$F$66,4,0)*F44</f>
        <v>285</v>
      </c>
      <c r="J44" s="69" t="s">
        <v>144</v>
      </c>
      <c r="K44">
        <v>4</v>
      </c>
      <c r="L44" s="4">
        <v>9145</v>
      </c>
      <c r="N44" s="44">
        <v>41</v>
      </c>
      <c r="O44" s="17" t="s">
        <v>51</v>
      </c>
      <c r="P44" s="93">
        <f>VLOOKUP(O44,'Bu Erta'!$C$2:$F$66,4,0)</f>
        <v>55000</v>
      </c>
      <c r="Q44" s="94">
        <f t="shared" si="1"/>
        <v>0</v>
      </c>
      <c r="R44" s="93">
        <f t="shared" si="2"/>
        <v>0</v>
      </c>
      <c r="T44" s="44">
        <v>41</v>
      </c>
      <c r="U44" s="17" t="s">
        <v>51</v>
      </c>
      <c r="V44" s="93"/>
      <c r="W44" s="94"/>
      <c r="X44" s="93">
        <f t="shared" si="3"/>
        <v>0</v>
      </c>
    </row>
    <row r="45" spans="1:24" x14ac:dyDescent="0.35">
      <c r="B45" t="s">
        <v>136</v>
      </c>
      <c r="D45" t="s">
        <v>32</v>
      </c>
      <c r="E45" s="80">
        <f>VLOOKUP(D45,'Bu Erta'!$C$2:$E$66,3,0)</f>
        <v>4000</v>
      </c>
      <c r="F45">
        <v>1</v>
      </c>
      <c r="G45" s="80">
        <f t="shared" si="0"/>
        <v>4000</v>
      </c>
      <c r="H45" s="80">
        <f>VLOOKUP(D45,'Bu Erta'!$C$2:$F$66,4,0)*F45</f>
        <v>5000</v>
      </c>
      <c r="J45" s="69" t="s">
        <v>109</v>
      </c>
      <c r="K45">
        <v>4</v>
      </c>
      <c r="L45" s="4">
        <v>19160</v>
      </c>
      <c r="N45" s="44">
        <v>42</v>
      </c>
      <c r="O45" s="17" t="s">
        <v>52</v>
      </c>
      <c r="P45" s="93">
        <f>VLOOKUP(O45,'Bu Erta'!$C$2:$F$66,4,0)</f>
        <v>30000</v>
      </c>
      <c r="Q45" s="94">
        <f t="shared" si="1"/>
        <v>0</v>
      </c>
      <c r="R45" s="93">
        <f t="shared" si="2"/>
        <v>0</v>
      </c>
      <c r="T45" s="44">
        <v>42</v>
      </c>
      <c r="U45" s="17" t="s">
        <v>52</v>
      </c>
      <c r="V45" s="93"/>
      <c r="W45" s="94"/>
      <c r="X45" s="93">
        <f t="shared" si="3"/>
        <v>0</v>
      </c>
    </row>
    <row r="46" spans="1:24" x14ac:dyDescent="0.35">
      <c r="B46" t="s">
        <v>136</v>
      </c>
      <c r="D46" t="s">
        <v>40</v>
      </c>
      <c r="E46" s="80">
        <f>VLOOKUP(D46,'Bu Erta'!$C$2:$E$66,3,0)</f>
        <v>1800</v>
      </c>
      <c r="F46">
        <v>1.6</v>
      </c>
      <c r="G46" s="80">
        <f t="shared" si="0"/>
        <v>2880</v>
      </c>
      <c r="H46" s="80">
        <f>VLOOKUP(D46,'Bu Erta'!$C$2:$F$66,4,0)*F46</f>
        <v>3200</v>
      </c>
      <c r="J46" s="69" t="s">
        <v>180</v>
      </c>
      <c r="K46">
        <v>4</v>
      </c>
      <c r="L46" s="4">
        <v>3200</v>
      </c>
      <c r="N46" s="44">
        <v>43</v>
      </c>
      <c r="O46" s="17" t="s">
        <v>53</v>
      </c>
      <c r="P46" s="93">
        <f>VLOOKUP(O46,'Bu Erta'!$C$2:$F$66,4,0)</f>
        <v>12000</v>
      </c>
      <c r="Q46" s="94">
        <f t="shared" si="1"/>
        <v>1</v>
      </c>
      <c r="R46" s="93">
        <f t="shared" si="2"/>
        <v>12000</v>
      </c>
      <c r="T46" s="44">
        <v>43</v>
      </c>
      <c r="U46" s="17" t="s">
        <v>53</v>
      </c>
      <c r="V46" s="93"/>
      <c r="W46" s="94"/>
      <c r="X46" s="93">
        <f t="shared" si="3"/>
        <v>0</v>
      </c>
    </row>
    <row r="47" spans="1:24" x14ac:dyDescent="0.35">
      <c r="B47" t="s">
        <v>136</v>
      </c>
      <c r="D47" t="s">
        <v>69</v>
      </c>
      <c r="E47" s="80">
        <f>VLOOKUP(D47,'Bu Erta'!$C$2:$E$66,3,0)</f>
        <v>2500</v>
      </c>
      <c r="F47">
        <v>0.25</v>
      </c>
      <c r="G47" s="80">
        <f t="shared" si="0"/>
        <v>625</v>
      </c>
      <c r="H47" s="80">
        <f>VLOOKUP(D47,'Bu Erta'!$C$2:$F$66,4,0)*F47</f>
        <v>750</v>
      </c>
      <c r="J47" s="69" t="s">
        <v>245</v>
      </c>
      <c r="K47">
        <v>4</v>
      </c>
      <c r="L47" s="4">
        <v>2320</v>
      </c>
      <c r="N47" s="44">
        <v>44</v>
      </c>
      <c r="O47" s="17" t="s">
        <v>54</v>
      </c>
      <c r="P47" s="93">
        <f>VLOOKUP(O47,'Bu Erta'!$C$2:$F$66,4,0)</f>
        <v>650</v>
      </c>
      <c r="Q47" s="94">
        <f t="shared" si="1"/>
        <v>2.8</v>
      </c>
      <c r="R47" s="93">
        <f t="shared" si="2"/>
        <v>1819.9999999999998</v>
      </c>
      <c r="T47" s="44">
        <v>44</v>
      </c>
      <c r="U47" s="17" t="s">
        <v>54</v>
      </c>
      <c r="V47" s="93"/>
      <c r="W47" s="94"/>
      <c r="X47" s="93">
        <f t="shared" si="3"/>
        <v>0</v>
      </c>
    </row>
    <row r="48" spans="1:24" x14ac:dyDescent="0.35">
      <c r="A48" s="5">
        <v>8</v>
      </c>
      <c r="B48" t="s">
        <v>105</v>
      </c>
      <c r="C48" s="5">
        <v>4</v>
      </c>
      <c r="D48" t="s">
        <v>31</v>
      </c>
      <c r="E48" s="80">
        <f>VLOOKUP(D48,'Bu Erta'!$C$2:$E$66,3,0)</f>
        <v>1000</v>
      </c>
      <c r="F48">
        <v>1.45</v>
      </c>
      <c r="G48" s="80">
        <f t="shared" si="0"/>
        <v>1450</v>
      </c>
      <c r="H48" s="80">
        <f>VLOOKUP(D48,'Bu Erta'!$C$2:$F$66,4,0)*F48</f>
        <v>1595</v>
      </c>
      <c r="J48" s="69" t="s">
        <v>85</v>
      </c>
      <c r="K48">
        <v>4</v>
      </c>
      <c r="L48" s="4">
        <v>7470</v>
      </c>
      <c r="N48" s="44">
        <v>45</v>
      </c>
      <c r="O48" s="17" t="s">
        <v>55</v>
      </c>
      <c r="P48" s="93">
        <f>VLOOKUP(O48,'Bu Erta'!$C$2:$F$66,4,0)</f>
        <v>40000</v>
      </c>
      <c r="Q48" s="94">
        <f t="shared" si="1"/>
        <v>0</v>
      </c>
      <c r="R48" s="93">
        <f t="shared" si="2"/>
        <v>0</v>
      </c>
      <c r="T48" s="44">
        <v>45</v>
      </c>
      <c r="U48" s="17" t="s">
        <v>55</v>
      </c>
      <c r="V48" s="93"/>
      <c r="W48" s="94"/>
      <c r="X48" s="93">
        <f t="shared" si="3"/>
        <v>0</v>
      </c>
    </row>
    <row r="49" spans="1:24" x14ac:dyDescent="0.35">
      <c r="B49" t="s">
        <v>105</v>
      </c>
      <c r="D49" t="s">
        <v>19</v>
      </c>
      <c r="E49" s="80">
        <f>VLOOKUP(D49,'Bu Erta'!$C$2:$E$66,3,0)</f>
        <v>200</v>
      </c>
      <c r="F49">
        <v>0.3</v>
      </c>
      <c r="G49" s="80">
        <f t="shared" si="0"/>
        <v>60</v>
      </c>
      <c r="H49" s="80">
        <f>VLOOKUP(D49,'Bu Erta'!$C$2:$F$66,4,0)*F49</f>
        <v>90</v>
      </c>
      <c r="J49" s="69" t="s">
        <v>114</v>
      </c>
      <c r="K49">
        <v>4</v>
      </c>
      <c r="L49" s="4">
        <v>23435</v>
      </c>
      <c r="N49" s="44">
        <v>46</v>
      </c>
      <c r="O49" s="17" t="s">
        <v>56</v>
      </c>
      <c r="P49" s="93">
        <f>VLOOKUP(O49,'Bu Erta'!$C$2:$F$66,4,0)</f>
        <v>5500</v>
      </c>
      <c r="Q49" s="94">
        <f t="shared" si="1"/>
        <v>15.899999999999999</v>
      </c>
      <c r="R49" s="93">
        <f t="shared" si="2"/>
        <v>87449.999999999985</v>
      </c>
      <c r="T49" s="44">
        <v>46</v>
      </c>
      <c r="U49" s="17" t="s">
        <v>56</v>
      </c>
      <c r="V49" s="93"/>
      <c r="W49" s="94"/>
      <c r="X49" s="93">
        <f t="shared" si="3"/>
        <v>0</v>
      </c>
    </row>
    <row r="50" spans="1:24" x14ac:dyDescent="0.35">
      <c r="B50" t="s">
        <v>105</v>
      </c>
      <c r="D50" t="s">
        <v>42</v>
      </c>
      <c r="E50" s="80">
        <f>VLOOKUP(D50,'Bu Erta'!$C$2:$E$66,3,0)</f>
        <v>1000</v>
      </c>
      <c r="F50">
        <v>0.95</v>
      </c>
      <c r="G50" s="80">
        <f t="shared" si="0"/>
        <v>950</v>
      </c>
      <c r="H50" s="80">
        <f>VLOOKUP(D50,'Bu Erta'!$C$2:$F$66,4,0)*F50</f>
        <v>1140</v>
      </c>
      <c r="J50" s="69" t="s">
        <v>152</v>
      </c>
      <c r="K50">
        <v>4</v>
      </c>
      <c r="L50" s="4">
        <v>3350</v>
      </c>
      <c r="N50" s="44">
        <v>47</v>
      </c>
      <c r="O50" s="17" t="s">
        <v>88</v>
      </c>
      <c r="P50" s="93">
        <f>VLOOKUP(O50,'Bu Erta'!$C$2:$F$66,4,0)</f>
        <v>400</v>
      </c>
      <c r="Q50" s="94">
        <f t="shared" si="1"/>
        <v>0</v>
      </c>
      <c r="R50" s="93">
        <f t="shared" si="2"/>
        <v>0</v>
      </c>
      <c r="T50" s="44">
        <v>47</v>
      </c>
      <c r="U50" s="17" t="s">
        <v>88</v>
      </c>
      <c r="V50" s="93"/>
      <c r="W50" s="94"/>
      <c r="X50" s="93">
        <f t="shared" si="3"/>
        <v>0</v>
      </c>
    </row>
    <row r="51" spans="1:24" x14ac:dyDescent="0.35">
      <c r="A51" s="5">
        <v>9</v>
      </c>
      <c r="B51" t="s">
        <v>180</v>
      </c>
      <c r="C51" s="5">
        <v>4</v>
      </c>
      <c r="D51" t="s">
        <v>27</v>
      </c>
      <c r="E51" s="80">
        <f>VLOOKUP(D51,'Bu Erta'!$C$2:$E$66,3,0)</f>
        <v>2800</v>
      </c>
      <c r="F51">
        <v>0.65</v>
      </c>
      <c r="G51" s="80">
        <f t="shared" si="0"/>
        <v>1820</v>
      </c>
      <c r="H51" s="80">
        <f>VLOOKUP(D51,'Bu Erta'!$C$2:$F$66,4,0)*F51</f>
        <v>2015</v>
      </c>
      <c r="J51" s="69" t="s">
        <v>111</v>
      </c>
      <c r="K51">
        <v>5</v>
      </c>
      <c r="L51" s="4">
        <v>9300</v>
      </c>
      <c r="N51" s="44">
        <v>48</v>
      </c>
      <c r="O51" s="17" t="s">
        <v>57</v>
      </c>
      <c r="P51" s="93">
        <f>VLOOKUP(O51,'Bu Erta'!$C$2:$F$66,4,0)</f>
        <v>10000</v>
      </c>
      <c r="Q51" s="94">
        <f t="shared" si="1"/>
        <v>0</v>
      </c>
      <c r="R51" s="93">
        <f t="shared" si="2"/>
        <v>0</v>
      </c>
      <c r="T51" s="44">
        <v>48</v>
      </c>
      <c r="U51" s="17" t="s">
        <v>57</v>
      </c>
      <c r="V51" s="93"/>
      <c r="W51" s="94"/>
      <c r="X51" s="93">
        <f t="shared" si="3"/>
        <v>0</v>
      </c>
    </row>
    <row r="52" spans="1:24" x14ac:dyDescent="0.35">
      <c r="B52" t="s">
        <v>180</v>
      </c>
      <c r="D52" t="s">
        <v>19</v>
      </c>
      <c r="E52" s="80">
        <f>VLOOKUP(D52,'Bu Erta'!$C$2:$E$66,3,0)</f>
        <v>200</v>
      </c>
      <c r="F52">
        <v>0.55000000000000004</v>
      </c>
      <c r="G52" s="80">
        <f t="shared" si="0"/>
        <v>110.00000000000001</v>
      </c>
      <c r="H52" s="80">
        <f>VLOOKUP(D52,'Bu Erta'!$C$2:$F$66,4,0)*F52</f>
        <v>165</v>
      </c>
      <c r="J52" s="69" t="s">
        <v>189</v>
      </c>
      <c r="K52">
        <v>5</v>
      </c>
      <c r="L52" s="4">
        <v>23420</v>
      </c>
      <c r="N52" s="44">
        <v>49</v>
      </c>
      <c r="O52" s="17" t="s">
        <v>58</v>
      </c>
      <c r="P52" s="93">
        <f>VLOOKUP(O52,'Bu Erta'!$C$2:$F$66,4,0)</f>
        <v>15000</v>
      </c>
      <c r="Q52" s="94">
        <f t="shared" si="1"/>
        <v>0</v>
      </c>
      <c r="R52" s="93">
        <f t="shared" si="2"/>
        <v>0</v>
      </c>
      <c r="T52" s="44">
        <v>49</v>
      </c>
      <c r="U52" s="17" t="s">
        <v>58</v>
      </c>
      <c r="V52" s="93"/>
      <c r="W52" s="94"/>
      <c r="X52" s="93">
        <f t="shared" si="3"/>
        <v>0</v>
      </c>
    </row>
    <row r="53" spans="1:24" x14ac:dyDescent="0.35">
      <c r="B53" t="s">
        <v>180</v>
      </c>
      <c r="D53" t="s">
        <v>42</v>
      </c>
      <c r="E53" s="80">
        <f>VLOOKUP(D53,'Bu Erta'!$C$2:$E$66,3,0)</f>
        <v>1000</v>
      </c>
      <c r="F53">
        <v>0.25</v>
      </c>
      <c r="G53" s="80">
        <f t="shared" si="0"/>
        <v>250</v>
      </c>
      <c r="H53" s="80">
        <f>VLOOKUP(D53,'Bu Erta'!$C$2:$F$66,4,0)*F53</f>
        <v>300</v>
      </c>
      <c r="J53" s="69" t="s">
        <v>174</v>
      </c>
      <c r="K53">
        <v>5</v>
      </c>
      <c r="L53" s="4">
        <v>16720</v>
      </c>
      <c r="N53" s="44">
        <v>50</v>
      </c>
      <c r="O53" s="17" t="s">
        <v>6</v>
      </c>
      <c r="P53" s="93">
        <f>VLOOKUP(O53,'Bu Erta'!$C$2:$F$66,4,0)</f>
        <v>2500</v>
      </c>
      <c r="Q53" s="94">
        <f t="shared" si="1"/>
        <v>1.7</v>
      </c>
      <c r="R53" s="93">
        <f t="shared" si="2"/>
        <v>4250</v>
      </c>
      <c r="T53" s="44">
        <v>50</v>
      </c>
      <c r="U53" s="17" t="s">
        <v>6</v>
      </c>
      <c r="V53" s="93"/>
      <c r="W53" s="94"/>
      <c r="X53" s="93">
        <f t="shared" si="3"/>
        <v>0</v>
      </c>
    </row>
    <row r="54" spans="1:24" x14ac:dyDescent="0.35">
      <c r="B54" t="s">
        <v>180</v>
      </c>
      <c r="D54" t="s">
        <v>23</v>
      </c>
      <c r="E54" s="80">
        <f>VLOOKUP(D54,'Bu Erta'!$C$2:$E$66,3,0)</f>
        <v>300</v>
      </c>
      <c r="F54">
        <f>0.7+0.15</f>
        <v>0.85</v>
      </c>
      <c r="G54" s="80">
        <f t="shared" si="0"/>
        <v>255</v>
      </c>
      <c r="H54" s="80">
        <f>VLOOKUP(D54,'Bu Erta'!$C$2:$F$66,4,0)*F54</f>
        <v>340</v>
      </c>
      <c r="J54" s="69" t="s">
        <v>120</v>
      </c>
      <c r="K54">
        <v>5</v>
      </c>
      <c r="L54" s="4">
        <v>19670</v>
      </c>
      <c r="N54" s="44">
        <v>51</v>
      </c>
      <c r="O54" s="17" t="s">
        <v>59</v>
      </c>
      <c r="P54" s="93">
        <f>VLOOKUP(O54,'Bu Erta'!$C$2:$F$66,4,0)</f>
        <v>600</v>
      </c>
      <c r="Q54" s="94">
        <f t="shared" si="1"/>
        <v>0</v>
      </c>
      <c r="R54" s="93">
        <f t="shared" si="2"/>
        <v>0</v>
      </c>
      <c r="T54" s="44">
        <v>51</v>
      </c>
      <c r="U54" s="17" t="s">
        <v>59</v>
      </c>
      <c r="V54" s="93"/>
      <c r="W54" s="94"/>
      <c r="X54" s="93">
        <f t="shared" si="3"/>
        <v>0</v>
      </c>
    </row>
    <row r="55" spans="1:24" x14ac:dyDescent="0.35">
      <c r="B55" t="s">
        <v>180</v>
      </c>
      <c r="D55" t="s">
        <v>24</v>
      </c>
      <c r="E55" s="80">
        <f>VLOOKUP(D55,'Bu Erta'!$C$2:$E$66,3,0)</f>
        <v>150</v>
      </c>
      <c r="F55">
        <v>0.8</v>
      </c>
      <c r="G55" s="80">
        <f t="shared" si="0"/>
        <v>120</v>
      </c>
      <c r="H55" s="80">
        <f>VLOOKUP(D55,'Bu Erta'!$C$2:$F$66,4,0)*F55</f>
        <v>160</v>
      </c>
      <c r="J55" s="69" t="s">
        <v>335</v>
      </c>
      <c r="K55">
        <v>5</v>
      </c>
      <c r="L55" s="4">
        <v>7000</v>
      </c>
      <c r="N55" s="44">
        <v>52</v>
      </c>
      <c r="O55" s="17" t="s">
        <v>60</v>
      </c>
      <c r="P55" s="93">
        <f>VLOOKUP(O55,'Bu Erta'!$C$2:$F$66,4,0)</f>
        <v>1500</v>
      </c>
      <c r="Q55" s="94">
        <f t="shared" si="1"/>
        <v>0</v>
      </c>
      <c r="R55" s="93">
        <f t="shared" si="2"/>
        <v>0</v>
      </c>
      <c r="T55" s="44">
        <v>52</v>
      </c>
      <c r="U55" s="17" t="s">
        <v>60</v>
      </c>
      <c r="V55" s="93"/>
      <c r="W55" s="94"/>
      <c r="X55" s="93">
        <f t="shared" si="3"/>
        <v>0</v>
      </c>
    </row>
    <row r="56" spans="1:24" x14ac:dyDescent="0.35">
      <c r="B56" t="s">
        <v>180</v>
      </c>
      <c r="D56" t="s">
        <v>41</v>
      </c>
      <c r="E56" s="80">
        <f>VLOOKUP(D56,'Bu Erta'!$C$2:$E$66,3,0)</f>
        <v>1500</v>
      </c>
      <c r="F56">
        <v>0.15</v>
      </c>
      <c r="G56" s="80">
        <f t="shared" si="0"/>
        <v>225</v>
      </c>
      <c r="H56" s="80">
        <f>VLOOKUP(D56,'Bu Erta'!$C$2:$F$66,4,0)*F56</f>
        <v>300</v>
      </c>
      <c r="J56" s="69" t="s">
        <v>95</v>
      </c>
      <c r="K56">
        <v>5</v>
      </c>
      <c r="L56" s="4">
        <v>3600</v>
      </c>
      <c r="N56" s="44">
        <v>53</v>
      </c>
      <c r="O56" s="17" t="s">
        <v>61</v>
      </c>
      <c r="P56" s="93">
        <f>VLOOKUP(O56,'Bu Erta'!$C$2:$F$66,4,0)</f>
        <v>900</v>
      </c>
      <c r="Q56" s="94">
        <f t="shared" si="1"/>
        <v>0</v>
      </c>
      <c r="R56" s="93">
        <f t="shared" si="2"/>
        <v>0</v>
      </c>
      <c r="T56" s="44">
        <v>53</v>
      </c>
      <c r="U56" s="17" t="s">
        <v>61</v>
      </c>
      <c r="V56" s="93"/>
      <c r="W56" s="94"/>
      <c r="X56" s="93">
        <f t="shared" si="3"/>
        <v>0</v>
      </c>
    </row>
    <row r="57" spans="1:24" x14ac:dyDescent="0.35">
      <c r="B57" t="s">
        <v>180</v>
      </c>
      <c r="D57" t="s">
        <v>7</v>
      </c>
      <c r="E57" s="80">
        <f>VLOOKUP(D57,'Bu Erta'!$C$2:$E$66,3,0)</f>
        <v>1400</v>
      </c>
      <c r="F57">
        <v>0.3</v>
      </c>
      <c r="G57" s="80">
        <f t="shared" si="0"/>
        <v>420</v>
      </c>
      <c r="H57" s="80">
        <f>VLOOKUP(D57,'Bu Erta'!$C$2:$F$66,4,0)*F57</f>
        <v>480</v>
      </c>
      <c r="J57" s="69" t="s">
        <v>285</v>
      </c>
      <c r="K57">
        <v>6</v>
      </c>
      <c r="L57" s="4">
        <v>7230</v>
      </c>
      <c r="N57" s="44">
        <v>54</v>
      </c>
      <c r="O57" s="17" t="s">
        <v>62</v>
      </c>
      <c r="P57" s="93">
        <f>VLOOKUP(O57,'Bu Erta'!$C$2:$F$66,4,0)</f>
        <v>500</v>
      </c>
      <c r="Q57" s="94">
        <f t="shared" si="1"/>
        <v>0</v>
      </c>
      <c r="R57" s="93">
        <f t="shared" si="2"/>
        <v>0</v>
      </c>
      <c r="T57" s="44">
        <v>54</v>
      </c>
      <c r="U57" s="17" t="s">
        <v>62</v>
      </c>
      <c r="V57" s="93"/>
      <c r="W57" s="94"/>
      <c r="X57" s="93">
        <f t="shared" si="3"/>
        <v>0</v>
      </c>
    </row>
    <row r="58" spans="1:24" x14ac:dyDescent="0.35">
      <c r="A58" s="5">
        <v>10</v>
      </c>
      <c r="B58" t="s">
        <v>97</v>
      </c>
      <c r="C58" s="5">
        <v>4</v>
      </c>
      <c r="D58" t="s">
        <v>53</v>
      </c>
      <c r="E58" s="80">
        <f>VLOOKUP(D58,'Bu Erta'!$C$2:$E$66,3,0)</f>
        <v>10000</v>
      </c>
      <c r="F58">
        <v>1</v>
      </c>
      <c r="G58" s="80">
        <f t="shared" si="0"/>
        <v>10000</v>
      </c>
      <c r="H58" s="80">
        <f>VLOOKUP(D58,'Bu Erta'!$C$2:$F$66,4,0)*F58</f>
        <v>12000</v>
      </c>
      <c r="J58" s="69" t="s">
        <v>295</v>
      </c>
      <c r="K58">
        <v>6</v>
      </c>
      <c r="L58" s="4">
        <v>1630</v>
      </c>
      <c r="N58" s="44">
        <v>55</v>
      </c>
      <c r="O58" s="17" t="s">
        <v>63</v>
      </c>
      <c r="P58" s="93">
        <f>VLOOKUP(O58,'Bu Erta'!$C$2:$F$66,4,0)</f>
        <v>1000</v>
      </c>
      <c r="Q58" s="94">
        <f t="shared" si="1"/>
        <v>0</v>
      </c>
      <c r="R58" s="93">
        <f t="shared" si="2"/>
        <v>0</v>
      </c>
      <c r="T58" s="44">
        <v>55</v>
      </c>
      <c r="U58" s="17" t="s">
        <v>63</v>
      </c>
      <c r="V58" s="93"/>
      <c r="W58" s="94"/>
      <c r="X58" s="93">
        <f t="shared" si="3"/>
        <v>0</v>
      </c>
    </row>
    <row r="59" spans="1:24" x14ac:dyDescent="0.35">
      <c r="A59" s="5">
        <v>11</v>
      </c>
      <c r="B59" t="s">
        <v>108</v>
      </c>
      <c r="C59" s="5">
        <v>2</v>
      </c>
      <c r="D59" t="s">
        <v>28</v>
      </c>
      <c r="E59" s="80">
        <f>VLOOKUP(D59,'Bu Erta'!$C$2:$E$66,3,0)</f>
        <v>1200</v>
      </c>
      <c r="F59">
        <f>6.25+18.35</f>
        <v>24.6</v>
      </c>
      <c r="G59" s="80">
        <f t="shared" si="0"/>
        <v>29520</v>
      </c>
      <c r="H59" s="80">
        <f>VLOOKUP(D59,'Bu Erta'!$C$2:$F$66,4,0)*F59</f>
        <v>31980.000000000004</v>
      </c>
      <c r="J59" s="69" t="s">
        <v>299</v>
      </c>
      <c r="K59">
        <v>6</v>
      </c>
      <c r="L59" s="4">
        <v>29895</v>
      </c>
      <c r="N59" s="44">
        <v>56</v>
      </c>
      <c r="O59" s="17" t="s">
        <v>64</v>
      </c>
      <c r="P59" s="93">
        <f>VLOOKUP(O59,'Bu Erta'!$C$2:$F$66,4,0)</f>
        <v>900</v>
      </c>
      <c r="Q59" s="94">
        <f t="shared" si="1"/>
        <v>0</v>
      </c>
      <c r="R59" s="93">
        <f t="shared" si="2"/>
        <v>0</v>
      </c>
      <c r="T59" s="44">
        <v>56</v>
      </c>
      <c r="U59" s="17" t="s">
        <v>64</v>
      </c>
      <c r="V59" s="93"/>
      <c r="W59" s="94"/>
      <c r="X59" s="93">
        <f t="shared" si="3"/>
        <v>0</v>
      </c>
    </row>
    <row r="60" spans="1:24" x14ac:dyDescent="0.35">
      <c r="B60" t="s">
        <v>108</v>
      </c>
      <c r="D60" t="s">
        <v>23</v>
      </c>
      <c r="E60" s="80">
        <f>VLOOKUP(D60,'Bu Erta'!$C$2:$E$66,3,0)</f>
        <v>300</v>
      </c>
      <c r="F60">
        <f>0.7+0.2</f>
        <v>0.89999999999999991</v>
      </c>
      <c r="G60" s="80">
        <f t="shared" si="0"/>
        <v>270</v>
      </c>
      <c r="H60" s="80">
        <f>VLOOKUP(D60,'Bu Erta'!$C$2:$F$66,4,0)*F60</f>
        <v>359.99999999999994</v>
      </c>
      <c r="J60" s="69" t="s">
        <v>334</v>
      </c>
      <c r="K60">
        <v>7</v>
      </c>
      <c r="L60" s="4">
        <v>1170</v>
      </c>
      <c r="N60" s="44">
        <v>57</v>
      </c>
      <c r="O60" s="17" t="s">
        <v>65</v>
      </c>
      <c r="P60" s="93">
        <f>VLOOKUP(O60,'Bu Erta'!$C$2:$F$66,4,0)</f>
        <v>200</v>
      </c>
      <c r="Q60" s="94">
        <f t="shared" si="1"/>
        <v>0</v>
      </c>
      <c r="R60" s="93">
        <f t="shared" si="2"/>
        <v>0</v>
      </c>
      <c r="T60" s="44">
        <v>57</v>
      </c>
      <c r="U60" s="17" t="s">
        <v>65</v>
      </c>
      <c r="V60" s="93"/>
      <c r="W60" s="94"/>
      <c r="X60" s="93">
        <f t="shared" si="3"/>
        <v>0</v>
      </c>
    </row>
    <row r="61" spans="1:24" x14ac:dyDescent="0.35">
      <c r="B61" t="s">
        <v>108</v>
      </c>
      <c r="D61" t="s">
        <v>27</v>
      </c>
      <c r="E61" s="80">
        <f>VLOOKUP(D61,'Bu Erta'!$C$2:$E$66,3,0)</f>
        <v>2800</v>
      </c>
      <c r="F61">
        <v>0.6</v>
      </c>
      <c r="G61" s="80">
        <f t="shared" si="0"/>
        <v>1680</v>
      </c>
      <c r="H61" s="80">
        <f>VLOOKUP(D61,'Bu Erta'!$C$2:$F$66,4,0)*F61</f>
        <v>1860</v>
      </c>
      <c r="J61" s="69" t="s">
        <v>294</v>
      </c>
      <c r="K61">
        <v>7</v>
      </c>
      <c r="L61" s="4">
        <v>38610</v>
      </c>
      <c r="N61" s="44">
        <v>58</v>
      </c>
      <c r="O61" s="17" t="s">
        <v>66</v>
      </c>
      <c r="P61" s="93">
        <f>VLOOKUP(O61,'Bu Erta'!$C$2:$F$66,4,0)</f>
        <v>55000</v>
      </c>
      <c r="Q61" s="94">
        <f t="shared" si="1"/>
        <v>0</v>
      </c>
      <c r="R61" s="93">
        <f t="shared" si="2"/>
        <v>0</v>
      </c>
      <c r="T61" s="44">
        <v>58</v>
      </c>
      <c r="U61" s="17" t="s">
        <v>66</v>
      </c>
      <c r="V61" s="93"/>
      <c r="W61" s="94"/>
      <c r="X61" s="93">
        <f t="shared" si="3"/>
        <v>0</v>
      </c>
    </row>
    <row r="62" spans="1:24" x14ac:dyDescent="0.35">
      <c r="B62" t="s">
        <v>108</v>
      </c>
      <c r="D62" t="s">
        <v>7</v>
      </c>
      <c r="E62" s="80">
        <f>VLOOKUP(D62,'Bu Erta'!$C$2:$E$66,3,0)</f>
        <v>1400</v>
      </c>
      <c r="F62">
        <f>0.85+0.75</f>
        <v>1.6</v>
      </c>
      <c r="G62" s="80">
        <f t="shared" si="0"/>
        <v>2240</v>
      </c>
      <c r="H62" s="80">
        <f>VLOOKUP(D62,'Bu Erta'!$C$2:$F$66,4,0)*F62</f>
        <v>2560</v>
      </c>
      <c r="J62" s="69" t="s">
        <v>241</v>
      </c>
      <c r="K62">
        <v>7</v>
      </c>
      <c r="L62" s="4">
        <v>5600</v>
      </c>
      <c r="N62" s="44">
        <v>59</v>
      </c>
      <c r="O62" s="17" t="s">
        <v>67</v>
      </c>
      <c r="P62" s="93">
        <f>VLOOKUP(O62,'Bu Erta'!$C$2:$F$66,4,0)</f>
        <v>3000</v>
      </c>
      <c r="Q62" s="94">
        <f t="shared" si="1"/>
        <v>0</v>
      </c>
      <c r="R62" s="93">
        <f t="shared" si="2"/>
        <v>0</v>
      </c>
      <c r="T62" s="44">
        <v>59</v>
      </c>
      <c r="U62" s="17" t="s">
        <v>67</v>
      </c>
      <c r="V62" s="93"/>
      <c r="W62" s="94"/>
      <c r="X62" s="93">
        <f t="shared" si="3"/>
        <v>0</v>
      </c>
    </row>
    <row r="63" spans="1:24" x14ac:dyDescent="0.35">
      <c r="B63" t="s">
        <v>108</v>
      </c>
      <c r="D63" t="s">
        <v>19</v>
      </c>
      <c r="E63" s="80">
        <f>VLOOKUP(D63,'Bu Erta'!$C$2:$E$66,3,0)</f>
        <v>200</v>
      </c>
      <c r="F63">
        <f>0.55+0.15+0.1</f>
        <v>0.8</v>
      </c>
      <c r="G63" s="80">
        <f t="shared" si="0"/>
        <v>160</v>
      </c>
      <c r="H63" s="80">
        <f>VLOOKUP(D63,'Bu Erta'!$C$2:$F$66,4,0)*F63</f>
        <v>240</v>
      </c>
      <c r="J63" s="69" t="s">
        <v>188</v>
      </c>
      <c r="K63">
        <v>7</v>
      </c>
      <c r="L63" s="4">
        <v>45180</v>
      </c>
      <c r="N63" s="44">
        <v>60</v>
      </c>
      <c r="O63" s="17" t="s">
        <v>68</v>
      </c>
      <c r="P63" s="93">
        <f>VLOOKUP(O63,'Bu Erta'!$C$2:$F$66,4,0)</f>
        <v>200</v>
      </c>
      <c r="Q63" s="94">
        <f t="shared" si="1"/>
        <v>0</v>
      </c>
      <c r="R63" s="93">
        <f t="shared" si="2"/>
        <v>0</v>
      </c>
      <c r="T63" s="44">
        <v>60</v>
      </c>
      <c r="U63" s="17" t="s">
        <v>68</v>
      </c>
      <c r="V63" s="93"/>
      <c r="W63" s="94"/>
      <c r="X63" s="93">
        <f t="shared" si="3"/>
        <v>0</v>
      </c>
    </row>
    <row r="64" spans="1:24" x14ac:dyDescent="0.35">
      <c r="B64" t="s">
        <v>108</v>
      </c>
      <c r="D64" t="s">
        <v>69</v>
      </c>
      <c r="E64" s="80">
        <f>VLOOKUP(D64,'Bu Erta'!$C$2:$E$66,3,0)</f>
        <v>2500</v>
      </c>
      <c r="F64">
        <v>0.2</v>
      </c>
      <c r="G64" s="80">
        <f t="shared" si="0"/>
        <v>500</v>
      </c>
      <c r="H64" s="80">
        <f>VLOOKUP(D64,'Bu Erta'!$C$2:$F$66,4,0)*F64</f>
        <v>600</v>
      </c>
      <c r="J64" s="69" t="s">
        <v>81</v>
      </c>
      <c r="K64">
        <v>215</v>
      </c>
      <c r="L64" s="4">
        <v>866252.5</v>
      </c>
      <c r="N64" s="44">
        <v>61</v>
      </c>
      <c r="O64" s="17" t="s">
        <v>69</v>
      </c>
      <c r="P64" s="93">
        <f>VLOOKUP(O64,'Bu Erta'!$C$2:$F$66,4,0)</f>
        <v>3000</v>
      </c>
      <c r="Q64" s="94">
        <f t="shared" si="1"/>
        <v>5.5000000000000018</v>
      </c>
      <c r="R64" s="93">
        <f t="shared" si="2"/>
        <v>16500.000000000004</v>
      </c>
      <c r="T64" s="44">
        <v>61</v>
      </c>
      <c r="U64" s="17" t="s">
        <v>69</v>
      </c>
      <c r="V64" s="93"/>
      <c r="W64" s="94"/>
      <c r="X64" s="93">
        <f t="shared" si="3"/>
        <v>0</v>
      </c>
    </row>
    <row r="65" spans="1:24" x14ac:dyDescent="0.35">
      <c r="B65" t="s">
        <v>108</v>
      </c>
      <c r="D65" t="s">
        <v>31</v>
      </c>
      <c r="E65" s="80">
        <f>VLOOKUP(D65,'Bu Erta'!$C$2:$E$66,3,0)</f>
        <v>1000</v>
      </c>
      <c r="F65">
        <v>0.45</v>
      </c>
      <c r="G65" s="80">
        <f t="shared" si="0"/>
        <v>450</v>
      </c>
      <c r="H65" s="80">
        <f>VLOOKUP(D65,'Bu Erta'!$C$2:$F$66,4,0)*F65</f>
        <v>495</v>
      </c>
      <c r="N65" s="44">
        <v>62</v>
      </c>
      <c r="O65" s="17" t="s">
        <v>70</v>
      </c>
      <c r="P65" s="93">
        <f>VLOOKUP(O65,'Bu Erta'!$C$2:$F$66,4,0)</f>
        <v>4000</v>
      </c>
      <c r="Q65" s="94">
        <f t="shared" si="1"/>
        <v>0.47</v>
      </c>
      <c r="R65" s="93">
        <f t="shared" si="2"/>
        <v>1880</v>
      </c>
      <c r="T65" s="44">
        <v>62</v>
      </c>
      <c r="U65" s="17" t="s">
        <v>70</v>
      </c>
      <c r="V65" s="93"/>
      <c r="W65" s="94"/>
      <c r="X65" s="93">
        <f t="shared" si="3"/>
        <v>0</v>
      </c>
    </row>
    <row r="66" spans="1:24" x14ac:dyDescent="0.35">
      <c r="B66" t="s">
        <v>108</v>
      </c>
      <c r="D66" t="s">
        <v>40</v>
      </c>
      <c r="E66" s="80">
        <f>VLOOKUP(D66,'Bu Erta'!$C$2:$E$66,3,0)</f>
        <v>1800</v>
      </c>
      <c r="F66">
        <v>0.45</v>
      </c>
      <c r="G66" s="80">
        <f t="shared" si="0"/>
        <v>810</v>
      </c>
      <c r="H66" s="80">
        <f>VLOOKUP(D66,'Bu Erta'!$C$2:$F$66,4,0)*F66</f>
        <v>900</v>
      </c>
      <c r="N66" s="44">
        <v>63</v>
      </c>
      <c r="O66" s="17" t="s">
        <v>71</v>
      </c>
      <c r="P66" s="93">
        <f>VLOOKUP(O66,'Bu Erta'!$C$2:$F$66,4,0)</f>
        <v>10000</v>
      </c>
      <c r="Q66" s="94">
        <f t="shared" si="1"/>
        <v>0</v>
      </c>
      <c r="R66" s="93">
        <f t="shared" si="2"/>
        <v>0</v>
      </c>
      <c r="T66" s="44">
        <v>63</v>
      </c>
      <c r="U66" s="17" t="s">
        <v>71</v>
      </c>
      <c r="V66" s="93"/>
      <c r="W66" s="94"/>
      <c r="X66" s="93">
        <f t="shared" si="3"/>
        <v>0</v>
      </c>
    </row>
    <row r="67" spans="1:24" x14ac:dyDescent="0.35">
      <c r="B67" t="s">
        <v>108</v>
      </c>
      <c r="D67" t="s">
        <v>24</v>
      </c>
      <c r="E67" s="80">
        <f>VLOOKUP(D67,'Bu Erta'!$C$2:$E$66,3,0)</f>
        <v>150</v>
      </c>
      <c r="F67">
        <v>0.9</v>
      </c>
      <c r="G67" s="80">
        <f t="shared" si="0"/>
        <v>135</v>
      </c>
      <c r="H67" s="80">
        <f>VLOOKUP(D67,'Bu Erta'!$C$2:$F$66,4,0)*F67</f>
        <v>180</v>
      </c>
      <c r="N67" s="44">
        <v>64</v>
      </c>
      <c r="O67" s="17" t="s">
        <v>72</v>
      </c>
      <c r="P67" s="93">
        <f>VLOOKUP(O67,'Bu Erta'!$C$2:$F$66,4,0)</f>
        <v>15000</v>
      </c>
      <c r="Q67" s="94">
        <f t="shared" si="1"/>
        <v>0</v>
      </c>
      <c r="R67" s="93">
        <f t="shared" si="2"/>
        <v>0</v>
      </c>
      <c r="T67" s="44">
        <v>64</v>
      </c>
      <c r="U67" s="17" t="s">
        <v>72</v>
      </c>
      <c r="V67" s="93"/>
      <c r="W67" s="94"/>
      <c r="X67" s="93">
        <f t="shared" si="3"/>
        <v>0</v>
      </c>
    </row>
    <row r="68" spans="1:24" x14ac:dyDescent="0.35">
      <c r="B68" t="s">
        <v>108</v>
      </c>
      <c r="D68" t="s">
        <v>42</v>
      </c>
      <c r="E68" s="80">
        <f>VLOOKUP(D68,'Bu Erta'!$C$2:$E$66,3,0)</f>
        <v>1000</v>
      </c>
      <c r="F68">
        <v>0.7</v>
      </c>
      <c r="G68" s="80">
        <f t="shared" ref="G68:G131" si="4">E68*F68</f>
        <v>700</v>
      </c>
      <c r="H68" s="80">
        <f>VLOOKUP(D68,'Bu Erta'!$C$2:$F$66,4,0)*F68</f>
        <v>840</v>
      </c>
      <c r="J68" s="69" t="s">
        <v>228</v>
      </c>
      <c r="N68" s="17"/>
      <c r="O68" s="17"/>
      <c r="P68" s="95" t="s">
        <v>130</v>
      </c>
      <c r="Q68" s="95">
        <f>SUM(Q4:Q67)</f>
        <v>595.52</v>
      </c>
      <c r="R68" s="87">
        <f>SUM(R4:R67)</f>
        <v>887715</v>
      </c>
      <c r="T68" s="17"/>
      <c r="U68" s="17"/>
      <c r="V68" s="95" t="s">
        <v>130</v>
      </c>
      <c r="W68" s="95">
        <f>SUM(W4:W67)</f>
        <v>30</v>
      </c>
      <c r="X68" s="87">
        <f>SUM(X4:X67)</f>
        <v>135000</v>
      </c>
    </row>
    <row r="69" spans="1:24" x14ac:dyDescent="0.35">
      <c r="A69" s="5">
        <v>12</v>
      </c>
      <c r="B69" t="s">
        <v>142</v>
      </c>
      <c r="C69" s="5">
        <v>4</v>
      </c>
      <c r="D69" t="s">
        <v>42</v>
      </c>
      <c r="E69" s="80">
        <f>VLOOKUP(D69,'Bu Erta'!$C$2:$E$66,3,0)</f>
        <v>1000</v>
      </c>
      <c r="F69">
        <f>10.35+1.8</f>
        <v>12.15</v>
      </c>
      <c r="G69" s="80">
        <f t="shared" si="4"/>
        <v>12150</v>
      </c>
      <c r="H69" s="80">
        <f>VLOOKUP(D69,'Bu Erta'!$C$2:$F$66,4,0)*F69</f>
        <v>14580</v>
      </c>
      <c r="J69" s="4">
        <f>R68+X68-GETPIVOTDATA("Sum of Total Harga",$J$2)</f>
        <v>156462.5</v>
      </c>
    </row>
    <row r="70" spans="1:24" x14ac:dyDescent="0.35">
      <c r="B70" t="s">
        <v>142</v>
      </c>
      <c r="D70" t="s">
        <v>27</v>
      </c>
      <c r="E70" s="80">
        <f>VLOOKUP(D70,'Bu Erta'!$C$2:$E$66,3,0)</f>
        <v>2800</v>
      </c>
      <c r="F70">
        <v>1.1000000000000001</v>
      </c>
      <c r="G70" s="80">
        <f t="shared" si="4"/>
        <v>3080.0000000000005</v>
      </c>
      <c r="H70" s="80">
        <f>VLOOKUP(D70,'Bu Erta'!$C$2:$F$66,4,0)*F70</f>
        <v>3410.0000000000005</v>
      </c>
    </row>
    <row r="71" spans="1:24" x14ac:dyDescent="0.35">
      <c r="B71" t="s">
        <v>142</v>
      </c>
      <c r="D71" t="s">
        <v>19</v>
      </c>
      <c r="E71" s="80">
        <f>VLOOKUP(D71,'Bu Erta'!$C$2:$E$66,3,0)</f>
        <v>200</v>
      </c>
      <c r="F71">
        <f>0.45+0.2</f>
        <v>0.65</v>
      </c>
      <c r="G71" s="80">
        <f t="shared" si="4"/>
        <v>130</v>
      </c>
      <c r="H71" s="80">
        <f>VLOOKUP(D71,'Bu Erta'!$C$2:$F$66,4,0)*F71</f>
        <v>195</v>
      </c>
    </row>
    <row r="72" spans="1:24" x14ac:dyDescent="0.35">
      <c r="B72" t="s">
        <v>142</v>
      </c>
      <c r="D72" t="s">
        <v>40</v>
      </c>
      <c r="E72" s="80">
        <f>VLOOKUP(D72,'Bu Erta'!$C$2:$E$66,3,0)</f>
        <v>1800</v>
      </c>
      <c r="F72">
        <v>0.55000000000000004</v>
      </c>
      <c r="G72" s="80">
        <f t="shared" si="4"/>
        <v>990.00000000000011</v>
      </c>
      <c r="H72" s="80">
        <f>VLOOKUP(D72,'Bu Erta'!$C$2:$F$66,4,0)*F72</f>
        <v>1100</v>
      </c>
    </row>
    <row r="73" spans="1:24" x14ac:dyDescent="0.35">
      <c r="B73" t="s">
        <v>142</v>
      </c>
      <c r="D73" t="s">
        <v>41</v>
      </c>
      <c r="E73" s="80">
        <f>VLOOKUP(D73,'Bu Erta'!$C$2:$E$66,3,0)</f>
        <v>1500</v>
      </c>
      <c r="F73">
        <v>0.15</v>
      </c>
      <c r="G73" s="80">
        <f t="shared" si="4"/>
        <v>225</v>
      </c>
      <c r="H73" s="80">
        <f>VLOOKUP(D73,'Bu Erta'!$C$2:$F$66,4,0)*F73</f>
        <v>300</v>
      </c>
    </row>
    <row r="74" spans="1:24" x14ac:dyDescent="0.35">
      <c r="B74" t="s">
        <v>142</v>
      </c>
      <c r="D74" t="s">
        <v>7</v>
      </c>
      <c r="E74" s="80">
        <f>VLOOKUP(D74,'Bu Erta'!$C$2:$E$66,3,0)</f>
        <v>1400</v>
      </c>
      <c r="F74">
        <f>0.2+0.15</f>
        <v>0.35</v>
      </c>
      <c r="G74" s="80">
        <f t="shared" si="4"/>
        <v>489.99999999999994</v>
      </c>
      <c r="H74" s="80">
        <f>VLOOKUP(D74,'Bu Erta'!$C$2:$F$66,4,0)*F74</f>
        <v>560</v>
      </c>
    </row>
    <row r="75" spans="1:24" x14ac:dyDescent="0.35">
      <c r="B75" t="s">
        <v>142</v>
      </c>
      <c r="D75" t="s">
        <v>40</v>
      </c>
      <c r="E75" s="80">
        <f>VLOOKUP(D75,'Bu Erta'!$C$2:$E$66,3,0)</f>
        <v>1800</v>
      </c>
      <c r="F75">
        <v>0.2</v>
      </c>
      <c r="G75" s="80">
        <f t="shared" si="4"/>
        <v>360</v>
      </c>
      <c r="H75" s="80">
        <f>VLOOKUP(D75,'Bu Erta'!$C$2:$F$66,4,0)*F75</f>
        <v>400</v>
      </c>
    </row>
    <row r="76" spans="1:24" x14ac:dyDescent="0.35">
      <c r="B76" t="s">
        <v>142</v>
      </c>
      <c r="D76" t="s">
        <v>22</v>
      </c>
      <c r="E76" s="80">
        <f>VLOOKUP(D76,'Bu Erta'!$C$2:$E$66,3,0)</f>
        <v>2500</v>
      </c>
      <c r="F76">
        <v>0.15</v>
      </c>
      <c r="G76" s="80">
        <f t="shared" si="4"/>
        <v>375</v>
      </c>
      <c r="H76" s="80">
        <f>VLOOKUP(D76,'Bu Erta'!$C$2:$F$66,4,0)*F76</f>
        <v>450</v>
      </c>
    </row>
    <row r="77" spans="1:24" x14ac:dyDescent="0.35">
      <c r="A77" s="5">
        <v>13</v>
      </c>
      <c r="B77" t="s">
        <v>152</v>
      </c>
      <c r="C77" s="5">
        <v>4</v>
      </c>
      <c r="D77" t="s">
        <v>7</v>
      </c>
      <c r="E77" s="80">
        <f>VLOOKUP(D77,'Bu Erta'!$C$2:$E$66,3,0)</f>
        <v>1400</v>
      </c>
      <c r="F77">
        <v>0.6</v>
      </c>
      <c r="G77" s="80">
        <f t="shared" si="4"/>
        <v>840</v>
      </c>
      <c r="H77" s="80">
        <f>VLOOKUP(D77,'Bu Erta'!$C$2:$F$66,4,0)*F77</f>
        <v>960</v>
      </c>
    </row>
    <row r="78" spans="1:24" x14ac:dyDescent="0.35">
      <c r="B78" t="s">
        <v>152</v>
      </c>
      <c r="D78" t="s">
        <v>42</v>
      </c>
      <c r="E78" s="80">
        <f>VLOOKUP(D78,'Bu Erta'!$C$2:$E$66,3,0)</f>
        <v>1000</v>
      </c>
      <c r="F78">
        <v>1.4</v>
      </c>
      <c r="G78" s="80">
        <f t="shared" si="4"/>
        <v>1400</v>
      </c>
      <c r="H78" s="80">
        <f>VLOOKUP(D78,'Bu Erta'!$C$2:$F$66,4,0)*F78</f>
        <v>1680</v>
      </c>
    </row>
    <row r="79" spans="1:24" x14ac:dyDescent="0.35">
      <c r="B79" t="s">
        <v>152</v>
      </c>
      <c r="D79" t="s">
        <v>31</v>
      </c>
      <c r="E79" s="80">
        <f>VLOOKUP(D79,'Bu Erta'!$C$2:$E$66,3,0)</f>
        <v>1000</v>
      </c>
      <c r="F79">
        <v>1.05</v>
      </c>
      <c r="G79" s="80">
        <f t="shared" si="4"/>
        <v>1050</v>
      </c>
      <c r="H79" s="80">
        <f>VLOOKUP(D79,'Bu Erta'!$C$2:$F$66,4,0)*F79</f>
        <v>1155</v>
      </c>
    </row>
    <row r="80" spans="1:24" x14ac:dyDescent="0.35">
      <c r="B80" t="s">
        <v>152</v>
      </c>
      <c r="D80" t="s">
        <v>19</v>
      </c>
      <c r="E80" s="80">
        <f>VLOOKUP(D80,'Bu Erta'!$C$2:$E$66,3,0)</f>
        <v>200</v>
      </c>
      <c r="F80">
        <v>0.3</v>
      </c>
      <c r="G80" s="80">
        <f t="shared" si="4"/>
        <v>60</v>
      </c>
      <c r="H80" s="80">
        <f>VLOOKUP(D80,'Bu Erta'!$C$2:$F$66,4,0)*F80</f>
        <v>90</v>
      </c>
    </row>
    <row r="81" spans="1:8" x14ac:dyDescent="0.35">
      <c r="A81" s="5">
        <v>14</v>
      </c>
      <c r="B81" t="s">
        <v>193</v>
      </c>
      <c r="C81" s="5">
        <v>1</v>
      </c>
      <c r="D81" t="s">
        <v>31</v>
      </c>
      <c r="E81" s="80">
        <f>VLOOKUP(D81,'Bu Erta'!$C$2:$E$66,3,0)</f>
        <v>1000</v>
      </c>
      <c r="F81">
        <v>3.2</v>
      </c>
      <c r="G81" s="80">
        <f t="shared" si="4"/>
        <v>3200</v>
      </c>
      <c r="H81" s="80">
        <f>VLOOKUP(D81,'Bu Erta'!$C$2:$F$66,4,0)*F81</f>
        <v>3520</v>
      </c>
    </row>
    <row r="82" spans="1:8" x14ac:dyDescent="0.35">
      <c r="A82" s="5">
        <v>15</v>
      </c>
      <c r="B82" t="s">
        <v>95</v>
      </c>
      <c r="C82" s="5">
        <v>5</v>
      </c>
      <c r="D82" t="s">
        <v>31</v>
      </c>
      <c r="E82" s="80">
        <f>VLOOKUP(D82,'Bu Erta'!$C$2:$E$66,3,0)</f>
        <v>1000</v>
      </c>
      <c r="F82">
        <f>0.6+1.25</f>
        <v>1.85</v>
      </c>
      <c r="G82" s="80">
        <f t="shared" si="4"/>
        <v>1850</v>
      </c>
      <c r="H82" s="80">
        <f>VLOOKUP(D82,'Bu Erta'!$C$2:$F$66,4,0)*F82</f>
        <v>2035</v>
      </c>
    </row>
    <row r="83" spans="1:8" x14ac:dyDescent="0.35">
      <c r="B83" t="s">
        <v>95</v>
      </c>
      <c r="D83" t="s">
        <v>69</v>
      </c>
      <c r="E83" s="80">
        <f>VLOOKUP(D83,'Bu Erta'!$C$2:$E$66,3,0)</f>
        <v>2500</v>
      </c>
      <c r="F83">
        <v>0.2</v>
      </c>
      <c r="G83" s="80">
        <f t="shared" si="4"/>
        <v>500</v>
      </c>
      <c r="H83" s="80">
        <f>VLOOKUP(D83,'Bu Erta'!$C$2:$F$66,4,0)*F83</f>
        <v>600</v>
      </c>
    </row>
    <row r="84" spans="1:8" x14ac:dyDescent="0.35">
      <c r="B84" t="s">
        <v>95</v>
      </c>
      <c r="D84" t="s">
        <v>42</v>
      </c>
      <c r="E84" s="80">
        <f>VLOOKUP(D84,'Bu Erta'!$C$2:$E$66,3,0)</f>
        <v>1000</v>
      </c>
      <c r="F84">
        <v>1.25</v>
      </c>
      <c r="G84" s="80">
        <f t="shared" si="4"/>
        <v>1250</v>
      </c>
      <c r="H84" s="80">
        <f>VLOOKUP(D84,'Bu Erta'!$C$2:$F$66,4,0)*F84</f>
        <v>1500</v>
      </c>
    </row>
    <row r="85" spans="1:8" x14ac:dyDescent="0.35">
      <c r="A85" s="5">
        <v>16</v>
      </c>
      <c r="B85" t="s">
        <v>294</v>
      </c>
      <c r="C85" s="5">
        <v>7</v>
      </c>
      <c r="D85" t="s">
        <v>25</v>
      </c>
      <c r="E85" s="80">
        <f>VLOOKUP(D85,'Bu Erta'!$C$2:$E$66,3,0)</f>
        <v>1600</v>
      </c>
      <c r="F85">
        <f>0.2+0.6</f>
        <v>0.8</v>
      </c>
      <c r="G85" s="80">
        <f t="shared" si="4"/>
        <v>1280</v>
      </c>
      <c r="H85" s="80">
        <f>VLOOKUP(D85,'Bu Erta'!$C$2:$F$66,4,0)*F85</f>
        <v>1360</v>
      </c>
    </row>
    <row r="86" spans="1:8" x14ac:dyDescent="0.35">
      <c r="B86" t="s">
        <v>294</v>
      </c>
      <c r="D86" t="s">
        <v>56</v>
      </c>
      <c r="E86" s="80">
        <f>VLOOKUP(D86,'Bu Erta'!$C$2:$E$66,3,0)</f>
        <v>4000</v>
      </c>
      <c r="F86">
        <v>7.8</v>
      </c>
      <c r="G86" s="80">
        <f t="shared" si="4"/>
        <v>31200</v>
      </c>
      <c r="H86" s="80">
        <f>VLOOKUP(D86,'Bu Erta'!$C$2:$F$66,4,0)*F86</f>
        <v>42900</v>
      </c>
    </row>
    <row r="87" spans="1:8" x14ac:dyDescent="0.35">
      <c r="B87" t="s">
        <v>294</v>
      </c>
      <c r="D87" t="s">
        <v>31</v>
      </c>
      <c r="E87" s="80">
        <f>VLOOKUP(D87,'Bu Erta'!$C$2:$E$66,3,0)</f>
        <v>1000</v>
      </c>
      <c r="F87">
        <v>4.1500000000000004</v>
      </c>
      <c r="G87" s="80">
        <f t="shared" si="4"/>
        <v>4150</v>
      </c>
      <c r="H87" s="80">
        <f>VLOOKUP(D87,'Bu Erta'!$C$2:$F$66,4,0)*F87</f>
        <v>4565</v>
      </c>
    </row>
    <row r="88" spans="1:8" x14ac:dyDescent="0.35">
      <c r="B88" t="s">
        <v>294</v>
      </c>
      <c r="D88" t="s">
        <v>40</v>
      </c>
      <c r="E88" s="80">
        <f>VLOOKUP(D88,'Bu Erta'!$C$2:$E$66,3,0)</f>
        <v>1800</v>
      </c>
      <c r="F88">
        <v>0.75</v>
      </c>
      <c r="G88" s="80">
        <f t="shared" si="4"/>
        <v>1350</v>
      </c>
      <c r="H88" s="80">
        <f>VLOOKUP(D88,'Bu Erta'!$C$2:$F$66,4,0)*F88</f>
        <v>1500</v>
      </c>
    </row>
    <row r="89" spans="1:8" x14ac:dyDescent="0.35">
      <c r="B89" t="s">
        <v>294</v>
      </c>
      <c r="D89" t="s">
        <v>7</v>
      </c>
      <c r="E89" s="80">
        <f>VLOOKUP(D89,'Bu Erta'!$C$2:$E$66,3,0)</f>
        <v>1400</v>
      </c>
      <c r="F89">
        <v>0.45</v>
      </c>
      <c r="G89" s="80">
        <f t="shared" si="4"/>
        <v>630</v>
      </c>
      <c r="H89" s="80">
        <f>VLOOKUP(D89,'Bu Erta'!$C$2:$F$66,4,0)*F89</f>
        <v>720</v>
      </c>
    </row>
    <row r="90" spans="1:8" x14ac:dyDescent="0.35">
      <c r="A90" s="5">
        <v>17</v>
      </c>
      <c r="B90" t="s">
        <v>137</v>
      </c>
      <c r="C90" s="5">
        <v>4</v>
      </c>
      <c r="D90" t="s">
        <v>42</v>
      </c>
      <c r="E90" s="80">
        <f>VLOOKUP(D90,'Bu Erta'!$C$2:$E$66,3,0)</f>
        <v>1000</v>
      </c>
      <c r="F90">
        <v>3.75</v>
      </c>
      <c r="G90" s="80">
        <f t="shared" si="4"/>
        <v>3750</v>
      </c>
      <c r="H90" s="80">
        <f>VLOOKUP(D90,'Bu Erta'!$C$2:$F$66,4,0)*F90</f>
        <v>4500</v>
      </c>
    </row>
    <row r="91" spans="1:8" x14ac:dyDescent="0.35">
      <c r="B91" t="s">
        <v>137</v>
      </c>
      <c r="D91" t="s">
        <v>19</v>
      </c>
      <c r="E91" s="80">
        <f>VLOOKUP(D91,'Bu Erta'!$C$2:$E$66,3,0)</f>
        <v>200</v>
      </c>
      <c r="F91">
        <v>0.35</v>
      </c>
      <c r="G91" s="80">
        <f t="shared" si="4"/>
        <v>70</v>
      </c>
      <c r="H91" s="80">
        <f>VLOOKUP(D91,'Bu Erta'!$C$2:$F$66,4,0)*F91</f>
        <v>105</v>
      </c>
    </row>
    <row r="92" spans="1:8" x14ac:dyDescent="0.35">
      <c r="B92" t="s">
        <v>137</v>
      </c>
      <c r="D92" t="s">
        <v>24</v>
      </c>
      <c r="E92" s="80">
        <f>VLOOKUP(D92,'Bu Erta'!$C$2:$E$66,3,0)</f>
        <v>150</v>
      </c>
      <c r="F92">
        <v>0.15</v>
      </c>
      <c r="G92" s="80">
        <f t="shared" si="4"/>
        <v>22.5</v>
      </c>
      <c r="H92" s="80">
        <f>VLOOKUP(D92,'Bu Erta'!$C$2:$F$66,4,0)*F92</f>
        <v>30</v>
      </c>
    </row>
    <row r="93" spans="1:8" x14ac:dyDescent="0.35">
      <c r="B93" t="s">
        <v>137</v>
      </c>
      <c r="D93" t="s">
        <v>7</v>
      </c>
      <c r="E93" s="80">
        <f>VLOOKUP(D93,'Bu Erta'!$C$2:$E$66,3,0)</f>
        <v>1400</v>
      </c>
      <c r="F93">
        <v>0.1</v>
      </c>
      <c r="G93" s="80">
        <f t="shared" si="4"/>
        <v>140</v>
      </c>
      <c r="H93" s="80">
        <f>VLOOKUP(D93,'Bu Erta'!$C$2:$F$66,4,0)*F93</f>
        <v>160</v>
      </c>
    </row>
    <row r="94" spans="1:8" x14ac:dyDescent="0.35">
      <c r="B94" t="s">
        <v>137</v>
      </c>
      <c r="D94" t="s">
        <v>31</v>
      </c>
      <c r="E94" s="80">
        <f>VLOOKUP(D94,'Bu Erta'!$C$2:$E$66,3,0)</f>
        <v>1000</v>
      </c>
      <c r="F94">
        <v>1.65</v>
      </c>
      <c r="G94" s="80">
        <f t="shared" si="4"/>
        <v>1650</v>
      </c>
      <c r="H94" s="80">
        <f>VLOOKUP(D94,'Bu Erta'!$C$2:$F$66,4,0)*F94</f>
        <v>1815</v>
      </c>
    </row>
    <row r="95" spans="1:8" x14ac:dyDescent="0.35">
      <c r="A95" s="5">
        <v>18</v>
      </c>
      <c r="B95" t="s">
        <v>181</v>
      </c>
      <c r="C95" s="5">
        <v>2</v>
      </c>
      <c r="D95" t="s">
        <v>31</v>
      </c>
      <c r="E95" s="80">
        <f>VLOOKUP(D95,'Bu Erta'!$C$2:$E$66,3,0)</f>
        <v>1000</v>
      </c>
      <c r="F95">
        <f>0.8+0.35+1.05</f>
        <v>2.2000000000000002</v>
      </c>
      <c r="G95" s="80">
        <f t="shared" si="4"/>
        <v>2200</v>
      </c>
      <c r="H95" s="80">
        <f>VLOOKUP(D95,'Bu Erta'!$C$2:$F$66,4,0)*F95</f>
        <v>2420</v>
      </c>
    </row>
    <row r="96" spans="1:8" x14ac:dyDescent="0.35">
      <c r="B96" t="s">
        <v>181</v>
      </c>
      <c r="D96" t="s">
        <v>41</v>
      </c>
      <c r="E96" s="80">
        <f>VLOOKUP(D96,'Bu Erta'!$C$2:$E$66,3,0)</f>
        <v>1500</v>
      </c>
      <c r="F96">
        <v>0.15</v>
      </c>
      <c r="G96" s="80">
        <f t="shared" si="4"/>
        <v>225</v>
      </c>
      <c r="H96" s="80">
        <f>VLOOKUP(D96,'Bu Erta'!$C$2:$F$66,4,0)*F96</f>
        <v>300</v>
      </c>
    </row>
    <row r="97" spans="1:8" x14ac:dyDescent="0.35">
      <c r="B97" t="s">
        <v>181</v>
      </c>
      <c r="D97" t="s">
        <v>17</v>
      </c>
      <c r="E97" s="80">
        <f>VLOOKUP(D97,'Bu Erta'!$C$2:$E$66,3,0)</f>
        <v>8000</v>
      </c>
      <c r="F97">
        <v>0.5</v>
      </c>
      <c r="G97" s="80">
        <f t="shared" si="4"/>
        <v>4000</v>
      </c>
      <c r="H97" s="80">
        <f>VLOOKUP(D97,'Bu Erta'!$C$2:$F$66,4,0)*F97</f>
        <v>4250</v>
      </c>
    </row>
    <row r="98" spans="1:8" x14ac:dyDescent="0.35">
      <c r="B98" t="s">
        <v>181</v>
      </c>
      <c r="D98" t="s">
        <v>40</v>
      </c>
      <c r="E98" s="80">
        <f>VLOOKUP(D98,'Bu Erta'!$C$2:$E$66,3,0)</f>
        <v>1800</v>
      </c>
      <c r="F98">
        <f>0.1+0.05</f>
        <v>0.15000000000000002</v>
      </c>
      <c r="G98" s="80">
        <f t="shared" si="4"/>
        <v>270.00000000000006</v>
      </c>
      <c r="H98" s="80">
        <f>VLOOKUP(D98,'Bu Erta'!$C$2:$F$66,4,0)*F98</f>
        <v>300.00000000000006</v>
      </c>
    </row>
    <row r="99" spans="1:8" x14ac:dyDescent="0.35">
      <c r="B99" t="s">
        <v>181</v>
      </c>
      <c r="D99" t="s">
        <v>19</v>
      </c>
      <c r="E99" s="80">
        <f>VLOOKUP(D99,'Bu Erta'!$C$2:$E$66,3,0)</f>
        <v>200</v>
      </c>
      <c r="F99">
        <f>0.5+0.45</f>
        <v>0.95</v>
      </c>
      <c r="G99" s="80">
        <f t="shared" si="4"/>
        <v>190</v>
      </c>
      <c r="H99" s="80">
        <f>VLOOKUP(D99,'Bu Erta'!$C$2:$F$66,4,0)*F99</f>
        <v>285</v>
      </c>
    </row>
    <row r="100" spans="1:8" x14ac:dyDescent="0.35">
      <c r="B100" t="s">
        <v>181</v>
      </c>
      <c r="D100" t="s">
        <v>69</v>
      </c>
      <c r="E100" s="80">
        <f>VLOOKUP(D100,'Bu Erta'!$C$2:$E$66,3,0)</f>
        <v>2500</v>
      </c>
      <c r="F100">
        <v>0.2</v>
      </c>
      <c r="G100" s="80">
        <f t="shared" si="4"/>
        <v>500</v>
      </c>
      <c r="H100" s="80">
        <f>VLOOKUP(D100,'Bu Erta'!$C$2:$F$66,4,0)*F100</f>
        <v>600</v>
      </c>
    </row>
    <row r="101" spans="1:8" x14ac:dyDescent="0.35">
      <c r="B101" t="s">
        <v>181</v>
      </c>
      <c r="D101" t="s">
        <v>44</v>
      </c>
      <c r="E101" s="80">
        <f>VLOOKUP(D101,'Bu Erta'!$C$2:$E$66,3,0)</f>
        <v>400</v>
      </c>
      <c r="F101">
        <v>0.15</v>
      </c>
      <c r="G101" s="80">
        <f t="shared" si="4"/>
        <v>60</v>
      </c>
      <c r="H101" s="80">
        <f>VLOOKUP(D101,'Bu Erta'!$C$2:$F$66,4,0)*F101</f>
        <v>75</v>
      </c>
    </row>
    <row r="102" spans="1:8" x14ac:dyDescent="0.35">
      <c r="B102" t="s">
        <v>181</v>
      </c>
      <c r="D102" t="s">
        <v>23</v>
      </c>
      <c r="E102" s="80">
        <f>VLOOKUP(D102,'Bu Erta'!$C$2:$E$66,3,0)</f>
        <v>300</v>
      </c>
      <c r="F102">
        <v>0.2</v>
      </c>
      <c r="G102" s="80">
        <f t="shared" si="4"/>
        <v>60</v>
      </c>
      <c r="H102" s="80">
        <f>VLOOKUP(D102,'Bu Erta'!$C$2:$F$66,4,0)*F102</f>
        <v>80</v>
      </c>
    </row>
    <row r="103" spans="1:8" x14ac:dyDescent="0.35">
      <c r="B103" t="s">
        <v>181</v>
      </c>
      <c r="D103" t="s">
        <v>42</v>
      </c>
      <c r="E103" s="80">
        <f>VLOOKUP(D103,'Bu Erta'!$C$2:$E$66,3,0)</f>
        <v>1000</v>
      </c>
      <c r="F103">
        <v>0.55000000000000004</v>
      </c>
      <c r="G103" s="80">
        <f t="shared" si="4"/>
        <v>550</v>
      </c>
      <c r="H103" s="80">
        <f>VLOOKUP(D103,'Bu Erta'!$C$2:$F$66,4,0)*F103</f>
        <v>660</v>
      </c>
    </row>
    <row r="104" spans="1:8" x14ac:dyDescent="0.35">
      <c r="B104" t="s">
        <v>181</v>
      </c>
      <c r="D104" t="s">
        <v>6</v>
      </c>
      <c r="E104" s="80">
        <f>VLOOKUP(D104,'Bu Erta'!$C$2:$E$66,3,0)</f>
        <v>2000</v>
      </c>
      <c r="F104">
        <v>0.65</v>
      </c>
      <c r="G104" s="80">
        <f t="shared" si="4"/>
        <v>1300</v>
      </c>
      <c r="H104" s="80">
        <f>VLOOKUP(D104,'Bu Erta'!$C$2:$F$66,4,0)*F104</f>
        <v>1625</v>
      </c>
    </row>
    <row r="105" spans="1:8" x14ac:dyDescent="0.35">
      <c r="A105" s="5">
        <v>19</v>
      </c>
      <c r="B105" t="s">
        <v>109</v>
      </c>
      <c r="C105" s="5">
        <v>4</v>
      </c>
      <c r="D105" t="s">
        <v>19</v>
      </c>
      <c r="E105" s="80">
        <f>VLOOKUP(D105,'Bu Erta'!$C$2:$E$66,3,0)</f>
        <v>200</v>
      </c>
      <c r="F105">
        <f>0.65+0.4+0.1</f>
        <v>1.1500000000000001</v>
      </c>
      <c r="G105" s="80">
        <f t="shared" si="4"/>
        <v>230.00000000000003</v>
      </c>
      <c r="H105" s="80">
        <f>VLOOKUP(D105,'Bu Erta'!$C$2:$F$66,4,0)*F105</f>
        <v>345.00000000000006</v>
      </c>
    </row>
    <row r="106" spans="1:8" x14ac:dyDescent="0.35">
      <c r="B106" t="s">
        <v>109</v>
      </c>
      <c r="D106" t="s">
        <v>70</v>
      </c>
      <c r="E106" s="80">
        <f>VLOOKUP(D106,'Bu Erta'!$C$2:$E$66,3,0)</f>
        <v>3500</v>
      </c>
      <c r="F106">
        <v>0.12</v>
      </c>
      <c r="G106" s="80">
        <f t="shared" si="4"/>
        <v>420</v>
      </c>
      <c r="H106" s="80">
        <f>VLOOKUP(D106,'Bu Erta'!$C$2:$F$66,4,0)*F106</f>
        <v>480</v>
      </c>
    </row>
    <row r="107" spans="1:8" x14ac:dyDescent="0.35">
      <c r="B107" t="s">
        <v>109</v>
      </c>
      <c r="D107" t="s">
        <v>69</v>
      </c>
      <c r="E107" s="80">
        <f>VLOOKUP(D107,'Bu Erta'!$C$2:$E$66,3,0)</f>
        <v>2500</v>
      </c>
      <c r="F107">
        <v>0.1</v>
      </c>
      <c r="G107" s="80">
        <f t="shared" si="4"/>
        <v>250</v>
      </c>
      <c r="H107" s="80">
        <f>VLOOKUP(D107,'Bu Erta'!$C$2:$F$66,4,0)*F107</f>
        <v>300</v>
      </c>
    </row>
    <row r="108" spans="1:8" x14ac:dyDescent="0.35">
      <c r="B108" t="s">
        <v>109</v>
      </c>
      <c r="D108" t="s">
        <v>23</v>
      </c>
      <c r="E108" s="80">
        <f>VLOOKUP(D108,'Bu Erta'!$C$2:$E$66,3,0)</f>
        <v>300</v>
      </c>
      <c r="F108">
        <v>0.3</v>
      </c>
      <c r="G108" s="80">
        <f t="shared" si="4"/>
        <v>90</v>
      </c>
      <c r="H108" s="80">
        <f>VLOOKUP(D108,'Bu Erta'!$C$2:$F$66,4,0)*F108</f>
        <v>120</v>
      </c>
    </row>
    <row r="109" spans="1:8" x14ac:dyDescent="0.35">
      <c r="B109" t="s">
        <v>109</v>
      </c>
      <c r="D109" t="s">
        <v>27</v>
      </c>
      <c r="E109" s="80">
        <f>VLOOKUP(D109,'Bu Erta'!$C$2:$E$66,3,0)</f>
        <v>2800</v>
      </c>
      <c r="F109">
        <f>0.4+0.55</f>
        <v>0.95000000000000007</v>
      </c>
      <c r="G109" s="80">
        <f t="shared" si="4"/>
        <v>2660</v>
      </c>
      <c r="H109" s="80">
        <f>VLOOKUP(D109,'Bu Erta'!$C$2:$F$66,4,0)*F109</f>
        <v>2945</v>
      </c>
    </row>
    <row r="110" spans="1:8" x14ac:dyDescent="0.35">
      <c r="B110" t="s">
        <v>109</v>
      </c>
      <c r="D110" t="s">
        <v>42</v>
      </c>
      <c r="E110" s="80">
        <f>VLOOKUP(D110,'Bu Erta'!$C$2:$E$66,3,0)</f>
        <v>1000</v>
      </c>
      <c r="F110">
        <v>1.1499999999999999</v>
      </c>
      <c r="G110" s="80">
        <f t="shared" si="4"/>
        <v>1150</v>
      </c>
      <c r="H110" s="80">
        <f>VLOOKUP(D110,'Bu Erta'!$C$2:$F$66,4,0)*F110</f>
        <v>1380</v>
      </c>
    </row>
    <row r="111" spans="1:8" x14ac:dyDescent="0.35">
      <c r="B111" t="s">
        <v>109</v>
      </c>
      <c r="D111" t="s">
        <v>7</v>
      </c>
      <c r="E111" s="80">
        <f>VLOOKUP(D111,'Bu Erta'!$C$2:$E$66,3,0)</f>
        <v>1400</v>
      </c>
      <c r="F111">
        <f>1.2+7.75</f>
        <v>8.9499999999999993</v>
      </c>
      <c r="G111" s="80">
        <f t="shared" si="4"/>
        <v>12529.999999999998</v>
      </c>
      <c r="H111" s="80">
        <f>VLOOKUP(D111,'Bu Erta'!$C$2:$F$66,4,0)*F111</f>
        <v>14319.999999999998</v>
      </c>
    </row>
    <row r="112" spans="1:8" x14ac:dyDescent="0.35">
      <c r="B112" t="s">
        <v>109</v>
      </c>
      <c r="D112" t="s">
        <v>25</v>
      </c>
      <c r="E112" s="80">
        <f>VLOOKUP(D112,'Bu Erta'!$C$2:$E$66,3,0)</f>
        <v>1600</v>
      </c>
      <c r="F112">
        <v>0.65</v>
      </c>
      <c r="G112" s="80">
        <f t="shared" si="4"/>
        <v>1040</v>
      </c>
      <c r="H112" s="80">
        <f>VLOOKUP(D112,'Bu Erta'!$C$2:$F$66,4,0)*F112</f>
        <v>1105</v>
      </c>
    </row>
    <row r="113" spans="1:8" x14ac:dyDescent="0.35">
      <c r="B113" t="s">
        <v>109</v>
      </c>
      <c r="D113" t="s">
        <v>24</v>
      </c>
      <c r="E113" s="80">
        <f>VLOOKUP(D113,'Bu Erta'!$C$2:$E$66,3,0)</f>
        <v>150</v>
      </c>
      <c r="F113">
        <v>0.6</v>
      </c>
      <c r="G113" s="80">
        <f t="shared" si="4"/>
        <v>90</v>
      </c>
      <c r="H113" s="80">
        <f>VLOOKUP(D113,'Bu Erta'!$C$2:$F$66,4,0)*F113</f>
        <v>120</v>
      </c>
    </row>
    <row r="114" spans="1:8" x14ac:dyDescent="0.35">
      <c r="B114" t="s">
        <v>109</v>
      </c>
      <c r="D114" t="s">
        <v>31</v>
      </c>
      <c r="E114" s="80">
        <f>VLOOKUP(D114,'Bu Erta'!$C$2:$E$66,3,0)</f>
        <v>1000</v>
      </c>
      <c r="F114">
        <v>0.7</v>
      </c>
      <c r="G114" s="80">
        <f t="shared" si="4"/>
        <v>700</v>
      </c>
      <c r="H114" s="80">
        <f>VLOOKUP(D114,'Bu Erta'!$C$2:$F$66,4,0)*F114</f>
        <v>770</v>
      </c>
    </row>
    <row r="115" spans="1:8" x14ac:dyDescent="0.35">
      <c r="A115" s="5">
        <v>20</v>
      </c>
      <c r="B115" t="s">
        <v>118</v>
      </c>
      <c r="C115" s="5">
        <v>4</v>
      </c>
      <c r="D115" t="s">
        <v>42</v>
      </c>
      <c r="E115" s="80">
        <f>VLOOKUP(D115,'Bu Erta'!$C$2:$E$66,3,0)</f>
        <v>1000</v>
      </c>
      <c r="F115">
        <v>1.9</v>
      </c>
      <c r="G115" s="80">
        <f t="shared" si="4"/>
        <v>1900</v>
      </c>
      <c r="H115" s="80">
        <f>VLOOKUP(D115,'Bu Erta'!$C$2:$F$66,4,0)*F115</f>
        <v>2280</v>
      </c>
    </row>
    <row r="116" spans="1:8" x14ac:dyDescent="0.35">
      <c r="B116" t="s">
        <v>118</v>
      </c>
      <c r="D116" t="s">
        <v>56</v>
      </c>
      <c r="E116" s="80">
        <f>VLOOKUP(D116,'Bu Erta'!$C$2:$E$66,3,0)</f>
        <v>4000</v>
      </c>
      <c r="F116">
        <v>2.2999999999999998</v>
      </c>
      <c r="G116" s="80">
        <f t="shared" si="4"/>
        <v>9200</v>
      </c>
      <c r="H116" s="80">
        <f>VLOOKUP(D116,'Bu Erta'!$C$2:$F$66,4,0)*F116</f>
        <v>12649.999999999998</v>
      </c>
    </row>
    <row r="117" spans="1:8" x14ac:dyDescent="0.35">
      <c r="B117" t="s">
        <v>118</v>
      </c>
      <c r="D117" t="s">
        <v>28</v>
      </c>
      <c r="E117" s="80">
        <f>VLOOKUP(D117,'Bu Erta'!$C$2:$E$66,3,0)</f>
        <v>1200</v>
      </c>
      <c r="F117">
        <v>0.7</v>
      </c>
      <c r="G117" s="80">
        <f t="shared" si="4"/>
        <v>840</v>
      </c>
      <c r="H117" s="80">
        <f>VLOOKUP(D117,'Bu Erta'!$C$2:$F$66,4,0)*F117</f>
        <v>909.99999999999989</v>
      </c>
    </row>
    <row r="118" spans="1:8" x14ac:dyDescent="0.35">
      <c r="B118" t="s">
        <v>118</v>
      </c>
      <c r="D118" t="s">
        <v>69</v>
      </c>
      <c r="E118" s="80">
        <f>VLOOKUP(D118,'Bu Erta'!$C$2:$E$66,3,0)</f>
        <v>2500</v>
      </c>
      <c r="F118">
        <v>0.15</v>
      </c>
      <c r="G118" s="80">
        <f t="shared" si="4"/>
        <v>375</v>
      </c>
      <c r="H118" s="80">
        <f>VLOOKUP(D118,'Bu Erta'!$C$2:$F$66,4,0)*F118</f>
        <v>450</v>
      </c>
    </row>
    <row r="119" spans="1:8" x14ac:dyDescent="0.35">
      <c r="B119" t="s">
        <v>118</v>
      </c>
      <c r="D119" t="s">
        <v>70</v>
      </c>
      <c r="E119" s="80">
        <f>VLOOKUP(D119,'Bu Erta'!$C$2:$E$66,3,0)</f>
        <v>3500</v>
      </c>
      <c r="F119">
        <v>0.1</v>
      </c>
      <c r="G119" s="80">
        <f t="shared" si="4"/>
        <v>350</v>
      </c>
      <c r="H119" s="80">
        <f>VLOOKUP(D119,'Bu Erta'!$C$2:$F$66,4,0)*F119</f>
        <v>400</v>
      </c>
    </row>
    <row r="120" spans="1:8" x14ac:dyDescent="0.35">
      <c r="B120" t="s">
        <v>118</v>
      </c>
      <c r="D120" t="s">
        <v>7</v>
      </c>
      <c r="E120" s="80">
        <f>VLOOKUP(D120,'Bu Erta'!$C$2:$E$66,3,0)</f>
        <v>1400</v>
      </c>
      <c r="F120">
        <f>0.95+0.15+0.8</f>
        <v>1.9</v>
      </c>
      <c r="G120" s="80">
        <f t="shared" si="4"/>
        <v>2660</v>
      </c>
      <c r="H120" s="80">
        <f>VLOOKUP(D120,'Bu Erta'!$C$2:$F$66,4,0)*F120</f>
        <v>3040</v>
      </c>
    </row>
    <row r="121" spans="1:8" x14ac:dyDescent="0.35">
      <c r="B121" t="s">
        <v>118</v>
      </c>
      <c r="D121" t="s">
        <v>19</v>
      </c>
      <c r="E121" s="80">
        <f>VLOOKUP(D121,'Bu Erta'!$C$2:$E$66,3,0)</f>
        <v>200</v>
      </c>
      <c r="F121">
        <f>0.6+0.95</f>
        <v>1.5499999999999998</v>
      </c>
      <c r="G121" s="80">
        <f t="shared" si="4"/>
        <v>309.99999999999994</v>
      </c>
      <c r="H121" s="80">
        <f>VLOOKUP(D121,'Bu Erta'!$C$2:$F$66,4,0)*F121</f>
        <v>464.99999999999994</v>
      </c>
    </row>
    <row r="122" spans="1:8" x14ac:dyDescent="0.35">
      <c r="B122" t="s">
        <v>118</v>
      </c>
      <c r="D122" t="s">
        <v>27</v>
      </c>
      <c r="E122" s="80">
        <f>VLOOKUP(D122,'Bu Erta'!$C$2:$E$66,3,0)</f>
        <v>2800</v>
      </c>
      <c r="F122">
        <v>0.4</v>
      </c>
      <c r="G122" s="80">
        <f t="shared" si="4"/>
        <v>1120</v>
      </c>
      <c r="H122" s="80">
        <f>VLOOKUP(D122,'Bu Erta'!$C$2:$F$66,4,0)*F122</f>
        <v>1240</v>
      </c>
    </row>
    <row r="123" spans="1:8" x14ac:dyDescent="0.35">
      <c r="B123" t="s">
        <v>118</v>
      </c>
      <c r="D123" t="s">
        <v>24</v>
      </c>
      <c r="E123" s="80">
        <f>VLOOKUP(D123,'Bu Erta'!$C$2:$E$66,3,0)</f>
        <v>150</v>
      </c>
      <c r="F123">
        <v>1</v>
      </c>
      <c r="G123" s="80">
        <f t="shared" si="4"/>
        <v>150</v>
      </c>
      <c r="H123" s="80">
        <f>VLOOKUP(D123,'Bu Erta'!$C$2:$F$66,4,0)*F123</f>
        <v>200</v>
      </c>
    </row>
    <row r="124" spans="1:8" x14ac:dyDescent="0.35">
      <c r="A124" s="5">
        <v>21</v>
      </c>
      <c r="B124" t="s">
        <v>295</v>
      </c>
      <c r="C124" s="5">
        <v>6</v>
      </c>
      <c r="D124" t="s">
        <v>27</v>
      </c>
      <c r="E124" s="80">
        <f>VLOOKUP(D124,'Bu Erta'!$C$2:$E$66,3,0)</f>
        <v>2800</v>
      </c>
      <c r="F124">
        <v>0.2</v>
      </c>
      <c r="G124" s="80">
        <f t="shared" si="4"/>
        <v>560</v>
      </c>
      <c r="H124" s="80">
        <f>VLOOKUP(D124,'Bu Erta'!$C$2:$F$66,4,0)*F124</f>
        <v>620</v>
      </c>
    </row>
    <row r="125" spans="1:8" x14ac:dyDescent="0.35">
      <c r="B125" t="s">
        <v>295</v>
      </c>
      <c r="D125" t="s">
        <v>31</v>
      </c>
      <c r="E125" s="80">
        <f>VLOOKUP(D125,'Bu Erta'!$C$2:$E$66,3,0)</f>
        <v>1000</v>
      </c>
      <c r="F125">
        <v>0.75</v>
      </c>
      <c r="G125" s="80">
        <f t="shared" si="4"/>
        <v>750</v>
      </c>
      <c r="H125" s="80">
        <f>VLOOKUP(D125,'Bu Erta'!$C$2:$F$66,4,0)*F125</f>
        <v>825</v>
      </c>
    </row>
    <row r="126" spans="1:8" x14ac:dyDescent="0.35">
      <c r="B126" t="s">
        <v>295</v>
      </c>
      <c r="D126" t="s">
        <v>69</v>
      </c>
      <c r="E126" s="80">
        <f>VLOOKUP(D126,'Bu Erta'!$C$2:$E$66,3,0)</f>
        <v>2500</v>
      </c>
      <c r="F126">
        <v>0.05</v>
      </c>
      <c r="G126" s="80">
        <f t="shared" si="4"/>
        <v>125</v>
      </c>
      <c r="H126" s="80">
        <f>VLOOKUP(D126,'Bu Erta'!$C$2:$F$66,4,0)*F126</f>
        <v>150</v>
      </c>
    </row>
    <row r="127" spans="1:8" x14ac:dyDescent="0.35">
      <c r="B127" t="s">
        <v>295</v>
      </c>
      <c r="D127" t="s">
        <v>23</v>
      </c>
      <c r="E127" s="80">
        <f>VLOOKUP(D127,'Bu Erta'!$C$2:$E$66,3,0)</f>
        <v>300</v>
      </c>
      <c r="F127">
        <v>0.65</v>
      </c>
      <c r="G127" s="80">
        <f t="shared" si="4"/>
        <v>195</v>
      </c>
      <c r="H127" s="80">
        <f>VLOOKUP(D127,'Bu Erta'!$C$2:$F$66,4,0)*F127</f>
        <v>260</v>
      </c>
    </row>
    <row r="128" spans="1:8" x14ac:dyDescent="0.35">
      <c r="A128" s="5">
        <v>22</v>
      </c>
      <c r="B128" t="s">
        <v>94</v>
      </c>
      <c r="C128" s="5">
        <v>4</v>
      </c>
      <c r="D128" t="s">
        <v>27</v>
      </c>
      <c r="E128" s="80">
        <f>VLOOKUP(D128,'Bu Erta'!$C$2:$E$66,3,0)</f>
        <v>2800</v>
      </c>
      <c r="F128">
        <v>0.7</v>
      </c>
      <c r="G128" s="80">
        <f t="shared" si="4"/>
        <v>1959.9999999999998</v>
      </c>
      <c r="H128" s="80">
        <f>VLOOKUP(D128,'Bu Erta'!$C$2:$F$66,4,0)*F128</f>
        <v>2170</v>
      </c>
    </row>
    <row r="129" spans="1:8" x14ac:dyDescent="0.35">
      <c r="B129" t="s">
        <v>94</v>
      </c>
      <c r="D129" t="s">
        <v>7</v>
      </c>
      <c r="E129" s="80">
        <f>VLOOKUP(D129,'Bu Erta'!$C$2:$E$66,3,0)</f>
        <v>1400</v>
      </c>
      <c r="F129">
        <v>0.3</v>
      </c>
      <c r="G129" s="80">
        <f t="shared" si="4"/>
        <v>420</v>
      </c>
      <c r="H129" s="80">
        <f>VLOOKUP(D129,'Bu Erta'!$C$2:$F$66,4,0)*F129</f>
        <v>480</v>
      </c>
    </row>
    <row r="130" spans="1:8" x14ac:dyDescent="0.35">
      <c r="B130" t="s">
        <v>94</v>
      </c>
      <c r="D130" t="s">
        <v>24</v>
      </c>
      <c r="E130" s="80">
        <f>VLOOKUP(D130,'Bu Erta'!$C$2:$E$66,3,0)</f>
        <v>150</v>
      </c>
      <c r="F130">
        <v>0.1</v>
      </c>
      <c r="G130" s="80">
        <f t="shared" si="4"/>
        <v>15</v>
      </c>
      <c r="H130" s="80">
        <f>VLOOKUP(D130,'Bu Erta'!$C$2:$F$66,4,0)*F130</f>
        <v>20</v>
      </c>
    </row>
    <row r="131" spans="1:8" x14ac:dyDescent="0.35">
      <c r="B131" t="s">
        <v>94</v>
      </c>
      <c r="D131" t="s">
        <v>41</v>
      </c>
      <c r="E131" s="80">
        <f>VLOOKUP(D131,'Bu Erta'!$C$2:$E$66,3,0)</f>
        <v>1500</v>
      </c>
      <c r="F131">
        <v>0.2</v>
      </c>
      <c r="G131" s="80">
        <f t="shared" si="4"/>
        <v>300</v>
      </c>
      <c r="H131" s="80">
        <f>VLOOKUP(D131,'Bu Erta'!$C$2:$F$66,4,0)*F131</f>
        <v>400</v>
      </c>
    </row>
    <row r="132" spans="1:8" x14ac:dyDescent="0.35">
      <c r="B132" t="s">
        <v>94</v>
      </c>
      <c r="D132" t="s">
        <v>23</v>
      </c>
      <c r="E132" s="80">
        <f>VLOOKUP(D132,'Bu Erta'!$C$2:$E$66,3,0)</f>
        <v>300</v>
      </c>
      <c r="F132">
        <v>0.2</v>
      </c>
      <c r="G132" s="80">
        <f t="shared" ref="G132:G195" si="5">E132*F132</f>
        <v>60</v>
      </c>
      <c r="H132" s="80">
        <f>VLOOKUP(D132,'Bu Erta'!$C$2:$F$66,4,0)*F132</f>
        <v>80</v>
      </c>
    </row>
    <row r="133" spans="1:8" x14ac:dyDescent="0.35">
      <c r="B133" t="s">
        <v>94</v>
      </c>
      <c r="D133" t="s">
        <v>42</v>
      </c>
      <c r="E133" s="80">
        <f>VLOOKUP(D133,'Bu Erta'!$C$2:$E$66,3,0)</f>
        <v>1000</v>
      </c>
      <c r="F133">
        <v>0.15</v>
      </c>
      <c r="G133" s="80">
        <f t="shared" si="5"/>
        <v>150</v>
      </c>
      <c r="H133" s="80">
        <f>VLOOKUP(D133,'Bu Erta'!$C$2:$F$66,4,0)*F133</f>
        <v>180</v>
      </c>
    </row>
    <row r="134" spans="1:8" x14ac:dyDescent="0.35">
      <c r="B134" t="s">
        <v>94</v>
      </c>
      <c r="D134" t="s">
        <v>31</v>
      </c>
      <c r="E134" s="80">
        <f>VLOOKUP(D134,'Bu Erta'!$C$2:$E$66,3,0)</f>
        <v>1000</v>
      </c>
      <c r="F134">
        <v>0.6</v>
      </c>
      <c r="G134" s="80">
        <f t="shared" si="5"/>
        <v>600</v>
      </c>
      <c r="H134" s="80">
        <f>VLOOKUP(D134,'Bu Erta'!$C$2:$F$66,4,0)*F134</f>
        <v>660</v>
      </c>
    </row>
    <row r="135" spans="1:8" x14ac:dyDescent="0.35">
      <c r="A135" s="5">
        <v>23</v>
      </c>
      <c r="B135" t="s">
        <v>250</v>
      </c>
      <c r="C135" s="5">
        <v>4</v>
      </c>
      <c r="D135" t="s">
        <v>31</v>
      </c>
      <c r="E135" s="80">
        <f>VLOOKUP(D135,'Bu Erta'!$C$2:$E$66,3,0)</f>
        <v>1000</v>
      </c>
      <c r="F135">
        <v>0.9</v>
      </c>
      <c r="G135" s="80">
        <f t="shared" si="5"/>
        <v>900</v>
      </c>
      <c r="H135" s="80">
        <f>VLOOKUP(D135,'Bu Erta'!$C$2:$F$66,4,0)*F135</f>
        <v>990</v>
      </c>
    </row>
    <row r="136" spans="1:8" x14ac:dyDescent="0.35">
      <c r="B136" t="s">
        <v>250</v>
      </c>
      <c r="D136" t="s">
        <v>19</v>
      </c>
      <c r="E136" s="80">
        <f>VLOOKUP(D136,'Bu Erta'!$C$2:$E$66,3,0)</f>
        <v>200</v>
      </c>
      <c r="F136">
        <f>1.75+0.9</f>
        <v>2.65</v>
      </c>
      <c r="G136" s="80">
        <f t="shared" si="5"/>
        <v>530</v>
      </c>
      <c r="H136" s="80">
        <f>VLOOKUP(D136,'Bu Erta'!$C$2:$F$66,4,0)*F136</f>
        <v>795</v>
      </c>
    </row>
    <row r="137" spans="1:8" x14ac:dyDescent="0.35">
      <c r="B137" t="s">
        <v>250</v>
      </c>
      <c r="D137" t="s">
        <v>28</v>
      </c>
      <c r="E137" s="80">
        <f>VLOOKUP(D137,'Bu Erta'!$C$2:$E$66,3,0)</f>
        <v>1200</v>
      </c>
      <c r="F137">
        <f>0.7+1.95</f>
        <v>2.65</v>
      </c>
      <c r="G137" s="80">
        <f t="shared" si="5"/>
        <v>3180</v>
      </c>
      <c r="H137" s="80">
        <f>VLOOKUP(D137,'Bu Erta'!$C$2:$F$66,4,0)*F137</f>
        <v>3445</v>
      </c>
    </row>
    <row r="138" spans="1:8" x14ac:dyDescent="0.35">
      <c r="B138" t="s">
        <v>250</v>
      </c>
      <c r="D138" t="s">
        <v>31</v>
      </c>
      <c r="E138" s="80">
        <f>VLOOKUP(D138,'Bu Erta'!$C$2:$E$66,3,0)</f>
        <v>1000</v>
      </c>
      <c r="F138">
        <f>0.65+3.1</f>
        <v>3.75</v>
      </c>
      <c r="G138" s="80">
        <f t="shared" si="5"/>
        <v>3750</v>
      </c>
      <c r="H138" s="80">
        <f>VLOOKUP(D138,'Bu Erta'!$C$2:$F$66,4,0)*F138</f>
        <v>4125</v>
      </c>
    </row>
    <row r="139" spans="1:8" x14ac:dyDescent="0.35">
      <c r="B139" t="s">
        <v>250</v>
      </c>
      <c r="D139" t="s">
        <v>41</v>
      </c>
      <c r="E139" s="80">
        <f>VLOOKUP(D139,'Bu Erta'!$C$2:$E$66,3,0)</f>
        <v>1500</v>
      </c>
      <c r="F139">
        <v>0.85</v>
      </c>
      <c r="G139" s="80">
        <f t="shared" si="5"/>
        <v>1275</v>
      </c>
      <c r="H139" s="80">
        <f>VLOOKUP(D139,'Bu Erta'!$C$2:$F$66,4,0)*F139</f>
        <v>1700</v>
      </c>
    </row>
    <row r="140" spans="1:8" x14ac:dyDescent="0.35">
      <c r="A140" s="5">
        <v>24</v>
      </c>
      <c r="B140" t="s">
        <v>89</v>
      </c>
      <c r="C140" s="5">
        <v>4</v>
      </c>
      <c r="D140" t="s">
        <v>27</v>
      </c>
      <c r="E140" s="80">
        <f>VLOOKUP(D140,'Bu Erta'!$C$2:$E$66,3,0)</f>
        <v>2800</v>
      </c>
      <c r="F140">
        <v>1.35</v>
      </c>
      <c r="G140" s="80">
        <f t="shared" si="5"/>
        <v>3780.0000000000005</v>
      </c>
      <c r="H140" s="80">
        <f>VLOOKUP(D140,'Bu Erta'!$C$2:$F$66,4,0)*F140</f>
        <v>4185</v>
      </c>
    </row>
    <row r="141" spans="1:8" x14ac:dyDescent="0.35">
      <c r="B141" t="s">
        <v>89</v>
      </c>
      <c r="D141" t="s">
        <v>19</v>
      </c>
      <c r="E141" s="80">
        <f>VLOOKUP(D141,'Bu Erta'!$C$2:$E$66,3,0)</f>
        <v>200</v>
      </c>
      <c r="F141">
        <v>1.4</v>
      </c>
      <c r="G141" s="80">
        <f t="shared" si="5"/>
        <v>280</v>
      </c>
      <c r="H141" s="80">
        <f>VLOOKUP(D141,'Bu Erta'!$C$2:$F$66,4,0)*F141</f>
        <v>420</v>
      </c>
    </row>
    <row r="142" spans="1:8" x14ac:dyDescent="0.35">
      <c r="B142" t="s">
        <v>89</v>
      </c>
      <c r="D142" t="s">
        <v>23</v>
      </c>
      <c r="E142" s="80">
        <f>VLOOKUP(D142,'Bu Erta'!$C$2:$E$66,3,0)</f>
        <v>300</v>
      </c>
      <c r="F142">
        <v>1.95</v>
      </c>
      <c r="G142" s="80">
        <f t="shared" si="5"/>
        <v>585</v>
      </c>
      <c r="H142" s="80">
        <f>VLOOKUP(D142,'Bu Erta'!$C$2:$F$66,4,0)*F142</f>
        <v>780</v>
      </c>
    </row>
    <row r="143" spans="1:8" x14ac:dyDescent="0.35">
      <c r="B143" t="s">
        <v>89</v>
      </c>
      <c r="D143" t="s">
        <v>7</v>
      </c>
      <c r="E143" s="80">
        <f>VLOOKUP(D143,'Bu Erta'!$C$2:$E$66,3,0)</f>
        <v>1400</v>
      </c>
      <c r="F143">
        <f>1.25+0.7+0.7</f>
        <v>2.65</v>
      </c>
      <c r="G143" s="80">
        <f t="shared" si="5"/>
        <v>3710</v>
      </c>
      <c r="H143" s="80">
        <f>VLOOKUP(D143,'Bu Erta'!$C$2:$F$66,4,0)*F143</f>
        <v>4240</v>
      </c>
    </row>
    <row r="144" spans="1:8" x14ac:dyDescent="0.35">
      <c r="B144" t="s">
        <v>89</v>
      </c>
      <c r="D144" t="s">
        <v>34</v>
      </c>
      <c r="E144" s="80">
        <f>VLOOKUP(D144,'Bu Erta'!$C$2:$E$66,3,0)</f>
        <v>3500</v>
      </c>
      <c r="F144">
        <v>0.4</v>
      </c>
      <c r="G144" s="80">
        <f t="shared" si="5"/>
        <v>1400</v>
      </c>
      <c r="H144" s="80">
        <f>VLOOKUP(D144,'Bu Erta'!$C$2:$F$66,4,0)*F144</f>
        <v>1440</v>
      </c>
    </row>
    <row r="145" spans="1:8" x14ac:dyDescent="0.35">
      <c r="B145" t="s">
        <v>89</v>
      </c>
      <c r="D145" t="s">
        <v>40</v>
      </c>
      <c r="E145" s="80">
        <f>VLOOKUP(D145,'Bu Erta'!$C$2:$E$66,3,0)</f>
        <v>1800</v>
      </c>
      <c r="F145">
        <f>1.25+0.8</f>
        <v>2.0499999999999998</v>
      </c>
      <c r="G145" s="80">
        <f t="shared" si="5"/>
        <v>3689.9999999999995</v>
      </c>
      <c r="H145" s="80">
        <f>VLOOKUP(D145,'Bu Erta'!$C$2:$F$66,4,0)*F145</f>
        <v>4100</v>
      </c>
    </row>
    <row r="146" spans="1:8" x14ac:dyDescent="0.35">
      <c r="B146" t="s">
        <v>89</v>
      </c>
      <c r="D146" t="s">
        <v>24</v>
      </c>
      <c r="E146" s="80">
        <f>VLOOKUP(D146,'Bu Erta'!$C$2:$E$66,3,0)</f>
        <v>150</v>
      </c>
      <c r="F146">
        <v>0.2</v>
      </c>
      <c r="G146" s="80">
        <f t="shared" si="5"/>
        <v>30</v>
      </c>
      <c r="H146" s="80">
        <f>VLOOKUP(D146,'Bu Erta'!$C$2:$F$66,4,0)*F146</f>
        <v>40</v>
      </c>
    </row>
    <row r="147" spans="1:8" x14ac:dyDescent="0.35">
      <c r="B147" t="s">
        <v>89</v>
      </c>
      <c r="D147" t="s">
        <v>22</v>
      </c>
      <c r="E147" s="80">
        <f>VLOOKUP(D147,'Bu Erta'!$C$2:$E$66,3,0)</f>
        <v>2500</v>
      </c>
      <c r="F147">
        <v>0.3</v>
      </c>
      <c r="G147" s="80">
        <f t="shared" si="5"/>
        <v>750</v>
      </c>
      <c r="H147" s="80">
        <f>VLOOKUP(D147,'Bu Erta'!$C$2:$F$66,4,0)*F147</f>
        <v>900</v>
      </c>
    </row>
    <row r="148" spans="1:8" x14ac:dyDescent="0.35">
      <c r="A148" s="5">
        <v>25</v>
      </c>
      <c r="B148" t="s">
        <v>85</v>
      </c>
      <c r="C148" s="5">
        <v>4</v>
      </c>
      <c r="D148" t="s">
        <v>23</v>
      </c>
      <c r="E148" s="80">
        <f>VLOOKUP(D148,'Bu Erta'!$C$2:$E$66,3,0)</f>
        <v>300</v>
      </c>
      <c r="F148">
        <v>1.45</v>
      </c>
      <c r="G148" s="80">
        <f t="shared" si="5"/>
        <v>435</v>
      </c>
      <c r="H148" s="80">
        <f>VLOOKUP(D148,'Bu Erta'!$C$2:$F$66,4,0)*F148</f>
        <v>580</v>
      </c>
    </row>
    <row r="149" spans="1:8" x14ac:dyDescent="0.35">
      <c r="B149" t="s">
        <v>85</v>
      </c>
      <c r="D149" t="s">
        <v>42</v>
      </c>
      <c r="E149" s="80">
        <f>VLOOKUP(D149,'Bu Erta'!$C$2:$E$66,3,0)</f>
        <v>1000</v>
      </c>
      <c r="F149">
        <v>2.4500000000000002</v>
      </c>
      <c r="G149" s="80">
        <f t="shared" si="5"/>
        <v>2450</v>
      </c>
      <c r="H149" s="80">
        <f>VLOOKUP(D149,'Bu Erta'!$C$2:$F$66,4,0)*F149</f>
        <v>2940</v>
      </c>
    </row>
    <row r="150" spans="1:8" x14ac:dyDescent="0.35">
      <c r="B150" t="s">
        <v>85</v>
      </c>
      <c r="D150" t="s">
        <v>7</v>
      </c>
      <c r="E150" s="80">
        <f>VLOOKUP(D150,'Bu Erta'!$C$2:$E$66,3,0)</f>
        <v>1400</v>
      </c>
      <c r="F150">
        <v>1.1000000000000001</v>
      </c>
      <c r="G150" s="80">
        <f t="shared" si="5"/>
        <v>1540.0000000000002</v>
      </c>
      <c r="H150" s="80">
        <f>VLOOKUP(D150,'Bu Erta'!$C$2:$F$66,4,0)*F150</f>
        <v>1760.0000000000002</v>
      </c>
    </row>
    <row r="151" spans="1:8" x14ac:dyDescent="0.35">
      <c r="B151" t="s">
        <v>85</v>
      </c>
      <c r="D151" t="s">
        <v>27</v>
      </c>
      <c r="E151" s="80">
        <f>VLOOKUP(D151,'Bu Erta'!$C$2:$E$66,3,0)</f>
        <v>2800</v>
      </c>
      <c r="F151">
        <v>0.65</v>
      </c>
      <c r="G151" s="80">
        <f t="shared" si="5"/>
        <v>1820</v>
      </c>
      <c r="H151" s="80">
        <f>VLOOKUP(D151,'Bu Erta'!$C$2:$F$66,4,0)*F151</f>
        <v>2015</v>
      </c>
    </row>
    <row r="152" spans="1:8" x14ac:dyDescent="0.35">
      <c r="B152" t="s">
        <v>85</v>
      </c>
      <c r="D152" t="s">
        <v>34</v>
      </c>
      <c r="E152" s="80">
        <f>VLOOKUP(D152,'Bu Erta'!$C$2:$E$66,3,0)</f>
        <v>3500</v>
      </c>
      <c r="F152">
        <v>0.35</v>
      </c>
      <c r="G152" s="80">
        <f t="shared" si="5"/>
        <v>1225</v>
      </c>
      <c r="H152" s="80">
        <f>VLOOKUP(D152,'Bu Erta'!$C$2:$F$66,4,0)*F152</f>
        <v>1260</v>
      </c>
    </row>
    <row r="153" spans="1:8" x14ac:dyDescent="0.35">
      <c r="A153" s="5">
        <v>26</v>
      </c>
      <c r="B153" t="s">
        <v>87</v>
      </c>
      <c r="C153" s="5">
        <v>4</v>
      </c>
      <c r="D153" t="s">
        <v>42</v>
      </c>
      <c r="E153" s="80">
        <f>VLOOKUP(D153,'Bu Erta'!$C$2:$E$66,3,0)</f>
        <v>1000</v>
      </c>
      <c r="F153">
        <v>1.5</v>
      </c>
      <c r="G153" s="80">
        <f t="shared" si="5"/>
        <v>1500</v>
      </c>
      <c r="H153" s="80">
        <f>VLOOKUP(D153,'Bu Erta'!$C$2:$F$66,4,0)*F153</f>
        <v>1800</v>
      </c>
    </row>
    <row r="154" spans="1:8" x14ac:dyDescent="0.35">
      <c r="B154" t="s">
        <v>87</v>
      </c>
      <c r="D154" t="s">
        <v>23</v>
      </c>
      <c r="E154" s="80">
        <f>VLOOKUP(D154,'Bu Erta'!$C$2:$E$66,3,0)</f>
        <v>300</v>
      </c>
      <c r="F154">
        <v>0.45</v>
      </c>
      <c r="G154" s="80">
        <f t="shared" si="5"/>
        <v>135</v>
      </c>
      <c r="H154" s="80">
        <f>VLOOKUP(D154,'Bu Erta'!$C$2:$F$66,4,0)*F154</f>
        <v>180</v>
      </c>
    </row>
    <row r="155" spans="1:8" x14ac:dyDescent="0.35">
      <c r="B155" t="s">
        <v>87</v>
      </c>
      <c r="D155" t="s">
        <v>41</v>
      </c>
      <c r="E155" s="80">
        <f>VLOOKUP(D155,'Bu Erta'!$C$2:$E$66,3,0)</f>
        <v>1500</v>
      </c>
      <c r="F155">
        <v>0.3</v>
      </c>
      <c r="G155" s="80">
        <f t="shared" si="5"/>
        <v>450</v>
      </c>
      <c r="H155" s="80">
        <f>VLOOKUP(D155,'Bu Erta'!$C$2:$F$66,4,0)*F155</f>
        <v>600</v>
      </c>
    </row>
    <row r="156" spans="1:8" x14ac:dyDescent="0.35">
      <c r="B156" t="s">
        <v>87</v>
      </c>
      <c r="D156" t="s">
        <v>24</v>
      </c>
      <c r="E156" s="80">
        <f>VLOOKUP(D156,'Bu Erta'!$C$2:$E$66,3,0)</f>
        <v>150</v>
      </c>
      <c r="F156">
        <v>0.95</v>
      </c>
      <c r="G156" s="80">
        <f t="shared" si="5"/>
        <v>142.5</v>
      </c>
      <c r="H156" s="80">
        <f>VLOOKUP(D156,'Bu Erta'!$C$2:$F$66,4,0)*F156</f>
        <v>190</v>
      </c>
    </row>
    <row r="157" spans="1:8" x14ac:dyDescent="0.35">
      <c r="B157" t="s">
        <v>87</v>
      </c>
      <c r="D157" t="s">
        <v>40</v>
      </c>
      <c r="E157" s="80">
        <f>VLOOKUP(D157,'Bu Erta'!$C$2:$E$66,3,0)</f>
        <v>1800</v>
      </c>
      <c r="F157">
        <v>3.4</v>
      </c>
      <c r="G157" s="80">
        <f t="shared" si="5"/>
        <v>6120</v>
      </c>
      <c r="H157" s="80">
        <f>VLOOKUP(D157,'Bu Erta'!$C$2:$F$66,4,0)*F157</f>
        <v>6800</v>
      </c>
    </row>
    <row r="158" spans="1:8" x14ac:dyDescent="0.35">
      <c r="B158" t="s">
        <v>87</v>
      </c>
      <c r="D158" t="s">
        <v>34</v>
      </c>
      <c r="E158" s="80">
        <f>VLOOKUP(D158,'Bu Erta'!$C$2:$E$66,3,0)</f>
        <v>3500</v>
      </c>
      <c r="F158">
        <v>0.65</v>
      </c>
      <c r="G158" s="80">
        <f t="shared" si="5"/>
        <v>2275</v>
      </c>
      <c r="H158" s="80">
        <f>VLOOKUP(D158,'Bu Erta'!$C$2:$F$66,4,0)*F158</f>
        <v>2340</v>
      </c>
    </row>
    <row r="159" spans="1:8" x14ac:dyDescent="0.35">
      <c r="B159" t="s">
        <v>87</v>
      </c>
      <c r="D159" t="s">
        <v>7</v>
      </c>
      <c r="E159" s="80">
        <f>VLOOKUP(D159,'Bu Erta'!$C$2:$E$66,3,0)</f>
        <v>1400</v>
      </c>
      <c r="F159">
        <v>0.4</v>
      </c>
      <c r="G159" s="80">
        <f t="shared" si="5"/>
        <v>560</v>
      </c>
      <c r="H159" s="80">
        <f>VLOOKUP(D159,'Bu Erta'!$C$2:$F$66,4,0)*F159</f>
        <v>640</v>
      </c>
    </row>
    <row r="160" spans="1:8" x14ac:dyDescent="0.35">
      <c r="B160" t="s">
        <v>87</v>
      </c>
      <c r="D160" t="s">
        <v>27</v>
      </c>
      <c r="E160" s="80">
        <f>VLOOKUP(D160,'Bu Erta'!$C$2:$E$66,3,0)</f>
        <v>2800</v>
      </c>
      <c r="F160">
        <v>1.35</v>
      </c>
      <c r="G160" s="80">
        <f t="shared" si="5"/>
        <v>3780.0000000000005</v>
      </c>
      <c r="H160" s="80">
        <f>VLOOKUP(D160,'Bu Erta'!$C$2:$F$66,4,0)*F160</f>
        <v>4185</v>
      </c>
    </row>
    <row r="161" spans="1:8" x14ac:dyDescent="0.35">
      <c r="A161" s="5">
        <v>27</v>
      </c>
      <c r="B161" t="s">
        <v>143</v>
      </c>
      <c r="C161" s="5">
        <v>1</v>
      </c>
      <c r="D161" t="s">
        <v>31</v>
      </c>
      <c r="E161" s="80">
        <f>VLOOKUP(D161,'Bu Erta'!$C$2:$E$66,3,0)</f>
        <v>1000</v>
      </c>
      <c r="F161">
        <v>1.8</v>
      </c>
      <c r="G161" s="80">
        <f t="shared" si="5"/>
        <v>1800</v>
      </c>
      <c r="H161" s="80">
        <f>VLOOKUP(D161,'Bu Erta'!$C$2:$F$66,4,0)*F161</f>
        <v>1980</v>
      </c>
    </row>
    <row r="162" spans="1:8" x14ac:dyDescent="0.35">
      <c r="A162" s="5">
        <v>28</v>
      </c>
      <c r="B162" t="s">
        <v>188</v>
      </c>
      <c r="C162" s="5">
        <v>7</v>
      </c>
      <c r="D162" t="s">
        <v>31</v>
      </c>
      <c r="E162" s="80">
        <f>VLOOKUP(D162,'Bu Erta'!$C$2:$E$66,3,0)</f>
        <v>1000</v>
      </c>
      <c r="F162">
        <v>2.2999999999999998</v>
      </c>
      <c r="G162" s="80">
        <f t="shared" si="5"/>
        <v>2300</v>
      </c>
      <c r="H162" s="80">
        <f>VLOOKUP(D162,'Bu Erta'!$C$2:$F$66,4,0)*F162</f>
        <v>2530</v>
      </c>
    </row>
    <row r="163" spans="1:8" x14ac:dyDescent="0.35">
      <c r="B163" t="s">
        <v>188</v>
      </c>
      <c r="D163" t="s">
        <v>19</v>
      </c>
      <c r="E163" s="80">
        <f>VLOOKUP(D163,'Bu Erta'!$C$2:$E$66,3,0)</f>
        <v>200</v>
      </c>
      <c r="F163">
        <v>1</v>
      </c>
      <c r="G163" s="80">
        <f t="shared" si="5"/>
        <v>200</v>
      </c>
      <c r="H163" s="80">
        <f>VLOOKUP(D163,'Bu Erta'!$C$2:$F$66,4,0)*F163</f>
        <v>300</v>
      </c>
    </row>
    <row r="164" spans="1:8" x14ac:dyDescent="0.35">
      <c r="B164" t="s">
        <v>188</v>
      </c>
      <c r="D164" t="s">
        <v>6</v>
      </c>
      <c r="E164" s="80">
        <f>VLOOKUP(D164,'Bu Erta'!$C$2:$E$66,3,0)</f>
        <v>2000</v>
      </c>
      <c r="F164">
        <v>0.65</v>
      </c>
      <c r="G164" s="80">
        <f t="shared" si="5"/>
        <v>1300</v>
      </c>
      <c r="H164" s="80">
        <f>VLOOKUP(D164,'Bu Erta'!$C$2:$F$66,4,0)*F164</f>
        <v>1625</v>
      </c>
    </row>
    <row r="165" spans="1:8" x14ac:dyDescent="0.35">
      <c r="B165" t="s">
        <v>188</v>
      </c>
      <c r="D165" t="s">
        <v>7</v>
      </c>
      <c r="E165" s="80">
        <f>VLOOKUP(D165,'Bu Erta'!$C$2:$E$66,3,0)</f>
        <v>1400</v>
      </c>
      <c r="F165">
        <v>0.45</v>
      </c>
      <c r="G165" s="80">
        <f t="shared" si="5"/>
        <v>630</v>
      </c>
      <c r="H165" s="80">
        <f>VLOOKUP(D165,'Bu Erta'!$C$2:$F$66,4,0)*F165</f>
        <v>720</v>
      </c>
    </row>
    <row r="166" spans="1:8" x14ac:dyDescent="0.35">
      <c r="B166" t="s">
        <v>188</v>
      </c>
      <c r="D166" t="s">
        <v>69</v>
      </c>
      <c r="E166" s="80">
        <f>VLOOKUP(D166,'Bu Erta'!$C$2:$E$66,3,0)</f>
        <v>2500</v>
      </c>
      <c r="F166">
        <v>0.1</v>
      </c>
      <c r="G166" s="80">
        <f t="shared" si="5"/>
        <v>250</v>
      </c>
      <c r="H166" s="80">
        <f>VLOOKUP(D166,'Bu Erta'!$C$2:$F$66,4,0)*F166</f>
        <v>300</v>
      </c>
    </row>
    <row r="167" spans="1:8" x14ac:dyDescent="0.35">
      <c r="B167" t="s">
        <v>188</v>
      </c>
      <c r="D167" t="s">
        <v>48</v>
      </c>
      <c r="E167" s="80">
        <f>VLOOKUP(D167,'Bu Erta'!$C$2:$E$66,3,0)</f>
        <v>13000</v>
      </c>
      <c r="F167">
        <v>3</v>
      </c>
      <c r="G167" s="80">
        <f t="shared" si="5"/>
        <v>39000</v>
      </c>
      <c r="H167" s="80">
        <f>VLOOKUP(D167,'Bu Erta'!$C$2:$F$66,4,0)*F167</f>
        <v>45000</v>
      </c>
    </row>
    <row r="168" spans="1:8" x14ac:dyDescent="0.35">
      <c r="B168" t="s">
        <v>188</v>
      </c>
      <c r="D168" t="s">
        <v>42</v>
      </c>
      <c r="E168" s="80">
        <f>VLOOKUP(D168,'Bu Erta'!$C$2:$E$66,3,0)</f>
        <v>1000</v>
      </c>
      <c r="F168">
        <v>1.5</v>
      </c>
      <c r="G168" s="80">
        <f t="shared" si="5"/>
        <v>1500</v>
      </c>
      <c r="H168" s="80">
        <f>VLOOKUP(D168,'Bu Erta'!$C$2:$F$66,4,0)*F168</f>
        <v>1800</v>
      </c>
    </row>
    <row r="169" spans="1:8" x14ac:dyDescent="0.35">
      <c r="A169" s="5">
        <v>29</v>
      </c>
      <c r="B169" t="s">
        <v>216</v>
      </c>
      <c r="C169" s="5">
        <v>2</v>
      </c>
      <c r="D169" t="s">
        <v>27</v>
      </c>
      <c r="E169" s="80">
        <f>VLOOKUP(D169,'Bu Erta'!$C$2:$E$66,3,0)</f>
        <v>2800</v>
      </c>
      <c r="F169">
        <v>0.85</v>
      </c>
      <c r="G169" s="80">
        <f t="shared" si="5"/>
        <v>2380</v>
      </c>
      <c r="H169" s="80">
        <f>VLOOKUP(D169,'Bu Erta'!$C$2:$F$66,4,0)*F169</f>
        <v>2635</v>
      </c>
    </row>
    <row r="170" spans="1:8" x14ac:dyDescent="0.35">
      <c r="B170" t="s">
        <v>216</v>
      </c>
      <c r="D170" t="s">
        <v>70</v>
      </c>
      <c r="E170" s="80">
        <f>VLOOKUP(D170,'Bu Erta'!$C$2:$E$66,3,0)</f>
        <v>3500</v>
      </c>
      <c r="F170">
        <v>0.15</v>
      </c>
      <c r="G170" s="80">
        <f t="shared" si="5"/>
        <v>525</v>
      </c>
      <c r="H170" s="80">
        <f>VLOOKUP(D170,'Bu Erta'!$C$2:$F$66,4,0)*F170</f>
        <v>600</v>
      </c>
    </row>
    <row r="171" spans="1:8" x14ac:dyDescent="0.35">
      <c r="B171" t="s">
        <v>216</v>
      </c>
      <c r="D171" t="s">
        <v>69</v>
      </c>
      <c r="E171" s="80">
        <f>VLOOKUP(D171,'Bu Erta'!$C$2:$E$66,3,0)</f>
        <v>2500</v>
      </c>
      <c r="F171">
        <v>0.1</v>
      </c>
      <c r="G171" s="80">
        <f t="shared" si="5"/>
        <v>250</v>
      </c>
      <c r="H171" s="80">
        <f>VLOOKUP(D171,'Bu Erta'!$C$2:$F$66,4,0)*F171</f>
        <v>300</v>
      </c>
    </row>
    <row r="172" spans="1:8" x14ac:dyDescent="0.35">
      <c r="B172" t="s">
        <v>216</v>
      </c>
      <c r="D172" t="s">
        <v>23</v>
      </c>
      <c r="E172" s="80">
        <f>VLOOKUP(D172,'Bu Erta'!$C$2:$E$66,3,0)</f>
        <v>300</v>
      </c>
      <c r="F172">
        <v>1.55</v>
      </c>
      <c r="G172" s="80">
        <f t="shared" si="5"/>
        <v>465</v>
      </c>
      <c r="H172" s="80">
        <f>VLOOKUP(D172,'Bu Erta'!$C$2:$F$66,4,0)*F172</f>
        <v>620</v>
      </c>
    </row>
    <row r="173" spans="1:8" x14ac:dyDescent="0.35">
      <c r="B173" t="s">
        <v>216</v>
      </c>
      <c r="D173" t="s">
        <v>31</v>
      </c>
      <c r="E173" s="80">
        <f>VLOOKUP(D173,'Bu Erta'!$C$2:$E$66,3,0)</f>
        <v>1000</v>
      </c>
      <c r="F173">
        <v>0.75</v>
      </c>
      <c r="G173" s="80">
        <f t="shared" si="5"/>
        <v>750</v>
      </c>
      <c r="H173" s="80">
        <f>VLOOKUP(D173,'Bu Erta'!$C$2:$F$66,4,0)*F173</f>
        <v>825</v>
      </c>
    </row>
    <row r="174" spans="1:8" x14ac:dyDescent="0.35">
      <c r="A174" s="5">
        <v>30</v>
      </c>
      <c r="B174" t="s">
        <v>5</v>
      </c>
      <c r="C174" s="5">
        <v>2</v>
      </c>
      <c r="D174" t="s">
        <v>27</v>
      </c>
      <c r="E174" s="80">
        <f>VLOOKUP(D174,'Bu Erta'!$C$2:$E$66,3,0)</f>
        <v>2800</v>
      </c>
      <c r="F174">
        <v>3.25</v>
      </c>
      <c r="G174" s="80">
        <f t="shared" si="5"/>
        <v>9100</v>
      </c>
      <c r="H174" s="80">
        <f>VLOOKUP(D174,'Bu Erta'!$C$2:$F$66,4,0)*F174</f>
        <v>10075</v>
      </c>
    </row>
    <row r="175" spans="1:8" x14ac:dyDescent="0.35">
      <c r="B175" t="s">
        <v>5</v>
      </c>
      <c r="D175" t="s">
        <v>42</v>
      </c>
      <c r="E175" s="80">
        <f>VLOOKUP(D175,'Bu Erta'!$C$2:$E$66,3,0)</f>
        <v>1000</v>
      </c>
      <c r="F175">
        <v>8.1</v>
      </c>
      <c r="G175" s="80">
        <f t="shared" si="5"/>
        <v>8100</v>
      </c>
      <c r="H175" s="80">
        <f>VLOOKUP(D175,'Bu Erta'!$C$2:$F$66,4,0)*F175</f>
        <v>9720</v>
      </c>
    </row>
    <row r="176" spans="1:8" x14ac:dyDescent="0.35">
      <c r="B176" t="s">
        <v>5</v>
      </c>
      <c r="D176" t="s">
        <v>69</v>
      </c>
      <c r="E176" s="80">
        <f>VLOOKUP(D176,'Bu Erta'!$C$2:$E$66,3,0)</f>
        <v>2500</v>
      </c>
      <c r="F176">
        <v>0.8</v>
      </c>
      <c r="G176" s="80">
        <f t="shared" si="5"/>
        <v>2000</v>
      </c>
      <c r="H176" s="80">
        <f>VLOOKUP(D176,'Bu Erta'!$C$2:$F$66,4,0)*F176</f>
        <v>2400</v>
      </c>
    </row>
    <row r="177" spans="1:8" x14ac:dyDescent="0.35">
      <c r="A177" s="5">
        <v>31</v>
      </c>
      <c r="B177" t="s">
        <v>127</v>
      </c>
      <c r="C177" s="5">
        <v>2</v>
      </c>
      <c r="D177" t="s">
        <v>27</v>
      </c>
      <c r="E177" s="80">
        <f>VLOOKUP(D177,'Bu Erta'!$C$2:$E$66,3,0)</f>
        <v>2800</v>
      </c>
      <c r="F177">
        <v>1.85</v>
      </c>
      <c r="G177" s="80">
        <f t="shared" si="5"/>
        <v>5180</v>
      </c>
      <c r="H177" s="80">
        <f>VLOOKUP(D177,'Bu Erta'!$C$2:$F$66,4,0)*F177</f>
        <v>5735</v>
      </c>
    </row>
    <row r="178" spans="1:8" x14ac:dyDescent="0.35">
      <c r="B178" t="s">
        <v>127</v>
      </c>
      <c r="D178" t="s">
        <v>37</v>
      </c>
      <c r="E178" s="80">
        <f>VLOOKUP(D178,'Bu Erta'!$C$2:$E$66,3,0)</f>
        <v>1600</v>
      </c>
      <c r="F178">
        <v>0.45</v>
      </c>
      <c r="G178" s="80">
        <f t="shared" si="5"/>
        <v>720</v>
      </c>
      <c r="H178" s="80">
        <f>VLOOKUP(D178,'Bu Erta'!$C$2:$F$66,4,0)*F178</f>
        <v>900</v>
      </c>
    </row>
    <row r="179" spans="1:8" x14ac:dyDescent="0.35">
      <c r="B179" t="s">
        <v>127</v>
      </c>
      <c r="D179" t="s">
        <v>25</v>
      </c>
      <c r="E179" s="80">
        <f>VLOOKUP(D179,'Bu Erta'!$C$2:$E$66,3,0)</f>
        <v>1600</v>
      </c>
      <c r="F179">
        <v>1</v>
      </c>
      <c r="G179" s="80">
        <f t="shared" si="5"/>
        <v>1600</v>
      </c>
      <c r="H179" s="80">
        <f>VLOOKUP(D179,'Bu Erta'!$C$2:$F$66,4,0)*F179</f>
        <v>1700</v>
      </c>
    </row>
    <row r="180" spans="1:8" x14ac:dyDescent="0.35">
      <c r="B180" t="s">
        <v>127</v>
      </c>
      <c r="D180" t="s">
        <v>19</v>
      </c>
      <c r="E180" s="80">
        <f>VLOOKUP(D180,'Bu Erta'!$C$2:$E$66,3,0)</f>
        <v>200</v>
      </c>
      <c r="F180">
        <v>0.7</v>
      </c>
      <c r="G180" s="80">
        <f t="shared" si="5"/>
        <v>140</v>
      </c>
      <c r="H180" s="80">
        <f>VLOOKUP(D180,'Bu Erta'!$C$2:$F$66,4,0)*F180</f>
        <v>210</v>
      </c>
    </row>
    <row r="181" spans="1:8" x14ac:dyDescent="0.35">
      <c r="B181" t="s">
        <v>127</v>
      </c>
      <c r="D181" t="s">
        <v>69</v>
      </c>
      <c r="E181" s="80">
        <f>VLOOKUP(D181,'Bu Erta'!$C$2:$E$66,3,0)</f>
        <v>2500</v>
      </c>
      <c r="F181">
        <v>0.2</v>
      </c>
      <c r="G181" s="80">
        <f t="shared" si="5"/>
        <v>500</v>
      </c>
      <c r="H181" s="80">
        <f>VLOOKUP(D181,'Bu Erta'!$C$2:$F$66,4,0)*F181</f>
        <v>600</v>
      </c>
    </row>
    <row r="182" spans="1:8" x14ac:dyDescent="0.35">
      <c r="B182" t="s">
        <v>127</v>
      </c>
      <c r="D182" t="s">
        <v>70</v>
      </c>
      <c r="E182" s="80">
        <f>VLOOKUP(D182,'Bu Erta'!$C$2:$E$66,3,0)</f>
        <v>3500</v>
      </c>
      <c r="F182">
        <v>0.1</v>
      </c>
      <c r="G182" s="80">
        <f t="shared" si="5"/>
        <v>350</v>
      </c>
      <c r="H182" s="80">
        <f>VLOOKUP(D182,'Bu Erta'!$C$2:$F$66,4,0)*F182</f>
        <v>400</v>
      </c>
    </row>
    <row r="183" spans="1:8" x14ac:dyDescent="0.35">
      <c r="B183" t="s">
        <v>127</v>
      </c>
      <c r="D183" t="s">
        <v>40</v>
      </c>
      <c r="E183" s="80">
        <f>VLOOKUP(D183,'Bu Erta'!$C$2:$E$66,3,0)</f>
        <v>1800</v>
      </c>
      <c r="F183">
        <v>1.45</v>
      </c>
      <c r="G183" s="80">
        <f t="shared" si="5"/>
        <v>2610</v>
      </c>
      <c r="H183" s="80">
        <f>VLOOKUP(D183,'Bu Erta'!$C$2:$F$66,4,0)*F183</f>
        <v>2900</v>
      </c>
    </row>
    <row r="184" spans="1:8" x14ac:dyDescent="0.35">
      <c r="B184" t="s">
        <v>127</v>
      </c>
      <c r="D184" t="s">
        <v>42</v>
      </c>
      <c r="E184" s="80">
        <f>VLOOKUP(D184,'Bu Erta'!$C$2:$E$66,3,0)</f>
        <v>1000</v>
      </c>
      <c r="F184">
        <v>2.15</v>
      </c>
      <c r="G184" s="80">
        <f t="shared" si="5"/>
        <v>2150</v>
      </c>
      <c r="H184" s="80">
        <f>VLOOKUP(D184,'Bu Erta'!$C$2:$F$66,4,0)*F184</f>
        <v>2580</v>
      </c>
    </row>
    <row r="185" spans="1:8" x14ac:dyDescent="0.35">
      <c r="B185" t="s">
        <v>127</v>
      </c>
      <c r="D185" t="s">
        <v>56</v>
      </c>
      <c r="E185" s="80">
        <f>VLOOKUP(D185,'Bu Erta'!$C$2:$E$66,3,0)</f>
        <v>4000</v>
      </c>
      <c r="F185">
        <v>2.75</v>
      </c>
      <c r="G185" s="80">
        <f t="shared" si="5"/>
        <v>11000</v>
      </c>
      <c r="H185" s="80">
        <f>VLOOKUP(D185,'Bu Erta'!$C$2:$F$66,4,0)*F185</f>
        <v>15125</v>
      </c>
    </row>
    <row r="186" spans="1:8" x14ac:dyDescent="0.35">
      <c r="B186" t="s">
        <v>127</v>
      </c>
      <c r="D186" t="s">
        <v>23</v>
      </c>
      <c r="E186" s="80">
        <f>VLOOKUP(D186,'Bu Erta'!$C$2:$E$66,3,0)</f>
        <v>300</v>
      </c>
      <c r="F186">
        <v>0.9</v>
      </c>
      <c r="G186" s="80">
        <f t="shared" si="5"/>
        <v>270</v>
      </c>
      <c r="H186" s="80">
        <f>VLOOKUP(D186,'Bu Erta'!$C$2:$F$66,4,0)*F186</f>
        <v>360</v>
      </c>
    </row>
    <row r="187" spans="1:8" x14ac:dyDescent="0.35">
      <c r="B187" t="s">
        <v>127</v>
      </c>
      <c r="D187" t="s">
        <v>41</v>
      </c>
      <c r="E187" s="80">
        <f>VLOOKUP(D187,'Bu Erta'!$C$2:$E$66,3,0)</f>
        <v>1500</v>
      </c>
      <c r="F187">
        <v>0.45</v>
      </c>
      <c r="G187" s="80">
        <f t="shared" si="5"/>
        <v>675</v>
      </c>
      <c r="H187" s="80">
        <f>VLOOKUP(D187,'Bu Erta'!$C$2:$F$66,4,0)*F187</f>
        <v>900</v>
      </c>
    </row>
    <row r="188" spans="1:8" x14ac:dyDescent="0.35">
      <c r="B188" t="s">
        <v>127</v>
      </c>
      <c r="D188" t="s">
        <v>7</v>
      </c>
      <c r="E188" s="80">
        <f>VLOOKUP(D188,'Bu Erta'!$C$2:$E$66,3,0)</f>
        <v>1400</v>
      </c>
      <c r="F188">
        <v>1.3</v>
      </c>
      <c r="G188" s="80">
        <f t="shared" si="5"/>
        <v>1820</v>
      </c>
      <c r="H188" s="80">
        <f>VLOOKUP(D188,'Bu Erta'!$C$2:$F$66,4,0)*F188</f>
        <v>2080</v>
      </c>
    </row>
    <row r="189" spans="1:8" x14ac:dyDescent="0.35">
      <c r="B189" t="s">
        <v>127</v>
      </c>
      <c r="D189" t="s">
        <v>24</v>
      </c>
      <c r="E189" s="80">
        <f>VLOOKUP(D189,'Bu Erta'!$C$2:$E$66,3,0)</f>
        <v>150</v>
      </c>
      <c r="F189">
        <v>0.6</v>
      </c>
      <c r="G189" s="80">
        <f t="shared" si="5"/>
        <v>90</v>
      </c>
      <c r="H189" s="80">
        <f>VLOOKUP(D189,'Bu Erta'!$C$2:$F$66,4,0)*F189</f>
        <v>120</v>
      </c>
    </row>
    <row r="190" spans="1:8" x14ac:dyDescent="0.35">
      <c r="A190" s="5">
        <v>32</v>
      </c>
      <c r="B190" t="s">
        <v>147</v>
      </c>
      <c r="C190" s="5">
        <v>3</v>
      </c>
      <c r="D190" t="s">
        <v>42</v>
      </c>
      <c r="E190" s="80">
        <f>VLOOKUP(D190,'Bu Erta'!$C$2:$E$66,3,0)</f>
        <v>1000</v>
      </c>
      <c r="F190">
        <v>2.1</v>
      </c>
      <c r="G190" s="80">
        <f t="shared" si="5"/>
        <v>2100</v>
      </c>
      <c r="H190" s="80">
        <f>VLOOKUP(D190,'Bu Erta'!$C$2:$F$66,4,0)*F190</f>
        <v>2520</v>
      </c>
    </row>
    <row r="191" spans="1:8" x14ac:dyDescent="0.35">
      <c r="B191" t="s">
        <v>147</v>
      </c>
      <c r="D191" t="s">
        <v>31</v>
      </c>
      <c r="E191" s="80">
        <f>VLOOKUP(D191,'Bu Erta'!$C$2:$E$66,3,0)</f>
        <v>1000</v>
      </c>
      <c r="F191">
        <v>1.85</v>
      </c>
      <c r="G191" s="80">
        <f t="shared" si="5"/>
        <v>1850</v>
      </c>
      <c r="H191" s="80">
        <f>VLOOKUP(D191,'Bu Erta'!$C$2:$F$66,4,0)*F191</f>
        <v>2035</v>
      </c>
    </row>
    <row r="192" spans="1:8" x14ac:dyDescent="0.35">
      <c r="B192" t="s">
        <v>147</v>
      </c>
      <c r="D192" t="s">
        <v>19</v>
      </c>
      <c r="E192" s="80">
        <f>VLOOKUP(D192,'Bu Erta'!$C$2:$E$66,3,0)</f>
        <v>200</v>
      </c>
      <c r="F192">
        <v>0.25</v>
      </c>
      <c r="G192" s="80">
        <f t="shared" si="5"/>
        <v>50</v>
      </c>
      <c r="H192" s="80">
        <f>VLOOKUP(D192,'Bu Erta'!$C$2:$F$66,4,0)*F192</f>
        <v>75</v>
      </c>
    </row>
    <row r="193" spans="1:8" x14ac:dyDescent="0.35">
      <c r="B193" t="s">
        <v>147</v>
      </c>
      <c r="D193" t="s">
        <v>27</v>
      </c>
      <c r="E193" s="80">
        <f>VLOOKUP(D193,'Bu Erta'!$C$2:$E$66,3,0)</f>
        <v>2800</v>
      </c>
      <c r="F193">
        <v>0.75</v>
      </c>
      <c r="G193" s="80">
        <f t="shared" si="5"/>
        <v>2100</v>
      </c>
      <c r="H193" s="80">
        <f>VLOOKUP(D193,'Bu Erta'!$C$2:$F$66,4,0)*F193</f>
        <v>2325</v>
      </c>
    </row>
    <row r="194" spans="1:8" x14ac:dyDescent="0.35">
      <c r="B194" t="s">
        <v>147</v>
      </c>
      <c r="D194" t="s">
        <v>34</v>
      </c>
      <c r="E194" s="80">
        <f>VLOOKUP(D194,'Bu Erta'!$C$2:$E$66,3,0)</f>
        <v>3500</v>
      </c>
      <c r="F194">
        <v>1.8</v>
      </c>
      <c r="G194" s="80">
        <f t="shared" si="5"/>
        <v>6300</v>
      </c>
      <c r="H194" s="80">
        <f>VLOOKUP(D194,'Bu Erta'!$C$2:$F$66,4,0)*F194</f>
        <v>6480</v>
      </c>
    </row>
    <row r="195" spans="1:8" x14ac:dyDescent="0.35">
      <c r="A195" s="5">
        <v>33</v>
      </c>
      <c r="B195" t="s">
        <v>100</v>
      </c>
      <c r="C195" s="5">
        <v>4</v>
      </c>
      <c r="D195" t="s">
        <v>42</v>
      </c>
      <c r="E195" s="80">
        <f>VLOOKUP(D195,'Bu Erta'!$C$2:$E$66,3,0)</f>
        <v>1000</v>
      </c>
      <c r="F195">
        <v>2.5</v>
      </c>
      <c r="G195" s="80">
        <f t="shared" si="5"/>
        <v>2500</v>
      </c>
      <c r="H195" s="80">
        <f>VLOOKUP(D195,'Bu Erta'!$C$2:$F$66,4,0)*F195</f>
        <v>3000</v>
      </c>
    </row>
    <row r="196" spans="1:8" x14ac:dyDescent="0.35">
      <c r="B196" t="s">
        <v>100</v>
      </c>
      <c r="D196" t="s">
        <v>46</v>
      </c>
      <c r="E196" s="80">
        <f>VLOOKUP(D196,'Bu Erta'!$C$2:$E$66,3,0)</f>
        <v>1400</v>
      </c>
      <c r="F196">
        <v>0.85</v>
      </c>
      <c r="G196" s="80">
        <f t="shared" ref="G196:G259" si="6">E196*F196</f>
        <v>1190</v>
      </c>
      <c r="H196" s="80">
        <f>VLOOKUP(D196,'Bu Erta'!$C$2:$F$66,4,0)*F196</f>
        <v>1275</v>
      </c>
    </row>
    <row r="197" spans="1:8" x14ac:dyDescent="0.35">
      <c r="B197" t="s">
        <v>100</v>
      </c>
      <c r="D197" t="s">
        <v>7</v>
      </c>
      <c r="E197" s="80">
        <f>VLOOKUP(D197,'Bu Erta'!$C$2:$E$66,3,0)</f>
        <v>1400</v>
      </c>
      <c r="F197">
        <v>0.65</v>
      </c>
      <c r="G197" s="80">
        <f t="shared" si="6"/>
        <v>910</v>
      </c>
      <c r="H197" s="80">
        <f>VLOOKUP(D197,'Bu Erta'!$C$2:$F$66,4,0)*F197</f>
        <v>1040</v>
      </c>
    </row>
    <row r="198" spans="1:8" x14ac:dyDescent="0.35">
      <c r="B198" t="s">
        <v>100</v>
      </c>
      <c r="D198" t="s">
        <v>41</v>
      </c>
      <c r="E198" s="80">
        <f>VLOOKUP(D198,'Bu Erta'!$C$2:$E$66,3,0)</f>
        <v>1500</v>
      </c>
      <c r="F198">
        <v>0.65</v>
      </c>
      <c r="G198" s="80">
        <f t="shared" si="6"/>
        <v>975</v>
      </c>
      <c r="H198" s="80">
        <f>VLOOKUP(D198,'Bu Erta'!$C$2:$F$66,4,0)*F198</f>
        <v>1300</v>
      </c>
    </row>
    <row r="199" spans="1:8" x14ac:dyDescent="0.35">
      <c r="B199" t="s">
        <v>100</v>
      </c>
      <c r="D199" t="s">
        <v>17</v>
      </c>
      <c r="E199" s="80">
        <f>VLOOKUP(D199,'Bu Erta'!$C$2:$E$66,3,0)</f>
        <v>8000</v>
      </c>
      <c r="F199">
        <v>0.05</v>
      </c>
      <c r="G199" s="80">
        <f t="shared" si="6"/>
        <v>400</v>
      </c>
      <c r="H199" s="80">
        <f>VLOOKUP(D199,'Bu Erta'!$C$2:$F$66,4,0)*F199</f>
        <v>425</v>
      </c>
    </row>
    <row r="200" spans="1:8" x14ac:dyDescent="0.35">
      <c r="B200" t="s">
        <v>100</v>
      </c>
      <c r="D200" t="s">
        <v>19</v>
      </c>
      <c r="E200" s="80">
        <f>VLOOKUP(D200,'Bu Erta'!$C$2:$E$66,3,0)</f>
        <v>200</v>
      </c>
      <c r="F200">
        <v>0.35</v>
      </c>
      <c r="G200" s="80">
        <f t="shared" si="6"/>
        <v>70</v>
      </c>
      <c r="H200" s="80">
        <f>VLOOKUP(D200,'Bu Erta'!$C$2:$F$66,4,0)*F200</f>
        <v>105</v>
      </c>
    </row>
    <row r="201" spans="1:8" x14ac:dyDescent="0.35">
      <c r="B201" t="s">
        <v>100</v>
      </c>
      <c r="D201" t="s">
        <v>6</v>
      </c>
      <c r="E201" s="80">
        <f>VLOOKUP(D201,'Bu Erta'!$C$2:$E$66,3,0)</f>
        <v>2000</v>
      </c>
      <c r="F201">
        <v>0.2</v>
      </c>
      <c r="G201" s="80">
        <f t="shared" si="6"/>
        <v>400</v>
      </c>
      <c r="H201" s="80">
        <f>VLOOKUP(D201,'Bu Erta'!$C$2:$F$66,4,0)*F201</f>
        <v>500</v>
      </c>
    </row>
    <row r="202" spans="1:8" x14ac:dyDescent="0.35">
      <c r="B202" t="s">
        <v>100</v>
      </c>
      <c r="D202" t="s">
        <v>31</v>
      </c>
      <c r="E202" s="80">
        <f>VLOOKUP(D202,'Bu Erta'!$C$2:$E$66,3,0)</f>
        <v>1000</v>
      </c>
      <c r="F202">
        <v>1.8</v>
      </c>
      <c r="G202" s="80">
        <f t="shared" si="6"/>
        <v>1800</v>
      </c>
      <c r="H202" s="80">
        <f>VLOOKUP(D202,'Bu Erta'!$C$2:$F$66,4,0)*F202</f>
        <v>1980</v>
      </c>
    </row>
    <row r="203" spans="1:8" x14ac:dyDescent="0.35">
      <c r="A203" s="5">
        <v>34</v>
      </c>
      <c r="B203" t="s">
        <v>102</v>
      </c>
      <c r="C203" s="5">
        <v>4</v>
      </c>
      <c r="D203" t="s">
        <v>22</v>
      </c>
      <c r="E203" s="80">
        <f>VLOOKUP(D203,'Bu Erta'!$C$2:$E$66,3,0)</f>
        <v>2500</v>
      </c>
      <c r="F203">
        <v>3.35</v>
      </c>
      <c r="G203" s="80">
        <f t="shared" si="6"/>
        <v>8375</v>
      </c>
      <c r="H203" s="80">
        <f>VLOOKUP(D203,'Bu Erta'!$C$2:$F$66,4,0)*F203</f>
        <v>10050</v>
      </c>
    </row>
    <row r="204" spans="1:8" x14ac:dyDescent="0.35">
      <c r="B204" t="s">
        <v>102</v>
      </c>
      <c r="D204" t="s">
        <v>69</v>
      </c>
      <c r="E204" s="80">
        <f>VLOOKUP(D204,'Bu Erta'!$C$2:$E$66,3,0)</f>
        <v>2500</v>
      </c>
      <c r="F204">
        <v>0.45</v>
      </c>
      <c r="G204" s="80">
        <f t="shared" si="6"/>
        <v>1125</v>
      </c>
      <c r="H204" s="80">
        <f>VLOOKUP(D204,'Bu Erta'!$C$2:$F$66,4,0)*F204</f>
        <v>1350</v>
      </c>
    </row>
    <row r="205" spans="1:8" x14ac:dyDescent="0.35">
      <c r="B205" t="s">
        <v>102</v>
      </c>
      <c r="D205" t="s">
        <v>41</v>
      </c>
      <c r="E205" s="80">
        <f>VLOOKUP(D205,'Bu Erta'!$C$2:$E$66,3,0)</f>
        <v>1500</v>
      </c>
      <c r="F205">
        <v>1.1000000000000001</v>
      </c>
      <c r="G205" s="80">
        <f t="shared" si="6"/>
        <v>1650.0000000000002</v>
      </c>
      <c r="H205" s="80">
        <f>VLOOKUP(D205,'Bu Erta'!$C$2:$F$66,4,0)*F205</f>
        <v>2200</v>
      </c>
    </row>
    <row r="206" spans="1:8" x14ac:dyDescent="0.35">
      <c r="B206" t="s">
        <v>102</v>
      </c>
      <c r="D206" t="s">
        <v>19</v>
      </c>
      <c r="E206" s="80">
        <f>VLOOKUP(D206,'Bu Erta'!$C$2:$E$66,3,0)</f>
        <v>200</v>
      </c>
      <c r="F206">
        <v>2.0499999999999998</v>
      </c>
      <c r="G206" s="80">
        <f t="shared" si="6"/>
        <v>409.99999999999994</v>
      </c>
      <c r="H206" s="80">
        <f>VLOOKUP(D206,'Bu Erta'!$C$2:$F$66,4,0)*F206</f>
        <v>615</v>
      </c>
    </row>
    <row r="207" spans="1:8" x14ac:dyDescent="0.35">
      <c r="B207" t="s">
        <v>102</v>
      </c>
      <c r="D207" t="s">
        <v>31</v>
      </c>
      <c r="E207" s="80">
        <f>VLOOKUP(D207,'Bu Erta'!$C$2:$E$66,3,0)</f>
        <v>1000</v>
      </c>
      <c r="F207">
        <v>2.25</v>
      </c>
      <c r="G207" s="80">
        <f t="shared" si="6"/>
        <v>2250</v>
      </c>
      <c r="H207" s="80">
        <f>VLOOKUP(D207,'Bu Erta'!$C$2:$F$66,4,0)*F207</f>
        <v>2475</v>
      </c>
    </row>
    <row r="208" spans="1:8" x14ac:dyDescent="0.35">
      <c r="B208" t="s">
        <v>102</v>
      </c>
      <c r="D208" t="s">
        <v>42</v>
      </c>
      <c r="E208" s="80">
        <f>VLOOKUP(D208,'Bu Erta'!$C$2:$E$66,3,0)</f>
        <v>1000</v>
      </c>
      <c r="F208">
        <v>9.6</v>
      </c>
      <c r="G208" s="80">
        <f t="shared" si="6"/>
        <v>9600</v>
      </c>
      <c r="H208" s="80">
        <f>VLOOKUP(D208,'Bu Erta'!$C$2:$F$66,4,0)*F208</f>
        <v>11520</v>
      </c>
    </row>
    <row r="209" spans="1:8" x14ac:dyDescent="0.35">
      <c r="B209" t="s">
        <v>102</v>
      </c>
      <c r="D209" t="s">
        <v>27</v>
      </c>
      <c r="E209" s="80">
        <f>VLOOKUP(D209,'Bu Erta'!$C$2:$E$66,3,0)</f>
        <v>2800</v>
      </c>
      <c r="F209">
        <v>2.7</v>
      </c>
      <c r="G209" s="80">
        <f t="shared" si="6"/>
        <v>7560.0000000000009</v>
      </c>
      <c r="H209" s="80">
        <f>VLOOKUP(D209,'Bu Erta'!$C$2:$F$66,4,0)*F209</f>
        <v>8370</v>
      </c>
    </row>
    <row r="210" spans="1:8" x14ac:dyDescent="0.35">
      <c r="A210" s="5">
        <v>35</v>
      </c>
      <c r="B210" t="s">
        <v>244</v>
      </c>
      <c r="C210" s="5">
        <v>2</v>
      </c>
      <c r="D210" t="s">
        <v>42</v>
      </c>
      <c r="E210" s="80">
        <f>VLOOKUP(D210,'Bu Erta'!$C$2:$E$66,3,0)</f>
        <v>1000</v>
      </c>
      <c r="F210">
        <v>0.95</v>
      </c>
      <c r="G210" s="80">
        <f t="shared" si="6"/>
        <v>950</v>
      </c>
      <c r="H210" s="80">
        <f>VLOOKUP(D210,'Bu Erta'!$C$2:$F$66,4,0)*F210</f>
        <v>1140</v>
      </c>
    </row>
    <row r="211" spans="1:8" x14ac:dyDescent="0.35">
      <c r="B211" t="s">
        <v>244</v>
      </c>
      <c r="D211" t="s">
        <v>7</v>
      </c>
      <c r="E211" s="80">
        <f>VLOOKUP(D211,'Bu Erta'!$C$2:$E$66,3,0)</f>
        <v>1400</v>
      </c>
      <c r="F211">
        <v>2.1</v>
      </c>
      <c r="G211" s="80">
        <f t="shared" si="6"/>
        <v>2940</v>
      </c>
      <c r="H211" s="80">
        <f>VLOOKUP(D211,'Bu Erta'!$C$2:$F$66,4,0)*F211</f>
        <v>3360</v>
      </c>
    </row>
    <row r="212" spans="1:8" x14ac:dyDescent="0.35">
      <c r="B212" t="s">
        <v>244</v>
      </c>
      <c r="D212" t="s">
        <v>39</v>
      </c>
      <c r="E212" s="80">
        <f>VLOOKUP(D212,'Bu Erta'!$C$2:$E$66,3,0)</f>
        <v>150</v>
      </c>
      <c r="F212">
        <v>0.6</v>
      </c>
      <c r="G212" s="80">
        <f t="shared" si="6"/>
        <v>90</v>
      </c>
      <c r="H212" s="80">
        <f>VLOOKUP(D212,'Bu Erta'!$C$2:$F$66,4,0)*F212</f>
        <v>120</v>
      </c>
    </row>
    <row r="213" spans="1:8" x14ac:dyDescent="0.35">
      <c r="B213" t="s">
        <v>244</v>
      </c>
      <c r="D213" t="s">
        <v>19</v>
      </c>
      <c r="E213" s="80">
        <f>VLOOKUP(D213,'Bu Erta'!$C$2:$E$66,3,0)</f>
        <v>200</v>
      </c>
      <c r="F213">
        <v>0.2</v>
      </c>
      <c r="G213" s="80">
        <f t="shared" si="6"/>
        <v>40</v>
      </c>
      <c r="H213" s="80">
        <f>VLOOKUP(D213,'Bu Erta'!$C$2:$F$66,4,0)*F213</f>
        <v>60</v>
      </c>
    </row>
    <row r="214" spans="1:8" x14ac:dyDescent="0.35">
      <c r="B214" t="s">
        <v>244</v>
      </c>
      <c r="D214" t="s">
        <v>22</v>
      </c>
      <c r="E214" s="80">
        <f>VLOOKUP(D214,'Bu Erta'!$C$2:$E$66,3,0)</f>
        <v>2500</v>
      </c>
      <c r="F214">
        <v>7.9</v>
      </c>
      <c r="G214" s="80">
        <f t="shared" si="6"/>
        <v>19750</v>
      </c>
      <c r="H214" s="80">
        <f>VLOOKUP(D214,'Bu Erta'!$C$2:$F$66,4,0)*F214</f>
        <v>23700</v>
      </c>
    </row>
    <row r="215" spans="1:8" x14ac:dyDescent="0.35">
      <c r="B215" t="s">
        <v>244</v>
      </c>
      <c r="D215" t="s">
        <v>41</v>
      </c>
      <c r="E215" s="80">
        <f>VLOOKUP(D215,'Bu Erta'!$C$2:$E$66,3,0)</f>
        <v>1500</v>
      </c>
      <c r="F215">
        <v>0.15</v>
      </c>
      <c r="G215" s="80">
        <f t="shared" si="6"/>
        <v>225</v>
      </c>
      <c r="H215" s="80">
        <f>VLOOKUP(D215,'Bu Erta'!$C$2:$F$66,4,0)*F215</f>
        <v>300</v>
      </c>
    </row>
    <row r="216" spans="1:8" x14ac:dyDescent="0.35">
      <c r="B216" t="s">
        <v>244</v>
      </c>
      <c r="D216" t="s">
        <v>40</v>
      </c>
      <c r="E216" s="80">
        <f>VLOOKUP(D216,'Bu Erta'!$C$2:$E$66,3,0)</f>
        <v>1800</v>
      </c>
      <c r="F216">
        <v>0.45</v>
      </c>
      <c r="G216" s="80">
        <f t="shared" si="6"/>
        <v>810</v>
      </c>
      <c r="H216" s="80">
        <f>VLOOKUP(D216,'Bu Erta'!$C$2:$F$66,4,0)*F216</f>
        <v>900</v>
      </c>
    </row>
    <row r="217" spans="1:8" x14ac:dyDescent="0.35">
      <c r="A217" s="5">
        <v>36</v>
      </c>
      <c r="B217" t="s">
        <v>174</v>
      </c>
      <c r="C217" s="5">
        <v>5</v>
      </c>
      <c r="D217" t="s">
        <v>31</v>
      </c>
      <c r="E217" s="80">
        <f>VLOOKUP(D217,'Bu Erta'!$C$2:$E$66,3,0)</f>
        <v>1000</v>
      </c>
      <c r="F217">
        <v>2</v>
      </c>
      <c r="G217" s="80">
        <f t="shared" si="6"/>
        <v>2000</v>
      </c>
      <c r="H217" s="80">
        <f>VLOOKUP(D217,'Bu Erta'!$C$2:$F$66,4,0)*F217</f>
        <v>2200</v>
      </c>
    </row>
    <row r="218" spans="1:8" x14ac:dyDescent="0.35">
      <c r="B218" t="s">
        <v>174</v>
      </c>
      <c r="D218" t="s">
        <v>7</v>
      </c>
      <c r="E218" s="80">
        <f>VLOOKUP(D218,'Bu Erta'!$C$2:$E$66,3,0)</f>
        <v>1400</v>
      </c>
      <c r="F218">
        <v>1.8</v>
      </c>
      <c r="G218" s="80">
        <f t="shared" si="6"/>
        <v>2520</v>
      </c>
      <c r="H218" s="80">
        <f>VLOOKUP(D218,'Bu Erta'!$C$2:$F$66,4,0)*F218</f>
        <v>2880</v>
      </c>
    </row>
    <row r="219" spans="1:8" x14ac:dyDescent="0.35">
      <c r="B219" t="s">
        <v>174</v>
      </c>
      <c r="D219" t="s">
        <v>56</v>
      </c>
      <c r="E219" s="80">
        <f>VLOOKUP(D219,'Bu Erta'!$C$2:$E$66,3,0)</f>
        <v>4000</v>
      </c>
      <c r="F219">
        <v>3.05</v>
      </c>
      <c r="G219" s="80">
        <f t="shared" si="6"/>
        <v>12200</v>
      </c>
      <c r="H219" s="80">
        <f>VLOOKUP(D219,'Bu Erta'!$C$2:$F$66,4,0)*F219</f>
        <v>16775</v>
      </c>
    </row>
    <row r="220" spans="1:8" x14ac:dyDescent="0.35">
      <c r="A220" s="5">
        <v>37</v>
      </c>
      <c r="B220" t="s">
        <v>242</v>
      </c>
      <c r="C220" s="5">
        <v>3</v>
      </c>
      <c r="D220" t="s">
        <v>19</v>
      </c>
      <c r="E220" s="80">
        <f>VLOOKUP(D220,'Bu Erta'!$C$2:$E$66,3,0)</f>
        <v>200</v>
      </c>
      <c r="F220">
        <v>1.4</v>
      </c>
      <c r="G220" s="80">
        <f t="shared" si="6"/>
        <v>280</v>
      </c>
      <c r="H220" s="80">
        <f>VLOOKUP(D220,'Bu Erta'!$C$2:$F$66,4,0)*F220</f>
        <v>420</v>
      </c>
    </row>
    <row r="221" spans="1:8" x14ac:dyDescent="0.35">
      <c r="B221" t="s">
        <v>242</v>
      </c>
      <c r="D221" t="s">
        <v>31</v>
      </c>
      <c r="E221" s="80">
        <f>VLOOKUP(D221,'Bu Erta'!$C$2:$E$66,3,0)</f>
        <v>1000</v>
      </c>
      <c r="F221">
        <v>0.25</v>
      </c>
      <c r="G221" s="80">
        <f t="shared" si="6"/>
        <v>250</v>
      </c>
      <c r="H221" s="80">
        <f>VLOOKUP(D221,'Bu Erta'!$C$2:$F$66,4,0)*F221</f>
        <v>275</v>
      </c>
    </row>
    <row r="222" spans="1:8" x14ac:dyDescent="0.35">
      <c r="A222" s="5">
        <v>38</v>
      </c>
      <c r="B222" t="s">
        <v>241</v>
      </c>
      <c r="C222" s="5">
        <v>7</v>
      </c>
      <c r="D222" t="s">
        <v>23</v>
      </c>
      <c r="E222" s="80">
        <f>VLOOKUP(D222,'Bu Erta'!$C$2:$E$66,3,0)</f>
        <v>300</v>
      </c>
      <c r="F222">
        <v>1.4</v>
      </c>
      <c r="G222" s="80">
        <f t="shared" si="6"/>
        <v>420</v>
      </c>
      <c r="H222" s="80">
        <f>VLOOKUP(D222,'Bu Erta'!$C$2:$F$66,4,0)*F222</f>
        <v>560</v>
      </c>
    </row>
    <row r="223" spans="1:8" x14ac:dyDescent="0.35">
      <c r="B223" t="s">
        <v>241</v>
      </c>
      <c r="D223" t="s">
        <v>19</v>
      </c>
      <c r="E223" s="80">
        <f>VLOOKUP(D223,'Bu Erta'!$C$2:$E$66,3,0)</f>
        <v>200</v>
      </c>
      <c r="F223">
        <v>1.1000000000000001</v>
      </c>
      <c r="G223" s="80">
        <f t="shared" si="6"/>
        <v>220.00000000000003</v>
      </c>
      <c r="H223" s="80">
        <f>VLOOKUP(D223,'Bu Erta'!$C$2:$F$66,4,0)*F223</f>
        <v>330</v>
      </c>
    </row>
    <row r="224" spans="1:8" x14ac:dyDescent="0.35">
      <c r="B224" t="s">
        <v>241</v>
      </c>
      <c r="D224" t="s">
        <v>46</v>
      </c>
      <c r="E224" s="80">
        <f>VLOOKUP(D224,'Bu Erta'!$C$2:$E$66,3,0)</f>
        <v>1400</v>
      </c>
      <c r="F224">
        <v>3.15</v>
      </c>
      <c r="G224" s="80">
        <f t="shared" si="6"/>
        <v>4410</v>
      </c>
      <c r="H224" s="80">
        <f>VLOOKUP(D224,'Bu Erta'!$C$2:$F$66,4,0)*F224</f>
        <v>4725</v>
      </c>
    </row>
    <row r="225" spans="1:8" x14ac:dyDescent="0.35">
      <c r="B225" t="s">
        <v>241</v>
      </c>
      <c r="D225" t="s">
        <v>31</v>
      </c>
      <c r="E225" s="80">
        <f>VLOOKUP(D225,'Bu Erta'!$C$2:$E$66,3,0)</f>
        <v>1000</v>
      </c>
      <c r="F225">
        <v>0.55000000000000004</v>
      </c>
      <c r="G225" s="80">
        <f t="shared" si="6"/>
        <v>550</v>
      </c>
      <c r="H225" s="80">
        <f>VLOOKUP(D225,'Bu Erta'!$C$2:$F$66,4,0)*F225</f>
        <v>605</v>
      </c>
    </row>
    <row r="226" spans="1:8" x14ac:dyDescent="0.35">
      <c r="A226" s="5">
        <v>39</v>
      </c>
      <c r="B226" t="s">
        <v>327</v>
      </c>
      <c r="C226" s="5">
        <v>1</v>
      </c>
      <c r="D226" t="s">
        <v>27</v>
      </c>
      <c r="E226" s="80">
        <f>VLOOKUP(D226,'Bu Erta'!$C$2:$E$66,3,0)</f>
        <v>2800</v>
      </c>
      <c r="F226">
        <v>0.8</v>
      </c>
      <c r="G226" s="80">
        <f t="shared" si="6"/>
        <v>2240</v>
      </c>
      <c r="H226" s="80">
        <f>VLOOKUP(D226,'Bu Erta'!$C$2:$F$66,4,0)*F226</f>
        <v>2480</v>
      </c>
    </row>
    <row r="227" spans="1:8" x14ac:dyDescent="0.35">
      <c r="B227" t="s">
        <v>327</v>
      </c>
      <c r="D227" t="s">
        <v>42</v>
      </c>
      <c r="E227" s="80">
        <f>VLOOKUP(D227,'Bu Erta'!$C$2:$E$66,3,0)</f>
        <v>1000</v>
      </c>
      <c r="F227">
        <v>0.95</v>
      </c>
      <c r="G227" s="80">
        <f t="shared" si="6"/>
        <v>950</v>
      </c>
      <c r="H227" s="80">
        <f>VLOOKUP(D227,'Bu Erta'!$C$2:$F$66,4,0)*F227</f>
        <v>1140</v>
      </c>
    </row>
    <row r="228" spans="1:8" x14ac:dyDescent="0.35">
      <c r="B228" t="s">
        <v>327</v>
      </c>
      <c r="D228" t="s">
        <v>23</v>
      </c>
      <c r="E228" s="80">
        <f>VLOOKUP(D228,'Bu Erta'!$C$2:$E$66,3,0)</f>
        <v>300</v>
      </c>
      <c r="F228">
        <v>0.75</v>
      </c>
      <c r="G228" s="80">
        <f t="shared" si="6"/>
        <v>225</v>
      </c>
      <c r="H228" s="80">
        <f>VLOOKUP(D228,'Bu Erta'!$C$2:$F$66,4,0)*F228</f>
        <v>300</v>
      </c>
    </row>
    <row r="229" spans="1:8" x14ac:dyDescent="0.35">
      <c r="B229" t="s">
        <v>327</v>
      </c>
      <c r="D229" t="s">
        <v>41</v>
      </c>
      <c r="E229" s="80">
        <f>VLOOKUP(D229,'Bu Erta'!$C$2:$E$66,3,0)</f>
        <v>1500</v>
      </c>
      <c r="F229">
        <v>0.5</v>
      </c>
      <c r="G229" s="80">
        <f t="shared" si="6"/>
        <v>750</v>
      </c>
      <c r="H229" s="80">
        <f>VLOOKUP(D229,'Bu Erta'!$C$2:$F$66,4,0)*F229</f>
        <v>1000</v>
      </c>
    </row>
    <row r="230" spans="1:8" x14ac:dyDescent="0.35">
      <c r="B230" t="s">
        <v>327</v>
      </c>
      <c r="D230" t="s">
        <v>19</v>
      </c>
      <c r="E230" s="80">
        <f>VLOOKUP(D230,'Bu Erta'!$C$2:$E$66,3,0)</f>
        <v>200</v>
      </c>
      <c r="F230">
        <v>0.1</v>
      </c>
      <c r="G230" s="80">
        <f t="shared" si="6"/>
        <v>20</v>
      </c>
      <c r="H230" s="80">
        <f>VLOOKUP(D230,'Bu Erta'!$C$2:$F$66,4,0)*F230</f>
        <v>30</v>
      </c>
    </row>
    <row r="231" spans="1:8" x14ac:dyDescent="0.35">
      <c r="B231" t="s">
        <v>327</v>
      </c>
      <c r="D231" t="s">
        <v>24</v>
      </c>
      <c r="E231" s="80">
        <f>VLOOKUP(D231,'Bu Erta'!$C$2:$E$66,3,0)</f>
        <v>150</v>
      </c>
      <c r="F231">
        <v>0.15</v>
      </c>
      <c r="G231" s="80">
        <f t="shared" si="6"/>
        <v>22.5</v>
      </c>
      <c r="H231" s="80">
        <f>VLOOKUP(D231,'Bu Erta'!$C$2:$F$66,4,0)*F231</f>
        <v>30</v>
      </c>
    </row>
    <row r="232" spans="1:8" x14ac:dyDescent="0.35">
      <c r="B232" t="s">
        <v>327</v>
      </c>
      <c r="D232" t="s">
        <v>7</v>
      </c>
      <c r="E232" s="80">
        <f>VLOOKUP(D232,'Bu Erta'!$C$2:$E$66,3,0)</f>
        <v>1400</v>
      </c>
      <c r="F232">
        <v>0.5</v>
      </c>
      <c r="G232" s="80">
        <f t="shared" si="6"/>
        <v>700</v>
      </c>
      <c r="H232" s="80">
        <f>VLOOKUP(D232,'Bu Erta'!$C$2:$F$66,4,0)*F232</f>
        <v>800</v>
      </c>
    </row>
    <row r="233" spans="1:8" x14ac:dyDescent="0.35">
      <c r="B233" t="s">
        <v>327</v>
      </c>
      <c r="D233" t="s">
        <v>31</v>
      </c>
      <c r="E233" s="80">
        <f>VLOOKUP(D233,'Bu Erta'!$C$2:$E$66,3,0)</f>
        <v>1000</v>
      </c>
      <c r="F233">
        <v>0.35</v>
      </c>
      <c r="G233" s="80">
        <f t="shared" si="6"/>
        <v>350</v>
      </c>
      <c r="H233" s="80">
        <f>VLOOKUP(D233,'Bu Erta'!$C$2:$F$66,4,0)*F233</f>
        <v>385</v>
      </c>
    </row>
    <row r="234" spans="1:8" x14ac:dyDescent="0.35">
      <c r="A234" s="5">
        <v>40</v>
      </c>
      <c r="B234" t="s">
        <v>83</v>
      </c>
      <c r="C234" s="5">
        <v>1</v>
      </c>
      <c r="D234" t="s">
        <v>28</v>
      </c>
      <c r="E234" s="80">
        <f>VLOOKUP(D234,'Bu Erta'!$C$2:$E$66,3,0)</f>
        <v>1200</v>
      </c>
      <c r="F234">
        <v>1.55</v>
      </c>
      <c r="G234" s="80">
        <f t="shared" si="6"/>
        <v>1860</v>
      </c>
      <c r="H234" s="80">
        <f>VLOOKUP(D234,'Bu Erta'!$C$2:$F$66,4,0)*F234</f>
        <v>2015</v>
      </c>
    </row>
    <row r="235" spans="1:8" x14ac:dyDescent="0.35">
      <c r="B235" t="s">
        <v>83</v>
      </c>
      <c r="D235" t="s">
        <v>42</v>
      </c>
      <c r="E235" s="80">
        <f>VLOOKUP(D235,'Bu Erta'!$C$2:$E$66,3,0)</f>
        <v>1000</v>
      </c>
      <c r="F235">
        <v>2.0499999999999998</v>
      </c>
      <c r="G235" s="80">
        <f t="shared" si="6"/>
        <v>2050</v>
      </c>
      <c r="H235" s="80">
        <f>VLOOKUP(D235,'Bu Erta'!$C$2:$F$66,4,0)*F235</f>
        <v>2460</v>
      </c>
    </row>
    <row r="236" spans="1:8" x14ac:dyDescent="0.35">
      <c r="B236" t="s">
        <v>83</v>
      </c>
      <c r="D236" t="s">
        <v>23</v>
      </c>
      <c r="E236" s="80">
        <f>VLOOKUP(D236,'Bu Erta'!$C$2:$E$66,3,0)</f>
        <v>300</v>
      </c>
      <c r="F236">
        <v>1.1000000000000001</v>
      </c>
      <c r="G236" s="80">
        <f t="shared" si="6"/>
        <v>330</v>
      </c>
      <c r="H236" s="80">
        <f>VLOOKUP(D236,'Bu Erta'!$C$2:$F$66,4,0)*F236</f>
        <v>440.00000000000006</v>
      </c>
    </row>
    <row r="237" spans="1:8" x14ac:dyDescent="0.35">
      <c r="B237" t="s">
        <v>83</v>
      </c>
      <c r="D237" t="s">
        <v>27</v>
      </c>
      <c r="E237" s="80">
        <f>VLOOKUP(D237,'Bu Erta'!$C$2:$E$66,3,0)</f>
        <v>2800</v>
      </c>
      <c r="F237">
        <v>1.05</v>
      </c>
      <c r="G237" s="80">
        <f t="shared" si="6"/>
        <v>2940</v>
      </c>
      <c r="H237" s="80">
        <f>VLOOKUP(D237,'Bu Erta'!$C$2:$F$66,4,0)*F237</f>
        <v>3255</v>
      </c>
    </row>
    <row r="238" spans="1:8" x14ac:dyDescent="0.35">
      <c r="B238" t="s">
        <v>83</v>
      </c>
      <c r="D238" t="s">
        <v>31</v>
      </c>
      <c r="E238" s="80">
        <f>VLOOKUP(D238,'Bu Erta'!$C$2:$E$66,3,0)</f>
        <v>1000</v>
      </c>
      <c r="F238">
        <v>1.35</v>
      </c>
      <c r="G238" s="80">
        <f t="shared" si="6"/>
        <v>1350</v>
      </c>
      <c r="H238" s="80">
        <f>VLOOKUP(D238,'Bu Erta'!$C$2:$F$66,4,0)*F238</f>
        <v>1485</v>
      </c>
    </row>
    <row r="239" spans="1:8" x14ac:dyDescent="0.35">
      <c r="B239" t="s">
        <v>83</v>
      </c>
      <c r="D239" t="s">
        <v>19</v>
      </c>
      <c r="E239" s="80">
        <f>VLOOKUP(D239,'Bu Erta'!$C$2:$E$66,3,0)</f>
        <v>200</v>
      </c>
      <c r="F239">
        <v>0.7</v>
      </c>
      <c r="G239" s="80">
        <f t="shared" si="6"/>
        <v>140</v>
      </c>
      <c r="H239" s="80">
        <f>VLOOKUP(D239,'Bu Erta'!$C$2:$F$66,4,0)*F239</f>
        <v>210</v>
      </c>
    </row>
    <row r="240" spans="1:8" x14ac:dyDescent="0.35">
      <c r="B240" t="s">
        <v>83</v>
      </c>
      <c r="D240" t="s">
        <v>41</v>
      </c>
      <c r="E240" s="80">
        <f>VLOOKUP(D240,'Bu Erta'!$C$2:$E$66,3,0)</f>
        <v>1500</v>
      </c>
      <c r="F240">
        <v>0.35</v>
      </c>
      <c r="G240" s="80">
        <f t="shared" si="6"/>
        <v>525</v>
      </c>
      <c r="H240" s="80">
        <f>VLOOKUP(D240,'Bu Erta'!$C$2:$F$66,4,0)*F240</f>
        <v>700</v>
      </c>
    </row>
    <row r="241" spans="1:8" x14ac:dyDescent="0.35">
      <c r="B241" t="s">
        <v>83</v>
      </c>
      <c r="D241" t="s">
        <v>77</v>
      </c>
      <c r="E241" s="80">
        <f>VLOOKUP(D241,'Bu Erta'!$C$2:$E$66,3,0)</f>
        <v>700</v>
      </c>
      <c r="F241">
        <v>1.1000000000000001</v>
      </c>
      <c r="G241" s="80">
        <f t="shared" si="6"/>
        <v>770.00000000000011</v>
      </c>
      <c r="H241" s="80">
        <f>VLOOKUP(D241,'Bu Erta'!$C$2:$F$66,4,0)*F241</f>
        <v>880.00000000000011</v>
      </c>
    </row>
    <row r="242" spans="1:8" x14ac:dyDescent="0.35">
      <c r="A242" s="5">
        <v>41</v>
      </c>
      <c r="B242" t="s">
        <v>217</v>
      </c>
      <c r="C242" s="5">
        <v>1</v>
      </c>
      <c r="D242" t="s">
        <v>22</v>
      </c>
      <c r="E242" s="80">
        <f>VLOOKUP(D242,'Bu Erta'!$C$2:$E$66,3,0)</f>
        <v>2500</v>
      </c>
      <c r="F242">
        <v>1.4</v>
      </c>
      <c r="G242" s="80">
        <f t="shared" si="6"/>
        <v>3500</v>
      </c>
      <c r="H242" s="80">
        <f>VLOOKUP(D242,'Bu Erta'!$C$2:$F$66,4,0)*F242</f>
        <v>4200</v>
      </c>
    </row>
    <row r="243" spans="1:8" x14ac:dyDescent="0.35">
      <c r="B243" t="s">
        <v>217</v>
      </c>
      <c r="D243" t="s">
        <v>31</v>
      </c>
      <c r="E243" s="80">
        <f>VLOOKUP(D243,'Bu Erta'!$C$2:$E$66,3,0)</f>
        <v>1000</v>
      </c>
      <c r="F243">
        <v>1.65</v>
      </c>
      <c r="G243" s="80">
        <f t="shared" si="6"/>
        <v>1650</v>
      </c>
      <c r="H243" s="80">
        <f>VLOOKUP(D243,'Bu Erta'!$C$2:$F$66,4,0)*F243</f>
        <v>1815</v>
      </c>
    </row>
    <row r="244" spans="1:8" x14ac:dyDescent="0.35">
      <c r="B244" t="s">
        <v>217</v>
      </c>
      <c r="D244" t="s">
        <v>23</v>
      </c>
      <c r="E244" s="80">
        <f>VLOOKUP(D244,'Bu Erta'!$C$2:$E$66,3,0)</f>
        <v>300</v>
      </c>
      <c r="F244">
        <v>11.05</v>
      </c>
      <c r="G244" s="80">
        <f t="shared" si="6"/>
        <v>3315</v>
      </c>
      <c r="H244" s="80">
        <f>VLOOKUP(D244,'Bu Erta'!$C$2:$F$66,4,0)*F244</f>
        <v>4420</v>
      </c>
    </row>
    <row r="245" spans="1:8" x14ac:dyDescent="0.35">
      <c r="B245" t="s">
        <v>217</v>
      </c>
      <c r="D245" t="s">
        <v>27</v>
      </c>
      <c r="E245" s="80">
        <f>VLOOKUP(D245,'Bu Erta'!$C$2:$E$66,3,0)</f>
        <v>2800</v>
      </c>
      <c r="F245">
        <v>4.3</v>
      </c>
      <c r="G245" s="80">
        <f t="shared" si="6"/>
        <v>12040</v>
      </c>
      <c r="H245" s="80">
        <f>VLOOKUP(D245,'Bu Erta'!$C$2:$F$66,4,0)*F245</f>
        <v>13330</v>
      </c>
    </row>
    <row r="246" spans="1:8" x14ac:dyDescent="0.35">
      <c r="B246" t="s">
        <v>217</v>
      </c>
      <c r="D246" t="s">
        <v>19</v>
      </c>
      <c r="E246" s="80">
        <f>VLOOKUP(D246,'Bu Erta'!$C$2:$E$66,3,0)</f>
        <v>200</v>
      </c>
      <c r="F246">
        <v>6.25</v>
      </c>
      <c r="G246" s="80">
        <f t="shared" si="6"/>
        <v>1250</v>
      </c>
      <c r="H246" s="80">
        <f>VLOOKUP(D246,'Bu Erta'!$C$2:$F$66,4,0)*F246</f>
        <v>1875</v>
      </c>
    </row>
    <row r="247" spans="1:8" x14ac:dyDescent="0.35">
      <c r="B247" t="s">
        <v>217</v>
      </c>
      <c r="D247" t="s">
        <v>41</v>
      </c>
      <c r="E247" s="80">
        <f>VLOOKUP(D247,'Bu Erta'!$C$2:$E$66,3,0)</f>
        <v>1500</v>
      </c>
      <c r="F247">
        <v>1.6</v>
      </c>
      <c r="G247" s="80">
        <f t="shared" si="6"/>
        <v>2400</v>
      </c>
      <c r="H247" s="80">
        <f>VLOOKUP(D247,'Bu Erta'!$C$2:$F$66,4,0)*F247</f>
        <v>3200</v>
      </c>
    </row>
    <row r="248" spans="1:8" x14ac:dyDescent="0.35">
      <c r="A248" s="5">
        <v>42</v>
      </c>
      <c r="B248" t="s">
        <v>259</v>
      </c>
      <c r="C248" s="5">
        <v>3</v>
      </c>
      <c r="D248" t="s">
        <v>42</v>
      </c>
      <c r="E248" s="80">
        <f>VLOOKUP(D248,'Bu Erta'!$C$2:$E$66,3,0)</f>
        <v>1000</v>
      </c>
      <c r="F248">
        <v>0.5</v>
      </c>
      <c r="G248" s="80">
        <f t="shared" si="6"/>
        <v>500</v>
      </c>
      <c r="H248" s="80">
        <f>VLOOKUP(D248,'Bu Erta'!$C$2:$F$66,4,0)*F248</f>
        <v>600</v>
      </c>
    </row>
    <row r="249" spans="1:8" x14ac:dyDescent="0.35">
      <c r="B249" t="s">
        <v>259</v>
      </c>
      <c r="D249" t="s">
        <v>19</v>
      </c>
      <c r="E249" s="80">
        <f>VLOOKUP(D249,'Bu Erta'!$C$2:$E$66,3,0)</f>
        <v>200</v>
      </c>
      <c r="F249">
        <v>2</v>
      </c>
      <c r="G249" s="80">
        <f t="shared" si="6"/>
        <v>400</v>
      </c>
      <c r="H249" s="80">
        <f>VLOOKUP(D249,'Bu Erta'!$C$2:$F$66,4,0)*F249</f>
        <v>600</v>
      </c>
    </row>
    <row r="250" spans="1:8" x14ac:dyDescent="0.35">
      <c r="B250" t="s">
        <v>259</v>
      </c>
      <c r="D250" t="s">
        <v>41</v>
      </c>
      <c r="E250" s="80">
        <f>VLOOKUP(D250,'Bu Erta'!$C$2:$E$66,3,0)</f>
        <v>1500</v>
      </c>
      <c r="F250">
        <v>0.4</v>
      </c>
      <c r="G250" s="80">
        <f t="shared" si="6"/>
        <v>600</v>
      </c>
      <c r="H250" s="80">
        <f>VLOOKUP(D250,'Bu Erta'!$C$2:$F$66,4,0)*F250</f>
        <v>800</v>
      </c>
    </row>
    <row r="251" spans="1:8" x14ac:dyDescent="0.35">
      <c r="B251" t="s">
        <v>259</v>
      </c>
      <c r="D251" t="s">
        <v>34</v>
      </c>
      <c r="E251" s="80">
        <f>VLOOKUP(D251,'Bu Erta'!$C$2:$E$66,3,0)</f>
        <v>3500</v>
      </c>
      <c r="F251">
        <v>0.1</v>
      </c>
      <c r="G251" s="80">
        <f t="shared" si="6"/>
        <v>350</v>
      </c>
      <c r="H251" s="80">
        <f>VLOOKUP(D251,'Bu Erta'!$C$2:$F$66,4,0)*F251</f>
        <v>360</v>
      </c>
    </row>
    <row r="252" spans="1:8" x14ac:dyDescent="0.35">
      <c r="B252" t="s">
        <v>259</v>
      </c>
      <c r="D252" t="s">
        <v>7</v>
      </c>
      <c r="E252" s="80">
        <f>VLOOKUP(D252,'Bu Erta'!$C$2:$E$66,3,0)</f>
        <v>1400</v>
      </c>
      <c r="F252">
        <v>0.8</v>
      </c>
      <c r="G252" s="80">
        <f t="shared" si="6"/>
        <v>1120</v>
      </c>
      <c r="H252" s="80">
        <f>VLOOKUP(D252,'Bu Erta'!$C$2:$F$66,4,0)*F252</f>
        <v>1280</v>
      </c>
    </row>
    <row r="253" spans="1:8" x14ac:dyDescent="0.35">
      <c r="B253" t="s">
        <v>259</v>
      </c>
      <c r="D253" t="s">
        <v>27</v>
      </c>
      <c r="E253" s="80">
        <f>VLOOKUP(D253,'Bu Erta'!$C$2:$E$66,3,0)</f>
        <v>2800</v>
      </c>
      <c r="F253">
        <v>1.85</v>
      </c>
      <c r="G253" s="80">
        <f t="shared" si="6"/>
        <v>5180</v>
      </c>
      <c r="H253" s="80">
        <f>VLOOKUP(D253,'Bu Erta'!$C$2:$F$66,4,0)*F253</f>
        <v>5735</v>
      </c>
    </row>
    <row r="254" spans="1:8" x14ac:dyDescent="0.35">
      <c r="A254" s="5">
        <v>43</v>
      </c>
      <c r="B254" t="s">
        <v>218</v>
      </c>
      <c r="C254" s="5">
        <v>1</v>
      </c>
      <c r="D254" t="s">
        <v>42</v>
      </c>
      <c r="E254" s="80">
        <f>VLOOKUP(D254,'Bu Erta'!$C$2:$E$66,3,0)</f>
        <v>1000</v>
      </c>
      <c r="F254">
        <v>8.75</v>
      </c>
      <c r="G254" s="80">
        <f t="shared" si="6"/>
        <v>8750</v>
      </c>
      <c r="H254" s="80">
        <f>VLOOKUP(D254,'Bu Erta'!$C$2:$F$66,4,0)*F254</f>
        <v>10500</v>
      </c>
    </row>
    <row r="255" spans="1:8" x14ac:dyDescent="0.35">
      <c r="B255" t="s">
        <v>218</v>
      </c>
      <c r="D255" t="s">
        <v>31</v>
      </c>
      <c r="E255" s="80">
        <f>VLOOKUP(D255,'Bu Erta'!$C$2:$E$66,3,0)</f>
        <v>1000</v>
      </c>
      <c r="F255">
        <v>1.4</v>
      </c>
      <c r="G255" s="80">
        <f t="shared" si="6"/>
        <v>1400</v>
      </c>
      <c r="H255" s="80">
        <f>VLOOKUP(D255,'Bu Erta'!$C$2:$F$66,4,0)*F255</f>
        <v>1540</v>
      </c>
    </row>
    <row r="256" spans="1:8" x14ac:dyDescent="0.35">
      <c r="B256" t="s">
        <v>218</v>
      </c>
      <c r="D256" t="s">
        <v>25</v>
      </c>
      <c r="E256" s="80">
        <f>VLOOKUP(D256,'Bu Erta'!$C$2:$E$66,3,0)</f>
        <v>1600</v>
      </c>
      <c r="F256">
        <v>0.55000000000000004</v>
      </c>
      <c r="G256" s="80">
        <f t="shared" si="6"/>
        <v>880.00000000000011</v>
      </c>
      <c r="H256" s="80">
        <f>VLOOKUP(D256,'Bu Erta'!$C$2:$F$66,4,0)*F256</f>
        <v>935.00000000000011</v>
      </c>
    </row>
    <row r="257" spans="1:8" x14ac:dyDescent="0.35">
      <c r="B257" t="s">
        <v>218</v>
      </c>
      <c r="D257" t="s">
        <v>7</v>
      </c>
      <c r="E257" s="80">
        <f>VLOOKUP(D257,'Bu Erta'!$C$2:$E$66,3,0)</f>
        <v>1400</v>
      </c>
      <c r="F257">
        <v>0.55000000000000004</v>
      </c>
      <c r="G257" s="80">
        <f t="shared" si="6"/>
        <v>770.00000000000011</v>
      </c>
      <c r="H257" s="80">
        <f>VLOOKUP(D257,'Bu Erta'!$C$2:$F$66,4,0)*F257</f>
        <v>880.00000000000011</v>
      </c>
    </row>
    <row r="258" spans="1:8" x14ac:dyDescent="0.35">
      <c r="B258" t="s">
        <v>218</v>
      </c>
      <c r="D258" t="s">
        <v>19</v>
      </c>
      <c r="E258" s="80">
        <f>VLOOKUP(D258,'Bu Erta'!$C$2:$E$66,3,0)</f>
        <v>200</v>
      </c>
      <c r="F258">
        <v>0.6</v>
      </c>
      <c r="G258" s="80">
        <f t="shared" si="6"/>
        <v>120</v>
      </c>
      <c r="H258" s="80">
        <f>VLOOKUP(D258,'Bu Erta'!$C$2:$F$66,4,0)*F258</f>
        <v>180</v>
      </c>
    </row>
    <row r="259" spans="1:8" x14ac:dyDescent="0.35">
      <c r="B259" t="s">
        <v>218</v>
      </c>
      <c r="D259" t="s">
        <v>69</v>
      </c>
      <c r="E259" s="80">
        <f>VLOOKUP(D259,'Bu Erta'!$C$2:$E$66,3,0)</f>
        <v>2500</v>
      </c>
      <c r="F259">
        <v>0.25</v>
      </c>
      <c r="G259" s="80">
        <f t="shared" si="6"/>
        <v>625</v>
      </c>
      <c r="H259" s="80">
        <f>VLOOKUP(D259,'Bu Erta'!$C$2:$F$66,4,0)*F259</f>
        <v>750</v>
      </c>
    </row>
    <row r="260" spans="1:8" x14ac:dyDescent="0.35">
      <c r="B260" t="s">
        <v>218</v>
      </c>
      <c r="D260" t="s">
        <v>41</v>
      </c>
      <c r="E260" s="80">
        <f>VLOOKUP(D260,'Bu Erta'!$C$2:$E$66,3,0)</f>
        <v>1500</v>
      </c>
      <c r="F260">
        <v>0.1</v>
      </c>
      <c r="G260" s="80">
        <f t="shared" ref="G260:G284" si="7">E260*F260</f>
        <v>150</v>
      </c>
      <c r="H260" s="80">
        <f>VLOOKUP(D260,'Bu Erta'!$C$2:$F$66,4,0)*F260</f>
        <v>200</v>
      </c>
    </row>
    <row r="261" spans="1:8" x14ac:dyDescent="0.35">
      <c r="A261" s="5">
        <v>44</v>
      </c>
      <c r="B261" t="s">
        <v>139</v>
      </c>
      <c r="C261" s="5">
        <v>1</v>
      </c>
      <c r="D261" t="s">
        <v>25</v>
      </c>
      <c r="E261" s="80">
        <f>VLOOKUP(D261,'Bu Erta'!$C$2:$E$66,3,0)</f>
        <v>1600</v>
      </c>
      <c r="F261">
        <v>1</v>
      </c>
      <c r="G261" s="80">
        <f t="shared" si="7"/>
        <v>1600</v>
      </c>
      <c r="H261" s="80">
        <f>VLOOKUP(D261,'Bu Erta'!$C$2:$F$66,4,0)*F261</f>
        <v>1700</v>
      </c>
    </row>
    <row r="262" spans="1:8" x14ac:dyDescent="0.35">
      <c r="B262" t="s">
        <v>139</v>
      </c>
      <c r="D262" t="s">
        <v>19</v>
      </c>
      <c r="E262" s="80">
        <f>VLOOKUP(D262,'Bu Erta'!$C$2:$E$66,3,0)</f>
        <v>200</v>
      </c>
      <c r="F262">
        <v>3.5</v>
      </c>
      <c r="G262" s="80">
        <f t="shared" si="7"/>
        <v>700</v>
      </c>
      <c r="H262" s="80">
        <f>VLOOKUP(D262,'Bu Erta'!$C$2:$F$66,4,0)*F262</f>
        <v>1050</v>
      </c>
    </row>
    <row r="263" spans="1:8" x14ac:dyDescent="0.35">
      <c r="A263" s="5">
        <v>45</v>
      </c>
      <c r="B263" t="s">
        <v>198</v>
      </c>
      <c r="C263" s="5" t="s">
        <v>239</v>
      </c>
      <c r="D263" t="s">
        <v>7</v>
      </c>
      <c r="E263" s="80">
        <f>VLOOKUP(D263,'Bu Erta'!$C$2:$E$66,3,0)</f>
        <v>1400</v>
      </c>
      <c r="F263">
        <v>3.75</v>
      </c>
      <c r="G263" s="80">
        <f t="shared" si="7"/>
        <v>5250</v>
      </c>
      <c r="H263" s="80">
        <f>VLOOKUP(D263,'Bu Erta'!$C$2:$F$66,4,0)*F263</f>
        <v>6000</v>
      </c>
    </row>
    <row r="264" spans="1:8" x14ac:dyDescent="0.35">
      <c r="B264" t="s">
        <v>198</v>
      </c>
      <c r="D264" t="s">
        <v>42</v>
      </c>
      <c r="E264" s="80">
        <f>VLOOKUP(D264,'Bu Erta'!$C$2:$E$66,3,0)</f>
        <v>1000</v>
      </c>
      <c r="F264">
        <v>1</v>
      </c>
      <c r="G264" s="80">
        <f t="shared" si="7"/>
        <v>1000</v>
      </c>
      <c r="H264" s="80">
        <f>VLOOKUP(D264,'Bu Erta'!$C$2:$F$66,4,0)*F264</f>
        <v>1200</v>
      </c>
    </row>
    <row r="265" spans="1:8" x14ac:dyDescent="0.35">
      <c r="B265" t="s">
        <v>198</v>
      </c>
      <c r="D265" t="s">
        <v>23</v>
      </c>
      <c r="E265" s="80">
        <f>VLOOKUP(D265,'Bu Erta'!$C$2:$E$66,3,0)</f>
        <v>300</v>
      </c>
      <c r="F265">
        <v>0.2</v>
      </c>
      <c r="G265" s="80">
        <f t="shared" si="7"/>
        <v>60</v>
      </c>
      <c r="H265" s="80">
        <f>VLOOKUP(D265,'Bu Erta'!$C$2:$F$66,4,0)*F265</f>
        <v>80</v>
      </c>
    </row>
    <row r="266" spans="1:8" x14ac:dyDescent="0.35">
      <c r="B266" t="s">
        <v>198</v>
      </c>
      <c r="D266" t="s">
        <v>31</v>
      </c>
      <c r="E266" s="80">
        <f>VLOOKUP(D266,'Bu Erta'!$C$2:$E$66,3,0)</f>
        <v>1000</v>
      </c>
      <c r="F266">
        <v>1.8</v>
      </c>
      <c r="G266" s="80">
        <f t="shared" si="7"/>
        <v>1800</v>
      </c>
      <c r="H266" s="80">
        <f>VLOOKUP(D266,'Bu Erta'!$C$2:$F$66,4,0)*F266</f>
        <v>1980</v>
      </c>
    </row>
    <row r="267" spans="1:8" x14ac:dyDescent="0.35">
      <c r="B267" t="s">
        <v>198</v>
      </c>
      <c r="D267" t="s">
        <v>25</v>
      </c>
      <c r="E267" s="80">
        <f>VLOOKUP(D267,'Bu Erta'!$C$2:$E$66,3,0)</f>
        <v>1600</v>
      </c>
      <c r="F267">
        <v>0.35</v>
      </c>
      <c r="G267" s="80">
        <f t="shared" si="7"/>
        <v>560</v>
      </c>
      <c r="H267" s="80">
        <f>VLOOKUP(D267,'Bu Erta'!$C$2:$F$66,4,0)*F267</f>
        <v>595</v>
      </c>
    </row>
    <row r="268" spans="1:8" x14ac:dyDescent="0.35">
      <c r="A268" s="5">
        <v>46</v>
      </c>
      <c r="B268" t="s">
        <v>76</v>
      </c>
      <c r="C268" s="5">
        <v>3</v>
      </c>
      <c r="D268" t="s">
        <v>24</v>
      </c>
      <c r="E268" s="80">
        <f>VLOOKUP(D268,'Bu Erta'!$C$2:$E$66,3,0)</f>
        <v>150</v>
      </c>
      <c r="F268">
        <v>1.45</v>
      </c>
      <c r="G268" s="80">
        <f t="shared" si="7"/>
        <v>217.5</v>
      </c>
      <c r="H268" s="80">
        <f>VLOOKUP(D268,'Bu Erta'!$C$2:$F$66,4,0)*F268</f>
        <v>290</v>
      </c>
    </row>
    <row r="269" spans="1:8" x14ac:dyDescent="0.35">
      <c r="B269" t="s">
        <v>76</v>
      </c>
      <c r="D269" t="s">
        <v>7</v>
      </c>
      <c r="E269" s="80">
        <f>VLOOKUP(D269,'Bu Erta'!$C$2:$E$66,3,0)</f>
        <v>1400</v>
      </c>
      <c r="F269">
        <v>2.95</v>
      </c>
      <c r="G269" s="80">
        <f t="shared" si="7"/>
        <v>4130</v>
      </c>
      <c r="H269" s="80">
        <f>VLOOKUP(D269,'Bu Erta'!$C$2:$F$66,4,0)*F269</f>
        <v>4720</v>
      </c>
    </row>
    <row r="270" spans="1:8" x14ac:dyDescent="0.35">
      <c r="B270" t="s">
        <v>76</v>
      </c>
      <c r="D270" t="s">
        <v>215</v>
      </c>
      <c r="E270" s="80">
        <f>VLOOKUP(D270,'Bu Erta'!$C$2:$E$66,3,0)</f>
        <v>6000</v>
      </c>
      <c r="F270">
        <v>2.1</v>
      </c>
      <c r="G270" s="80">
        <f t="shared" si="7"/>
        <v>12600</v>
      </c>
      <c r="H270" s="80">
        <f>VLOOKUP(D270,'Bu Erta'!$C$2:$F$66,4,0)*F270</f>
        <v>13650</v>
      </c>
    </row>
    <row r="271" spans="1:8" x14ac:dyDescent="0.35">
      <c r="B271" t="s">
        <v>76</v>
      </c>
      <c r="D271" t="s">
        <v>41</v>
      </c>
      <c r="E271" s="80">
        <f>VLOOKUP(D271,'Bu Erta'!$C$2:$E$66,3,0)</f>
        <v>1500</v>
      </c>
      <c r="F271">
        <v>1.85</v>
      </c>
      <c r="G271" s="80">
        <f t="shared" si="7"/>
        <v>2775</v>
      </c>
      <c r="H271" s="80">
        <f>VLOOKUP(D271,'Bu Erta'!$C$2:$F$66,4,0)*F271</f>
        <v>3700</v>
      </c>
    </row>
    <row r="272" spans="1:8" x14ac:dyDescent="0.35">
      <c r="B272" t="s">
        <v>76</v>
      </c>
      <c r="D272" t="s">
        <v>42</v>
      </c>
      <c r="E272" s="80">
        <f>VLOOKUP(D272,'Bu Erta'!$C$2:$E$66,3,0)</f>
        <v>1000</v>
      </c>
      <c r="F272">
        <v>3.15</v>
      </c>
      <c r="G272" s="80">
        <f t="shared" si="7"/>
        <v>3150</v>
      </c>
      <c r="H272" s="80">
        <f>VLOOKUP(D272,'Bu Erta'!$C$2:$F$66,4,0)*F272</f>
        <v>3780</v>
      </c>
    </row>
    <row r="273" spans="1:8" x14ac:dyDescent="0.35">
      <c r="B273" t="s">
        <v>76</v>
      </c>
      <c r="D273" t="s">
        <v>27</v>
      </c>
      <c r="E273" s="80">
        <f>VLOOKUP(D273,'Bu Erta'!$C$2:$E$66,3,0)</f>
        <v>2800</v>
      </c>
      <c r="F273">
        <v>3.05</v>
      </c>
      <c r="G273" s="80">
        <f t="shared" si="7"/>
        <v>8540</v>
      </c>
      <c r="H273" s="80">
        <f>VLOOKUP(D273,'Bu Erta'!$C$2:$F$66,4,0)*F273</f>
        <v>9455</v>
      </c>
    </row>
    <row r="274" spans="1:8" x14ac:dyDescent="0.35">
      <c r="B274" t="s">
        <v>76</v>
      </c>
      <c r="D274" t="s">
        <v>19</v>
      </c>
      <c r="E274" s="80">
        <f>VLOOKUP(D274,'Bu Erta'!$C$2:$E$66,3,0)</f>
        <v>200</v>
      </c>
      <c r="F274">
        <v>1.1499999999999999</v>
      </c>
      <c r="G274" s="80">
        <f t="shared" si="7"/>
        <v>229.99999999999997</v>
      </c>
      <c r="H274" s="80">
        <f>VLOOKUP(D274,'Bu Erta'!$C$2:$F$66,4,0)*F274</f>
        <v>345</v>
      </c>
    </row>
    <row r="275" spans="1:8" x14ac:dyDescent="0.35">
      <c r="B275" t="s">
        <v>76</v>
      </c>
      <c r="D275" t="s">
        <v>34</v>
      </c>
      <c r="E275" s="80">
        <f>VLOOKUP(D275,'Bu Erta'!$C$2:$E$66,3,0)</f>
        <v>3500</v>
      </c>
      <c r="F275">
        <v>0.2</v>
      </c>
      <c r="G275" s="80">
        <f t="shared" si="7"/>
        <v>700</v>
      </c>
      <c r="H275" s="80">
        <f>VLOOKUP(D275,'Bu Erta'!$C$2:$F$66,4,0)*F275</f>
        <v>720</v>
      </c>
    </row>
    <row r="276" spans="1:8" x14ac:dyDescent="0.35">
      <c r="B276" t="s">
        <v>76</v>
      </c>
      <c r="D276" t="s">
        <v>23</v>
      </c>
      <c r="E276" s="80">
        <f>VLOOKUP(D276,'Bu Erta'!$C$2:$E$66,3,0)</f>
        <v>300</v>
      </c>
      <c r="F276">
        <v>1.1000000000000001</v>
      </c>
      <c r="G276" s="80">
        <f t="shared" ref="G276" si="8">E276*F276</f>
        <v>330</v>
      </c>
      <c r="H276" s="80">
        <f>VLOOKUP(D276,'Bu Erta'!$C$2:$F$66,4,0)*F276</f>
        <v>440.00000000000006</v>
      </c>
    </row>
    <row r="277" spans="1:8" x14ac:dyDescent="0.35">
      <c r="B277" t="s">
        <v>76</v>
      </c>
      <c r="D277" t="s">
        <v>37</v>
      </c>
      <c r="E277" s="80">
        <f>VLOOKUP(D277,'Bu Erta'!$C$2:$E$66,3,0)</f>
        <v>1600</v>
      </c>
      <c r="F277">
        <v>0.15</v>
      </c>
      <c r="G277" s="80">
        <f t="shared" si="7"/>
        <v>240</v>
      </c>
      <c r="H277" s="80">
        <f>VLOOKUP(D277,'Bu Erta'!$C$2:$F$66,4,0)*F277</f>
        <v>300</v>
      </c>
    </row>
    <row r="278" spans="1:8" x14ac:dyDescent="0.35">
      <c r="A278" s="5">
        <v>47</v>
      </c>
      <c r="B278" t="s">
        <v>140</v>
      </c>
      <c r="C278" s="5">
        <v>4</v>
      </c>
      <c r="D278" t="s">
        <v>41</v>
      </c>
      <c r="E278" s="80">
        <f>VLOOKUP(D278,'Bu Erta'!$C$2:$E$66,3,0)</f>
        <v>1500</v>
      </c>
      <c r="F278">
        <v>0.1</v>
      </c>
      <c r="G278" s="80">
        <f t="shared" si="7"/>
        <v>150</v>
      </c>
      <c r="H278" s="80">
        <f>VLOOKUP(D278,'Bu Erta'!$C$2:$F$66,4,0)*F278</f>
        <v>200</v>
      </c>
    </row>
    <row r="279" spans="1:8" x14ac:dyDescent="0.35">
      <c r="B279" t="s">
        <v>140</v>
      </c>
      <c r="D279" t="s">
        <v>19</v>
      </c>
      <c r="E279" s="80">
        <f>VLOOKUP(D279,'Bu Erta'!$C$2:$E$66,3,0)</f>
        <v>200</v>
      </c>
      <c r="F279">
        <v>0.1</v>
      </c>
      <c r="G279" s="80">
        <f t="shared" si="7"/>
        <v>20</v>
      </c>
      <c r="H279" s="80">
        <f>VLOOKUP(D279,'Bu Erta'!$C$2:$F$66,4,0)*F279</f>
        <v>30</v>
      </c>
    </row>
    <row r="280" spans="1:8" x14ac:dyDescent="0.35">
      <c r="B280" t="s">
        <v>140</v>
      </c>
      <c r="D280" t="s">
        <v>27</v>
      </c>
      <c r="E280" s="80">
        <f>VLOOKUP(D280,'Bu Erta'!$C$2:$E$66,3,0)</f>
        <v>2800</v>
      </c>
      <c r="F280">
        <v>0.7</v>
      </c>
      <c r="G280" s="80">
        <f t="shared" si="7"/>
        <v>1959.9999999999998</v>
      </c>
      <c r="H280" s="80">
        <f>VLOOKUP(D280,'Bu Erta'!$C$2:$F$66,4,0)*F280</f>
        <v>2170</v>
      </c>
    </row>
    <row r="281" spans="1:8" x14ac:dyDescent="0.35">
      <c r="B281" t="s">
        <v>140</v>
      </c>
      <c r="D281" t="s">
        <v>34</v>
      </c>
      <c r="E281" s="80">
        <f>VLOOKUP(D281,'Bu Erta'!$C$2:$E$66,3,0)</f>
        <v>3500</v>
      </c>
      <c r="F281">
        <v>0.05</v>
      </c>
      <c r="G281" s="80">
        <f t="shared" si="7"/>
        <v>175</v>
      </c>
      <c r="H281" s="80">
        <f>VLOOKUP(D281,'Bu Erta'!$C$2:$F$66,4,0)*F281</f>
        <v>180</v>
      </c>
    </row>
    <row r="282" spans="1:8" x14ac:dyDescent="0.35">
      <c r="B282" t="s">
        <v>140</v>
      </c>
      <c r="D282" t="s">
        <v>7</v>
      </c>
      <c r="E282" s="80">
        <f>VLOOKUP(D282,'Bu Erta'!$C$2:$E$66,3,0)</f>
        <v>1400</v>
      </c>
      <c r="F282">
        <v>0.3</v>
      </c>
      <c r="G282" s="80">
        <f t="shared" si="7"/>
        <v>420</v>
      </c>
      <c r="H282" s="80">
        <f>VLOOKUP(D282,'Bu Erta'!$C$2:$F$66,4,0)*F282</f>
        <v>480</v>
      </c>
    </row>
    <row r="283" spans="1:8" x14ac:dyDescent="0.35">
      <c r="B283" t="s">
        <v>140</v>
      </c>
      <c r="D283" t="s">
        <v>25</v>
      </c>
      <c r="E283" s="80">
        <f>VLOOKUP(D283,'Bu Erta'!$C$2:$E$66,3,0)</f>
        <v>1600</v>
      </c>
      <c r="F283">
        <v>0.6</v>
      </c>
      <c r="G283" s="80">
        <f t="shared" si="7"/>
        <v>960</v>
      </c>
      <c r="H283" s="80">
        <f>VLOOKUP(D283,'Bu Erta'!$C$2:$F$66,4,0)*F283</f>
        <v>1020</v>
      </c>
    </row>
    <row r="284" spans="1:8" x14ac:dyDescent="0.35">
      <c r="B284" t="s">
        <v>140</v>
      </c>
      <c r="D284" t="s">
        <v>32</v>
      </c>
      <c r="E284" s="80">
        <f>VLOOKUP(D284,'Bu Erta'!$C$2:$E$66,3,0)</f>
        <v>4000</v>
      </c>
      <c r="F284">
        <v>1</v>
      </c>
      <c r="G284" s="80">
        <f t="shared" si="7"/>
        <v>4000</v>
      </c>
      <c r="H284" s="80">
        <f>VLOOKUP(D284,'Bu Erta'!$C$2:$F$66,4,0)*F284</f>
        <v>5000</v>
      </c>
    </row>
    <row r="285" spans="1:8" x14ac:dyDescent="0.35">
      <c r="B285" t="s">
        <v>140</v>
      </c>
      <c r="D285" t="s">
        <v>42</v>
      </c>
      <c r="E285" s="80">
        <f>VLOOKUP(D285,'Bu Erta'!$C$2:$E$66,3,0)</f>
        <v>1000</v>
      </c>
      <c r="F285">
        <v>3.3</v>
      </c>
      <c r="G285" s="80">
        <f t="shared" ref="G285:G349" si="9">E285*F285</f>
        <v>3300</v>
      </c>
      <c r="H285" s="80">
        <f>VLOOKUP(D285,'Bu Erta'!$C$2:$F$66,4,0)*F285</f>
        <v>3960</v>
      </c>
    </row>
    <row r="286" spans="1:8" x14ac:dyDescent="0.35">
      <c r="B286" t="s">
        <v>140</v>
      </c>
      <c r="D286" t="s">
        <v>22</v>
      </c>
      <c r="E286" s="80">
        <f>VLOOKUP(D286,'Bu Erta'!$C$2:$E$66,3,0)</f>
        <v>2500</v>
      </c>
      <c r="F286">
        <v>9.9</v>
      </c>
      <c r="G286" s="80">
        <f t="shared" si="9"/>
        <v>24750</v>
      </c>
      <c r="H286" s="80">
        <f>VLOOKUP(D286,'Bu Erta'!$C$2:$F$66,4,0)*F286</f>
        <v>29700</v>
      </c>
    </row>
    <row r="287" spans="1:8" x14ac:dyDescent="0.35">
      <c r="A287" s="5">
        <v>48</v>
      </c>
      <c r="B287" t="s">
        <v>182</v>
      </c>
      <c r="C287" s="5">
        <v>4</v>
      </c>
      <c r="D287" t="s">
        <v>42</v>
      </c>
      <c r="E287" s="80">
        <f>VLOOKUP(D287,'Bu Erta'!$C$2:$E$66,3,0)</f>
        <v>1000</v>
      </c>
      <c r="F287">
        <v>3.2</v>
      </c>
      <c r="G287" s="80">
        <f t="shared" si="9"/>
        <v>3200</v>
      </c>
      <c r="H287" s="80">
        <f>VLOOKUP(D287,'Bu Erta'!$C$2:$F$66,4,0)*F287</f>
        <v>3840</v>
      </c>
    </row>
    <row r="288" spans="1:8" x14ac:dyDescent="0.35">
      <c r="B288" t="s">
        <v>182</v>
      </c>
      <c r="D288" t="s">
        <v>31</v>
      </c>
      <c r="E288" s="80">
        <f>VLOOKUP(D288,'Bu Erta'!$C$2:$E$66,3,0)</f>
        <v>1000</v>
      </c>
      <c r="F288">
        <v>0.75</v>
      </c>
      <c r="G288" s="80">
        <f t="shared" si="9"/>
        <v>750</v>
      </c>
      <c r="H288" s="80">
        <f>VLOOKUP(D288,'Bu Erta'!$C$2:$F$66,4,0)*F288</f>
        <v>825</v>
      </c>
    </row>
    <row r="289" spans="1:8" x14ac:dyDescent="0.35">
      <c r="B289" t="s">
        <v>182</v>
      </c>
      <c r="D289" t="s">
        <v>25</v>
      </c>
      <c r="E289" s="80">
        <f>VLOOKUP(D289,'Bu Erta'!$C$2:$E$66,3,0)</f>
        <v>1600</v>
      </c>
      <c r="F289">
        <v>0.55000000000000004</v>
      </c>
      <c r="G289" s="80">
        <f t="shared" si="9"/>
        <v>880.00000000000011</v>
      </c>
      <c r="H289" s="80">
        <f>VLOOKUP(D289,'Bu Erta'!$C$2:$F$66,4,0)*F289</f>
        <v>935.00000000000011</v>
      </c>
    </row>
    <row r="290" spans="1:8" x14ac:dyDescent="0.35">
      <c r="A290" s="5">
        <v>49</v>
      </c>
      <c r="B290" t="s">
        <v>132</v>
      </c>
      <c r="C290" s="5">
        <v>4</v>
      </c>
      <c r="D290" t="s">
        <v>19</v>
      </c>
      <c r="E290" s="80">
        <f>VLOOKUP(D290,'Bu Erta'!$C$2:$E$66,3,0)</f>
        <v>200</v>
      </c>
      <c r="F290">
        <v>0.5</v>
      </c>
      <c r="G290" s="80">
        <f t="shared" si="9"/>
        <v>100</v>
      </c>
      <c r="H290" s="80">
        <f>VLOOKUP(D290,'Bu Erta'!$C$2:$F$66,4,0)*F290</f>
        <v>150</v>
      </c>
    </row>
    <row r="291" spans="1:8" x14ac:dyDescent="0.35">
      <c r="B291" t="s">
        <v>132</v>
      </c>
      <c r="D291" t="s">
        <v>23</v>
      </c>
      <c r="E291" s="80">
        <f>VLOOKUP(D291,'Bu Erta'!$C$2:$E$66,3,0)</f>
        <v>300</v>
      </c>
      <c r="F291">
        <v>0.15</v>
      </c>
      <c r="G291" s="80">
        <f t="shared" si="9"/>
        <v>45</v>
      </c>
      <c r="H291" s="80">
        <f>VLOOKUP(D291,'Bu Erta'!$C$2:$F$66,4,0)*F291</f>
        <v>60</v>
      </c>
    </row>
    <row r="292" spans="1:8" x14ac:dyDescent="0.35">
      <c r="B292" t="s">
        <v>132</v>
      </c>
      <c r="D292" t="s">
        <v>27</v>
      </c>
      <c r="E292" s="80">
        <f>VLOOKUP(D292,'Bu Erta'!$C$2:$E$66,3,0)</f>
        <v>2800</v>
      </c>
      <c r="F292">
        <v>1.35</v>
      </c>
      <c r="G292" s="80">
        <f t="shared" si="9"/>
        <v>3780.0000000000005</v>
      </c>
      <c r="H292" s="80">
        <f>VLOOKUP(D292,'Bu Erta'!$C$2:$F$66,4,0)*F292</f>
        <v>4185</v>
      </c>
    </row>
    <row r="293" spans="1:8" x14ac:dyDescent="0.35">
      <c r="B293" t="s">
        <v>132</v>
      </c>
      <c r="D293" t="s">
        <v>24</v>
      </c>
      <c r="E293" s="80">
        <f>VLOOKUP(D293,'Bu Erta'!$C$2:$E$66,3,0)</f>
        <v>150</v>
      </c>
      <c r="F293">
        <v>1.25</v>
      </c>
      <c r="G293" s="80">
        <f t="shared" si="9"/>
        <v>187.5</v>
      </c>
      <c r="H293" s="80">
        <f>VLOOKUP(D293,'Bu Erta'!$C$2:$F$66,4,0)*F293</f>
        <v>250</v>
      </c>
    </row>
    <row r="294" spans="1:8" x14ac:dyDescent="0.35">
      <c r="B294" t="s">
        <v>132</v>
      </c>
      <c r="D294" t="s">
        <v>31</v>
      </c>
      <c r="E294" s="80">
        <f>VLOOKUP(D294,'Bu Erta'!$C$2:$E$66,3,0)</f>
        <v>1000</v>
      </c>
      <c r="F294">
        <v>1.35</v>
      </c>
      <c r="G294" s="80">
        <f t="shared" si="9"/>
        <v>1350</v>
      </c>
      <c r="H294" s="80">
        <f>VLOOKUP(D294,'Bu Erta'!$C$2:$F$66,4,0)*F294</f>
        <v>1485</v>
      </c>
    </row>
    <row r="295" spans="1:8" x14ac:dyDescent="0.35">
      <c r="A295" s="5">
        <v>50</v>
      </c>
      <c r="B295" t="s">
        <v>144</v>
      </c>
      <c r="C295" s="5">
        <v>4</v>
      </c>
      <c r="D295" t="s">
        <v>19</v>
      </c>
      <c r="E295" s="80">
        <f>VLOOKUP(D295,'Bu Erta'!$C$2:$E$66,3,0)</f>
        <v>200</v>
      </c>
      <c r="F295">
        <v>1.45</v>
      </c>
      <c r="G295" s="80">
        <f t="shared" si="9"/>
        <v>290</v>
      </c>
      <c r="H295" s="80">
        <f>VLOOKUP(D295,'Bu Erta'!$C$2:$F$66,4,0)*F295</f>
        <v>435</v>
      </c>
    </row>
    <row r="296" spans="1:8" x14ac:dyDescent="0.35">
      <c r="B296" t="s">
        <v>144</v>
      </c>
      <c r="D296" t="s">
        <v>23</v>
      </c>
      <c r="E296" s="80">
        <f>VLOOKUP(D296,'Bu Erta'!$C$2:$E$66,3,0)</f>
        <v>300</v>
      </c>
      <c r="F296">
        <v>0.25</v>
      </c>
      <c r="G296" s="80">
        <f t="shared" si="9"/>
        <v>75</v>
      </c>
      <c r="H296" s="80">
        <f>VLOOKUP(D296,'Bu Erta'!$C$2:$F$66,4,0)*F296</f>
        <v>100</v>
      </c>
    </row>
    <row r="297" spans="1:8" x14ac:dyDescent="0.35">
      <c r="B297" t="s">
        <v>144</v>
      </c>
      <c r="D297" t="s">
        <v>27</v>
      </c>
      <c r="E297" s="80">
        <f>VLOOKUP(D297,'Bu Erta'!$C$2:$E$66,3,0)</f>
        <v>2800</v>
      </c>
      <c r="F297">
        <v>1.4</v>
      </c>
      <c r="G297" s="80">
        <f t="shared" si="9"/>
        <v>3919.9999999999995</v>
      </c>
      <c r="H297" s="80">
        <f>VLOOKUP(D297,'Bu Erta'!$C$2:$F$66,4,0)*F297</f>
        <v>4340</v>
      </c>
    </row>
    <row r="298" spans="1:8" x14ac:dyDescent="0.35">
      <c r="B298" t="s">
        <v>144</v>
      </c>
      <c r="D298" t="s">
        <v>7</v>
      </c>
      <c r="E298" s="80">
        <f>VLOOKUP(D298,'Bu Erta'!$C$2:$E$66,3,0)</f>
        <v>1400</v>
      </c>
      <c r="F298">
        <v>1.3</v>
      </c>
      <c r="G298" s="80">
        <f t="shared" si="9"/>
        <v>1820</v>
      </c>
      <c r="H298" s="80">
        <f>VLOOKUP(D298,'Bu Erta'!$C$2:$F$66,4,0)*F298</f>
        <v>2080</v>
      </c>
    </row>
    <row r="299" spans="1:8" x14ac:dyDescent="0.35">
      <c r="B299" t="s">
        <v>144</v>
      </c>
      <c r="D299" t="s">
        <v>25</v>
      </c>
      <c r="E299" s="80">
        <f>VLOOKUP(D299,'Bu Erta'!$C$2:$E$66,3,0)</f>
        <v>1600</v>
      </c>
      <c r="F299">
        <v>1.9</v>
      </c>
      <c r="G299" s="80">
        <f t="shared" si="9"/>
        <v>3040</v>
      </c>
      <c r="H299" s="80">
        <f>VLOOKUP(D299,'Bu Erta'!$C$2:$F$66,4,0)*F299</f>
        <v>3230</v>
      </c>
    </row>
    <row r="300" spans="1:8" x14ac:dyDescent="0.35">
      <c r="A300" s="5">
        <v>51</v>
      </c>
      <c r="B300" s="69" t="s">
        <v>299</v>
      </c>
      <c r="C300" s="5">
        <v>6</v>
      </c>
      <c r="D300" t="s">
        <v>27</v>
      </c>
      <c r="E300" s="80">
        <f>VLOOKUP(D300,'Bu Erta'!$C$2:$E$66,3,0)</f>
        <v>2800</v>
      </c>
      <c r="F300">
        <f>0.3+1.5+0.6+0.3+1.6</f>
        <v>4.3</v>
      </c>
      <c r="G300" s="80">
        <f t="shared" si="9"/>
        <v>12040</v>
      </c>
      <c r="H300" s="80">
        <f>VLOOKUP(D300,'Bu Erta'!$C$2:$F$66,4,0)*F300</f>
        <v>13330</v>
      </c>
    </row>
    <row r="301" spans="1:8" x14ac:dyDescent="0.35">
      <c r="B301" s="69" t="s">
        <v>299</v>
      </c>
      <c r="D301" t="s">
        <v>25</v>
      </c>
      <c r="E301" s="80">
        <f>VLOOKUP(D301,'Bu Erta'!$C$2:$E$66,3,0)</f>
        <v>1600</v>
      </c>
      <c r="F301">
        <f>0.3+0.35</f>
        <v>0.64999999999999991</v>
      </c>
      <c r="G301" s="80">
        <f t="shared" si="9"/>
        <v>1039.9999999999998</v>
      </c>
      <c r="H301" s="80">
        <f>VLOOKUP(D301,'Bu Erta'!$C$2:$F$66,4,0)*F301</f>
        <v>1104.9999999999998</v>
      </c>
    </row>
    <row r="302" spans="1:8" x14ac:dyDescent="0.35">
      <c r="B302" s="69" t="s">
        <v>299</v>
      </c>
      <c r="D302" t="s">
        <v>37</v>
      </c>
      <c r="E302" s="80">
        <f>VLOOKUP(D302,'Bu Erta'!$C$2:$E$66,3,0)</f>
        <v>1600</v>
      </c>
      <c r="F302">
        <v>0.25</v>
      </c>
      <c r="G302" s="80">
        <f t="shared" si="9"/>
        <v>400</v>
      </c>
      <c r="H302" s="80">
        <f>VLOOKUP(D302,'Bu Erta'!$C$2:$F$66,4,0)*F302</f>
        <v>500</v>
      </c>
    </row>
    <row r="303" spans="1:8" x14ac:dyDescent="0.35">
      <c r="B303" s="69" t="s">
        <v>299</v>
      </c>
      <c r="D303" t="s">
        <v>34</v>
      </c>
      <c r="E303" s="80">
        <f>VLOOKUP(D303,'Bu Erta'!$C$2:$E$66,3,0)</f>
        <v>3500</v>
      </c>
      <c r="F303">
        <f>0.25+0.5</f>
        <v>0.75</v>
      </c>
      <c r="G303" s="80">
        <f t="shared" si="9"/>
        <v>2625</v>
      </c>
      <c r="H303" s="80">
        <f>VLOOKUP(D303,'Bu Erta'!$C$2:$F$66,4,0)*F303</f>
        <v>2700</v>
      </c>
    </row>
    <row r="304" spans="1:8" x14ac:dyDescent="0.35">
      <c r="B304" s="69" t="s">
        <v>299</v>
      </c>
      <c r="D304" t="s">
        <v>69</v>
      </c>
      <c r="E304" s="80">
        <f>VLOOKUP(D304,'Bu Erta'!$C$2:$E$66,3,0)</f>
        <v>2500</v>
      </c>
      <c r="F304">
        <v>0.45</v>
      </c>
      <c r="G304" s="80">
        <f t="shared" si="9"/>
        <v>1125</v>
      </c>
      <c r="H304" s="80">
        <f>VLOOKUP(D304,'Bu Erta'!$C$2:$F$66,4,0)*F304</f>
        <v>1350</v>
      </c>
    </row>
    <row r="305" spans="1:8" x14ac:dyDescent="0.35">
      <c r="B305" s="69" t="s">
        <v>299</v>
      </c>
      <c r="D305" t="s">
        <v>31</v>
      </c>
      <c r="E305" s="80">
        <f>VLOOKUP(D305,'Bu Erta'!$C$2:$E$66,3,0)</f>
        <v>1000</v>
      </c>
      <c r="F305">
        <f>0.55+3.95</f>
        <v>4.5</v>
      </c>
      <c r="G305" s="80">
        <f t="shared" si="9"/>
        <v>4500</v>
      </c>
      <c r="H305" s="80">
        <f>VLOOKUP(D305,'Bu Erta'!$C$2:$F$66,4,0)*F305</f>
        <v>4950</v>
      </c>
    </row>
    <row r="306" spans="1:8" x14ac:dyDescent="0.35">
      <c r="B306" s="69" t="s">
        <v>299</v>
      </c>
      <c r="D306" t="s">
        <v>19</v>
      </c>
      <c r="E306" s="80">
        <f>VLOOKUP(D306,'Bu Erta'!$C$2:$E$66,3,0)</f>
        <v>200</v>
      </c>
      <c r="F306">
        <v>0.95</v>
      </c>
      <c r="G306" s="80">
        <f t="shared" si="9"/>
        <v>190</v>
      </c>
      <c r="H306" s="80">
        <f>VLOOKUP(D306,'Bu Erta'!$C$2:$F$66,4,0)*F306</f>
        <v>285</v>
      </c>
    </row>
    <row r="307" spans="1:8" x14ac:dyDescent="0.35">
      <c r="B307" s="69" t="s">
        <v>299</v>
      </c>
      <c r="D307" t="s">
        <v>42</v>
      </c>
      <c r="E307" s="80">
        <f>VLOOKUP(D307,'Bu Erta'!$C$2:$E$66,3,0)</f>
        <v>1000</v>
      </c>
      <c r="F307">
        <f>0.85+0.25+0.6+5.9</f>
        <v>7.6000000000000005</v>
      </c>
      <c r="G307" s="80">
        <f t="shared" si="9"/>
        <v>7600.0000000000009</v>
      </c>
      <c r="H307" s="80">
        <f>VLOOKUP(D307,'Bu Erta'!$C$2:$F$66,4,0)*F307</f>
        <v>9120</v>
      </c>
    </row>
    <row r="308" spans="1:8" x14ac:dyDescent="0.35">
      <c r="B308" s="69" t="s">
        <v>299</v>
      </c>
      <c r="D308" t="s">
        <v>23</v>
      </c>
      <c r="E308" s="80">
        <f>VLOOKUP(D308,'Bu Erta'!$C$2:$E$66,3,0)</f>
        <v>300</v>
      </c>
      <c r="F308">
        <v>1.25</v>
      </c>
      <c r="G308" s="80">
        <f t="shared" si="9"/>
        <v>375</v>
      </c>
      <c r="H308" s="80">
        <f>VLOOKUP(D308,'Bu Erta'!$C$2:$F$66,4,0)*F308</f>
        <v>500</v>
      </c>
    </row>
    <row r="309" spans="1:8" x14ac:dyDescent="0.35">
      <c r="A309" s="5">
        <v>52</v>
      </c>
      <c r="B309" t="s">
        <v>197</v>
      </c>
      <c r="C309" s="5">
        <v>1</v>
      </c>
      <c r="D309" t="s">
        <v>23</v>
      </c>
      <c r="E309" s="80">
        <f>VLOOKUP(D309,'Bu Erta'!$C$2:$E$66,3,0)</f>
        <v>300</v>
      </c>
      <c r="F309">
        <f>0.65+1.85+1</f>
        <v>3.5</v>
      </c>
      <c r="G309" s="80">
        <f t="shared" si="9"/>
        <v>1050</v>
      </c>
      <c r="H309" s="80">
        <f>VLOOKUP(D309,'Bu Erta'!$C$2:$F$66,4,0)*F309</f>
        <v>1400</v>
      </c>
    </row>
    <row r="310" spans="1:8" x14ac:dyDescent="0.35">
      <c r="B310" t="s">
        <v>197</v>
      </c>
      <c r="D310" t="s">
        <v>19</v>
      </c>
      <c r="E310" s="80">
        <f>VLOOKUP(D310,'Bu Erta'!$C$2:$E$66,3,0)</f>
        <v>200</v>
      </c>
      <c r="F310">
        <f>1.55+1.65</f>
        <v>3.2</v>
      </c>
      <c r="G310" s="80">
        <f t="shared" si="9"/>
        <v>640</v>
      </c>
      <c r="H310" s="80">
        <f>VLOOKUP(D310,'Bu Erta'!$C$2:$F$66,4,0)*F310</f>
        <v>960</v>
      </c>
    </row>
    <row r="311" spans="1:8" x14ac:dyDescent="0.35">
      <c r="B311" t="s">
        <v>197</v>
      </c>
      <c r="D311" t="s">
        <v>39</v>
      </c>
      <c r="E311" s="80">
        <f>VLOOKUP(D311,'Bu Erta'!$C$2:$E$66,3,0)</f>
        <v>150</v>
      </c>
      <c r="F311">
        <v>0.55000000000000004</v>
      </c>
      <c r="G311" s="80">
        <f t="shared" si="9"/>
        <v>82.5</v>
      </c>
      <c r="H311" s="80">
        <f>VLOOKUP(D311,'Bu Erta'!$C$2:$F$66,4,0)*F311</f>
        <v>110.00000000000001</v>
      </c>
    </row>
    <row r="312" spans="1:8" x14ac:dyDescent="0.35">
      <c r="B312" t="s">
        <v>197</v>
      </c>
      <c r="D312" t="s">
        <v>7</v>
      </c>
      <c r="E312" s="80">
        <f>VLOOKUP(D312,'Bu Erta'!$C$2:$E$66,3,0)</f>
        <v>1400</v>
      </c>
      <c r="F312">
        <f>0.35+1.2</f>
        <v>1.5499999999999998</v>
      </c>
      <c r="G312" s="80">
        <f t="shared" si="9"/>
        <v>2169.9999999999995</v>
      </c>
      <c r="H312" s="80">
        <f>VLOOKUP(D312,'Bu Erta'!$C$2:$F$66,4,0)*F312</f>
        <v>2479.9999999999995</v>
      </c>
    </row>
    <row r="313" spans="1:8" x14ac:dyDescent="0.35">
      <c r="B313" t="s">
        <v>197</v>
      </c>
      <c r="D313" t="s">
        <v>69</v>
      </c>
      <c r="E313" s="80">
        <f>VLOOKUP(D313,'Bu Erta'!$C$2:$E$66,3,0)</f>
        <v>2500</v>
      </c>
      <c r="F313">
        <v>0.2</v>
      </c>
      <c r="G313" s="80">
        <f t="shared" si="9"/>
        <v>500</v>
      </c>
      <c r="H313" s="80">
        <f>VLOOKUP(D313,'Bu Erta'!$C$2:$F$66,4,0)*F313</f>
        <v>600</v>
      </c>
    </row>
    <row r="314" spans="1:8" x14ac:dyDescent="0.35">
      <c r="B314" t="s">
        <v>197</v>
      </c>
      <c r="D314" t="s">
        <v>41</v>
      </c>
      <c r="E314" s="80">
        <f>VLOOKUP(D314,'Bu Erta'!$C$2:$E$66,3,0)</f>
        <v>1500</v>
      </c>
      <c r="F314">
        <v>0.2</v>
      </c>
      <c r="G314" s="80">
        <f t="shared" si="9"/>
        <v>300</v>
      </c>
      <c r="H314" s="80">
        <f>VLOOKUP(D314,'Bu Erta'!$C$2:$F$66,4,0)*F314</f>
        <v>400</v>
      </c>
    </row>
    <row r="315" spans="1:8" x14ac:dyDescent="0.35">
      <c r="A315" s="5">
        <v>53</v>
      </c>
      <c r="B315" t="s">
        <v>115</v>
      </c>
      <c r="C315" s="5">
        <v>2</v>
      </c>
      <c r="D315" t="s">
        <v>23</v>
      </c>
      <c r="E315" s="80">
        <f>VLOOKUP(D315,'Bu Erta'!$C$2:$E$66,3,0)</f>
        <v>300</v>
      </c>
      <c r="F315">
        <v>0.3</v>
      </c>
      <c r="G315" s="80">
        <f t="shared" si="9"/>
        <v>90</v>
      </c>
      <c r="H315" s="80">
        <f>VLOOKUP(D315,'Bu Erta'!$C$2:$F$66,4,0)*F315</f>
        <v>120</v>
      </c>
    </row>
    <row r="316" spans="1:8" x14ac:dyDescent="0.35">
      <c r="B316" t="s">
        <v>115</v>
      </c>
      <c r="D316" t="s">
        <v>27</v>
      </c>
      <c r="E316" s="80">
        <f>VLOOKUP(D316,'Bu Erta'!$C$2:$E$66,3,0)</f>
        <v>2800</v>
      </c>
      <c r="F316">
        <v>1.1000000000000001</v>
      </c>
      <c r="G316" s="80">
        <f t="shared" si="9"/>
        <v>3080.0000000000005</v>
      </c>
      <c r="H316" s="80">
        <f>VLOOKUP(D316,'Bu Erta'!$C$2:$F$66,4,0)*F316</f>
        <v>3410.0000000000005</v>
      </c>
    </row>
    <row r="317" spans="1:8" x14ac:dyDescent="0.35">
      <c r="B317" t="s">
        <v>115</v>
      </c>
      <c r="D317" t="s">
        <v>7</v>
      </c>
      <c r="E317" s="80">
        <f>VLOOKUP(D317,'Bu Erta'!$C$2:$E$66,3,0)</f>
        <v>1400</v>
      </c>
      <c r="F317">
        <v>0.1</v>
      </c>
      <c r="G317" s="80">
        <f t="shared" si="9"/>
        <v>140</v>
      </c>
      <c r="H317" s="80">
        <f>VLOOKUP(D317,'Bu Erta'!$C$2:$F$66,4,0)*F317</f>
        <v>160</v>
      </c>
    </row>
    <row r="318" spans="1:8" x14ac:dyDescent="0.35">
      <c r="B318" t="s">
        <v>115</v>
      </c>
      <c r="D318" t="s">
        <v>19</v>
      </c>
      <c r="E318" s="80">
        <f>VLOOKUP(D318,'Bu Erta'!$C$2:$E$66,3,0)</f>
        <v>200</v>
      </c>
      <c r="F318">
        <v>0.5</v>
      </c>
      <c r="G318" s="80">
        <f t="shared" si="9"/>
        <v>100</v>
      </c>
      <c r="H318" s="80">
        <f>VLOOKUP(D318,'Bu Erta'!$C$2:$F$66,4,0)*F318</f>
        <v>150</v>
      </c>
    </row>
    <row r="319" spans="1:8" x14ac:dyDescent="0.35">
      <c r="A319" s="5">
        <v>54</v>
      </c>
      <c r="B319" t="s">
        <v>117</v>
      </c>
      <c r="C319" s="5">
        <v>2</v>
      </c>
      <c r="D319" t="s">
        <v>31</v>
      </c>
      <c r="E319" s="80">
        <f>VLOOKUP(D319,'Bu Erta'!$C$2:$E$66,3,0)</f>
        <v>1000</v>
      </c>
      <c r="F319">
        <f>0.9+0.9</f>
        <v>1.8</v>
      </c>
      <c r="G319" s="80">
        <f t="shared" si="9"/>
        <v>1800</v>
      </c>
      <c r="H319" s="80">
        <f>VLOOKUP(D319,'Bu Erta'!$C$2:$F$66,4,0)*F319</f>
        <v>1980</v>
      </c>
    </row>
    <row r="320" spans="1:8" x14ac:dyDescent="0.35">
      <c r="B320" t="s">
        <v>117</v>
      </c>
      <c r="D320" t="s">
        <v>22</v>
      </c>
      <c r="E320" s="80">
        <f>VLOOKUP(D320,'Bu Erta'!$C$2:$E$66,3,0)</f>
        <v>2500</v>
      </c>
      <c r="F320">
        <v>0.95</v>
      </c>
      <c r="G320" s="80">
        <f t="shared" si="9"/>
        <v>2375</v>
      </c>
      <c r="H320" s="80">
        <f>VLOOKUP(D320,'Bu Erta'!$C$2:$F$66,4,0)*F320</f>
        <v>2850</v>
      </c>
    </row>
    <row r="321" spans="1:8" x14ac:dyDescent="0.35">
      <c r="B321" t="s">
        <v>117</v>
      </c>
      <c r="D321" t="s">
        <v>42</v>
      </c>
      <c r="E321" s="80">
        <f>VLOOKUP(D321,'Bu Erta'!$C$2:$E$66,3,0)</f>
        <v>1000</v>
      </c>
      <c r="F321">
        <v>0.05</v>
      </c>
      <c r="G321" s="80">
        <f t="shared" si="9"/>
        <v>50</v>
      </c>
      <c r="H321" s="80">
        <f>VLOOKUP(D321,'Bu Erta'!$C$2:$F$66,4,0)*F321</f>
        <v>60</v>
      </c>
    </row>
    <row r="322" spans="1:8" x14ac:dyDescent="0.35">
      <c r="B322" t="s">
        <v>117</v>
      </c>
      <c r="D322" t="s">
        <v>40</v>
      </c>
      <c r="E322" s="80">
        <f>VLOOKUP(D322,'Bu Erta'!$C$2:$E$66,3,0)</f>
        <v>1800</v>
      </c>
      <c r="F322">
        <v>0.9</v>
      </c>
      <c r="G322" s="80">
        <f t="shared" si="9"/>
        <v>1620</v>
      </c>
      <c r="H322" s="80">
        <f>VLOOKUP(D322,'Bu Erta'!$C$2:$F$66,4,0)*F322</f>
        <v>1800</v>
      </c>
    </row>
    <row r="323" spans="1:8" x14ac:dyDescent="0.35">
      <c r="A323" s="5">
        <v>55</v>
      </c>
      <c r="B323" t="s">
        <v>120</v>
      </c>
      <c r="C323" s="5">
        <v>5</v>
      </c>
      <c r="D323" t="s">
        <v>31</v>
      </c>
      <c r="E323" s="80">
        <f>VLOOKUP(D323,'Bu Erta'!$C$2:$E$66,3,0)</f>
        <v>1000</v>
      </c>
      <c r="F323">
        <f>1.2+0.7</f>
        <v>1.9</v>
      </c>
      <c r="G323" s="80">
        <f t="shared" si="9"/>
        <v>1900</v>
      </c>
      <c r="H323" s="80">
        <f>VLOOKUP(D323,'Bu Erta'!$C$2:$F$66,4,0)*F323</f>
        <v>2090</v>
      </c>
    </row>
    <row r="324" spans="1:8" x14ac:dyDescent="0.35">
      <c r="B324" t="s">
        <v>120</v>
      </c>
      <c r="D324" t="s">
        <v>25</v>
      </c>
      <c r="E324" s="80">
        <f>VLOOKUP(D324,'Bu Erta'!$C$2:$E$66,3,0)</f>
        <v>1600</v>
      </c>
      <c r="F324">
        <v>2.95</v>
      </c>
      <c r="G324" s="80">
        <f t="shared" si="9"/>
        <v>4720</v>
      </c>
      <c r="H324" s="80">
        <f>VLOOKUP(D324,'Bu Erta'!$C$2:$F$66,4,0)*F324</f>
        <v>5015</v>
      </c>
    </row>
    <row r="325" spans="1:8" x14ac:dyDescent="0.35">
      <c r="B325" t="s">
        <v>120</v>
      </c>
      <c r="D325" t="s">
        <v>69</v>
      </c>
      <c r="E325" s="80">
        <f>VLOOKUP(D325,'Bu Erta'!$C$2:$E$66,3,0)</f>
        <v>2500</v>
      </c>
      <c r="F325">
        <v>0.25</v>
      </c>
      <c r="G325" s="80">
        <f t="shared" si="9"/>
        <v>625</v>
      </c>
      <c r="H325" s="80">
        <f>VLOOKUP(D325,'Bu Erta'!$C$2:$F$66,4,0)*F325</f>
        <v>750</v>
      </c>
    </row>
    <row r="326" spans="1:8" x14ac:dyDescent="0.35">
      <c r="B326" t="s">
        <v>120</v>
      </c>
      <c r="D326" t="s">
        <v>19</v>
      </c>
      <c r="E326" s="80">
        <f>VLOOKUP(D326,'Bu Erta'!$C$2:$E$66,3,0)</f>
        <v>200</v>
      </c>
      <c r="F326">
        <f>1.05+0.15</f>
        <v>1.2</v>
      </c>
      <c r="G326" s="80">
        <f t="shared" si="9"/>
        <v>240</v>
      </c>
      <c r="H326" s="80">
        <f>VLOOKUP(D326,'Bu Erta'!$C$2:$F$66,4,0)*F326</f>
        <v>360</v>
      </c>
    </row>
    <row r="327" spans="1:8" x14ac:dyDescent="0.35">
      <c r="B327" t="s">
        <v>120</v>
      </c>
      <c r="D327" t="s">
        <v>7</v>
      </c>
      <c r="E327" s="80">
        <f>VLOOKUP(D327,'Bu Erta'!$C$2:$E$66,3,0)</f>
        <v>1400</v>
      </c>
      <c r="F327">
        <v>0.65</v>
      </c>
      <c r="G327" s="80">
        <f t="shared" si="9"/>
        <v>910</v>
      </c>
      <c r="H327" s="80">
        <f>VLOOKUP(D327,'Bu Erta'!$C$2:$F$66,4,0)*F327</f>
        <v>1040</v>
      </c>
    </row>
    <row r="328" spans="1:8" x14ac:dyDescent="0.35">
      <c r="B328" t="s">
        <v>120</v>
      </c>
      <c r="D328" t="s">
        <v>40</v>
      </c>
      <c r="E328" s="80">
        <f>VLOOKUP(D328,'Bu Erta'!$C$2:$E$66,3,0)</f>
        <v>1800</v>
      </c>
      <c r="F328">
        <v>0.7</v>
      </c>
      <c r="G328" s="80">
        <f t="shared" si="9"/>
        <v>1260</v>
      </c>
      <c r="H328" s="80">
        <f>VLOOKUP(D328,'Bu Erta'!$C$2:$F$66,4,0)*F328</f>
        <v>1400</v>
      </c>
    </row>
    <row r="329" spans="1:8" x14ac:dyDescent="0.35">
      <c r="B329" t="s">
        <v>120</v>
      </c>
      <c r="D329" t="s">
        <v>6</v>
      </c>
      <c r="E329" s="80">
        <f>VLOOKUP(D329,'Bu Erta'!$C$2:$E$66,3,0)</f>
        <v>2000</v>
      </c>
      <c r="F329">
        <v>0.2</v>
      </c>
      <c r="G329" s="80">
        <f t="shared" si="9"/>
        <v>400</v>
      </c>
      <c r="H329" s="80">
        <f>VLOOKUP(D329,'Bu Erta'!$C$2:$F$66,4,0)*F329</f>
        <v>500</v>
      </c>
    </row>
    <row r="330" spans="1:8" x14ac:dyDescent="0.35">
      <c r="B330" t="s">
        <v>120</v>
      </c>
      <c r="D330" t="s">
        <v>23</v>
      </c>
      <c r="E330" s="80">
        <f>VLOOKUP(D330,'Bu Erta'!$C$2:$E$66,3,0)</f>
        <v>300</v>
      </c>
      <c r="F330">
        <v>0.55000000000000004</v>
      </c>
      <c r="G330" s="80">
        <f t="shared" si="9"/>
        <v>165</v>
      </c>
      <c r="H330" s="80">
        <f>VLOOKUP(D330,'Bu Erta'!$C$2:$F$66,4,0)*F330</f>
        <v>220.00000000000003</v>
      </c>
    </row>
    <row r="331" spans="1:8" x14ac:dyDescent="0.35">
      <c r="B331" t="s">
        <v>120</v>
      </c>
      <c r="D331" t="s">
        <v>42</v>
      </c>
      <c r="E331" s="80">
        <f>VLOOKUP(D331,'Bu Erta'!$C$2:$E$66,3,0)</f>
        <v>1000</v>
      </c>
      <c r="F331">
        <v>9.4499999999999993</v>
      </c>
      <c r="G331" s="80">
        <f t="shared" si="9"/>
        <v>9450</v>
      </c>
      <c r="H331" s="80">
        <f>VLOOKUP(D331,'Bu Erta'!$C$2:$F$66,4,0)*F331</f>
        <v>11340</v>
      </c>
    </row>
    <row r="332" spans="1:8" x14ac:dyDescent="0.35">
      <c r="A332" s="5">
        <v>56</v>
      </c>
      <c r="B332" t="s">
        <v>98</v>
      </c>
      <c r="C332" s="5">
        <v>2</v>
      </c>
      <c r="D332" t="s">
        <v>19</v>
      </c>
      <c r="E332" s="80">
        <f>VLOOKUP(D332,'Bu Erta'!$C$2:$E$66,3,0)</f>
        <v>200</v>
      </c>
      <c r="F332">
        <v>1.3</v>
      </c>
      <c r="G332" s="80">
        <f t="shared" si="9"/>
        <v>260</v>
      </c>
      <c r="H332" s="80">
        <f>VLOOKUP(D332,'Bu Erta'!$C$2:$F$66,4,0)*F332</f>
        <v>390</v>
      </c>
    </row>
    <row r="333" spans="1:8" x14ac:dyDescent="0.35">
      <c r="B333" t="s">
        <v>98</v>
      </c>
      <c r="D333" t="s">
        <v>34</v>
      </c>
      <c r="E333" s="80">
        <f>VLOOKUP(D333,'Bu Erta'!$C$2:$E$66,3,0)</f>
        <v>3500</v>
      </c>
      <c r="F333">
        <v>0.35</v>
      </c>
      <c r="G333" s="80">
        <f t="shared" si="9"/>
        <v>1225</v>
      </c>
      <c r="H333" s="80">
        <f>VLOOKUP(D333,'Bu Erta'!$C$2:$F$66,4,0)*F333</f>
        <v>1260</v>
      </c>
    </row>
    <row r="334" spans="1:8" x14ac:dyDescent="0.35">
      <c r="B334" t="s">
        <v>98</v>
      </c>
      <c r="D334" t="s">
        <v>27</v>
      </c>
      <c r="E334" s="80">
        <f>VLOOKUP(D334,'Bu Erta'!$C$2:$E$66,3,0)</f>
        <v>2800</v>
      </c>
      <c r="F334">
        <v>0.7</v>
      </c>
      <c r="G334" s="80">
        <f t="shared" si="9"/>
        <v>1959.9999999999998</v>
      </c>
      <c r="H334" s="80">
        <f>VLOOKUP(D334,'Bu Erta'!$C$2:$F$66,4,0)*F334</f>
        <v>2170</v>
      </c>
    </row>
    <row r="335" spans="1:8" x14ac:dyDescent="0.35">
      <c r="B335" t="s">
        <v>98</v>
      </c>
      <c r="D335" t="s">
        <v>41</v>
      </c>
      <c r="E335" s="80">
        <f>VLOOKUP(D335,'Bu Erta'!$C$2:$E$66,3,0)</f>
        <v>1500</v>
      </c>
      <c r="F335">
        <v>2.0499999999999998</v>
      </c>
      <c r="G335" s="80">
        <f t="shared" si="9"/>
        <v>3074.9999999999995</v>
      </c>
      <c r="H335" s="80">
        <f>VLOOKUP(D335,'Bu Erta'!$C$2:$F$66,4,0)*F335</f>
        <v>4100</v>
      </c>
    </row>
    <row r="336" spans="1:8" x14ac:dyDescent="0.35">
      <c r="B336" t="s">
        <v>98</v>
      </c>
      <c r="D336" t="s">
        <v>77</v>
      </c>
      <c r="E336" s="80">
        <f>VLOOKUP(D336,'Bu Erta'!$C$2:$E$66,3,0)</f>
        <v>700</v>
      </c>
      <c r="F336">
        <v>0.15</v>
      </c>
      <c r="G336" s="80">
        <f t="shared" si="9"/>
        <v>105</v>
      </c>
      <c r="H336" s="80">
        <f>VLOOKUP(D336,'Bu Erta'!$C$2:$F$66,4,0)*F336</f>
        <v>120</v>
      </c>
    </row>
    <row r="337" spans="1:8" x14ac:dyDescent="0.35">
      <c r="B337" t="s">
        <v>98</v>
      </c>
      <c r="D337" t="s">
        <v>7</v>
      </c>
      <c r="E337" s="80">
        <f>VLOOKUP(D337,'Bu Erta'!$C$2:$E$66,3,0)</f>
        <v>1400</v>
      </c>
      <c r="F337">
        <f>4.9+0.65+0.1</f>
        <v>5.65</v>
      </c>
      <c r="G337" s="80">
        <f t="shared" si="9"/>
        <v>7910.0000000000009</v>
      </c>
      <c r="H337" s="80">
        <f>VLOOKUP(D337,'Bu Erta'!$C$2:$F$66,4,0)*F337</f>
        <v>9040</v>
      </c>
    </row>
    <row r="338" spans="1:8" x14ac:dyDescent="0.35">
      <c r="B338" t="s">
        <v>98</v>
      </c>
      <c r="D338" t="s">
        <v>37</v>
      </c>
      <c r="E338" s="80">
        <f>VLOOKUP(D338,'Bu Erta'!$C$2:$E$66,3,0)</f>
        <v>1600</v>
      </c>
      <c r="F338">
        <v>0.9</v>
      </c>
      <c r="G338" s="80">
        <f t="shared" si="9"/>
        <v>1440</v>
      </c>
      <c r="H338" s="80">
        <f>VLOOKUP(D338,'Bu Erta'!$C$2:$F$66,4,0)*F338</f>
        <v>1800</v>
      </c>
    </row>
    <row r="339" spans="1:8" x14ac:dyDescent="0.35">
      <c r="B339" t="s">
        <v>98</v>
      </c>
      <c r="D339" t="s">
        <v>23</v>
      </c>
      <c r="E339" s="80">
        <f>VLOOKUP(D339,'Bu Erta'!$C$2:$E$66,3,0)</f>
        <v>300</v>
      </c>
      <c r="F339">
        <v>1.1000000000000001</v>
      </c>
      <c r="G339" s="80">
        <f t="shared" si="9"/>
        <v>330</v>
      </c>
      <c r="H339" s="80">
        <f>VLOOKUP(D339,'Bu Erta'!$C$2:$F$66,4,0)*F339</f>
        <v>440.00000000000006</v>
      </c>
    </row>
    <row r="340" spans="1:8" x14ac:dyDescent="0.35">
      <c r="B340" t="s">
        <v>98</v>
      </c>
      <c r="D340" t="s">
        <v>69</v>
      </c>
      <c r="E340" s="80">
        <f>VLOOKUP(D340,'Bu Erta'!$C$2:$E$66,3,0)</f>
        <v>2500</v>
      </c>
      <c r="F340">
        <v>0.15</v>
      </c>
      <c r="G340" s="80">
        <f t="shared" si="9"/>
        <v>375</v>
      </c>
      <c r="H340" s="80">
        <f>VLOOKUP(D340,'Bu Erta'!$C$2:$F$66,4,0)*F340</f>
        <v>450</v>
      </c>
    </row>
    <row r="341" spans="1:8" x14ac:dyDescent="0.35">
      <c r="B341" t="s">
        <v>98</v>
      </c>
      <c r="D341" t="s">
        <v>24</v>
      </c>
      <c r="E341" s="80">
        <f>VLOOKUP(D341,'Bu Erta'!$C$2:$E$66,3,0)</f>
        <v>150</v>
      </c>
      <c r="F341">
        <v>0.6</v>
      </c>
      <c r="G341" s="80">
        <f t="shared" si="9"/>
        <v>90</v>
      </c>
      <c r="H341" s="80">
        <f>VLOOKUP(D341,'Bu Erta'!$C$2:$F$66,4,0)*F341</f>
        <v>120</v>
      </c>
    </row>
    <row r="342" spans="1:8" x14ac:dyDescent="0.35">
      <c r="B342" t="s">
        <v>98</v>
      </c>
      <c r="D342" t="s">
        <v>40</v>
      </c>
      <c r="E342" s="80">
        <f>VLOOKUP(D342,'Bu Erta'!$C$2:$E$66,3,0)</f>
        <v>1800</v>
      </c>
      <c r="F342">
        <v>0.9</v>
      </c>
      <c r="G342" s="80">
        <f t="shared" si="9"/>
        <v>1620</v>
      </c>
      <c r="H342" s="80">
        <f>VLOOKUP(D342,'Bu Erta'!$C$2:$F$66,4,0)*F342</f>
        <v>1800</v>
      </c>
    </row>
    <row r="343" spans="1:8" x14ac:dyDescent="0.35">
      <c r="B343" t="s">
        <v>98</v>
      </c>
      <c r="D343" t="s">
        <v>22</v>
      </c>
      <c r="E343" s="80">
        <f>VLOOKUP(D343,'Bu Erta'!$C$2:$E$66,3,0)</f>
        <v>2500</v>
      </c>
      <c r="F343">
        <f>0.15+0.95</f>
        <v>1.0999999999999999</v>
      </c>
      <c r="G343" s="80">
        <f t="shared" si="9"/>
        <v>2749.9999999999995</v>
      </c>
      <c r="H343" s="80">
        <f>VLOOKUP(D343,'Bu Erta'!$C$2:$F$66,4,0)*F343</f>
        <v>3299.9999999999995</v>
      </c>
    </row>
    <row r="344" spans="1:8" x14ac:dyDescent="0.35">
      <c r="A344" s="5">
        <v>57</v>
      </c>
      <c r="B344" t="s">
        <v>335</v>
      </c>
      <c r="C344" s="5">
        <v>5</v>
      </c>
      <c r="D344" t="s">
        <v>42</v>
      </c>
      <c r="E344" s="80">
        <f>VLOOKUP(D344,'Bu Erta'!$C$2:$E$66,3,0)</f>
        <v>1000</v>
      </c>
      <c r="F344">
        <v>7</v>
      </c>
      <c r="G344" s="80">
        <f t="shared" si="9"/>
        <v>7000</v>
      </c>
      <c r="H344" s="80">
        <f>VLOOKUP(D344,'Bu Erta'!$C$2:$F$66,4,0)*F344</f>
        <v>8400</v>
      </c>
    </row>
    <row r="345" spans="1:8" x14ac:dyDescent="0.35">
      <c r="A345" s="5">
        <v>58</v>
      </c>
      <c r="B345" t="s">
        <v>285</v>
      </c>
      <c r="C345" s="5">
        <v>6</v>
      </c>
      <c r="D345" t="s">
        <v>31</v>
      </c>
      <c r="E345" s="80">
        <f>VLOOKUP(D345,'Bu Erta'!$C$2:$E$66,3,0)</f>
        <v>1000</v>
      </c>
      <c r="F345">
        <f>1.95+2.15</f>
        <v>4.0999999999999996</v>
      </c>
      <c r="G345" s="80">
        <f t="shared" si="9"/>
        <v>4100</v>
      </c>
      <c r="H345" s="80">
        <f>VLOOKUP(D345,'Bu Erta'!$C$2:$F$66,4,0)*F345</f>
        <v>4510</v>
      </c>
    </row>
    <row r="346" spans="1:8" x14ac:dyDescent="0.35">
      <c r="B346" t="s">
        <v>285</v>
      </c>
      <c r="D346" t="s">
        <v>7</v>
      </c>
      <c r="E346" s="80">
        <f>VLOOKUP(D346,'Bu Erta'!$C$2:$E$66,3,0)</f>
        <v>1400</v>
      </c>
      <c r="F346">
        <v>0.3</v>
      </c>
      <c r="G346" s="80">
        <f t="shared" si="9"/>
        <v>420</v>
      </c>
      <c r="H346" s="80">
        <f>VLOOKUP(D346,'Bu Erta'!$C$2:$F$66,4,0)*F346</f>
        <v>480</v>
      </c>
    </row>
    <row r="347" spans="1:8" x14ac:dyDescent="0.35">
      <c r="B347" t="s">
        <v>285</v>
      </c>
      <c r="D347" t="s">
        <v>24</v>
      </c>
      <c r="E347" s="80">
        <f>VLOOKUP(D347,'Bu Erta'!$C$2:$E$66,3,0)</f>
        <v>150</v>
      </c>
      <c r="F347">
        <v>4.4000000000000004</v>
      </c>
      <c r="G347" s="80">
        <f t="shared" ref="G347" si="10">E347*F347</f>
        <v>660</v>
      </c>
      <c r="H347" s="80">
        <f>VLOOKUP(D347,'Bu Erta'!$C$2:$F$66,4,0)*F347</f>
        <v>880.00000000000011</v>
      </c>
    </row>
    <row r="348" spans="1:8" x14ac:dyDescent="0.35">
      <c r="B348" t="s">
        <v>285</v>
      </c>
      <c r="D348" t="s">
        <v>42</v>
      </c>
      <c r="E348" s="80">
        <f>VLOOKUP(D348,'Bu Erta'!$C$2:$E$66,3,0)</f>
        <v>1000</v>
      </c>
      <c r="F348">
        <v>2.0499999999999998</v>
      </c>
      <c r="G348" s="80">
        <f t="shared" si="9"/>
        <v>2050</v>
      </c>
      <c r="H348" s="80">
        <f>VLOOKUP(D348,'Bu Erta'!$C$2:$F$66,4,0)*F348</f>
        <v>2460</v>
      </c>
    </row>
    <row r="349" spans="1:8" x14ac:dyDescent="0.35">
      <c r="A349" s="5">
        <v>59</v>
      </c>
      <c r="B349" t="s">
        <v>245</v>
      </c>
      <c r="C349" s="5">
        <v>4</v>
      </c>
      <c r="D349" t="s">
        <v>27</v>
      </c>
      <c r="E349" s="80">
        <f>VLOOKUP(D349,'Bu Erta'!$C$2:$E$66,3,0)</f>
        <v>2800</v>
      </c>
      <c r="F349">
        <v>0.45</v>
      </c>
      <c r="G349" s="80">
        <f t="shared" si="9"/>
        <v>1260</v>
      </c>
      <c r="H349" s="80">
        <f>VLOOKUP(D349,'Bu Erta'!$C$2:$F$66,4,0)*F349</f>
        <v>1395</v>
      </c>
    </row>
    <row r="350" spans="1:8" x14ac:dyDescent="0.35">
      <c r="B350" t="s">
        <v>245</v>
      </c>
      <c r="D350" t="s">
        <v>24</v>
      </c>
      <c r="E350" s="80">
        <f>VLOOKUP(D350,'Bu Erta'!$C$2:$E$66,3,0)</f>
        <v>150</v>
      </c>
      <c r="F350">
        <v>0.4</v>
      </c>
      <c r="G350" s="80">
        <f t="shared" ref="G350:G368" si="11">E350*F350</f>
        <v>60</v>
      </c>
      <c r="H350" s="80">
        <f>VLOOKUP(D350,'Bu Erta'!$C$2:$F$66,4,0)*F350</f>
        <v>80</v>
      </c>
    </row>
    <row r="351" spans="1:8" x14ac:dyDescent="0.35">
      <c r="B351" t="s">
        <v>245</v>
      </c>
      <c r="D351" t="s">
        <v>19</v>
      </c>
      <c r="E351" s="80">
        <f>VLOOKUP(D351,'Bu Erta'!$C$2:$E$66,3,0)</f>
        <v>200</v>
      </c>
      <c r="F351">
        <v>0.55000000000000004</v>
      </c>
      <c r="G351" s="80">
        <f t="shared" si="11"/>
        <v>110.00000000000001</v>
      </c>
      <c r="H351" s="80">
        <f>VLOOKUP(D351,'Bu Erta'!$C$2:$F$66,4,0)*F351</f>
        <v>165</v>
      </c>
    </row>
    <row r="352" spans="1:8" x14ac:dyDescent="0.35">
      <c r="B352" t="s">
        <v>245</v>
      </c>
      <c r="D352" t="s">
        <v>69</v>
      </c>
      <c r="E352" s="80">
        <f>VLOOKUP(D352,'Bu Erta'!$C$2:$E$66,3,0)</f>
        <v>2500</v>
      </c>
      <c r="F352">
        <v>0.15</v>
      </c>
      <c r="G352" s="80">
        <f t="shared" si="11"/>
        <v>375</v>
      </c>
      <c r="H352" s="80">
        <f>VLOOKUP(D352,'Bu Erta'!$C$2:$F$66,4,0)*F352</f>
        <v>450</v>
      </c>
    </row>
    <row r="353" spans="1:8" x14ac:dyDescent="0.35">
      <c r="B353" t="s">
        <v>245</v>
      </c>
      <c r="D353" t="s">
        <v>23</v>
      </c>
      <c r="E353" s="80">
        <f>VLOOKUP(D353,'Bu Erta'!$C$2:$E$66,3,0)</f>
        <v>300</v>
      </c>
      <c r="F353">
        <v>0.55000000000000004</v>
      </c>
      <c r="G353" s="80">
        <f t="shared" si="11"/>
        <v>165</v>
      </c>
      <c r="H353" s="80">
        <f>VLOOKUP(D353,'Bu Erta'!$C$2:$F$66,4,0)*F353</f>
        <v>220.00000000000003</v>
      </c>
    </row>
    <row r="354" spans="1:8" x14ac:dyDescent="0.35">
      <c r="B354" t="s">
        <v>245</v>
      </c>
      <c r="D354" t="s">
        <v>7</v>
      </c>
      <c r="E354" s="80">
        <f>VLOOKUP(D354,'Bu Erta'!$C$2:$E$66,3,0)</f>
        <v>1400</v>
      </c>
      <c r="F354">
        <v>0.25</v>
      </c>
      <c r="G354" s="80">
        <f t="shared" si="11"/>
        <v>350</v>
      </c>
      <c r="H354" s="80">
        <f>VLOOKUP(D354,'Bu Erta'!$C$2:$F$66,4,0)*F354</f>
        <v>400</v>
      </c>
    </row>
    <row r="355" spans="1:8" x14ac:dyDescent="0.35">
      <c r="A355" s="5">
        <v>60</v>
      </c>
      <c r="B355" t="s">
        <v>111</v>
      </c>
      <c r="C355" s="5">
        <v>5</v>
      </c>
      <c r="D355" t="s">
        <v>31</v>
      </c>
      <c r="E355" s="80">
        <f>VLOOKUP(D355,'Bu Erta'!$C$2:$E$66,3,0)</f>
        <v>1000</v>
      </c>
      <c r="F355">
        <f>0.5+0.65</f>
        <v>1.1499999999999999</v>
      </c>
      <c r="G355" s="80">
        <f t="shared" si="11"/>
        <v>1150</v>
      </c>
      <c r="H355" s="80">
        <f>VLOOKUP(D355,'Bu Erta'!$C$2:$F$66,4,0)*F355</f>
        <v>1265</v>
      </c>
    </row>
    <row r="356" spans="1:8" x14ac:dyDescent="0.35">
      <c r="B356" t="s">
        <v>111</v>
      </c>
      <c r="D356" t="s">
        <v>19</v>
      </c>
      <c r="E356" s="80">
        <f>VLOOKUP(D356,'Bu Erta'!$C$2:$E$66,3,0)</f>
        <v>200</v>
      </c>
      <c r="F356">
        <f>1.2+0.55+0.45+0.55</f>
        <v>2.75</v>
      </c>
      <c r="G356" s="80">
        <f t="shared" si="11"/>
        <v>550</v>
      </c>
      <c r="H356" s="80">
        <f>VLOOKUP(D356,'Bu Erta'!$C$2:$F$66,4,0)*F356</f>
        <v>825</v>
      </c>
    </row>
    <row r="357" spans="1:8" x14ac:dyDescent="0.35">
      <c r="B357" t="s">
        <v>111</v>
      </c>
      <c r="D357" t="s">
        <v>42</v>
      </c>
      <c r="E357" s="80">
        <f>VLOOKUP(D357,'Bu Erta'!$C$2:$E$66,3,0)</f>
        <v>1000</v>
      </c>
      <c r="F357">
        <v>0.55000000000000004</v>
      </c>
      <c r="G357" s="80">
        <f t="shared" si="11"/>
        <v>550</v>
      </c>
      <c r="H357" s="80">
        <f>VLOOKUP(D357,'Bu Erta'!$C$2:$F$66,4,0)*F357</f>
        <v>660</v>
      </c>
    </row>
    <row r="358" spans="1:8" x14ac:dyDescent="0.35">
      <c r="B358" t="s">
        <v>111</v>
      </c>
      <c r="D358" t="s">
        <v>23</v>
      </c>
      <c r="E358" s="80">
        <f>VLOOKUP(D358,'Bu Erta'!$C$2:$E$66,3,0)</f>
        <v>300</v>
      </c>
      <c r="F358">
        <f>1.35+0.4+1.65</f>
        <v>3.4</v>
      </c>
      <c r="G358" s="80">
        <f t="shared" si="11"/>
        <v>1020</v>
      </c>
      <c r="H358" s="80">
        <f>VLOOKUP(D358,'Bu Erta'!$C$2:$F$66,4,0)*F358</f>
        <v>1360</v>
      </c>
    </row>
    <row r="359" spans="1:8" x14ac:dyDescent="0.35">
      <c r="B359" t="s">
        <v>111</v>
      </c>
      <c r="D359" t="s">
        <v>27</v>
      </c>
      <c r="E359" s="80">
        <f>VLOOKUP(D359,'Bu Erta'!$C$2:$E$66,3,0)</f>
        <v>2800</v>
      </c>
      <c r="F359">
        <f>0.75+0.65</f>
        <v>1.4</v>
      </c>
      <c r="G359" s="80">
        <f t="shared" si="11"/>
        <v>3919.9999999999995</v>
      </c>
      <c r="H359" s="80">
        <f>VLOOKUP(D359,'Bu Erta'!$C$2:$F$66,4,0)*F359</f>
        <v>4340</v>
      </c>
    </row>
    <row r="360" spans="1:8" x14ac:dyDescent="0.35">
      <c r="B360" t="s">
        <v>111</v>
      </c>
      <c r="D360" t="s">
        <v>28</v>
      </c>
      <c r="E360" s="80">
        <f>VLOOKUP(D360,'Bu Erta'!$C$2:$E$66,3,0)</f>
        <v>1200</v>
      </c>
      <c r="F360">
        <v>0.3</v>
      </c>
      <c r="G360" s="80">
        <f t="shared" ref="G360:G361" si="12">E360*F360</f>
        <v>360</v>
      </c>
      <c r="H360" s="80">
        <f>VLOOKUP(D360,'Bu Erta'!$C$2:$F$66,4,0)*F360</f>
        <v>390</v>
      </c>
    </row>
    <row r="361" spans="1:8" x14ac:dyDescent="0.35">
      <c r="B361" t="s">
        <v>111</v>
      </c>
      <c r="D361" t="s">
        <v>69</v>
      </c>
      <c r="E361" s="80">
        <f>VLOOKUP(D361,'Bu Erta'!$C$2:$E$66,3,0)</f>
        <v>2500</v>
      </c>
      <c r="F361">
        <v>0.7</v>
      </c>
      <c r="G361" s="80">
        <f t="shared" si="12"/>
        <v>1750</v>
      </c>
      <c r="H361" s="80">
        <f>VLOOKUP(D361,'Bu Erta'!$C$2:$F$66,4,0)*F361</f>
        <v>2100</v>
      </c>
    </row>
    <row r="362" spans="1:8" x14ac:dyDescent="0.35">
      <c r="A362" s="5">
        <v>61</v>
      </c>
      <c r="B362" t="s">
        <v>84</v>
      </c>
      <c r="C362" s="5">
        <v>4</v>
      </c>
      <c r="D362" t="s">
        <v>42</v>
      </c>
      <c r="E362" s="80">
        <f>VLOOKUP(D362,'Bu Erta'!$C$2:$E$66,3,0)</f>
        <v>1000</v>
      </c>
      <c r="F362">
        <v>2.35</v>
      </c>
      <c r="G362" s="80">
        <f t="shared" si="11"/>
        <v>2350</v>
      </c>
      <c r="H362" s="80">
        <f>VLOOKUP(D362,'Bu Erta'!$C$2:$F$66,4,0)*F362</f>
        <v>2820</v>
      </c>
    </row>
    <row r="363" spans="1:8" x14ac:dyDescent="0.35">
      <c r="B363" t="s">
        <v>84</v>
      </c>
      <c r="D363" t="s">
        <v>27</v>
      </c>
      <c r="E363" s="80">
        <f>VLOOKUP(D363,'Bu Erta'!$C$2:$E$66,3,0)</f>
        <v>2800</v>
      </c>
      <c r="F363">
        <v>0.3</v>
      </c>
      <c r="G363" s="80">
        <f t="shared" si="11"/>
        <v>840</v>
      </c>
      <c r="H363" s="80">
        <f>VLOOKUP(D363,'Bu Erta'!$C$2:$F$66,4,0)*F363</f>
        <v>930</v>
      </c>
    </row>
    <row r="364" spans="1:8" x14ac:dyDescent="0.35">
      <c r="B364" t="s">
        <v>84</v>
      </c>
      <c r="D364" t="s">
        <v>23</v>
      </c>
      <c r="E364" s="80">
        <f>VLOOKUP(D364,'Bu Erta'!$C$2:$E$66,3,0)</f>
        <v>300</v>
      </c>
      <c r="F364">
        <f>0.5+1.2+0.55+0.45</f>
        <v>2.7</v>
      </c>
      <c r="G364" s="80">
        <f t="shared" si="11"/>
        <v>810</v>
      </c>
      <c r="H364" s="80">
        <f>VLOOKUP(D364,'Bu Erta'!$C$2:$F$66,4,0)*F364</f>
        <v>1080</v>
      </c>
    </row>
    <row r="365" spans="1:8" x14ac:dyDescent="0.35">
      <c r="B365" t="s">
        <v>84</v>
      </c>
      <c r="D365" t="s">
        <v>41</v>
      </c>
      <c r="E365" s="80">
        <f>VLOOKUP(D365,'Bu Erta'!$C$2:$E$66,3,0)</f>
        <v>1500</v>
      </c>
      <c r="F365">
        <v>0.15</v>
      </c>
      <c r="G365" s="80">
        <f t="shared" si="11"/>
        <v>225</v>
      </c>
      <c r="H365" s="80">
        <f>VLOOKUP(D365,'Bu Erta'!$C$2:$F$66,4,0)*F365</f>
        <v>300</v>
      </c>
    </row>
    <row r="366" spans="1:8" x14ac:dyDescent="0.35">
      <c r="B366" t="s">
        <v>84</v>
      </c>
      <c r="D366" t="s">
        <v>24</v>
      </c>
      <c r="E366" s="80">
        <f>VLOOKUP(D366,'Bu Erta'!$C$2:$E$66,3,0)</f>
        <v>150</v>
      </c>
      <c r="F366">
        <v>0.6</v>
      </c>
      <c r="G366" s="80">
        <f t="shared" si="11"/>
        <v>90</v>
      </c>
      <c r="H366" s="80">
        <f>VLOOKUP(D366,'Bu Erta'!$C$2:$F$66,4,0)*F366</f>
        <v>120</v>
      </c>
    </row>
    <row r="367" spans="1:8" x14ac:dyDescent="0.35">
      <c r="B367" t="s">
        <v>84</v>
      </c>
      <c r="D367" t="s">
        <v>7</v>
      </c>
      <c r="E367" s="80">
        <f>VLOOKUP(D367,'Bu Erta'!$C$2:$E$66,3,0)</f>
        <v>1400</v>
      </c>
      <c r="F367">
        <v>0.9</v>
      </c>
      <c r="G367" s="80">
        <f t="shared" si="11"/>
        <v>1260</v>
      </c>
      <c r="H367" s="80">
        <f>VLOOKUP(D367,'Bu Erta'!$C$2:$F$66,4,0)*F367</f>
        <v>1440</v>
      </c>
    </row>
    <row r="368" spans="1:8" x14ac:dyDescent="0.35">
      <c r="B368" t="s">
        <v>84</v>
      </c>
      <c r="D368" t="s">
        <v>19</v>
      </c>
      <c r="E368" s="80">
        <f>VLOOKUP(D368,'Bu Erta'!$C$2:$E$66,3,0)</f>
        <v>200</v>
      </c>
      <c r="F368">
        <v>1.45</v>
      </c>
      <c r="G368" s="80">
        <f t="shared" si="11"/>
        <v>290</v>
      </c>
      <c r="H368" s="80">
        <f>VLOOKUP(D368,'Bu Erta'!$C$2:$F$66,4,0)*F368</f>
        <v>435</v>
      </c>
    </row>
    <row r="369" spans="5:8" x14ac:dyDescent="0.35">
      <c r="E369" s="80"/>
      <c r="G369" s="80">
        <f>SUM(G3:G368)</f>
        <v>866252.5</v>
      </c>
      <c r="H369" s="80">
        <f>SUM(H3:H368)</f>
        <v>1010065</v>
      </c>
    </row>
    <row r="370" spans="5:8" x14ac:dyDescent="0.35">
      <c r="E370" s="80"/>
      <c r="G370" s="80"/>
      <c r="H370" s="80"/>
    </row>
    <row r="371" spans="5:8" x14ac:dyDescent="0.35">
      <c r="E371" s="80"/>
      <c r="G371" s="80"/>
      <c r="H371" s="80"/>
    </row>
    <row r="372" spans="5:8" x14ac:dyDescent="0.35">
      <c r="E372" s="80"/>
      <c r="G372" s="80"/>
      <c r="H372" s="80"/>
    </row>
    <row r="373" spans="5:8" x14ac:dyDescent="0.35">
      <c r="E373" s="80"/>
      <c r="G373" s="80"/>
      <c r="H373" s="80"/>
    </row>
    <row r="374" spans="5:8" x14ac:dyDescent="0.35">
      <c r="E374" s="80"/>
      <c r="G374" s="80"/>
      <c r="H374" s="80"/>
    </row>
    <row r="375" spans="5:8" x14ac:dyDescent="0.35">
      <c r="E375" s="80"/>
      <c r="G375" s="80"/>
      <c r="H375" s="80"/>
    </row>
    <row r="376" spans="5:8" x14ac:dyDescent="0.35">
      <c r="E376" s="80"/>
      <c r="G376" s="80"/>
      <c r="H376" s="80"/>
    </row>
    <row r="377" spans="5:8" x14ac:dyDescent="0.35">
      <c r="E377" s="80"/>
      <c r="G377" s="80"/>
      <c r="H377" s="80"/>
    </row>
    <row r="378" spans="5:8" x14ac:dyDescent="0.35">
      <c r="E378" s="80"/>
      <c r="G378" s="80"/>
      <c r="H378" s="80"/>
    </row>
    <row r="379" spans="5:8" x14ac:dyDescent="0.35">
      <c r="E379" s="80"/>
      <c r="G379" s="80"/>
      <c r="H379" s="80"/>
    </row>
    <row r="380" spans="5:8" x14ac:dyDescent="0.35">
      <c r="E380" s="80"/>
      <c r="G380" s="80"/>
      <c r="H380" s="80"/>
    </row>
    <row r="381" spans="5:8" x14ac:dyDescent="0.35">
      <c r="E381" s="80"/>
      <c r="G381" s="80"/>
      <c r="H381" s="80"/>
    </row>
    <row r="382" spans="5:8" x14ac:dyDescent="0.35">
      <c r="E382" s="80"/>
      <c r="G382" s="80"/>
      <c r="H382" s="80"/>
    </row>
    <row r="383" spans="5:8" x14ac:dyDescent="0.35">
      <c r="E383" s="80"/>
      <c r="G383" s="80"/>
      <c r="H383" s="80"/>
    </row>
    <row r="384" spans="5:8" x14ac:dyDescent="0.35">
      <c r="E384" s="80"/>
      <c r="G384" s="80"/>
      <c r="H384" s="80"/>
    </row>
    <row r="385" spans="5:8" x14ac:dyDescent="0.35">
      <c r="E385" s="80"/>
      <c r="G385" s="80"/>
      <c r="H385" s="80"/>
    </row>
    <row r="386" spans="5:8" x14ac:dyDescent="0.35">
      <c r="E386" s="80"/>
      <c r="G386" s="80"/>
      <c r="H386" s="80"/>
    </row>
    <row r="387" spans="5:8" x14ac:dyDescent="0.35">
      <c r="E387" s="80"/>
      <c r="G387" s="80"/>
      <c r="H387" s="80"/>
    </row>
    <row r="388" spans="5:8" x14ac:dyDescent="0.35">
      <c r="E388" s="80"/>
      <c r="G388" s="80"/>
      <c r="H388" s="80"/>
    </row>
    <row r="389" spans="5:8" x14ac:dyDescent="0.35">
      <c r="E389" s="80"/>
      <c r="G389" s="80"/>
      <c r="H389" s="80"/>
    </row>
    <row r="390" spans="5:8" x14ac:dyDescent="0.35">
      <c r="E390" s="80"/>
      <c r="G390" s="80"/>
      <c r="H390" s="80"/>
    </row>
    <row r="391" spans="5:8" x14ac:dyDescent="0.35">
      <c r="E391" s="80"/>
      <c r="G391" s="80"/>
      <c r="H391" s="80"/>
    </row>
    <row r="392" spans="5:8" x14ac:dyDescent="0.35">
      <c r="E392" s="80"/>
      <c r="G392" s="80"/>
      <c r="H392" s="80"/>
    </row>
    <row r="393" spans="5:8" x14ac:dyDescent="0.35">
      <c r="E393" s="80"/>
      <c r="G393" s="80"/>
      <c r="H393" s="80"/>
    </row>
    <row r="394" spans="5:8" x14ac:dyDescent="0.35">
      <c r="E394" s="80"/>
      <c r="G394" s="80"/>
      <c r="H394" s="80"/>
    </row>
    <row r="395" spans="5:8" x14ac:dyDescent="0.35">
      <c r="E395" s="80"/>
      <c r="G395" s="80"/>
      <c r="H395" s="80"/>
    </row>
    <row r="396" spans="5:8" x14ac:dyDescent="0.35">
      <c r="E396" s="80"/>
      <c r="G396" s="80"/>
      <c r="H396" s="80"/>
    </row>
    <row r="397" spans="5:8" x14ac:dyDescent="0.35">
      <c r="E397" s="80"/>
      <c r="G397" s="80"/>
      <c r="H397" s="80"/>
    </row>
    <row r="398" spans="5:8" x14ac:dyDescent="0.35">
      <c r="E398" s="80"/>
      <c r="G398" s="80"/>
      <c r="H398" s="80"/>
    </row>
    <row r="399" spans="5:8" x14ac:dyDescent="0.35">
      <c r="E399" s="80"/>
      <c r="G399" s="80"/>
      <c r="H399" s="80"/>
    </row>
    <row r="400" spans="5:8" x14ac:dyDescent="0.35">
      <c r="E400" s="80"/>
      <c r="G400" s="80"/>
      <c r="H400" s="80"/>
    </row>
    <row r="401" spans="5:8" x14ac:dyDescent="0.35">
      <c r="E401" s="80"/>
      <c r="G401" s="80"/>
      <c r="H401" s="80"/>
    </row>
    <row r="402" spans="5:8" x14ac:dyDescent="0.35">
      <c r="E402" s="80"/>
      <c r="G402" s="80"/>
      <c r="H402" s="80"/>
    </row>
    <row r="403" spans="5:8" x14ac:dyDescent="0.35">
      <c r="E403" s="80"/>
      <c r="G403" s="80"/>
      <c r="H403" s="80"/>
    </row>
    <row r="404" spans="5:8" x14ac:dyDescent="0.35">
      <c r="E404" s="80"/>
      <c r="G404" s="80"/>
      <c r="H404" s="80"/>
    </row>
    <row r="405" spans="5:8" x14ac:dyDescent="0.35">
      <c r="E405" s="80"/>
      <c r="G405" s="80"/>
      <c r="H405" s="80"/>
    </row>
    <row r="406" spans="5:8" x14ac:dyDescent="0.35">
      <c r="E406" s="80"/>
      <c r="G406" s="80"/>
      <c r="H406" s="80"/>
    </row>
    <row r="407" spans="5:8" x14ac:dyDescent="0.35">
      <c r="E407" s="80"/>
      <c r="G407" s="80"/>
      <c r="H407" s="80"/>
    </row>
    <row r="408" spans="5:8" x14ac:dyDescent="0.35">
      <c r="E408" s="80"/>
      <c r="G408" s="80"/>
      <c r="H408" s="80"/>
    </row>
    <row r="409" spans="5:8" x14ac:dyDescent="0.35">
      <c r="E409" s="80"/>
      <c r="G409" s="80"/>
      <c r="H409" s="80"/>
    </row>
    <row r="410" spans="5:8" x14ac:dyDescent="0.35">
      <c r="E410" s="80"/>
      <c r="G410" s="80"/>
      <c r="H410" s="80"/>
    </row>
    <row r="411" spans="5:8" x14ac:dyDescent="0.35">
      <c r="E411" s="80"/>
      <c r="G411" s="80"/>
      <c r="H411" s="80"/>
    </row>
    <row r="412" spans="5:8" x14ac:dyDescent="0.35">
      <c r="E412" s="80"/>
      <c r="G412" s="80"/>
      <c r="H412" s="80"/>
    </row>
    <row r="413" spans="5:8" x14ac:dyDescent="0.35">
      <c r="E413" s="80"/>
      <c r="G413" s="80"/>
      <c r="H413" s="80"/>
    </row>
    <row r="414" spans="5:8" x14ac:dyDescent="0.35">
      <c r="E414" s="80"/>
      <c r="G414" s="80"/>
      <c r="H414" s="80"/>
    </row>
    <row r="415" spans="5:8" x14ac:dyDescent="0.35">
      <c r="E415" s="80"/>
      <c r="G415" s="80"/>
      <c r="H415" s="80"/>
    </row>
    <row r="416" spans="5:8" x14ac:dyDescent="0.35">
      <c r="E416" s="80"/>
      <c r="G416" s="80"/>
      <c r="H416" s="80"/>
    </row>
    <row r="417" spans="5:8" x14ac:dyDescent="0.35">
      <c r="E417" s="80"/>
      <c r="G417" s="80"/>
      <c r="H417" s="80"/>
    </row>
    <row r="418" spans="5:8" x14ac:dyDescent="0.35">
      <c r="E418" s="80"/>
      <c r="G418" s="80"/>
      <c r="H418" s="80"/>
    </row>
    <row r="419" spans="5:8" x14ac:dyDescent="0.35">
      <c r="E419" s="80"/>
      <c r="G419" s="80"/>
      <c r="H419" s="80"/>
    </row>
    <row r="420" spans="5:8" x14ac:dyDescent="0.35">
      <c r="E420" s="80"/>
      <c r="G420" s="80"/>
      <c r="H420" s="80"/>
    </row>
    <row r="421" spans="5:8" x14ac:dyDescent="0.35">
      <c r="E421" s="80"/>
      <c r="G421" s="80"/>
      <c r="H421" s="80"/>
    </row>
    <row r="422" spans="5:8" x14ac:dyDescent="0.35">
      <c r="E422" s="80"/>
      <c r="G422" s="80"/>
      <c r="H422" s="80"/>
    </row>
    <row r="423" spans="5:8" x14ac:dyDescent="0.35">
      <c r="E423" s="80"/>
      <c r="G423" s="80"/>
      <c r="H423" s="80"/>
    </row>
    <row r="424" spans="5:8" x14ac:dyDescent="0.35">
      <c r="E424" s="80"/>
      <c r="G424" s="80"/>
      <c r="H424" s="80"/>
    </row>
    <row r="425" spans="5:8" x14ac:dyDescent="0.35">
      <c r="E425" s="80"/>
      <c r="G425" s="80"/>
      <c r="H425" s="80"/>
    </row>
    <row r="426" spans="5:8" x14ac:dyDescent="0.35">
      <c r="E426" s="80"/>
      <c r="G426" s="80"/>
      <c r="H426" s="80"/>
    </row>
    <row r="427" spans="5:8" x14ac:dyDescent="0.35">
      <c r="E427" s="80"/>
      <c r="G427" s="80"/>
      <c r="H427" s="80"/>
    </row>
    <row r="428" spans="5:8" x14ac:dyDescent="0.35">
      <c r="E428" s="80"/>
      <c r="G428" s="80"/>
      <c r="H428" s="80"/>
    </row>
    <row r="429" spans="5:8" x14ac:dyDescent="0.35">
      <c r="E429" s="80"/>
      <c r="G429" s="80"/>
      <c r="H429" s="80"/>
    </row>
    <row r="430" spans="5:8" x14ac:dyDescent="0.35">
      <c r="E430" s="80"/>
      <c r="G430" s="80"/>
      <c r="H430" s="80"/>
    </row>
    <row r="431" spans="5:8" x14ac:dyDescent="0.35">
      <c r="E431" s="80"/>
      <c r="G431" s="80"/>
      <c r="H431" s="80"/>
    </row>
    <row r="432" spans="5:8" x14ac:dyDescent="0.35">
      <c r="E432" s="80"/>
      <c r="G432" s="80"/>
      <c r="H432" s="80"/>
    </row>
    <row r="433" spans="5:8" x14ac:dyDescent="0.35">
      <c r="E433" s="80"/>
      <c r="G433" s="80"/>
      <c r="H433" s="80"/>
    </row>
    <row r="434" spans="5:8" x14ac:dyDescent="0.35">
      <c r="E434" s="80"/>
      <c r="G434" s="80"/>
      <c r="H434" s="80"/>
    </row>
    <row r="435" spans="5:8" x14ac:dyDescent="0.35">
      <c r="E435" s="80"/>
      <c r="G435" s="80"/>
      <c r="H435" s="80"/>
    </row>
    <row r="436" spans="5:8" x14ac:dyDescent="0.35">
      <c r="E436" s="80"/>
      <c r="G436" s="80"/>
      <c r="H436" s="80"/>
    </row>
    <row r="437" spans="5:8" x14ac:dyDescent="0.35">
      <c r="E437" s="80"/>
      <c r="G437" s="80"/>
      <c r="H437" s="80"/>
    </row>
    <row r="438" spans="5:8" x14ac:dyDescent="0.35">
      <c r="E438" s="80"/>
      <c r="G438" s="80"/>
      <c r="H438" s="80"/>
    </row>
    <row r="439" spans="5:8" x14ac:dyDescent="0.35">
      <c r="E439" s="80"/>
      <c r="G439" s="80"/>
      <c r="H439" s="80"/>
    </row>
    <row r="440" spans="5:8" x14ac:dyDescent="0.35">
      <c r="E440" s="80"/>
      <c r="G440" s="80"/>
      <c r="H440" s="80"/>
    </row>
    <row r="441" spans="5:8" x14ac:dyDescent="0.35">
      <c r="E441" s="80"/>
      <c r="G441" s="80"/>
      <c r="H441" s="80"/>
    </row>
    <row r="442" spans="5:8" x14ac:dyDescent="0.35">
      <c r="E442" s="80"/>
      <c r="G442" s="80"/>
      <c r="H442" s="80"/>
    </row>
    <row r="443" spans="5:8" x14ac:dyDescent="0.35">
      <c r="E443" s="80"/>
      <c r="G443" s="80"/>
      <c r="H443" s="80"/>
    </row>
    <row r="444" spans="5:8" x14ac:dyDescent="0.35">
      <c r="E444" s="80"/>
      <c r="G444" s="80"/>
      <c r="H444" s="80"/>
    </row>
    <row r="445" spans="5:8" x14ac:dyDescent="0.35">
      <c r="E445" s="80"/>
      <c r="G445" s="80"/>
      <c r="H445" s="80"/>
    </row>
    <row r="446" spans="5:8" x14ac:dyDescent="0.35">
      <c r="E446" s="80"/>
      <c r="G446" s="80"/>
      <c r="H446" s="80"/>
    </row>
    <row r="447" spans="5:8" x14ac:dyDescent="0.35">
      <c r="E447" s="80"/>
      <c r="G447" s="80"/>
      <c r="H447" s="80"/>
    </row>
    <row r="448" spans="5:8" x14ac:dyDescent="0.35">
      <c r="E448" s="80"/>
      <c r="G448" s="80"/>
      <c r="H448" s="80"/>
    </row>
    <row r="449" spans="5:8" x14ac:dyDescent="0.35">
      <c r="E449" s="80"/>
      <c r="G449" s="80"/>
      <c r="H449" s="80"/>
    </row>
    <row r="450" spans="5:8" x14ac:dyDescent="0.35">
      <c r="E450" s="80"/>
      <c r="G450" s="80"/>
      <c r="H450" s="80"/>
    </row>
    <row r="451" spans="5:8" x14ac:dyDescent="0.35">
      <c r="E451" s="80"/>
      <c r="G451" s="80"/>
      <c r="H451" s="80"/>
    </row>
    <row r="452" spans="5:8" x14ac:dyDescent="0.35">
      <c r="E452" s="80"/>
      <c r="G452" s="80"/>
      <c r="H452" s="80"/>
    </row>
    <row r="453" spans="5:8" x14ac:dyDescent="0.35">
      <c r="E453" s="80"/>
      <c r="G453" s="80"/>
      <c r="H453" s="80"/>
    </row>
    <row r="454" spans="5:8" x14ac:dyDescent="0.35">
      <c r="E454" s="80"/>
      <c r="G454" s="80"/>
      <c r="H454" s="80"/>
    </row>
    <row r="455" spans="5:8" x14ac:dyDescent="0.35">
      <c r="E455" s="80"/>
      <c r="G455" s="80"/>
      <c r="H455" s="80"/>
    </row>
    <row r="456" spans="5:8" x14ac:dyDescent="0.35">
      <c r="E456" s="80"/>
      <c r="G456" s="80"/>
      <c r="H456" s="80"/>
    </row>
    <row r="457" spans="5:8" x14ac:dyDescent="0.35">
      <c r="E457" s="80"/>
      <c r="G457" s="80"/>
      <c r="H457" s="80"/>
    </row>
    <row r="458" spans="5:8" x14ac:dyDescent="0.35">
      <c r="E458" s="80"/>
      <c r="G458" s="80"/>
      <c r="H458" s="80"/>
    </row>
    <row r="459" spans="5:8" x14ac:dyDescent="0.35">
      <c r="E459" s="80"/>
      <c r="G459" s="80"/>
      <c r="H459" s="80"/>
    </row>
    <row r="460" spans="5:8" x14ac:dyDescent="0.35">
      <c r="E460" s="80"/>
      <c r="G460" s="80"/>
      <c r="H460" s="80"/>
    </row>
    <row r="461" spans="5:8" x14ac:dyDescent="0.35">
      <c r="E461" s="80"/>
      <c r="G461" s="80"/>
      <c r="H461" s="80"/>
    </row>
    <row r="462" spans="5:8" x14ac:dyDescent="0.35">
      <c r="E462" s="80"/>
      <c r="G462" s="80"/>
      <c r="H462" s="80"/>
    </row>
    <row r="463" spans="5:8" x14ac:dyDescent="0.35">
      <c r="E463" s="80"/>
      <c r="G463" s="80"/>
      <c r="H463" s="80"/>
    </row>
    <row r="464" spans="5:8" x14ac:dyDescent="0.35">
      <c r="E464" s="80"/>
      <c r="G464" s="80"/>
      <c r="H464" s="80"/>
    </row>
    <row r="465" spans="5:8" x14ac:dyDescent="0.35">
      <c r="E465" s="80"/>
      <c r="G465" s="80"/>
      <c r="H465" s="80"/>
    </row>
    <row r="466" spans="5:8" x14ac:dyDescent="0.35">
      <c r="E466" s="80"/>
      <c r="G466" s="80"/>
      <c r="H466" s="80"/>
    </row>
    <row r="467" spans="5:8" x14ac:dyDescent="0.35">
      <c r="E467" s="80"/>
      <c r="G467" s="80"/>
      <c r="H467" s="80"/>
    </row>
    <row r="468" spans="5:8" x14ac:dyDescent="0.35">
      <c r="E468" s="80"/>
      <c r="G468" s="80"/>
      <c r="H468" s="80"/>
    </row>
    <row r="469" spans="5:8" x14ac:dyDescent="0.35">
      <c r="E469" s="80"/>
      <c r="G469" s="80"/>
      <c r="H469" s="80"/>
    </row>
    <row r="470" spans="5:8" x14ac:dyDescent="0.35">
      <c r="E470" s="80"/>
      <c r="G470" s="80"/>
      <c r="H470" s="80"/>
    </row>
    <row r="471" spans="5:8" x14ac:dyDescent="0.35">
      <c r="E471" s="80"/>
      <c r="G471" s="80"/>
      <c r="H471" s="80"/>
    </row>
    <row r="472" spans="5:8" x14ac:dyDescent="0.35">
      <c r="E472" s="80"/>
      <c r="G472" s="80"/>
      <c r="H472" s="80"/>
    </row>
    <row r="473" spans="5:8" x14ac:dyDescent="0.35">
      <c r="E473" s="80"/>
      <c r="G473" s="80"/>
      <c r="H473" s="80"/>
    </row>
    <row r="474" spans="5:8" x14ac:dyDescent="0.35">
      <c r="E474" s="80"/>
      <c r="G474" s="80"/>
      <c r="H474" s="80"/>
    </row>
    <row r="475" spans="5:8" x14ac:dyDescent="0.35">
      <c r="E475" s="80"/>
      <c r="G475" s="80"/>
      <c r="H475" s="80"/>
    </row>
    <row r="476" spans="5:8" x14ac:dyDescent="0.35">
      <c r="E476" s="80"/>
      <c r="G476" s="80"/>
      <c r="H476" s="80"/>
    </row>
    <row r="477" spans="5:8" x14ac:dyDescent="0.35">
      <c r="E477" s="80"/>
      <c r="G477" s="80"/>
      <c r="H477" s="80"/>
    </row>
    <row r="478" spans="5:8" x14ac:dyDescent="0.35">
      <c r="E478" s="80"/>
      <c r="G478" s="80"/>
      <c r="H478" s="80"/>
    </row>
    <row r="479" spans="5:8" x14ac:dyDescent="0.35">
      <c r="E479" s="80"/>
      <c r="G479" s="80"/>
      <c r="H479" s="80"/>
    </row>
    <row r="480" spans="5:8" x14ac:dyDescent="0.35">
      <c r="E480" s="80"/>
      <c r="G480" s="80"/>
      <c r="H480" s="80"/>
    </row>
    <row r="481" spans="5:8" x14ac:dyDescent="0.35">
      <c r="E481" s="80"/>
      <c r="G481" s="80"/>
      <c r="H481" s="80"/>
    </row>
    <row r="482" spans="5:8" x14ac:dyDescent="0.35">
      <c r="E482" s="80"/>
      <c r="G482" s="80"/>
      <c r="H482" s="80"/>
    </row>
    <row r="483" spans="5:8" x14ac:dyDescent="0.35">
      <c r="E483" s="80"/>
      <c r="G483" s="80"/>
      <c r="H483" s="80"/>
    </row>
    <row r="484" spans="5:8" x14ac:dyDescent="0.35">
      <c r="E484" s="80"/>
      <c r="G484" s="80"/>
      <c r="H484" s="80"/>
    </row>
    <row r="485" spans="5:8" x14ac:dyDescent="0.35">
      <c r="E485" s="80"/>
      <c r="G485" s="80"/>
      <c r="H485" s="80"/>
    </row>
    <row r="486" spans="5:8" x14ac:dyDescent="0.35">
      <c r="E486" s="80"/>
      <c r="G486" s="80"/>
      <c r="H486" s="80"/>
    </row>
    <row r="487" spans="5:8" x14ac:dyDescent="0.35">
      <c r="E487" s="80"/>
      <c r="G487" s="80"/>
      <c r="H487" s="80"/>
    </row>
    <row r="488" spans="5:8" x14ac:dyDescent="0.35">
      <c r="E488" s="80"/>
      <c r="G488" s="80"/>
      <c r="H488" s="80"/>
    </row>
    <row r="489" spans="5:8" x14ac:dyDescent="0.35">
      <c r="E489" s="80"/>
      <c r="G489" s="80"/>
      <c r="H489" s="80"/>
    </row>
    <row r="490" spans="5:8" x14ac:dyDescent="0.35">
      <c r="E490" s="80"/>
      <c r="G490" s="80"/>
      <c r="H490" s="80"/>
    </row>
    <row r="491" spans="5:8" x14ac:dyDescent="0.35">
      <c r="E491" s="80"/>
      <c r="G491" s="80"/>
      <c r="H491" s="80"/>
    </row>
    <row r="492" spans="5:8" x14ac:dyDescent="0.35">
      <c r="E492" s="80"/>
      <c r="G492" s="80"/>
      <c r="H492" s="80"/>
    </row>
    <row r="493" spans="5:8" x14ac:dyDescent="0.35">
      <c r="E493" s="80"/>
      <c r="G493" s="80"/>
      <c r="H493" s="80"/>
    </row>
    <row r="494" spans="5:8" x14ac:dyDescent="0.35">
      <c r="E494" s="80"/>
      <c r="G494" s="80"/>
      <c r="H494" s="80"/>
    </row>
    <row r="495" spans="5:8" x14ac:dyDescent="0.35">
      <c r="E495" s="80"/>
      <c r="G495" s="80"/>
      <c r="H495" s="80"/>
    </row>
    <row r="496" spans="5:8" x14ac:dyDescent="0.35">
      <c r="E496" s="80"/>
      <c r="G496" s="80"/>
      <c r="H496" s="80"/>
    </row>
    <row r="497" spans="5:8" x14ac:dyDescent="0.35">
      <c r="E497" s="80"/>
      <c r="G497" s="80"/>
      <c r="H497" s="80"/>
    </row>
    <row r="498" spans="5:8" x14ac:dyDescent="0.35">
      <c r="E498" s="80"/>
      <c r="G498" s="80"/>
      <c r="H498" s="80"/>
    </row>
    <row r="499" spans="5:8" x14ac:dyDescent="0.35">
      <c r="E499" s="80"/>
      <c r="G499" s="80"/>
      <c r="H499" s="80"/>
    </row>
    <row r="500" spans="5:8" x14ac:dyDescent="0.35">
      <c r="E500" s="80"/>
      <c r="G500" s="80"/>
      <c r="H500" s="80"/>
    </row>
    <row r="501" spans="5:8" x14ac:dyDescent="0.35">
      <c r="E501" s="80"/>
      <c r="G501" s="80"/>
      <c r="H501" s="80"/>
    </row>
    <row r="502" spans="5:8" x14ac:dyDescent="0.35">
      <c r="E502" s="80"/>
      <c r="G502" s="80"/>
      <c r="H502" s="80"/>
    </row>
    <row r="503" spans="5:8" x14ac:dyDescent="0.35">
      <c r="E503" s="80"/>
      <c r="G503" s="80"/>
      <c r="H503" s="80"/>
    </row>
    <row r="504" spans="5:8" x14ac:dyDescent="0.35">
      <c r="E504" s="80"/>
      <c r="G504" s="80"/>
      <c r="H504" s="80"/>
    </row>
    <row r="505" spans="5:8" x14ac:dyDescent="0.35">
      <c r="E505" s="80"/>
      <c r="G505" s="80"/>
      <c r="H505" s="80"/>
    </row>
    <row r="506" spans="5:8" x14ac:dyDescent="0.35">
      <c r="E506" s="80"/>
      <c r="G506" s="80"/>
      <c r="H506" s="80"/>
    </row>
    <row r="507" spans="5:8" x14ac:dyDescent="0.35">
      <c r="E507" s="80"/>
      <c r="G507" s="80"/>
      <c r="H507" s="80"/>
    </row>
    <row r="508" spans="5:8" x14ac:dyDescent="0.35">
      <c r="E508" s="80"/>
      <c r="G508" s="80"/>
      <c r="H508" s="80"/>
    </row>
    <row r="509" spans="5:8" x14ac:dyDescent="0.35">
      <c r="E509" s="80"/>
      <c r="G509" s="80"/>
      <c r="H509" s="80"/>
    </row>
    <row r="510" spans="5:8" x14ac:dyDescent="0.35">
      <c r="E510" s="80"/>
      <c r="G510" s="80"/>
      <c r="H510" s="80"/>
    </row>
    <row r="511" spans="5:8" x14ac:dyDescent="0.35">
      <c r="E511" s="80"/>
      <c r="G511" s="80"/>
      <c r="H511" s="80"/>
    </row>
    <row r="512" spans="5:8" x14ac:dyDescent="0.35">
      <c r="E512" s="80"/>
      <c r="G512" s="80"/>
      <c r="H512" s="80"/>
    </row>
    <row r="513" spans="5:8" x14ac:dyDescent="0.35">
      <c r="E513" s="80"/>
      <c r="G513" s="80"/>
      <c r="H513" s="80"/>
    </row>
    <row r="514" spans="5:8" x14ac:dyDescent="0.35">
      <c r="E514" s="80"/>
      <c r="G514" s="80"/>
      <c r="H514" s="80"/>
    </row>
    <row r="515" spans="5:8" x14ac:dyDescent="0.35">
      <c r="E515" s="80"/>
      <c r="G515" s="80"/>
      <c r="H515" s="80"/>
    </row>
    <row r="516" spans="5:8" x14ac:dyDescent="0.35">
      <c r="E516" s="80"/>
      <c r="G516" s="80"/>
      <c r="H516" s="80"/>
    </row>
    <row r="517" spans="5:8" x14ac:dyDescent="0.35">
      <c r="E517" s="80"/>
      <c r="G517" s="80"/>
      <c r="H517" s="80"/>
    </row>
    <row r="518" spans="5:8" x14ac:dyDescent="0.35">
      <c r="E518" s="80"/>
      <c r="G518" s="80"/>
      <c r="H518" s="80"/>
    </row>
    <row r="519" spans="5:8" x14ac:dyDescent="0.35">
      <c r="E519" s="80"/>
      <c r="G519" s="80"/>
      <c r="H519" s="80"/>
    </row>
    <row r="520" spans="5:8" x14ac:dyDescent="0.35">
      <c r="E520" s="80"/>
      <c r="G520" s="80"/>
      <c r="H520" s="80"/>
    </row>
    <row r="521" spans="5:8" x14ac:dyDescent="0.35">
      <c r="E521" s="80"/>
      <c r="G521" s="80"/>
      <c r="H521" s="80"/>
    </row>
    <row r="522" spans="5:8" x14ac:dyDescent="0.35">
      <c r="E522" s="80"/>
      <c r="G522" s="80"/>
      <c r="H522" s="80"/>
    </row>
    <row r="523" spans="5:8" x14ac:dyDescent="0.35">
      <c r="E523" s="80"/>
      <c r="G523" s="80"/>
      <c r="H523" s="80"/>
    </row>
    <row r="524" spans="5:8" x14ac:dyDescent="0.35">
      <c r="E524" s="80"/>
      <c r="G524" s="80"/>
      <c r="H524" s="80"/>
    </row>
    <row r="525" spans="5:8" x14ac:dyDescent="0.35">
      <c r="E525" s="80"/>
      <c r="G525" s="80"/>
      <c r="H525" s="80"/>
    </row>
    <row r="526" spans="5:8" x14ac:dyDescent="0.35">
      <c r="E526" s="80"/>
      <c r="G526" s="80"/>
      <c r="H526" s="80"/>
    </row>
    <row r="527" spans="5:8" x14ac:dyDescent="0.35">
      <c r="E527" s="80"/>
      <c r="G527" s="80"/>
      <c r="H527" s="80"/>
    </row>
    <row r="528" spans="5:8" x14ac:dyDescent="0.35">
      <c r="E528" s="80"/>
      <c r="G528" s="80"/>
      <c r="H528" s="80"/>
    </row>
    <row r="529" spans="5:8" x14ac:dyDescent="0.35">
      <c r="E529" s="80"/>
      <c r="G529" s="80"/>
      <c r="H529" s="80"/>
    </row>
    <row r="530" spans="5:8" x14ac:dyDescent="0.35">
      <c r="E530" s="80"/>
      <c r="G530" s="80"/>
      <c r="H530" s="80"/>
    </row>
    <row r="531" spans="5:8" x14ac:dyDescent="0.35">
      <c r="E531" s="80"/>
      <c r="G531" s="80"/>
      <c r="H531" s="80"/>
    </row>
    <row r="532" spans="5:8" x14ac:dyDescent="0.35">
      <c r="E532" s="80"/>
      <c r="G532" s="80"/>
      <c r="H532" s="80"/>
    </row>
    <row r="533" spans="5:8" x14ac:dyDescent="0.35">
      <c r="E533" s="80"/>
      <c r="G533" s="80"/>
      <c r="H533" s="80"/>
    </row>
    <row r="534" spans="5:8" x14ac:dyDescent="0.35">
      <c r="E534" s="80"/>
      <c r="G534" s="80"/>
      <c r="H534" s="80"/>
    </row>
    <row r="535" spans="5:8" x14ac:dyDescent="0.35">
      <c r="E535" s="80"/>
      <c r="G535" s="80"/>
      <c r="H535" s="80"/>
    </row>
    <row r="536" spans="5:8" x14ac:dyDescent="0.35">
      <c r="E536" s="80"/>
      <c r="G536" s="80"/>
      <c r="H536" s="80"/>
    </row>
    <row r="537" spans="5:8" x14ac:dyDescent="0.35">
      <c r="E537" s="80"/>
      <c r="G537" s="80"/>
      <c r="H537" s="80"/>
    </row>
    <row r="538" spans="5:8" x14ac:dyDescent="0.35">
      <c r="E538" s="80"/>
      <c r="G538" s="80"/>
      <c r="H538" s="80"/>
    </row>
    <row r="539" spans="5:8" x14ac:dyDescent="0.35">
      <c r="E539" s="80"/>
      <c r="G539" s="80"/>
      <c r="H539" s="80"/>
    </row>
    <row r="540" spans="5:8" x14ac:dyDescent="0.35">
      <c r="E540" s="80"/>
      <c r="G540" s="80"/>
      <c r="H540" s="80"/>
    </row>
    <row r="541" spans="5:8" x14ac:dyDescent="0.35">
      <c r="E541" s="80"/>
      <c r="G541" s="80"/>
      <c r="H541" s="80"/>
    </row>
    <row r="542" spans="5:8" x14ac:dyDescent="0.35">
      <c r="E542" s="80"/>
      <c r="G542" s="80"/>
      <c r="H542" s="80"/>
    </row>
    <row r="543" spans="5:8" x14ac:dyDescent="0.35">
      <c r="E543" s="80"/>
      <c r="G543" s="80"/>
      <c r="H543" s="80"/>
    </row>
    <row r="544" spans="5:8" x14ac:dyDescent="0.35">
      <c r="E544" s="80"/>
      <c r="G544" s="80"/>
      <c r="H544" s="80"/>
    </row>
    <row r="545" spans="5:8" x14ac:dyDescent="0.35">
      <c r="E545" s="80"/>
      <c r="G545" s="80"/>
      <c r="H545" s="80"/>
    </row>
    <row r="546" spans="5:8" x14ac:dyDescent="0.35">
      <c r="E546" s="80"/>
      <c r="G546" s="80"/>
      <c r="H546" s="80"/>
    </row>
    <row r="547" spans="5:8" x14ac:dyDescent="0.35">
      <c r="E547" s="80"/>
      <c r="G547" s="80"/>
      <c r="H547" s="80"/>
    </row>
    <row r="548" spans="5:8" x14ac:dyDescent="0.35">
      <c r="E548" s="80"/>
      <c r="G548" s="80"/>
      <c r="H548" s="80"/>
    </row>
    <row r="549" spans="5:8" x14ac:dyDescent="0.35">
      <c r="E549" s="80"/>
      <c r="G549" s="80"/>
      <c r="H549" s="80"/>
    </row>
    <row r="550" spans="5:8" x14ac:dyDescent="0.35">
      <c r="E550" s="80"/>
      <c r="G550" s="80"/>
      <c r="H550" s="80"/>
    </row>
    <row r="551" spans="5:8" x14ac:dyDescent="0.35">
      <c r="E551" s="80"/>
      <c r="G551" s="80"/>
      <c r="H551" s="80"/>
    </row>
    <row r="552" spans="5:8" x14ac:dyDescent="0.35">
      <c r="E552" s="80"/>
      <c r="G552" s="80"/>
      <c r="H552" s="80"/>
    </row>
    <row r="553" spans="5:8" x14ac:dyDescent="0.35">
      <c r="E553" s="80"/>
      <c r="G553" s="80"/>
      <c r="H553" s="80"/>
    </row>
    <row r="554" spans="5:8" x14ac:dyDescent="0.35">
      <c r="E554" s="80"/>
      <c r="G554" s="80"/>
      <c r="H554" s="80"/>
    </row>
    <row r="555" spans="5:8" x14ac:dyDescent="0.35">
      <c r="E555" s="80"/>
      <c r="G555" s="80"/>
      <c r="H555" s="80"/>
    </row>
    <row r="556" spans="5:8" x14ac:dyDescent="0.35">
      <c r="E556" s="80"/>
      <c r="G556" s="80"/>
      <c r="H556" s="80"/>
    </row>
    <row r="557" spans="5:8" x14ac:dyDescent="0.35">
      <c r="E557" s="80"/>
      <c r="G557" s="80"/>
      <c r="H557" s="80"/>
    </row>
    <row r="558" spans="5:8" x14ac:dyDescent="0.35">
      <c r="E558" s="80"/>
      <c r="G558" s="80"/>
      <c r="H558" s="80"/>
    </row>
    <row r="559" spans="5:8" x14ac:dyDescent="0.35">
      <c r="E559" s="80"/>
      <c r="G559" s="80"/>
      <c r="H559" s="80"/>
    </row>
    <row r="560" spans="5:8" x14ac:dyDescent="0.35">
      <c r="E560" s="80"/>
      <c r="G560" s="80"/>
      <c r="H560" s="80"/>
    </row>
    <row r="561" spans="5:8" x14ac:dyDescent="0.35">
      <c r="E561" s="80"/>
      <c r="G561" s="80"/>
      <c r="H561" s="80"/>
    </row>
    <row r="562" spans="5:8" x14ac:dyDescent="0.35">
      <c r="E562" s="80"/>
      <c r="G562" s="80"/>
      <c r="H562" s="80"/>
    </row>
    <row r="563" spans="5:8" x14ac:dyDescent="0.35">
      <c r="E563" s="80"/>
      <c r="G563" s="80"/>
      <c r="H563" s="80"/>
    </row>
    <row r="564" spans="5:8" x14ac:dyDescent="0.35">
      <c r="E564" s="80"/>
      <c r="G564" s="80"/>
      <c r="H564" s="80"/>
    </row>
    <row r="565" spans="5:8" x14ac:dyDescent="0.35">
      <c r="E565" s="80"/>
      <c r="G565" s="80"/>
      <c r="H565" s="80"/>
    </row>
    <row r="566" spans="5:8" x14ac:dyDescent="0.35">
      <c r="E566" s="80"/>
      <c r="G566" s="80"/>
      <c r="H566" s="80"/>
    </row>
    <row r="567" spans="5:8" x14ac:dyDescent="0.35">
      <c r="E567" s="80"/>
      <c r="G567" s="80"/>
      <c r="H567" s="80"/>
    </row>
    <row r="568" spans="5:8" x14ac:dyDescent="0.35">
      <c r="E568" s="80"/>
      <c r="G568" s="80"/>
      <c r="H568" s="80"/>
    </row>
    <row r="569" spans="5:8" x14ac:dyDescent="0.35">
      <c r="E569" s="80"/>
      <c r="G569" s="80"/>
      <c r="H569" s="80"/>
    </row>
    <row r="570" spans="5:8" x14ac:dyDescent="0.35">
      <c r="E570" s="80"/>
      <c r="G570" s="80"/>
      <c r="H570" s="80"/>
    </row>
    <row r="571" spans="5:8" x14ac:dyDescent="0.35">
      <c r="E571" s="80"/>
      <c r="G571" s="80"/>
      <c r="H571" s="80"/>
    </row>
    <row r="572" spans="5:8" x14ac:dyDescent="0.35">
      <c r="E572" s="80"/>
      <c r="G572" s="80"/>
      <c r="H572" s="80"/>
    </row>
    <row r="573" spans="5:8" x14ac:dyDescent="0.35">
      <c r="E573" s="80"/>
      <c r="G573" s="80"/>
      <c r="H573" s="80"/>
    </row>
    <row r="574" spans="5:8" x14ac:dyDescent="0.35">
      <c r="E574" s="80"/>
      <c r="G574" s="80"/>
      <c r="H574" s="80"/>
    </row>
    <row r="575" spans="5:8" x14ac:dyDescent="0.35">
      <c r="E575" s="80"/>
      <c r="G575" s="80"/>
      <c r="H575" s="80"/>
    </row>
    <row r="576" spans="5:8" x14ac:dyDescent="0.35">
      <c r="E576" s="80"/>
      <c r="G576" s="80"/>
      <c r="H576" s="80"/>
    </row>
    <row r="577" spans="5:8" x14ac:dyDescent="0.35">
      <c r="E577" s="80"/>
      <c r="G577" s="80"/>
      <c r="H577" s="80"/>
    </row>
    <row r="578" spans="5:8" x14ac:dyDescent="0.35">
      <c r="E578" s="80"/>
      <c r="G578" s="80"/>
      <c r="H578" s="80"/>
    </row>
    <row r="579" spans="5:8" x14ac:dyDescent="0.35">
      <c r="E579" s="80"/>
      <c r="G579" s="80"/>
      <c r="H579" s="80"/>
    </row>
    <row r="580" spans="5:8" x14ac:dyDescent="0.35">
      <c r="E580" s="80"/>
      <c r="G580" s="80"/>
      <c r="H580" s="80"/>
    </row>
    <row r="581" spans="5:8" x14ac:dyDescent="0.35">
      <c r="E581" s="80"/>
      <c r="G581" s="80"/>
      <c r="H581" s="80"/>
    </row>
    <row r="582" spans="5:8" x14ac:dyDescent="0.35">
      <c r="E582" s="80"/>
      <c r="G582" s="80"/>
      <c r="H582" s="80"/>
    </row>
    <row r="583" spans="5:8" x14ac:dyDescent="0.35">
      <c r="E583" s="80"/>
      <c r="G583" s="80"/>
      <c r="H583" s="80"/>
    </row>
    <row r="584" spans="5:8" x14ac:dyDescent="0.35">
      <c r="E584" s="80"/>
      <c r="G584" s="80"/>
      <c r="H584" s="80"/>
    </row>
    <row r="585" spans="5:8" x14ac:dyDescent="0.35">
      <c r="E585" s="80"/>
      <c r="G585" s="80"/>
      <c r="H585" s="80"/>
    </row>
    <row r="586" spans="5:8" x14ac:dyDescent="0.35">
      <c r="E586" s="80"/>
      <c r="G586" s="80"/>
      <c r="H586" s="80"/>
    </row>
    <row r="587" spans="5:8" x14ac:dyDescent="0.35">
      <c r="E587" s="80"/>
      <c r="G587" s="80"/>
      <c r="H587" s="80"/>
    </row>
    <row r="588" spans="5:8" x14ac:dyDescent="0.35">
      <c r="E588" s="80"/>
      <c r="G588" s="80"/>
      <c r="H588" s="80"/>
    </row>
    <row r="589" spans="5:8" x14ac:dyDescent="0.35">
      <c r="E589" s="80"/>
      <c r="G589" s="80"/>
      <c r="H589" s="80"/>
    </row>
    <row r="590" spans="5:8" x14ac:dyDescent="0.35">
      <c r="E590" s="80"/>
      <c r="G590" s="80"/>
      <c r="H590" s="80"/>
    </row>
    <row r="591" spans="5:8" x14ac:dyDescent="0.35">
      <c r="E591" s="80"/>
      <c r="G591" s="80"/>
      <c r="H591" s="80"/>
    </row>
    <row r="592" spans="5:8" x14ac:dyDescent="0.35">
      <c r="E592" s="80"/>
      <c r="G592" s="80"/>
      <c r="H592" s="80"/>
    </row>
    <row r="593" spans="5:8" x14ac:dyDescent="0.35">
      <c r="E593" s="80"/>
      <c r="G593" s="80"/>
      <c r="H593" s="80"/>
    </row>
    <row r="594" spans="5:8" x14ac:dyDescent="0.35">
      <c r="E594" s="80"/>
      <c r="G594" s="80"/>
      <c r="H594" s="80"/>
    </row>
    <row r="595" spans="5:8" x14ac:dyDescent="0.35">
      <c r="E595" s="80"/>
      <c r="G595" s="80"/>
      <c r="H595" s="80"/>
    </row>
    <row r="596" spans="5:8" x14ac:dyDescent="0.35">
      <c r="E596" s="80"/>
      <c r="G596" s="80"/>
      <c r="H596" s="80"/>
    </row>
    <row r="597" spans="5:8" x14ac:dyDescent="0.35">
      <c r="E597" s="80"/>
      <c r="G597" s="80"/>
      <c r="H597" s="80"/>
    </row>
    <row r="598" spans="5:8" x14ac:dyDescent="0.35">
      <c r="E598" s="80"/>
      <c r="G598" s="80"/>
      <c r="H598" s="80"/>
    </row>
    <row r="599" spans="5:8" x14ac:dyDescent="0.35">
      <c r="E599" s="80"/>
      <c r="G599" s="80"/>
      <c r="H599" s="80"/>
    </row>
    <row r="600" spans="5:8" x14ac:dyDescent="0.35">
      <c r="E600" s="80"/>
      <c r="G600" s="80"/>
      <c r="H600" s="80"/>
    </row>
    <row r="601" spans="5:8" x14ac:dyDescent="0.35">
      <c r="E601" s="80"/>
      <c r="G601" s="80"/>
      <c r="H601" s="80"/>
    </row>
    <row r="602" spans="5:8" x14ac:dyDescent="0.35">
      <c r="E602" s="80"/>
      <c r="G602" s="80"/>
      <c r="H602" s="80"/>
    </row>
    <row r="603" spans="5:8" x14ac:dyDescent="0.35">
      <c r="E603" s="80"/>
      <c r="G603" s="80"/>
      <c r="H603" s="80"/>
    </row>
    <row r="604" spans="5:8" x14ac:dyDescent="0.35">
      <c r="E604" s="80"/>
      <c r="G604" s="80"/>
      <c r="H604" s="80"/>
    </row>
    <row r="605" spans="5:8" x14ac:dyDescent="0.35">
      <c r="E605" s="80"/>
      <c r="G605" s="80"/>
      <c r="H605" s="80"/>
    </row>
    <row r="606" spans="5:8" x14ac:dyDescent="0.35">
      <c r="E606" s="80"/>
      <c r="G606" s="80"/>
      <c r="H606" s="80"/>
    </row>
    <row r="607" spans="5:8" x14ac:dyDescent="0.35">
      <c r="E607" s="80"/>
      <c r="G607" s="80"/>
      <c r="H607" s="80"/>
    </row>
    <row r="608" spans="5:8" x14ac:dyDescent="0.35">
      <c r="E608" s="80"/>
      <c r="G608" s="80"/>
      <c r="H608" s="80"/>
    </row>
    <row r="609" spans="5:8" x14ac:dyDescent="0.35">
      <c r="E609" s="80"/>
      <c r="G609" s="80"/>
      <c r="H609" s="80"/>
    </row>
    <row r="610" spans="5:8" x14ac:dyDescent="0.35">
      <c r="E610" s="80"/>
      <c r="G610" s="80"/>
      <c r="H610" s="80"/>
    </row>
    <row r="611" spans="5:8" x14ac:dyDescent="0.35">
      <c r="E611" s="80"/>
      <c r="G611" s="80"/>
      <c r="H611" s="80"/>
    </row>
    <row r="612" spans="5:8" x14ac:dyDescent="0.35">
      <c r="E612" s="80"/>
      <c r="G612" s="80"/>
      <c r="H612" s="80"/>
    </row>
    <row r="613" spans="5:8" x14ac:dyDescent="0.35">
      <c r="E613" s="80"/>
      <c r="G613" s="80"/>
      <c r="H613" s="80"/>
    </row>
    <row r="614" spans="5:8" x14ac:dyDescent="0.35">
      <c r="E614" s="80"/>
      <c r="G614" s="80"/>
      <c r="H614" s="80"/>
    </row>
    <row r="615" spans="5:8" x14ac:dyDescent="0.35">
      <c r="E615" s="80"/>
      <c r="G615" s="80"/>
      <c r="H615" s="80"/>
    </row>
    <row r="616" spans="5:8" x14ac:dyDescent="0.35">
      <c r="E616" s="80"/>
      <c r="G616" s="80"/>
      <c r="H616" s="80"/>
    </row>
    <row r="617" spans="5:8" x14ac:dyDescent="0.35">
      <c r="E617" s="80"/>
      <c r="G617" s="80"/>
      <c r="H617" s="80"/>
    </row>
    <row r="618" spans="5:8" x14ac:dyDescent="0.35">
      <c r="E618" s="80"/>
      <c r="G618" s="80"/>
      <c r="H618" s="80"/>
    </row>
    <row r="619" spans="5:8" x14ac:dyDescent="0.35">
      <c r="E619" s="80"/>
      <c r="G619" s="80"/>
      <c r="H619" s="80"/>
    </row>
    <row r="620" spans="5:8" x14ac:dyDescent="0.35">
      <c r="E620" s="80"/>
      <c r="G620" s="80"/>
      <c r="H620" s="80"/>
    </row>
    <row r="621" spans="5:8" x14ac:dyDescent="0.35">
      <c r="E621" s="80"/>
      <c r="G621" s="80"/>
      <c r="H621" s="80"/>
    </row>
    <row r="622" spans="5:8" x14ac:dyDescent="0.35">
      <c r="E622" s="80"/>
      <c r="G622" s="80"/>
      <c r="H622" s="80"/>
    </row>
    <row r="623" spans="5:8" x14ac:dyDescent="0.35">
      <c r="E623" s="80"/>
      <c r="G623" s="80"/>
      <c r="H623" s="80"/>
    </row>
    <row r="624" spans="5:8" x14ac:dyDescent="0.35">
      <c r="E624" s="80"/>
      <c r="G624" s="80"/>
      <c r="H624" s="80"/>
    </row>
    <row r="625" spans="5:8" x14ac:dyDescent="0.35">
      <c r="E625" s="80"/>
      <c r="G625" s="80"/>
      <c r="H625" s="80"/>
    </row>
    <row r="626" spans="5:8" x14ac:dyDescent="0.35">
      <c r="E626" s="80"/>
      <c r="G626" s="80"/>
      <c r="H626" s="80"/>
    </row>
    <row r="627" spans="5:8" x14ac:dyDescent="0.35">
      <c r="E627" s="80"/>
      <c r="G627" s="80"/>
      <c r="H627" s="80"/>
    </row>
    <row r="628" spans="5:8" x14ac:dyDescent="0.35">
      <c r="E628" s="80"/>
      <c r="G628" s="80"/>
      <c r="H628" s="80"/>
    </row>
    <row r="629" spans="5:8" x14ac:dyDescent="0.35">
      <c r="E629" s="80"/>
      <c r="G629" s="80"/>
      <c r="H629" s="80"/>
    </row>
    <row r="630" spans="5:8" x14ac:dyDescent="0.35">
      <c r="E630" s="80"/>
      <c r="G630" s="80"/>
      <c r="H630" s="80"/>
    </row>
    <row r="631" spans="5:8" x14ac:dyDescent="0.35">
      <c r="E631" s="80"/>
      <c r="G631" s="80"/>
      <c r="H631" s="80"/>
    </row>
    <row r="632" spans="5:8" x14ac:dyDescent="0.35">
      <c r="E632" s="80"/>
      <c r="G632" s="80"/>
      <c r="H632" s="80"/>
    </row>
    <row r="633" spans="5:8" x14ac:dyDescent="0.35">
      <c r="E633" s="80"/>
      <c r="G633" s="80"/>
      <c r="H633" s="80"/>
    </row>
    <row r="634" spans="5:8" x14ac:dyDescent="0.35">
      <c r="E634" s="80"/>
      <c r="G634" s="80"/>
      <c r="H634" s="80"/>
    </row>
    <row r="635" spans="5:8" x14ac:dyDescent="0.35">
      <c r="E635" s="80"/>
      <c r="G635" s="80"/>
      <c r="H635" s="80"/>
    </row>
    <row r="636" spans="5:8" x14ac:dyDescent="0.35">
      <c r="E636" s="80"/>
      <c r="G636" s="80"/>
      <c r="H636" s="80"/>
    </row>
    <row r="637" spans="5:8" x14ac:dyDescent="0.35">
      <c r="E637" s="80"/>
      <c r="G637" s="80"/>
      <c r="H637" s="80"/>
    </row>
    <row r="638" spans="5:8" x14ac:dyDescent="0.35">
      <c r="E638" s="80"/>
      <c r="G638" s="80"/>
      <c r="H638" s="80"/>
    </row>
    <row r="639" spans="5:8" x14ac:dyDescent="0.35">
      <c r="E639" s="80"/>
      <c r="G639" s="80"/>
      <c r="H639" s="80"/>
    </row>
    <row r="640" spans="5:8" x14ac:dyDescent="0.35">
      <c r="E640" s="80"/>
      <c r="G640" s="80"/>
      <c r="H640" s="80"/>
    </row>
    <row r="641" spans="5:8" x14ac:dyDescent="0.35">
      <c r="E641" s="80"/>
      <c r="G641" s="80"/>
      <c r="H641" s="80"/>
    </row>
    <row r="642" spans="5:8" x14ac:dyDescent="0.35">
      <c r="E642" s="80"/>
      <c r="G642" s="80"/>
      <c r="H642" s="80"/>
    </row>
    <row r="643" spans="5:8" x14ac:dyDescent="0.35">
      <c r="E643" s="80"/>
      <c r="G643" s="80"/>
      <c r="H643" s="80"/>
    </row>
    <row r="644" spans="5:8" x14ac:dyDescent="0.35">
      <c r="E644" s="80"/>
      <c r="G644" s="80"/>
      <c r="H644" s="80"/>
    </row>
    <row r="645" spans="5:8" x14ac:dyDescent="0.35">
      <c r="E645" s="80"/>
      <c r="G645" s="80"/>
      <c r="H645" s="80"/>
    </row>
    <row r="646" spans="5:8" x14ac:dyDescent="0.35">
      <c r="E646" s="80"/>
      <c r="G646" s="80"/>
      <c r="H646" s="80"/>
    </row>
    <row r="647" spans="5:8" x14ac:dyDescent="0.35">
      <c r="E647" s="80"/>
      <c r="G647" s="80"/>
      <c r="H647" s="80"/>
    </row>
    <row r="648" spans="5:8" x14ac:dyDescent="0.35">
      <c r="E648" s="80"/>
      <c r="G648" s="80"/>
      <c r="H648" s="80"/>
    </row>
    <row r="649" spans="5:8" x14ac:dyDescent="0.35">
      <c r="E649" s="80"/>
      <c r="G649" s="80"/>
      <c r="H649" s="80"/>
    </row>
    <row r="650" spans="5:8" x14ac:dyDescent="0.35">
      <c r="E650" s="80"/>
      <c r="G650" s="80"/>
      <c r="H650" s="80"/>
    </row>
    <row r="651" spans="5:8" x14ac:dyDescent="0.35">
      <c r="E651" s="80"/>
      <c r="G651" s="80"/>
      <c r="H651" s="80"/>
    </row>
    <row r="652" spans="5:8" x14ac:dyDescent="0.35">
      <c r="E652" s="80"/>
      <c r="G652" s="80"/>
      <c r="H652" s="80"/>
    </row>
    <row r="653" spans="5:8" x14ac:dyDescent="0.35">
      <c r="E653" s="80"/>
      <c r="G653" s="80"/>
      <c r="H653" s="80"/>
    </row>
    <row r="654" spans="5:8" x14ac:dyDescent="0.35">
      <c r="E654" s="80"/>
      <c r="G654" s="80"/>
      <c r="H654" s="80"/>
    </row>
    <row r="655" spans="5:8" x14ac:dyDescent="0.35">
      <c r="E655" s="80"/>
      <c r="G655" s="80"/>
      <c r="H655" s="80"/>
    </row>
    <row r="656" spans="5:8" x14ac:dyDescent="0.35">
      <c r="E656" s="80"/>
      <c r="G656" s="80"/>
      <c r="H656" s="80"/>
    </row>
    <row r="657" spans="5:8" x14ac:dyDescent="0.35">
      <c r="E657" s="80"/>
      <c r="G657" s="80"/>
      <c r="H657" s="80"/>
    </row>
    <row r="658" spans="5:8" x14ac:dyDescent="0.35">
      <c r="E658" s="80"/>
      <c r="G658" s="80"/>
      <c r="H658" s="80"/>
    </row>
    <row r="659" spans="5:8" x14ac:dyDescent="0.35">
      <c r="E659" s="80"/>
      <c r="G659" s="80"/>
      <c r="H659" s="80"/>
    </row>
    <row r="660" spans="5:8" x14ac:dyDescent="0.35">
      <c r="E660" s="80"/>
      <c r="G660" s="80"/>
      <c r="H660" s="80"/>
    </row>
    <row r="661" spans="5:8" x14ac:dyDescent="0.35">
      <c r="E661" s="80"/>
      <c r="G661" s="80"/>
      <c r="H661" s="80"/>
    </row>
    <row r="662" spans="5:8" x14ac:dyDescent="0.35">
      <c r="E662" s="80"/>
      <c r="G662" s="80"/>
      <c r="H662" s="80"/>
    </row>
    <row r="663" spans="5:8" x14ac:dyDescent="0.35">
      <c r="E663" s="80"/>
      <c r="G663" s="80"/>
      <c r="H663" s="80"/>
    </row>
    <row r="664" spans="5:8" x14ac:dyDescent="0.35">
      <c r="E664" s="80"/>
      <c r="G664" s="80"/>
      <c r="H664" s="80"/>
    </row>
    <row r="665" spans="5:8" x14ac:dyDescent="0.35">
      <c r="E665" s="80"/>
      <c r="G665" s="80"/>
      <c r="H665" s="80"/>
    </row>
    <row r="666" spans="5:8" x14ac:dyDescent="0.35">
      <c r="E666" s="80"/>
      <c r="G666" s="80"/>
      <c r="H666" s="80"/>
    </row>
    <row r="667" spans="5:8" x14ac:dyDescent="0.35">
      <c r="E667" s="80"/>
      <c r="G667" s="80"/>
      <c r="H667" s="80"/>
    </row>
    <row r="668" spans="5:8" x14ac:dyDescent="0.35">
      <c r="E668" s="80"/>
      <c r="G668" s="80"/>
      <c r="H668" s="80"/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1023-AFF6-4D92-8BEE-92765388C9EB}">
  <dimension ref="A2:AB277"/>
  <sheetViews>
    <sheetView topLeftCell="B43" zoomScale="70" zoomScaleNormal="70" workbookViewId="0">
      <selection activeCell="J50" sqref="J50"/>
    </sheetView>
  </sheetViews>
  <sheetFormatPr defaultRowHeight="14.5" x14ac:dyDescent="0.35"/>
  <cols>
    <col min="1" max="1" width="8.7265625" style="5"/>
    <col min="2" max="2" width="17.81640625" customWidth="1"/>
    <col min="3" max="3" width="8.7265625" style="1"/>
    <col min="4" max="4" width="22.6328125" customWidth="1"/>
    <col min="7" max="7" width="11.6328125" bestFit="1" customWidth="1"/>
    <col min="10" max="10" width="14.26953125" bestFit="1" customWidth="1"/>
    <col min="11" max="11" width="9.1796875" bestFit="1" customWidth="1"/>
    <col min="12" max="12" width="16.81640625" bestFit="1" customWidth="1"/>
    <col min="15" max="15" width="23.26953125" bestFit="1" customWidth="1"/>
    <col min="16" max="16" width="8.6328125" bestFit="1" customWidth="1"/>
    <col min="17" max="17" width="10.81640625" customWidth="1"/>
    <col min="18" max="18" width="11.6328125" bestFit="1" customWidth="1"/>
    <col min="21" max="21" width="23.26953125" bestFit="1" customWidth="1"/>
    <col min="22" max="22" width="10.81640625" customWidth="1"/>
    <col min="24" max="24" width="11.6328125" bestFit="1" customWidth="1"/>
    <col min="26" max="26" width="23.26953125" bestFit="1" customWidth="1"/>
    <col min="27" max="27" width="11.6328125" bestFit="1" customWidth="1"/>
    <col min="28" max="28" width="16.81640625" bestFit="1" customWidth="1"/>
  </cols>
  <sheetData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90" t="s">
        <v>1</v>
      </c>
      <c r="F2" s="44" t="s">
        <v>0</v>
      </c>
      <c r="G2" s="90" t="s">
        <v>3</v>
      </c>
      <c r="J2" t="s">
        <v>170</v>
      </c>
      <c r="K2" t="s">
        <v>172</v>
      </c>
      <c r="L2" t="s">
        <v>82</v>
      </c>
      <c r="N2" s="40" t="s">
        <v>131</v>
      </c>
      <c r="Q2" t="s">
        <v>329</v>
      </c>
      <c r="T2" s="40" t="s">
        <v>169</v>
      </c>
      <c r="W2" t="s">
        <v>329</v>
      </c>
      <c r="Z2" s="68" t="s">
        <v>170</v>
      </c>
      <c r="AA2" t="s">
        <v>171</v>
      </c>
      <c r="AB2" t="s">
        <v>82</v>
      </c>
    </row>
    <row r="3" spans="1:28" x14ac:dyDescent="0.35">
      <c r="A3" s="5">
        <v>1</v>
      </c>
      <c r="B3" t="s">
        <v>114</v>
      </c>
      <c r="C3" s="1">
        <v>4</v>
      </c>
      <c r="D3" t="s">
        <v>42</v>
      </c>
      <c r="E3" s="80">
        <f>VLOOKUP(D3,'Bu Erta'!$C$2:$E$66,3,0)</f>
        <v>1000</v>
      </c>
      <c r="F3">
        <v>4.7</v>
      </c>
      <c r="G3" s="80">
        <f>E3*F3</f>
        <v>4700</v>
      </c>
      <c r="H3" s="80">
        <f>VLOOKUP(D3,'Bu Erta'!$C$2:$F$66,4,0)*F3</f>
        <v>5640</v>
      </c>
      <c r="J3" s="69" t="s">
        <v>200</v>
      </c>
      <c r="K3">
        <v>0</v>
      </c>
      <c r="L3" s="4">
        <v>5180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  <c r="Z3" s="69" t="s">
        <v>215</v>
      </c>
      <c r="AA3">
        <v>1.3</v>
      </c>
      <c r="AB3" s="4">
        <v>7800</v>
      </c>
    </row>
    <row r="4" spans="1:28" x14ac:dyDescent="0.35">
      <c r="B4" t="s">
        <v>114</v>
      </c>
      <c r="D4" t="s">
        <v>19</v>
      </c>
      <c r="E4" s="80">
        <f>VLOOKUP(D4,'Bu Erta'!$C$2:$E$66,3,0)</f>
        <v>200</v>
      </c>
      <c r="F4">
        <f>0.75+0.7+0.55</f>
        <v>2</v>
      </c>
      <c r="G4" s="80">
        <f t="shared" ref="G4:G67" si="0">E4*F4</f>
        <v>400</v>
      </c>
      <c r="H4" s="80">
        <f>VLOOKUP(D4,'Bu Erta'!$C$2:$F$66,4,0)*F4</f>
        <v>600</v>
      </c>
      <c r="J4" s="69" t="s">
        <v>359</v>
      </c>
      <c r="K4">
        <v>1</v>
      </c>
      <c r="L4" s="4">
        <v>8613</v>
      </c>
      <c r="N4" s="44">
        <v>1</v>
      </c>
      <c r="O4" s="17" t="s">
        <v>13</v>
      </c>
      <c r="P4" s="93">
        <f>VLOOKUP(O4,'Bu Erta'!$C$2:$F$66,4,0)</f>
        <v>1500</v>
      </c>
      <c r="Q4" s="94">
        <f>SUMIF($D$3:$D$265,O4,$F$3:$F$265)</f>
        <v>0</v>
      </c>
      <c r="R4" s="93">
        <f>P4*Q4</f>
        <v>0</v>
      </c>
      <c r="T4" s="44">
        <v>1</v>
      </c>
      <c r="U4" s="17" t="s">
        <v>13</v>
      </c>
      <c r="V4" s="52"/>
      <c r="W4" s="53"/>
      <c r="X4" s="52">
        <f>V4*W4</f>
        <v>0</v>
      </c>
      <c r="Z4" s="69" t="s">
        <v>17</v>
      </c>
      <c r="AA4">
        <v>0.89999999999999991</v>
      </c>
      <c r="AB4" s="4">
        <v>7200</v>
      </c>
    </row>
    <row r="5" spans="1:28" x14ac:dyDescent="0.35">
      <c r="B5" t="s">
        <v>114</v>
      </c>
      <c r="D5" t="s">
        <v>31</v>
      </c>
      <c r="E5" s="80">
        <f>VLOOKUP(D5,'Bu Erta'!$C$2:$E$66,3,0)</f>
        <v>1000</v>
      </c>
      <c r="F5">
        <f>0.5+2.45+0.4+0.4+3</f>
        <v>6.75</v>
      </c>
      <c r="G5" s="80">
        <f t="shared" si="0"/>
        <v>6750</v>
      </c>
      <c r="H5" s="80">
        <f>VLOOKUP(D5,'Bu Erta'!$C$2:$F$66,4,0)*F5</f>
        <v>7425</v>
      </c>
      <c r="J5" s="69" t="s">
        <v>138</v>
      </c>
      <c r="K5">
        <v>1</v>
      </c>
      <c r="L5" s="4">
        <v>8355</v>
      </c>
      <c r="N5" s="44">
        <v>2</v>
      </c>
      <c r="O5" s="17" t="s">
        <v>14</v>
      </c>
      <c r="P5" s="93">
        <f>VLOOKUP(O5,'Bu Erta'!$C$2:$F$66,4,0)</f>
        <v>100000</v>
      </c>
      <c r="Q5" s="94">
        <f t="shared" ref="Q5:Q67" si="1">SUMIF($D$3:$D$265,O5,$F$3:$F$265)</f>
        <v>0</v>
      </c>
      <c r="R5" s="93">
        <f t="shared" ref="R5:R67" si="2">P5*Q5</f>
        <v>0</v>
      </c>
      <c r="T5" s="44">
        <v>2</v>
      </c>
      <c r="U5" s="17" t="s">
        <v>14</v>
      </c>
      <c r="V5" s="52"/>
      <c r="W5" s="53"/>
      <c r="X5" s="52">
        <f t="shared" ref="X5:X67" si="3">V5*W5</f>
        <v>0</v>
      </c>
      <c r="Z5" s="69" t="s">
        <v>19</v>
      </c>
      <c r="AA5">
        <v>34.090000000000011</v>
      </c>
      <c r="AB5" s="4">
        <v>6818</v>
      </c>
    </row>
    <row r="6" spans="1:28" x14ac:dyDescent="0.35">
      <c r="B6" t="s">
        <v>114</v>
      </c>
      <c r="D6" t="s">
        <v>23</v>
      </c>
      <c r="E6" s="80">
        <f>VLOOKUP(D6,'Bu Erta'!$C$2:$E$66,3,0)</f>
        <v>300</v>
      </c>
      <c r="F6">
        <v>1.7</v>
      </c>
      <c r="G6" s="80">
        <f t="shared" si="0"/>
        <v>510</v>
      </c>
      <c r="H6" s="80">
        <f>VLOOKUP(D6,'Bu Erta'!$C$2:$F$66,4,0)*F6</f>
        <v>680</v>
      </c>
      <c r="J6" s="69" t="s">
        <v>326</v>
      </c>
      <c r="K6">
        <v>1</v>
      </c>
      <c r="L6" s="4">
        <v>11245</v>
      </c>
      <c r="N6" s="44">
        <v>3</v>
      </c>
      <c r="O6" s="17" t="s">
        <v>15</v>
      </c>
      <c r="P6" s="93">
        <f>VLOOKUP(O6,'Bu Erta'!$C$2:$F$66,4,0)</f>
        <v>40000</v>
      </c>
      <c r="Q6" s="94">
        <f t="shared" si="1"/>
        <v>0</v>
      </c>
      <c r="R6" s="93">
        <f t="shared" si="2"/>
        <v>0</v>
      </c>
      <c r="T6" s="44">
        <v>3</v>
      </c>
      <c r="U6" s="17" t="s">
        <v>15</v>
      </c>
      <c r="V6" s="52"/>
      <c r="W6" s="53"/>
      <c r="X6" s="52">
        <f t="shared" si="3"/>
        <v>0</v>
      </c>
      <c r="Z6" s="69" t="s">
        <v>22</v>
      </c>
      <c r="AA6">
        <v>35.129999999999995</v>
      </c>
      <c r="AB6" s="4">
        <v>87825</v>
      </c>
    </row>
    <row r="7" spans="1:28" x14ac:dyDescent="0.35">
      <c r="B7" t="s">
        <v>114</v>
      </c>
      <c r="D7" t="s">
        <v>7</v>
      </c>
      <c r="E7" s="80">
        <f>VLOOKUP(D7,'Bu Erta'!$C$2:$E$66,3,0)</f>
        <v>1400</v>
      </c>
      <c r="F7">
        <f>3.45+0.15+2.65</f>
        <v>6.25</v>
      </c>
      <c r="G7" s="80">
        <f t="shared" si="0"/>
        <v>8750</v>
      </c>
      <c r="H7" s="80">
        <f>VLOOKUP(D7,'Bu Erta'!$C$2:$F$66,4,0)*F7</f>
        <v>10000</v>
      </c>
      <c r="J7" s="69" t="s">
        <v>195</v>
      </c>
      <c r="K7">
        <v>1</v>
      </c>
      <c r="L7" s="4">
        <v>4190</v>
      </c>
      <c r="N7" s="44">
        <v>4</v>
      </c>
      <c r="O7" s="17" t="s">
        <v>16</v>
      </c>
      <c r="P7" s="93">
        <f>VLOOKUP(O7,'Bu Erta'!$C$2:$F$66,4,0)</f>
        <v>6500</v>
      </c>
      <c r="Q7" s="94">
        <f t="shared" si="1"/>
        <v>1.3</v>
      </c>
      <c r="R7" s="93">
        <f t="shared" si="2"/>
        <v>8450</v>
      </c>
      <c r="T7" s="44">
        <v>4</v>
      </c>
      <c r="U7" s="17" t="s">
        <v>16</v>
      </c>
      <c r="V7" s="52"/>
      <c r="W7" s="53">
        <v>1</v>
      </c>
      <c r="X7" s="52">
        <v>14500</v>
      </c>
      <c r="Z7" s="69" t="s">
        <v>23</v>
      </c>
      <c r="AA7">
        <v>24.26</v>
      </c>
      <c r="AB7" s="4">
        <v>7278</v>
      </c>
    </row>
    <row r="8" spans="1:28" x14ac:dyDescent="0.35">
      <c r="B8" t="s">
        <v>114</v>
      </c>
      <c r="D8" t="s">
        <v>67</v>
      </c>
      <c r="E8" s="80">
        <f>VLOOKUP(D8,'Bu Erta'!$C$2:$E$66,3,0)</f>
        <v>2700</v>
      </c>
      <c r="F8">
        <v>0.1</v>
      </c>
      <c r="G8" s="80">
        <f t="shared" si="0"/>
        <v>270</v>
      </c>
      <c r="H8" s="80">
        <f>VLOOKUP(D8,'Bu Erta'!$C$2:$F$66,4,0)*F8</f>
        <v>300</v>
      </c>
      <c r="J8" s="69" t="s">
        <v>327</v>
      </c>
      <c r="K8">
        <v>1</v>
      </c>
      <c r="L8" s="4">
        <v>3300</v>
      </c>
      <c r="N8" s="44">
        <v>5</v>
      </c>
      <c r="O8" s="17" t="s">
        <v>17</v>
      </c>
      <c r="P8" s="93">
        <f>VLOOKUP(O8,'Bu Erta'!$C$2:$F$66,4,0)</f>
        <v>8500</v>
      </c>
      <c r="Q8" s="94">
        <f t="shared" si="1"/>
        <v>0.89999999999999991</v>
      </c>
      <c r="R8" s="93">
        <f t="shared" si="2"/>
        <v>7649.9999999999991</v>
      </c>
      <c r="T8" s="44">
        <v>5</v>
      </c>
      <c r="U8" s="17" t="s">
        <v>17</v>
      </c>
      <c r="V8" s="52"/>
      <c r="W8" s="53"/>
      <c r="X8" s="52">
        <f t="shared" si="3"/>
        <v>0</v>
      </c>
      <c r="Z8" s="69" t="s">
        <v>25</v>
      </c>
      <c r="AA8">
        <v>8.5100000000000016</v>
      </c>
      <c r="AB8" s="4">
        <v>13616</v>
      </c>
    </row>
    <row r="9" spans="1:28" x14ac:dyDescent="0.35">
      <c r="B9" t="s">
        <v>114</v>
      </c>
      <c r="D9" t="s">
        <v>37</v>
      </c>
      <c r="E9" s="80">
        <f>VLOOKUP(D9,'Bu Erta'!$C$2:$E$66,3,0)</f>
        <v>1600</v>
      </c>
      <c r="F9">
        <v>0.6</v>
      </c>
      <c r="G9" s="80">
        <f t="shared" si="0"/>
        <v>960</v>
      </c>
      <c r="H9" s="80">
        <f>VLOOKUP(D9,'Bu Erta'!$C$2:$F$66,4,0)*F9</f>
        <v>1200</v>
      </c>
      <c r="J9" s="69" t="s">
        <v>193</v>
      </c>
      <c r="K9">
        <v>1</v>
      </c>
      <c r="L9" s="4">
        <v>800</v>
      </c>
      <c r="N9" s="44">
        <v>6</v>
      </c>
      <c r="O9" s="17" t="s">
        <v>18</v>
      </c>
      <c r="P9" s="93">
        <f>VLOOKUP(O9,'Bu Erta'!$C$2:$F$66,4,0)</f>
        <v>4000</v>
      </c>
      <c r="Q9" s="94">
        <f t="shared" si="1"/>
        <v>0</v>
      </c>
      <c r="R9" s="93">
        <f t="shared" si="2"/>
        <v>0</v>
      </c>
      <c r="T9" s="44">
        <v>6</v>
      </c>
      <c r="U9" s="17" t="s">
        <v>18</v>
      </c>
      <c r="V9" s="52"/>
      <c r="W9" s="53"/>
      <c r="X9" s="52">
        <f t="shared" si="3"/>
        <v>0</v>
      </c>
      <c r="Z9" s="69" t="s">
        <v>24</v>
      </c>
      <c r="AA9">
        <v>19.45</v>
      </c>
      <c r="AB9" s="4">
        <v>2917.5</v>
      </c>
    </row>
    <row r="10" spans="1:28" x14ac:dyDescent="0.35">
      <c r="B10" t="s">
        <v>114</v>
      </c>
      <c r="D10" t="s">
        <v>41</v>
      </c>
      <c r="E10" s="80">
        <f>VLOOKUP(D10,'Bu Erta'!$C$2:$E$66,3,0)</f>
        <v>1500</v>
      </c>
      <c r="F10">
        <v>0.15</v>
      </c>
      <c r="G10" s="80">
        <f t="shared" si="0"/>
        <v>225</v>
      </c>
      <c r="H10" s="80">
        <f>VLOOKUP(D10,'Bu Erta'!$C$2:$F$66,4,0)*F10</f>
        <v>300</v>
      </c>
      <c r="J10" s="69" t="s">
        <v>139</v>
      </c>
      <c r="K10">
        <v>1</v>
      </c>
      <c r="L10" s="4">
        <v>3425</v>
      </c>
      <c r="N10" s="44">
        <v>7</v>
      </c>
      <c r="O10" s="17" t="s">
        <v>19</v>
      </c>
      <c r="P10" s="93">
        <f>VLOOKUP(O10,'Bu Erta'!$C$2:$F$66,4,0)</f>
        <v>300</v>
      </c>
      <c r="Q10" s="94">
        <f t="shared" si="1"/>
        <v>34.090000000000011</v>
      </c>
      <c r="R10" s="93">
        <f t="shared" si="2"/>
        <v>10227.000000000004</v>
      </c>
      <c r="T10" s="44">
        <v>7</v>
      </c>
      <c r="U10" s="17" t="s">
        <v>19</v>
      </c>
      <c r="V10" s="52"/>
      <c r="W10" s="53"/>
      <c r="X10" s="52">
        <f t="shared" si="3"/>
        <v>0</v>
      </c>
      <c r="Z10" s="69" t="s">
        <v>27</v>
      </c>
      <c r="AA10">
        <v>15.8</v>
      </c>
      <c r="AB10" s="4">
        <v>44240</v>
      </c>
    </row>
    <row r="11" spans="1:28" x14ac:dyDescent="0.35">
      <c r="B11" t="s">
        <v>114</v>
      </c>
      <c r="D11" t="s">
        <v>28</v>
      </c>
      <c r="E11" s="80">
        <f>VLOOKUP(D11,'Bu Erta'!$C$2:$E$66,3,0)</f>
        <v>1200</v>
      </c>
      <c r="F11">
        <v>0.6</v>
      </c>
      <c r="G11" s="80">
        <f t="shared" si="0"/>
        <v>720</v>
      </c>
      <c r="H11" s="80">
        <f>VLOOKUP(D11,'Bu Erta'!$C$2:$F$66,4,0)*F11</f>
        <v>780</v>
      </c>
      <c r="J11" s="69" t="s">
        <v>217</v>
      </c>
      <c r="K11">
        <v>1</v>
      </c>
      <c r="L11" s="4">
        <v>4660</v>
      </c>
      <c r="N11" s="44">
        <v>8</v>
      </c>
      <c r="O11" s="17" t="s">
        <v>20</v>
      </c>
      <c r="P11" s="93">
        <f>VLOOKUP(O11,'Bu Erta'!$C$2:$F$66,4,0)</f>
        <v>8000</v>
      </c>
      <c r="Q11" s="94">
        <f t="shared" si="1"/>
        <v>0</v>
      </c>
      <c r="R11" s="93">
        <f t="shared" si="2"/>
        <v>0</v>
      </c>
      <c r="T11" s="44">
        <v>8</v>
      </c>
      <c r="U11" s="17" t="s">
        <v>20</v>
      </c>
      <c r="V11" s="52"/>
      <c r="W11" s="53"/>
      <c r="X11" s="52">
        <f t="shared" si="3"/>
        <v>0</v>
      </c>
      <c r="Z11" s="69" t="s">
        <v>28</v>
      </c>
      <c r="AA11">
        <v>40.94</v>
      </c>
      <c r="AB11" s="4">
        <v>49128</v>
      </c>
    </row>
    <row r="12" spans="1:28" x14ac:dyDescent="0.35">
      <c r="B12" t="s">
        <v>114</v>
      </c>
      <c r="D12" t="s">
        <v>40</v>
      </c>
      <c r="E12" s="80">
        <f>VLOOKUP(D12,'Bu Erta'!$C$2:$E$66,3,0)</f>
        <v>1800</v>
      </c>
      <c r="F12">
        <v>0.55000000000000004</v>
      </c>
      <c r="G12" s="80">
        <f t="shared" si="0"/>
        <v>990.00000000000011</v>
      </c>
      <c r="H12" s="80">
        <f>VLOOKUP(D12,'Bu Erta'!$C$2:$F$66,4,0)*F12</f>
        <v>1100</v>
      </c>
      <c r="J12" s="69" t="s">
        <v>116</v>
      </c>
      <c r="K12">
        <v>2</v>
      </c>
      <c r="L12" s="4">
        <v>5365</v>
      </c>
      <c r="N12" s="44">
        <v>9</v>
      </c>
      <c r="O12" s="17" t="s">
        <v>21</v>
      </c>
      <c r="P12" s="93">
        <f>VLOOKUP(O12,'Bu Erta'!$C$2:$F$66,4,0)</f>
        <v>200</v>
      </c>
      <c r="Q12" s="94">
        <f t="shared" si="1"/>
        <v>0</v>
      </c>
      <c r="R12" s="93">
        <f t="shared" si="2"/>
        <v>0</v>
      </c>
      <c r="T12" s="44">
        <v>9</v>
      </c>
      <c r="U12" s="17" t="s">
        <v>21</v>
      </c>
      <c r="V12" s="52"/>
      <c r="W12" s="53"/>
      <c r="X12" s="52">
        <f t="shared" si="3"/>
        <v>0</v>
      </c>
      <c r="Z12" s="69" t="s">
        <v>7</v>
      </c>
      <c r="AA12">
        <v>37.160000000000004</v>
      </c>
      <c r="AB12" s="4">
        <v>52024</v>
      </c>
    </row>
    <row r="13" spans="1:28" x14ac:dyDescent="0.35">
      <c r="B13" t="s">
        <v>114</v>
      </c>
      <c r="D13" t="s">
        <v>48</v>
      </c>
      <c r="E13" s="80">
        <f>VLOOKUP(D13,'Bu Erta'!$C$2:$E$66,3,0)</f>
        <v>13000</v>
      </c>
      <c r="F13">
        <v>1</v>
      </c>
      <c r="G13" s="80">
        <f t="shared" si="0"/>
        <v>13000</v>
      </c>
      <c r="H13" s="80">
        <f>VLOOKUP(D13,'Bu Erta'!$C$2:$F$66,4,0)*F13</f>
        <v>15000</v>
      </c>
      <c r="J13" s="69" t="s">
        <v>175</v>
      </c>
      <c r="K13">
        <v>2</v>
      </c>
      <c r="L13" s="4">
        <v>11955</v>
      </c>
      <c r="N13" s="44">
        <v>10</v>
      </c>
      <c r="O13" s="17" t="s">
        <v>22</v>
      </c>
      <c r="P13" s="93">
        <f>VLOOKUP(O13,'Bu Erta'!$C$2:$F$66,4,0)</f>
        <v>3000</v>
      </c>
      <c r="Q13" s="94">
        <f>SUMIF($D$3:$D$265,O13,$F$3:$F$265)-35</f>
        <v>0.12999999999999545</v>
      </c>
      <c r="R13" s="93">
        <f t="shared" si="2"/>
        <v>389.99999999998636</v>
      </c>
      <c r="T13" s="44">
        <v>10</v>
      </c>
      <c r="U13" s="17" t="s">
        <v>22</v>
      </c>
      <c r="V13" s="52">
        <v>4000</v>
      </c>
      <c r="W13">
        <f>35+5</f>
        <v>40</v>
      </c>
      <c r="X13" s="52">
        <f>157000+20000+100000</f>
        <v>277000</v>
      </c>
      <c r="Z13" s="69" t="s">
        <v>31</v>
      </c>
      <c r="AA13">
        <v>34.129999999999995</v>
      </c>
      <c r="AB13" s="4">
        <v>34130</v>
      </c>
    </row>
    <row r="14" spans="1:28" x14ac:dyDescent="0.35">
      <c r="B14" t="s">
        <v>114</v>
      </c>
      <c r="D14" t="s">
        <v>66</v>
      </c>
      <c r="E14" s="80">
        <f>VLOOKUP(D14,'Bu Erta'!$C$2:$E$66,3,0)</f>
        <v>50000</v>
      </c>
      <c r="F14">
        <v>0.15</v>
      </c>
      <c r="G14" s="80">
        <f t="shared" si="0"/>
        <v>7500</v>
      </c>
      <c r="H14" s="80">
        <f>VLOOKUP(D14,'Bu Erta'!$C$2:$F$66,4,0)*F14</f>
        <v>8250</v>
      </c>
      <c r="J14" s="69" t="s">
        <v>127</v>
      </c>
      <c r="K14">
        <v>2</v>
      </c>
      <c r="L14" s="4">
        <v>11107</v>
      </c>
      <c r="N14" s="44">
        <v>11</v>
      </c>
      <c r="O14" s="17" t="s">
        <v>23</v>
      </c>
      <c r="P14" s="93">
        <f>VLOOKUP(O14,'Bu Erta'!$C$2:$F$66,4,0)</f>
        <v>400</v>
      </c>
      <c r="Q14" s="94">
        <f t="shared" si="1"/>
        <v>24.26</v>
      </c>
      <c r="R14" s="93">
        <f t="shared" si="2"/>
        <v>9704</v>
      </c>
      <c r="T14" s="44">
        <v>11</v>
      </c>
      <c r="U14" s="17" t="s">
        <v>23</v>
      </c>
      <c r="V14" s="52"/>
      <c r="W14" s="53"/>
      <c r="X14" s="52">
        <f t="shared" si="3"/>
        <v>0</v>
      </c>
      <c r="Z14" s="69" t="s">
        <v>34</v>
      </c>
      <c r="AA14">
        <v>2.6000000000000005</v>
      </c>
      <c r="AB14" s="4">
        <v>9100</v>
      </c>
    </row>
    <row r="15" spans="1:28" x14ac:dyDescent="0.35">
      <c r="A15" s="5">
        <v>2</v>
      </c>
      <c r="B15" t="s">
        <v>111</v>
      </c>
      <c r="C15" s="1">
        <v>5</v>
      </c>
      <c r="D15" t="s">
        <v>42</v>
      </c>
      <c r="E15" s="80">
        <f>VLOOKUP(D15,'Bu Erta'!$C$2:$E$66,3,0)</f>
        <v>1000</v>
      </c>
      <c r="F15">
        <f>6.3+0.45</f>
        <v>6.75</v>
      </c>
      <c r="G15" s="80">
        <f t="shared" si="0"/>
        <v>6750</v>
      </c>
      <c r="H15" s="80">
        <f>VLOOKUP(D15,'Bu Erta'!$C$2:$F$66,4,0)*F15</f>
        <v>8100</v>
      </c>
      <c r="J15" s="69" t="s">
        <v>242</v>
      </c>
      <c r="K15">
        <v>3</v>
      </c>
      <c r="L15" s="4">
        <v>6180</v>
      </c>
      <c r="N15" s="44">
        <v>12</v>
      </c>
      <c r="O15" s="17" t="s">
        <v>25</v>
      </c>
      <c r="P15" s="93">
        <f>VLOOKUP(O15,'Bu Erta'!$C$2:$F$66,4,0)</f>
        <v>1700</v>
      </c>
      <c r="Q15" s="94">
        <v>0</v>
      </c>
      <c r="R15" s="93">
        <f t="shared" si="2"/>
        <v>0</v>
      </c>
      <c r="T15" s="44">
        <v>12</v>
      </c>
      <c r="U15" s="17" t="s">
        <v>25</v>
      </c>
      <c r="V15" s="52"/>
      <c r="W15" s="53"/>
      <c r="X15" s="52">
        <f t="shared" si="3"/>
        <v>0</v>
      </c>
      <c r="Z15" s="69" t="s">
        <v>36</v>
      </c>
      <c r="AA15">
        <v>0.85</v>
      </c>
      <c r="AB15" s="4">
        <v>510</v>
      </c>
    </row>
    <row r="16" spans="1:28" x14ac:dyDescent="0.35">
      <c r="B16" t="s">
        <v>111</v>
      </c>
      <c r="D16" t="s">
        <v>19</v>
      </c>
      <c r="E16" s="80">
        <f>VLOOKUP(D16,'Bu Erta'!$C$2:$E$66,3,0)</f>
        <v>200</v>
      </c>
      <c r="F16">
        <f>0.7+0.7</f>
        <v>1.4</v>
      </c>
      <c r="G16" s="80">
        <f t="shared" si="0"/>
        <v>280</v>
      </c>
      <c r="H16" s="80">
        <f>VLOOKUP(D16,'Bu Erta'!$C$2:$F$66,4,0)*F16</f>
        <v>420</v>
      </c>
      <c r="J16" s="69" t="s">
        <v>178</v>
      </c>
      <c r="K16">
        <v>3</v>
      </c>
      <c r="L16" s="4">
        <v>15390</v>
      </c>
      <c r="N16" s="44">
        <v>13</v>
      </c>
      <c r="O16" s="17" t="s">
        <v>24</v>
      </c>
      <c r="P16" s="93">
        <f>VLOOKUP(O16,'Bu Erta'!$C$2:$F$66,4,0)</f>
        <v>200</v>
      </c>
      <c r="Q16" s="94">
        <f t="shared" si="1"/>
        <v>19.45</v>
      </c>
      <c r="R16" s="93">
        <f t="shared" si="2"/>
        <v>3890</v>
      </c>
      <c r="T16" s="44">
        <v>13</v>
      </c>
      <c r="U16" s="17" t="s">
        <v>24</v>
      </c>
      <c r="V16" s="52"/>
      <c r="W16" s="53"/>
      <c r="X16" s="52">
        <f t="shared" si="3"/>
        <v>0</v>
      </c>
      <c r="Z16" s="69" t="s">
        <v>37</v>
      </c>
      <c r="AA16">
        <v>3.9999999999999996</v>
      </c>
      <c r="AB16" s="4">
        <v>6400</v>
      </c>
    </row>
    <row r="17" spans="1:28" x14ac:dyDescent="0.35">
      <c r="B17" t="s">
        <v>111</v>
      </c>
      <c r="D17" t="s">
        <v>23</v>
      </c>
      <c r="E17" s="80">
        <f>VLOOKUP(D17,'Bu Erta'!$C$2:$E$66,3,0)</f>
        <v>300</v>
      </c>
      <c r="F17">
        <f>0.35+0.15</f>
        <v>0.5</v>
      </c>
      <c r="G17" s="80">
        <f t="shared" si="0"/>
        <v>150</v>
      </c>
      <c r="H17" s="80">
        <f>VLOOKUP(D17,'Bu Erta'!$C$2:$F$66,4,0)*F17</f>
        <v>200</v>
      </c>
      <c r="J17" s="69" t="s">
        <v>90</v>
      </c>
      <c r="K17">
        <v>3</v>
      </c>
      <c r="L17" s="4">
        <v>11480</v>
      </c>
      <c r="N17" s="44">
        <v>14</v>
      </c>
      <c r="O17" s="17" t="s">
        <v>26</v>
      </c>
      <c r="P17" s="93">
        <f>VLOOKUP(O17,'Bu Erta'!$C$2:$F$66,4,0)</f>
        <v>1000</v>
      </c>
      <c r="Q17" s="94">
        <f t="shared" si="1"/>
        <v>0</v>
      </c>
      <c r="R17" s="93">
        <f t="shared" si="2"/>
        <v>0</v>
      </c>
      <c r="T17" s="44">
        <v>14</v>
      </c>
      <c r="U17" s="17" t="s">
        <v>26</v>
      </c>
      <c r="V17" s="52"/>
      <c r="W17" s="53"/>
      <c r="X17" s="52">
        <f t="shared" si="3"/>
        <v>0</v>
      </c>
      <c r="Z17" s="69" t="s">
        <v>40</v>
      </c>
      <c r="AA17">
        <v>3.25</v>
      </c>
      <c r="AB17" s="4">
        <v>5850</v>
      </c>
    </row>
    <row r="18" spans="1:28" x14ac:dyDescent="0.35">
      <c r="B18" t="s">
        <v>111</v>
      </c>
      <c r="D18" t="s">
        <v>31</v>
      </c>
      <c r="E18" s="80">
        <f>VLOOKUP(D18,'Bu Erta'!$C$2:$E$66,3,0)</f>
        <v>1000</v>
      </c>
      <c r="F18">
        <f>0.15+1.1</f>
        <v>1.25</v>
      </c>
      <c r="G18" s="80">
        <f t="shared" si="0"/>
        <v>1250</v>
      </c>
      <c r="H18" s="80">
        <f>VLOOKUP(D18,'Bu Erta'!$C$2:$F$66,4,0)*F18</f>
        <v>1375</v>
      </c>
      <c r="J18" s="69" t="s">
        <v>259</v>
      </c>
      <c r="K18">
        <v>3</v>
      </c>
      <c r="L18" s="4">
        <v>4710</v>
      </c>
      <c r="N18" s="44">
        <v>15</v>
      </c>
      <c r="O18" s="17" t="s">
        <v>27</v>
      </c>
      <c r="P18" s="93">
        <f>VLOOKUP(O18,'Bu Erta'!$C$2:$F$66,4,0)</f>
        <v>3100</v>
      </c>
      <c r="Q18" s="94">
        <f>11.48+11.66+2</f>
        <v>25.14</v>
      </c>
      <c r="R18" s="93">
        <f t="shared" si="2"/>
        <v>77934</v>
      </c>
      <c r="T18" s="44">
        <v>15</v>
      </c>
      <c r="U18" s="17" t="s">
        <v>27</v>
      </c>
      <c r="V18" s="52"/>
      <c r="W18" s="53"/>
      <c r="X18" s="52">
        <f t="shared" si="3"/>
        <v>0</v>
      </c>
      <c r="Z18" s="69" t="s">
        <v>41</v>
      </c>
      <c r="AA18">
        <v>6.8</v>
      </c>
      <c r="AB18" s="4">
        <v>10200</v>
      </c>
    </row>
    <row r="19" spans="1:28" x14ac:dyDescent="0.35">
      <c r="B19" t="s">
        <v>111</v>
      </c>
      <c r="D19" t="s">
        <v>46</v>
      </c>
      <c r="E19" s="80">
        <f>VLOOKUP(D19,'Bu Erta'!$C$2:$E$66,3,0)</f>
        <v>1400</v>
      </c>
      <c r="F19">
        <v>1.35</v>
      </c>
      <c r="G19" s="80">
        <f t="shared" si="0"/>
        <v>1890.0000000000002</v>
      </c>
      <c r="H19" s="80">
        <f>VLOOKUP(D19,'Bu Erta'!$C$2:$F$66,4,0)*F19</f>
        <v>2025.0000000000002</v>
      </c>
      <c r="J19" s="69" t="s">
        <v>76</v>
      </c>
      <c r="K19">
        <v>3</v>
      </c>
      <c r="L19" s="4">
        <v>10330</v>
      </c>
      <c r="N19" s="44">
        <v>16</v>
      </c>
      <c r="O19" s="17" t="s">
        <v>28</v>
      </c>
      <c r="P19" s="93">
        <f>VLOOKUP(O19,'Bu Erta'!$C$2:$F$66,4,0)</f>
        <v>1300</v>
      </c>
      <c r="Q19" s="94">
        <f t="shared" si="1"/>
        <v>40.94</v>
      </c>
      <c r="R19" s="93">
        <f t="shared" si="2"/>
        <v>53222</v>
      </c>
      <c r="T19" s="44">
        <v>16</v>
      </c>
      <c r="U19" s="17" t="s">
        <v>28</v>
      </c>
      <c r="V19" s="52"/>
      <c r="W19" s="53"/>
      <c r="X19" s="52">
        <f t="shared" si="3"/>
        <v>0</v>
      </c>
      <c r="Z19" s="69" t="s">
        <v>42</v>
      </c>
      <c r="AA19">
        <v>73.449999999999989</v>
      </c>
      <c r="AB19" s="4">
        <v>73450</v>
      </c>
    </row>
    <row r="20" spans="1:28" x14ac:dyDescent="0.35">
      <c r="B20" t="s">
        <v>111</v>
      </c>
      <c r="D20" t="s">
        <v>27</v>
      </c>
      <c r="E20" s="80">
        <f>VLOOKUP(D20,'Bu Erta'!$C$2:$E$66,3,0)</f>
        <v>2800</v>
      </c>
      <c r="F20">
        <v>1.1000000000000001</v>
      </c>
      <c r="G20" s="80">
        <f t="shared" si="0"/>
        <v>3080.0000000000005</v>
      </c>
      <c r="H20" s="80">
        <f>VLOOKUP(D20,'Bu Erta'!$C$2:$F$66,4,0)*F20</f>
        <v>3410.0000000000005</v>
      </c>
      <c r="J20" s="69" t="s">
        <v>133</v>
      </c>
      <c r="K20">
        <v>4</v>
      </c>
      <c r="L20" s="4">
        <v>4012.5</v>
      </c>
      <c r="N20" s="44">
        <v>17</v>
      </c>
      <c r="O20" s="17" t="s">
        <v>29</v>
      </c>
      <c r="P20" s="93">
        <f>VLOOKUP(O20,'Bu Erta'!$C$2:$F$66,4,0)</f>
        <v>6000</v>
      </c>
      <c r="Q20" s="94">
        <f t="shared" si="1"/>
        <v>0</v>
      </c>
      <c r="R20" s="93">
        <f t="shared" si="2"/>
        <v>0</v>
      </c>
      <c r="T20" s="44">
        <v>17</v>
      </c>
      <c r="U20" s="17" t="s">
        <v>29</v>
      </c>
      <c r="V20" s="52"/>
      <c r="W20" s="53"/>
      <c r="X20" s="52">
        <f t="shared" si="3"/>
        <v>0</v>
      </c>
      <c r="Z20" s="69" t="s">
        <v>44</v>
      </c>
      <c r="AA20">
        <v>1.25</v>
      </c>
      <c r="AB20" s="4">
        <v>500</v>
      </c>
    </row>
    <row r="21" spans="1:28" x14ac:dyDescent="0.35">
      <c r="A21" s="5">
        <v>3</v>
      </c>
      <c r="B21" t="s">
        <v>359</v>
      </c>
      <c r="C21" s="1">
        <v>1</v>
      </c>
      <c r="D21" t="s">
        <v>19</v>
      </c>
      <c r="E21" s="80">
        <f>VLOOKUP(D21,'Bu Erta'!$C$2:$E$66,3,0)</f>
        <v>200</v>
      </c>
      <c r="F21">
        <f>0.35+1.04</f>
        <v>1.3900000000000001</v>
      </c>
      <c r="G21" s="80">
        <f t="shared" si="0"/>
        <v>278</v>
      </c>
      <c r="H21" s="80">
        <f>VLOOKUP(D21,'Bu Erta'!$C$2:$F$66,4,0)*F21</f>
        <v>417.00000000000006</v>
      </c>
      <c r="J21" s="69" t="s">
        <v>85</v>
      </c>
      <c r="K21">
        <v>4</v>
      </c>
      <c r="L21" s="4">
        <v>35728</v>
      </c>
      <c r="N21" s="44">
        <v>18</v>
      </c>
      <c r="O21" s="17" t="s">
        <v>30</v>
      </c>
      <c r="P21" s="93">
        <f>VLOOKUP(O21,'Bu Erta'!$C$2:$F$66,4,0)</f>
        <v>15000</v>
      </c>
      <c r="Q21" s="94">
        <f t="shared" si="1"/>
        <v>0</v>
      </c>
      <c r="R21" s="93">
        <f t="shared" si="2"/>
        <v>0</v>
      </c>
      <c r="T21" s="44">
        <v>18</v>
      </c>
      <c r="U21" s="17" t="s">
        <v>30</v>
      </c>
      <c r="V21" s="52"/>
      <c r="W21" s="53"/>
      <c r="X21" s="52">
        <f t="shared" si="3"/>
        <v>0</v>
      </c>
      <c r="Z21" s="69" t="s">
        <v>46</v>
      </c>
      <c r="AA21">
        <v>27.45</v>
      </c>
      <c r="AB21" s="4">
        <v>38430</v>
      </c>
    </row>
    <row r="22" spans="1:28" x14ac:dyDescent="0.35">
      <c r="B22" t="s">
        <v>359</v>
      </c>
      <c r="D22" t="s">
        <v>31</v>
      </c>
      <c r="E22" s="80">
        <f>VLOOKUP(D22,'Bu Erta'!$C$2:$E$66,3,0)</f>
        <v>1000</v>
      </c>
      <c r="F22">
        <f>1.35+0.7</f>
        <v>2.0499999999999998</v>
      </c>
      <c r="G22" s="80">
        <f t="shared" si="0"/>
        <v>2050</v>
      </c>
      <c r="H22" s="80">
        <f>VLOOKUP(D22,'Bu Erta'!$C$2:$F$66,4,0)*F22</f>
        <v>2255</v>
      </c>
      <c r="J22" s="69" t="s">
        <v>137</v>
      </c>
      <c r="K22">
        <v>4</v>
      </c>
      <c r="L22" s="4">
        <v>4355</v>
      </c>
      <c r="N22" s="44">
        <v>19</v>
      </c>
      <c r="O22" s="17" t="s">
        <v>7</v>
      </c>
      <c r="P22" s="93">
        <f>VLOOKUP(O22,'Bu Erta'!$C$2:$F$66,4,0)</f>
        <v>1600</v>
      </c>
      <c r="Q22" s="94">
        <f t="shared" si="1"/>
        <v>37.160000000000004</v>
      </c>
      <c r="R22" s="93">
        <f t="shared" si="2"/>
        <v>59456.000000000007</v>
      </c>
      <c r="T22" s="44">
        <v>19</v>
      </c>
      <c r="U22" s="17" t="s">
        <v>7</v>
      </c>
      <c r="V22" s="52"/>
      <c r="W22" s="53"/>
      <c r="X22" s="52">
        <v>25000</v>
      </c>
      <c r="Z22" s="69" t="s">
        <v>48</v>
      </c>
      <c r="AA22">
        <v>1</v>
      </c>
      <c r="AB22" s="4">
        <v>13000</v>
      </c>
    </row>
    <row r="23" spans="1:28" x14ac:dyDescent="0.35">
      <c r="B23" t="s">
        <v>359</v>
      </c>
      <c r="D23" t="s">
        <v>69</v>
      </c>
      <c r="E23" s="80">
        <f>VLOOKUP(D23,'Bu Erta'!$C$2:$E$66,3,0)</f>
        <v>2500</v>
      </c>
      <c r="F23">
        <v>0.3</v>
      </c>
      <c r="G23" s="80">
        <f t="shared" si="0"/>
        <v>750</v>
      </c>
      <c r="H23" s="80">
        <f>VLOOKUP(D23,'Bu Erta'!$C$2:$F$66,4,0)*F23</f>
        <v>900</v>
      </c>
      <c r="J23" s="69" t="s">
        <v>100</v>
      </c>
      <c r="K23">
        <v>4</v>
      </c>
      <c r="L23" s="4">
        <v>49030</v>
      </c>
      <c r="N23" s="44">
        <v>20</v>
      </c>
      <c r="O23" s="17" t="s">
        <v>31</v>
      </c>
      <c r="P23" s="93">
        <f>VLOOKUP(O23,'Bu Erta'!$C$2:$F$66,4,0)</f>
        <v>1100</v>
      </c>
      <c r="Q23" s="94">
        <f>SUMIF($D$3:$D$265,O23,$F$3:$F$265)</f>
        <v>34.129999999999995</v>
      </c>
      <c r="R23" s="93">
        <f t="shared" si="2"/>
        <v>37542.999999999993</v>
      </c>
      <c r="T23" s="44">
        <v>20</v>
      </c>
      <c r="U23" s="17" t="s">
        <v>31</v>
      </c>
      <c r="V23" s="52"/>
      <c r="W23" s="53"/>
      <c r="X23" s="52">
        <f t="shared" si="3"/>
        <v>0</v>
      </c>
      <c r="Z23" s="69" t="s">
        <v>49</v>
      </c>
      <c r="AA23">
        <v>8.8000000000000007</v>
      </c>
      <c r="AB23" s="4">
        <v>7040</v>
      </c>
    </row>
    <row r="24" spans="1:28" x14ac:dyDescent="0.35">
      <c r="B24" t="s">
        <v>359</v>
      </c>
      <c r="D24" t="s">
        <v>42</v>
      </c>
      <c r="E24" s="80">
        <f>VLOOKUP(D24,'Bu Erta'!$C$2:$E$66,3,0)</f>
        <v>1000</v>
      </c>
      <c r="F24">
        <v>5.25</v>
      </c>
      <c r="G24" s="80">
        <f t="shared" si="0"/>
        <v>5250</v>
      </c>
      <c r="H24" s="80">
        <f>VLOOKUP(D24,'Bu Erta'!$C$2:$F$66,4,0)*F24</f>
        <v>6300</v>
      </c>
      <c r="J24" s="69" t="s">
        <v>102</v>
      </c>
      <c r="K24">
        <v>4</v>
      </c>
      <c r="L24" s="4">
        <v>9100</v>
      </c>
      <c r="N24" s="44">
        <v>21</v>
      </c>
      <c r="O24" s="17" t="s">
        <v>32</v>
      </c>
      <c r="P24" s="93">
        <f>VLOOKUP(O24,'Bu Erta'!$C$2:$F$66,4,0)</f>
        <v>5000</v>
      </c>
      <c r="Q24" s="94">
        <f t="shared" si="1"/>
        <v>0</v>
      </c>
      <c r="R24" s="93">
        <f t="shared" si="2"/>
        <v>0</v>
      </c>
      <c r="T24" s="44">
        <v>21</v>
      </c>
      <c r="U24" s="17" t="s">
        <v>32</v>
      </c>
      <c r="V24" s="52"/>
      <c r="W24" s="53"/>
      <c r="X24" s="52">
        <f t="shared" si="3"/>
        <v>0</v>
      </c>
      <c r="Z24" s="69" t="s">
        <v>56</v>
      </c>
      <c r="AA24">
        <v>2.1999999999999997</v>
      </c>
      <c r="AB24" s="4">
        <v>8800</v>
      </c>
    </row>
    <row r="25" spans="1:28" x14ac:dyDescent="0.35">
      <c r="B25" t="s">
        <v>359</v>
      </c>
      <c r="D25" t="s">
        <v>23</v>
      </c>
      <c r="E25" s="80">
        <f>VLOOKUP(D25,'Bu Erta'!$C$2:$E$66,3,0)</f>
        <v>300</v>
      </c>
      <c r="F25">
        <v>0.95</v>
      </c>
      <c r="G25" s="80">
        <f t="shared" si="0"/>
        <v>285</v>
      </c>
      <c r="H25" s="80">
        <f>VLOOKUP(D25,'Bu Erta'!$C$2:$F$66,4,0)*F25</f>
        <v>380</v>
      </c>
      <c r="J25" s="69" t="s">
        <v>89</v>
      </c>
      <c r="K25">
        <v>4</v>
      </c>
      <c r="L25" s="4">
        <v>6147</v>
      </c>
      <c r="N25" s="44">
        <v>22</v>
      </c>
      <c r="O25" s="17" t="s">
        <v>33</v>
      </c>
      <c r="P25" s="93">
        <f>VLOOKUP(O25,'Bu Erta'!$C$2:$F$66,4,0)</f>
        <v>1400</v>
      </c>
      <c r="Q25" s="94">
        <f t="shared" si="1"/>
        <v>0</v>
      </c>
      <c r="R25" s="93">
        <f t="shared" si="2"/>
        <v>0</v>
      </c>
      <c r="T25" s="44">
        <v>22</v>
      </c>
      <c r="U25" s="17" t="s">
        <v>33</v>
      </c>
      <c r="V25" s="52"/>
      <c r="W25" s="53"/>
      <c r="X25" s="52">
        <f t="shared" si="3"/>
        <v>0</v>
      </c>
      <c r="Z25" s="69" t="s">
        <v>6</v>
      </c>
      <c r="AA25">
        <v>2</v>
      </c>
      <c r="AB25" s="4">
        <v>4000</v>
      </c>
    </row>
    <row r="26" spans="1:28" x14ac:dyDescent="0.35">
      <c r="A26" s="5">
        <v>4</v>
      </c>
      <c r="B26" t="s">
        <v>326</v>
      </c>
      <c r="C26" s="1">
        <v>1</v>
      </c>
      <c r="D26" t="s">
        <v>31</v>
      </c>
      <c r="E26" s="80">
        <f>VLOOKUP(D26,'Bu Erta'!$C$2:$E$66,3,0)</f>
        <v>1000</v>
      </c>
      <c r="F26">
        <f>1+0.45+1.25</f>
        <v>2.7</v>
      </c>
      <c r="G26" s="80">
        <f t="shared" si="0"/>
        <v>2700</v>
      </c>
      <c r="H26" s="80">
        <f>VLOOKUP(D26,'Bu Erta'!$C$2:$F$66,4,0)*F26</f>
        <v>2970</v>
      </c>
      <c r="J26" s="69" t="s">
        <v>109</v>
      </c>
      <c r="K26">
        <v>4</v>
      </c>
      <c r="L26" s="4">
        <v>5731</v>
      </c>
      <c r="N26" s="44">
        <v>23</v>
      </c>
      <c r="O26" s="17" t="s">
        <v>34</v>
      </c>
      <c r="P26" s="93">
        <f>VLOOKUP(O26,'Bu Erta'!$C$2:$F$66,4,0)</f>
        <v>3600</v>
      </c>
      <c r="Q26" s="94">
        <f>3.6+0.59</f>
        <v>4.1900000000000004</v>
      </c>
      <c r="R26" s="93">
        <f t="shared" si="2"/>
        <v>15084.000000000002</v>
      </c>
      <c r="T26" s="44">
        <v>23</v>
      </c>
      <c r="U26" s="17" t="s">
        <v>34</v>
      </c>
      <c r="V26" s="52"/>
      <c r="W26" s="53"/>
      <c r="X26" s="52">
        <f t="shared" si="3"/>
        <v>0</v>
      </c>
      <c r="Z26" s="69" t="s">
        <v>63</v>
      </c>
      <c r="AA26">
        <v>0.9</v>
      </c>
      <c r="AB26" s="4">
        <v>720</v>
      </c>
    </row>
    <row r="27" spans="1:28" x14ac:dyDescent="0.35">
      <c r="B27" t="s">
        <v>326</v>
      </c>
      <c r="D27" t="s">
        <v>24</v>
      </c>
      <c r="E27" s="80">
        <f>VLOOKUP(D27,'Bu Erta'!$C$2:$E$66,3,0)</f>
        <v>150</v>
      </c>
      <c r="F27">
        <v>1.9</v>
      </c>
      <c r="G27" s="80">
        <f t="shared" si="0"/>
        <v>285</v>
      </c>
      <c r="H27" s="80">
        <f>VLOOKUP(D27,'Bu Erta'!$C$2:$F$66,4,0)*F27</f>
        <v>380</v>
      </c>
      <c r="J27" s="69" t="s">
        <v>114</v>
      </c>
      <c r="K27">
        <v>4</v>
      </c>
      <c r="L27" s="4">
        <v>44775</v>
      </c>
      <c r="N27" s="44">
        <v>24</v>
      </c>
      <c r="O27" s="17" t="s">
        <v>35</v>
      </c>
      <c r="P27" s="93">
        <f>VLOOKUP(O27,'Bu Erta'!$C$2:$F$66,4,0)</f>
        <v>2000</v>
      </c>
      <c r="Q27" s="94">
        <f t="shared" si="1"/>
        <v>0</v>
      </c>
      <c r="R27" s="93">
        <f t="shared" si="2"/>
        <v>0</v>
      </c>
      <c r="T27" s="44">
        <v>24</v>
      </c>
      <c r="U27" s="17" t="s">
        <v>35</v>
      </c>
      <c r="V27" s="52"/>
      <c r="W27" s="53"/>
      <c r="X27" s="52">
        <f t="shared" si="3"/>
        <v>0</v>
      </c>
      <c r="Z27" s="69" t="s">
        <v>66</v>
      </c>
      <c r="AA27">
        <v>0.15</v>
      </c>
      <c r="AB27" s="4">
        <v>7500</v>
      </c>
    </row>
    <row r="28" spans="1:28" x14ac:dyDescent="0.35">
      <c r="B28" t="s">
        <v>326</v>
      </c>
      <c r="D28" t="s">
        <v>41</v>
      </c>
      <c r="E28" s="80">
        <f>VLOOKUP(D28,'Bu Erta'!$C$2:$E$66,3,0)</f>
        <v>1500</v>
      </c>
      <c r="F28">
        <v>0.5</v>
      </c>
      <c r="G28" s="80">
        <f t="shared" si="0"/>
        <v>750</v>
      </c>
      <c r="H28" s="80">
        <f>VLOOKUP(D28,'Bu Erta'!$C$2:$F$66,4,0)*F28</f>
        <v>1000</v>
      </c>
      <c r="J28" s="69" t="s">
        <v>135</v>
      </c>
      <c r="K28">
        <v>4</v>
      </c>
      <c r="L28" s="4">
        <v>22560</v>
      </c>
      <c r="N28" s="44">
        <v>25</v>
      </c>
      <c r="O28" s="17" t="s">
        <v>36</v>
      </c>
      <c r="P28" s="93">
        <f>VLOOKUP(O28,'Bu Erta'!$C$2:$F$66,4,0)</f>
        <v>650</v>
      </c>
      <c r="Q28" s="94">
        <f t="shared" si="1"/>
        <v>0.85</v>
      </c>
      <c r="R28" s="93">
        <f t="shared" si="2"/>
        <v>552.5</v>
      </c>
      <c r="T28" s="44">
        <v>25</v>
      </c>
      <c r="U28" s="17" t="s">
        <v>36</v>
      </c>
      <c r="V28" s="52"/>
      <c r="W28" s="53"/>
      <c r="X28" s="52">
        <f t="shared" si="3"/>
        <v>0</v>
      </c>
      <c r="Z28" s="69" t="s">
        <v>67</v>
      </c>
      <c r="AA28">
        <v>0.65</v>
      </c>
      <c r="AB28" s="4">
        <v>1755.0000000000002</v>
      </c>
    </row>
    <row r="29" spans="1:28" x14ac:dyDescent="0.35">
      <c r="B29" t="s">
        <v>326</v>
      </c>
      <c r="D29" t="s">
        <v>7</v>
      </c>
      <c r="E29" s="80">
        <f>VLOOKUP(D29,'Bu Erta'!$C$2:$E$66,3,0)</f>
        <v>1400</v>
      </c>
      <c r="F29">
        <f>0.45+0.55+0.15</f>
        <v>1.1499999999999999</v>
      </c>
      <c r="G29" s="80">
        <f t="shared" si="0"/>
        <v>1609.9999999999998</v>
      </c>
      <c r="H29" s="80">
        <f>VLOOKUP(D29,'Bu Erta'!$C$2:$F$66,4,0)*F29</f>
        <v>1839.9999999999998</v>
      </c>
      <c r="J29" s="69" t="s">
        <v>245</v>
      </c>
      <c r="K29">
        <v>4</v>
      </c>
      <c r="L29" s="4">
        <v>13985</v>
      </c>
      <c r="N29" s="44">
        <v>26</v>
      </c>
      <c r="O29" s="17" t="s">
        <v>37</v>
      </c>
      <c r="P29" s="93">
        <f>VLOOKUP(O29,'Bu Erta'!$C$2:$F$66,4,0)</f>
        <v>2000</v>
      </c>
      <c r="Q29" s="94">
        <f t="shared" si="1"/>
        <v>3.9999999999999996</v>
      </c>
      <c r="R29" s="93">
        <f t="shared" si="2"/>
        <v>7999.9999999999991</v>
      </c>
      <c r="T29" s="44">
        <v>26</v>
      </c>
      <c r="U29" s="17" t="s">
        <v>37</v>
      </c>
      <c r="V29" s="52"/>
      <c r="W29" s="53"/>
      <c r="X29" s="52">
        <f t="shared" si="3"/>
        <v>0</v>
      </c>
      <c r="Z29" s="69" t="s">
        <v>69</v>
      </c>
      <c r="AA29">
        <v>2.2000000000000002</v>
      </c>
      <c r="AB29" s="4">
        <v>5500</v>
      </c>
    </row>
    <row r="30" spans="1:28" x14ac:dyDescent="0.35">
      <c r="B30" t="s">
        <v>326</v>
      </c>
      <c r="D30" t="s">
        <v>6</v>
      </c>
      <c r="E30" s="80">
        <f>VLOOKUP(D30,'Bu Erta'!$C$2:$E$66,3,0)</f>
        <v>2000</v>
      </c>
      <c r="F30">
        <v>0.55000000000000004</v>
      </c>
      <c r="G30" s="80">
        <f t="shared" si="0"/>
        <v>1100</v>
      </c>
      <c r="H30" s="80">
        <f>VLOOKUP(D30,'Bu Erta'!$C$2:$F$66,4,0)*F30</f>
        <v>1375</v>
      </c>
      <c r="J30" s="69" t="s">
        <v>182</v>
      </c>
      <c r="K30">
        <v>4</v>
      </c>
      <c r="L30" s="4">
        <v>1375</v>
      </c>
      <c r="N30" s="44">
        <v>27</v>
      </c>
      <c r="O30" s="17" t="s">
        <v>38</v>
      </c>
      <c r="P30" s="93">
        <f>VLOOKUP(O30,'Bu Erta'!$C$2:$F$66,4,0)</f>
        <v>1600</v>
      </c>
      <c r="Q30" s="94">
        <f t="shared" si="1"/>
        <v>0</v>
      </c>
      <c r="R30" s="93">
        <f t="shared" si="2"/>
        <v>0</v>
      </c>
      <c r="T30" s="44">
        <v>27</v>
      </c>
      <c r="U30" s="17" t="s">
        <v>38</v>
      </c>
      <c r="V30" s="52"/>
      <c r="W30" s="53"/>
      <c r="X30" s="52">
        <f t="shared" si="3"/>
        <v>0</v>
      </c>
      <c r="Z30" s="69" t="s">
        <v>70</v>
      </c>
      <c r="AA30">
        <v>0.45</v>
      </c>
      <c r="AB30" s="4">
        <v>1575</v>
      </c>
    </row>
    <row r="31" spans="1:28" x14ac:dyDescent="0.35">
      <c r="B31" t="s">
        <v>326</v>
      </c>
      <c r="D31" t="s">
        <v>37</v>
      </c>
      <c r="E31" s="80">
        <f>VLOOKUP(D31,'Bu Erta'!$C$2:$E$66,3,0)</f>
        <v>1600</v>
      </c>
      <c r="F31">
        <f>0.6+0.55</f>
        <v>1.1499999999999999</v>
      </c>
      <c r="G31" s="80">
        <f t="shared" si="0"/>
        <v>1839.9999999999998</v>
      </c>
      <c r="H31" s="80">
        <f>VLOOKUP(D31,'Bu Erta'!$C$2:$F$66,4,0)*F31</f>
        <v>2300</v>
      </c>
      <c r="J31" s="69" t="s">
        <v>192</v>
      </c>
      <c r="K31">
        <v>4</v>
      </c>
      <c r="L31" s="4">
        <v>2880</v>
      </c>
      <c r="N31" s="44">
        <v>28</v>
      </c>
      <c r="O31" s="17" t="s">
        <v>39</v>
      </c>
      <c r="P31" s="93">
        <f>VLOOKUP(O31,'Bu Erta'!$C$2:$F$66,4,0)</f>
        <v>200</v>
      </c>
      <c r="Q31" s="94">
        <f t="shared" si="1"/>
        <v>0</v>
      </c>
      <c r="R31" s="93">
        <f t="shared" si="2"/>
        <v>0</v>
      </c>
      <c r="T31" s="44">
        <v>28</v>
      </c>
      <c r="U31" s="17" t="s">
        <v>39</v>
      </c>
      <c r="V31" s="52"/>
      <c r="W31" s="53"/>
      <c r="X31" s="52">
        <f t="shared" si="3"/>
        <v>0</v>
      </c>
      <c r="Z31" s="69" t="s">
        <v>81</v>
      </c>
      <c r="AA31">
        <v>389.6699999999999</v>
      </c>
      <c r="AB31" s="4">
        <v>507306.5</v>
      </c>
    </row>
    <row r="32" spans="1:28" x14ac:dyDescent="0.35">
      <c r="B32" t="s">
        <v>326</v>
      </c>
      <c r="D32" t="s">
        <v>25</v>
      </c>
      <c r="E32" s="80">
        <f>VLOOKUP(D32,'Bu Erta'!$C$2:$E$66,3,0)</f>
        <v>1600</v>
      </c>
      <c r="F32">
        <f>0.75+1.1</f>
        <v>1.85</v>
      </c>
      <c r="G32" s="80">
        <f t="shared" si="0"/>
        <v>2960</v>
      </c>
      <c r="H32" s="80">
        <f>VLOOKUP(D32,'Bu Erta'!$C$2:$F$66,4,0)*F32</f>
        <v>3145</v>
      </c>
      <c r="J32" s="69" t="s">
        <v>136</v>
      </c>
      <c r="K32">
        <v>4</v>
      </c>
      <c r="L32" s="4">
        <v>8590</v>
      </c>
      <c r="N32" s="44">
        <v>29</v>
      </c>
      <c r="O32" s="17" t="s">
        <v>77</v>
      </c>
      <c r="P32" s="93">
        <f>VLOOKUP(O32,'Bu Erta'!$C$2:$F$66,4,0)</f>
        <v>800</v>
      </c>
      <c r="Q32" s="94">
        <f t="shared" si="1"/>
        <v>0</v>
      </c>
      <c r="R32" s="93">
        <f t="shared" si="2"/>
        <v>0</v>
      </c>
      <c r="T32" s="44">
        <v>29</v>
      </c>
      <c r="U32" s="17" t="s">
        <v>77</v>
      </c>
      <c r="V32" s="52"/>
      <c r="W32" s="53"/>
      <c r="X32" s="52">
        <f t="shared" si="3"/>
        <v>0</v>
      </c>
    </row>
    <row r="33" spans="1:24" x14ac:dyDescent="0.35">
      <c r="A33" s="5">
        <v>5</v>
      </c>
      <c r="B33" t="s">
        <v>85</v>
      </c>
      <c r="C33" s="1">
        <v>4</v>
      </c>
      <c r="D33" t="s">
        <v>28</v>
      </c>
      <c r="E33" s="80">
        <f>VLOOKUP(D33,'Bu Erta'!$C$2:$E$66,3,0)</f>
        <v>1200</v>
      </c>
      <c r="F33">
        <f>9.45+15.04</f>
        <v>24.49</v>
      </c>
      <c r="G33" s="80">
        <f t="shared" si="0"/>
        <v>29387.999999999996</v>
      </c>
      <c r="H33" s="80">
        <f>VLOOKUP(D33,'Bu Erta'!$C$2:$F$66,4,0)*F33</f>
        <v>31836.999999999996</v>
      </c>
      <c r="J33" s="69" t="s">
        <v>140</v>
      </c>
      <c r="K33">
        <v>4</v>
      </c>
      <c r="L33" s="4">
        <v>34970</v>
      </c>
      <c r="N33" s="44">
        <v>30</v>
      </c>
      <c r="O33" s="17" t="s">
        <v>40</v>
      </c>
      <c r="P33" s="93">
        <f>VLOOKUP(O33,'Bu Erta'!$C$2:$F$66,4,0)</f>
        <v>2000</v>
      </c>
      <c r="Q33" s="94">
        <f t="shared" si="1"/>
        <v>3.25</v>
      </c>
      <c r="R33" s="93">
        <f t="shared" si="2"/>
        <v>6500</v>
      </c>
      <c r="T33" s="44">
        <v>30</v>
      </c>
      <c r="U33" s="17" t="s">
        <v>40</v>
      </c>
      <c r="V33" s="52"/>
      <c r="W33" s="53"/>
      <c r="X33" s="52">
        <f t="shared" si="3"/>
        <v>0</v>
      </c>
    </row>
    <row r="34" spans="1:24" x14ac:dyDescent="0.35">
      <c r="B34" t="s">
        <v>85</v>
      </c>
      <c r="D34" t="s">
        <v>42</v>
      </c>
      <c r="E34" s="80">
        <f>VLOOKUP(D34,'Bu Erta'!$C$2:$E$66,3,0)</f>
        <v>1000</v>
      </c>
      <c r="F34">
        <v>0.7</v>
      </c>
      <c r="G34" s="80">
        <f t="shared" si="0"/>
        <v>700</v>
      </c>
      <c r="H34" s="80">
        <f>VLOOKUP(D34,'Bu Erta'!$C$2:$F$66,4,0)*F34</f>
        <v>840</v>
      </c>
      <c r="J34" s="69" t="s">
        <v>328</v>
      </c>
      <c r="K34">
        <v>4</v>
      </c>
      <c r="L34" s="4">
        <v>33820</v>
      </c>
      <c r="N34" s="44">
        <v>31</v>
      </c>
      <c r="O34" s="17" t="s">
        <v>41</v>
      </c>
      <c r="P34" s="93">
        <f>VLOOKUP(O34,'Bu Erta'!$C$2:$F$66,4,0)</f>
        <v>2000</v>
      </c>
      <c r="Q34" s="94">
        <f t="shared" si="1"/>
        <v>6.8</v>
      </c>
      <c r="R34" s="93">
        <f t="shared" si="2"/>
        <v>13600</v>
      </c>
      <c r="T34" s="44">
        <v>31</v>
      </c>
      <c r="U34" s="17" t="s">
        <v>41</v>
      </c>
      <c r="V34" s="52"/>
      <c r="W34" s="53"/>
      <c r="X34" s="52">
        <f t="shared" si="3"/>
        <v>0</v>
      </c>
    </row>
    <row r="35" spans="1:24" x14ac:dyDescent="0.35">
      <c r="B35" t="s">
        <v>85</v>
      </c>
      <c r="D35" t="s">
        <v>49</v>
      </c>
      <c r="E35" s="80">
        <f>VLOOKUP(D35,'Bu Erta'!$C$2:$E$66,3,0)</f>
        <v>800</v>
      </c>
      <c r="F35">
        <v>0.05</v>
      </c>
      <c r="G35" s="80">
        <f t="shared" si="0"/>
        <v>40</v>
      </c>
      <c r="H35" s="80">
        <f>VLOOKUP(D35,'Bu Erta'!$C$2:$F$66,4,0)*F35</f>
        <v>45</v>
      </c>
      <c r="J35" s="69" t="s">
        <v>94</v>
      </c>
      <c r="K35">
        <v>4</v>
      </c>
      <c r="L35" s="4">
        <v>3658</v>
      </c>
      <c r="N35" s="44">
        <v>32</v>
      </c>
      <c r="O35" s="17" t="s">
        <v>42</v>
      </c>
      <c r="P35" s="93">
        <f>VLOOKUP(O35,'Bu Erta'!$C$2:$F$66,4,0)</f>
        <v>1200</v>
      </c>
      <c r="Q35" s="94">
        <f t="shared" si="1"/>
        <v>73.449999999999989</v>
      </c>
      <c r="R35" s="93">
        <f t="shared" si="2"/>
        <v>88139.999999999985</v>
      </c>
      <c r="T35" s="44">
        <v>32</v>
      </c>
      <c r="U35" s="17" t="s">
        <v>42</v>
      </c>
      <c r="V35" s="52"/>
      <c r="W35" s="53"/>
      <c r="X35" s="52">
        <f t="shared" si="3"/>
        <v>0</v>
      </c>
    </row>
    <row r="36" spans="1:24" x14ac:dyDescent="0.35">
      <c r="B36" t="s">
        <v>85</v>
      </c>
      <c r="D36" t="s">
        <v>46</v>
      </c>
      <c r="E36" s="80">
        <f>VLOOKUP(D36,'Bu Erta'!$C$2:$E$66,3,0)</f>
        <v>1400</v>
      </c>
      <c r="F36">
        <v>4</v>
      </c>
      <c r="G36" s="80">
        <f t="shared" si="0"/>
        <v>5600</v>
      </c>
      <c r="H36" s="80">
        <f>VLOOKUP(D36,'Bu Erta'!$C$2:$F$66,4,0)*F36</f>
        <v>6000</v>
      </c>
      <c r="J36" s="69" t="s">
        <v>180</v>
      </c>
      <c r="K36">
        <v>4</v>
      </c>
      <c r="L36" s="4">
        <v>4302.5</v>
      </c>
      <c r="N36" s="44">
        <v>33</v>
      </c>
      <c r="O36" s="17" t="s">
        <v>43</v>
      </c>
      <c r="P36" s="93">
        <f>VLOOKUP(O36,'Bu Erta'!$C$2:$F$66,4,0)</f>
        <v>500</v>
      </c>
      <c r="Q36" s="94">
        <f t="shared" si="1"/>
        <v>0</v>
      </c>
      <c r="R36" s="93">
        <f t="shared" si="2"/>
        <v>0</v>
      </c>
      <c r="T36" s="44">
        <v>33</v>
      </c>
      <c r="U36" s="17" t="s">
        <v>43</v>
      </c>
      <c r="V36" s="52"/>
      <c r="W36" s="53"/>
      <c r="X36" s="52">
        <f t="shared" si="3"/>
        <v>0</v>
      </c>
    </row>
    <row r="37" spans="1:24" x14ac:dyDescent="0.35">
      <c r="A37" s="5">
        <v>6</v>
      </c>
      <c r="B37" t="s">
        <v>327</v>
      </c>
      <c r="C37" s="1">
        <v>1</v>
      </c>
      <c r="D37" t="s">
        <v>56</v>
      </c>
      <c r="E37" s="80">
        <f>VLOOKUP(D37,'Bu Erta'!$C$2:$E$66,3,0)</f>
        <v>4000</v>
      </c>
      <c r="F37">
        <v>0.6</v>
      </c>
      <c r="G37" s="80">
        <f t="shared" si="0"/>
        <v>2400</v>
      </c>
      <c r="H37" s="80">
        <f>VLOOKUP(D37,'Bu Erta'!$C$2:$F$66,4,0)*F37</f>
        <v>3300</v>
      </c>
      <c r="J37" s="69" t="s">
        <v>142</v>
      </c>
      <c r="K37">
        <v>4</v>
      </c>
      <c r="L37" s="4">
        <v>9360</v>
      </c>
      <c r="N37" s="44">
        <v>34</v>
      </c>
      <c r="O37" s="17" t="s">
        <v>44</v>
      </c>
      <c r="P37" s="93">
        <f>VLOOKUP(O37,'Bu Erta'!$C$2:$F$66,4,0)</f>
        <v>500</v>
      </c>
      <c r="Q37" s="94">
        <f t="shared" si="1"/>
        <v>1.25</v>
      </c>
      <c r="R37" s="93">
        <f t="shared" si="2"/>
        <v>625</v>
      </c>
      <c r="T37" s="44">
        <v>34</v>
      </c>
      <c r="U37" s="17" t="s">
        <v>44</v>
      </c>
      <c r="V37" s="52"/>
      <c r="W37" s="53"/>
      <c r="X37" s="52">
        <f t="shared" si="3"/>
        <v>0</v>
      </c>
    </row>
    <row r="38" spans="1:24" x14ac:dyDescent="0.35">
      <c r="B38" t="s">
        <v>327</v>
      </c>
      <c r="D38" t="s">
        <v>31</v>
      </c>
      <c r="E38" s="80">
        <f>VLOOKUP(D38,'Bu Erta'!$C$2:$E$66,3,0)</f>
        <v>1000</v>
      </c>
      <c r="F38">
        <v>0.9</v>
      </c>
      <c r="G38" s="80">
        <f t="shared" si="0"/>
        <v>900</v>
      </c>
      <c r="H38" s="80">
        <f>VLOOKUP(D38,'Bu Erta'!$C$2:$F$66,4,0)*F38</f>
        <v>990</v>
      </c>
      <c r="J38" s="69" t="s">
        <v>84</v>
      </c>
      <c r="K38">
        <v>4</v>
      </c>
      <c r="L38" s="4">
        <v>8332.5</v>
      </c>
      <c r="N38" s="44">
        <v>35</v>
      </c>
      <c r="O38" s="17" t="s">
        <v>45</v>
      </c>
      <c r="P38" s="93">
        <f>VLOOKUP(O38,'Bu Erta'!$C$2:$F$66,4,0)</f>
        <v>800</v>
      </c>
      <c r="Q38" s="94">
        <f t="shared" si="1"/>
        <v>0</v>
      </c>
      <c r="R38" s="93">
        <f t="shared" si="2"/>
        <v>0</v>
      </c>
      <c r="T38" s="44">
        <v>35</v>
      </c>
      <c r="U38" s="17" t="s">
        <v>45</v>
      </c>
      <c r="V38" s="52"/>
      <c r="W38" s="53"/>
      <c r="X38" s="52">
        <f t="shared" si="3"/>
        <v>0</v>
      </c>
    </row>
    <row r="39" spans="1:24" x14ac:dyDescent="0.35">
      <c r="A39" s="5">
        <v>7</v>
      </c>
      <c r="B39" t="s">
        <v>133</v>
      </c>
      <c r="C39" s="1">
        <v>4</v>
      </c>
      <c r="D39" t="s">
        <v>42</v>
      </c>
      <c r="E39" s="80">
        <f>VLOOKUP(D39,'Bu Erta'!$C$2:$E$66,3,0)</f>
        <v>1000</v>
      </c>
      <c r="F39">
        <v>2.2999999999999998</v>
      </c>
      <c r="G39" s="80">
        <f t="shared" si="0"/>
        <v>2300</v>
      </c>
      <c r="H39" s="80">
        <f>VLOOKUP(D39,'Bu Erta'!$C$2:$F$66,4,0)*F39</f>
        <v>2760</v>
      </c>
      <c r="J39" s="69" t="s">
        <v>111</v>
      </c>
      <c r="K39">
        <v>5</v>
      </c>
      <c r="L39" s="4">
        <v>13400</v>
      </c>
      <c r="N39" s="44">
        <v>36</v>
      </c>
      <c r="O39" s="17" t="s">
        <v>46</v>
      </c>
      <c r="P39" s="93">
        <f>VLOOKUP(O39,'Bu Erta'!$C$2:$F$66,4,0)</f>
        <v>1500</v>
      </c>
      <c r="Q39" s="94">
        <f t="shared" si="1"/>
        <v>27.45</v>
      </c>
      <c r="R39" s="93">
        <f t="shared" si="2"/>
        <v>41175</v>
      </c>
      <c r="T39" s="44">
        <v>36</v>
      </c>
      <c r="U39" s="17" t="s">
        <v>46</v>
      </c>
      <c r="V39" s="52"/>
      <c r="W39" s="53"/>
      <c r="X39" s="52">
        <f t="shared" si="3"/>
        <v>0</v>
      </c>
    </row>
    <row r="40" spans="1:24" x14ac:dyDescent="0.35">
      <c r="B40" t="s">
        <v>133</v>
      </c>
      <c r="D40" t="s">
        <v>23</v>
      </c>
      <c r="E40" s="80">
        <f>VLOOKUP(D40,'Bu Erta'!$C$2:$E$66,3,0)</f>
        <v>300</v>
      </c>
      <c r="F40">
        <v>1.25</v>
      </c>
      <c r="G40" s="80">
        <f t="shared" si="0"/>
        <v>375</v>
      </c>
      <c r="H40" s="80">
        <f>VLOOKUP(D40,'Bu Erta'!$C$2:$F$66,4,0)*F40</f>
        <v>500</v>
      </c>
      <c r="J40" s="69" t="s">
        <v>189</v>
      </c>
      <c r="K40">
        <v>5</v>
      </c>
      <c r="L40" s="4">
        <v>14485</v>
      </c>
      <c r="N40" s="44">
        <v>37</v>
      </c>
      <c r="O40" s="17" t="s">
        <v>47</v>
      </c>
      <c r="P40" s="93">
        <f>VLOOKUP(O40,'Bu Erta'!$C$2:$F$66,4,0)</f>
        <v>1500</v>
      </c>
      <c r="Q40" s="94">
        <f t="shared" si="1"/>
        <v>0</v>
      </c>
      <c r="R40" s="93">
        <f t="shared" si="2"/>
        <v>0</v>
      </c>
      <c r="T40" s="44">
        <v>37</v>
      </c>
      <c r="U40" s="17" t="s">
        <v>47</v>
      </c>
      <c r="V40" s="52"/>
      <c r="W40" s="53"/>
      <c r="X40" s="52">
        <f t="shared" si="3"/>
        <v>0</v>
      </c>
    </row>
    <row r="41" spans="1:24" x14ac:dyDescent="0.35">
      <c r="B41" t="s">
        <v>133</v>
      </c>
      <c r="D41" t="s">
        <v>24</v>
      </c>
      <c r="E41" s="80">
        <f>VLOOKUP(D41,'Bu Erta'!$C$2:$E$66,3,0)</f>
        <v>150</v>
      </c>
      <c r="F41">
        <v>1.25</v>
      </c>
      <c r="G41" s="80">
        <f t="shared" si="0"/>
        <v>187.5</v>
      </c>
      <c r="H41" s="80">
        <f>VLOOKUP(D41,'Bu Erta'!$C$2:$F$66,4,0)*F41</f>
        <v>250</v>
      </c>
      <c r="J41" s="69" t="s">
        <v>297</v>
      </c>
      <c r="K41">
        <v>5</v>
      </c>
      <c r="L41" s="4">
        <v>17855</v>
      </c>
      <c r="N41" s="44">
        <v>38</v>
      </c>
      <c r="O41" s="17" t="s">
        <v>48</v>
      </c>
      <c r="P41" s="93">
        <f>VLOOKUP(O41,'Bu Erta'!$C$2:$F$66,4,0)</f>
        <v>15000</v>
      </c>
      <c r="Q41" s="94">
        <f t="shared" si="1"/>
        <v>1</v>
      </c>
      <c r="R41" s="93">
        <f t="shared" si="2"/>
        <v>15000</v>
      </c>
      <c r="T41" s="44">
        <v>38</v>
      </c>
      <c r="U41" s="17" t="s">
        <v>48</v>
      </c>
      <c r="V41" s="52"/>
      <c r="W41" s="53"/>
      <c r="X41" s="52">
        <f t="shared" si="3"/>
        <v>0</v>
      </c>
    </row>
    <row r="42" spans="1:24" x14ac:dyDescent="0.35">
      <c r="B42" t="s">
        <v>133</v>
      </c>
      <c r="D42" t="s">
        <v>31</v>
      </c>
      <c r="E42" s="80">
        <f>VLOOKUP(D42,'Bu Erta'!$C$2:$E$66,3,0)</f>
        <v>1000</v>
      </c>
      <c r="F42">
        <v>0.3</v>
      </c>
      <c r="G42" s="80">
        <f t="shared" si="0"/>
        <v>300</v>
      </c>
      <c r="H42" s="80">
        <f>VLOOKUP(D42,'Bu Erta'!$C$2:$F$66,4,0)*F42</f>
        <v>330</v>
      </c>
      <c r="J42" s="69" t="s">
        <v>95</v>
      </c>
      <c r="K42">
        <v>5</v>
      </c>
      <c r="L42" s="4">
        <v>4290</v>
      </c>
      <c r="N42" s="44">
        <v>39</v>
      </c>
      <c r="O42" s="17" t="s">
        <v>49</v>
      </c>
      <c r="P42" s="93">
        <f>VLOOKUP(O42,'Bu Erta'!$C$2:$F$66,4,0)</f>
        <v>900</v>
      </c>
      <c r="Q42" s="94">
        <f t="shared" si="1"/>
        <v>8.8000000000000007</v>
      </c>
      <c r="R42" s="93">
        <f t="shared" si="2"/>
        <v>7920.0000000000009</v>
      </c>
      <c r="T42" s="44">
        <v>39</v>
      </c>
      <c r="U42" s="17" t="s">
        <v>49</v>
      </c>
      <c r="V42" s="52"/>
      <c r="W42" s="53"/>
      <c r="X42" s="52">
        <f t="shared" si="3"/>
        <v>0</v>
      </c>
    </row>
    <row r="43" spans="1:24" x14ac:dyDescent="0.35">
      <c r="B43" t="s">
        <v>133</v>
      </c>
      <c r="D43" t="s">
        <v>27</v>
      </c>
      <c r="E43" s="80">
        <f>VLOOKUP(D43,'Bu Erta'!$C$2:$E$66,3,0)</f>
        <v>2800</v>
      </c>
      <c r="F43">
        <v>0.25</v>
      </c>
      <c r="G43" s="80">
        <f t="shared" si="0"/>
        <v>700</v>
      </c>
      <c r="H43" s="80">
        <f>VLOOKUP(D43,'Bu Erta'!$C$2:$F$66,4,0)*F43</f>
        <v>775</v>
      </c>
      <c r="J43" s="69" t="s">
        <v>110</v>
      </c>
      <c r="K43">
        <v>5</v>
      </c>
      <c r="L43" s="4">
        <v>5000</v>
      </c>
      <c r="N43" s="44">
        <v>40</v>
      </c>
      <c r="O43" s="17" t="s">
        <v>50</v>
      </c>
      <c r="P43" s="93">
        <f>VLOOKUP(O43,'Bu Erta'!$C$2:$F$66,4,0)</f>
        <v>45000</v>
      </c>
      <c r="Q43" s="94">
        <f t="shared" si="1"/>
        <v>0</v>
      </c>
      <c r="R43" s="93">
        <f t="shared" si="2"/>
        <v>0</v>
      </c>
      <c r="T43" s="44">
        <v>40</v>
      </c>
      <c r="U43" s="17" t="s">
        <v>50</v>
      </c>
      <c r="V43" s="52"/>
      <c r="W43" s="53"/>
      <c r="X43" s="52">
        <f t="shared" si="3"/>
        <v>0</v>
      </c>
    </row>
    <row r="44" spans="1:24" x14ac:dyDescent="0.35">
      <c r="B44" t="s">
        <v>133</v>
      </c>
      <c r="D44" t="s">
        <v>19</v>
      </c>
      <c r="E44" s="80">
        <f>VLOOKUP(D44,'Bu Erta'!$C$2:$E$66,3,0)</f>
        <v>200</v>
      </c>
      <c r="F44">
        <v>0.75</v>
      </c>
      <c r="G44" s="80">
        <f t="shared" si="0"/>
        <v>150</v>
      </c>
      <c r="H44" s="80">
        <f>VLOOKUP(D44,'Bu Erta'!$C$2:$F$66,4,0)*F44</f>
        <v>225</v>
      </c>
      <c r="J44" s="69" t="s">
        <v>299</v>
      </c>
      <c r="K44">
        <v>6</v>
      </c>
      <c r="L44" s="4">
        <v>14810</v>
      </c>
      <c r="N44" s="44">
        <v>41</v>
      </c>
      <c r="O44" s="17" t="s">
        <v>51</v>
      </c>
      <c r="P44" s="93">
        <f>VLOOKUP(O44,'Bu Erta'!$C$2:$F$66,4,0)</f>
        <v>55000</v>
      </c>
      <c r="Q44" s="94">
        <f t="shared" si="1"/>
        <v>0</v>
      </c>
      <c r="R44" s="93">
        <f t="shared" si="2"/>
        <v>0</v>
      </c>
      <c r="T44" s="44">
        <v>41</v>
      </c>
      <c r="U44" s="17" t="s">
        <v>51</v>
      </c>
      <c r="V44" s="52"/>
      <c r="W44" s="53"/>
      <c r="X44" s="52">
        <f t="shared" si="3"/>
        <v>0</v>
      </c>
    </row>
    <row r="45" spans="1:24" x14ac:dyDescent="0.35">
      <c r="A45" s="5">
        <v>8</v>
      </c>
      <c r="B45" t="s">
        <v>180</v>
      </c>
      <c r="C45" s="5">
        <v>4</v>
      </c>
      <c r="D45" t="s">
        <v>27</v>
      </c>
      <c r="E45" s="80">
        <f>VLOOKUP(D45,'Bu Erta'!$C$2:$E$66,3,0)</f>
        <v>2800</v>
      </c>
      <c r="F45">
        <v>0.65</v>
      </c>
      <c r="G45" s="80">
        <f t="shared" si="0"/>
        <v>1820</v>
      </c>
      <c r="H45" s="80">
        <f>VLOOKUP(D45,'Bu Erta'!$C$2:$F$66,4,0)*F45</f>
        <v>2015</v>
      </c>
      <c r="J45" s="69" t="s">
        <v>295</v>
      </c>
      <c r="K45">
        <v>6</v>
      </c>
      <c r="L45" s="4">
        <v>5970</v>
      </c>
      <c r="N45" s="44">
        <v>42</v>
      </c>
      <c r="O45" s="17" t="s">
        <v>52</v>
      </c>
      <c r="P45" s="93">
        <f>VLOOKUP(O45,'Bu Erta'!$C$2:$F$66,4,0)</f>
        <v>30000</v>
      </c>
      <c r="Q45" s="94">
        <f t="shared" si="1"/>
        <v>0</v>
      </c>
      <c r="R45" s="93">
        <f t="shared" si="2"/>
        <v>0</v>
      </c>
      <c r="T45" s="44">
        <v>42</v>
      </c>
      <c r="U45" s="17" t="s">
        <v>52</v>
      </c>
      <c r="V45" s="52"/>
      <c r="W45" s="53"/>
      <c r="X45" s="52">
        <f t="shared" si="3"/>
        <v>0</v>
      </c>
    </row>
    <row r="46" spans="1:24" x14ac:dyDescent="0.35">
      <c r="B46" t="s">
        <v>180</v>
      </c>
      <c r="D46" t="s">
        <v>69</v>
      </c>
      <c r="E46" s="80">
        <f>VLOOKUP(D46,'Bu Erta'!$C$2:$E$66,3,0)</f>
        <v>2500</v>
      </c>
      <c r="F46">
        <v>0.2</v>
      </c>
      <c r="G46" s="80">
        <f t="shared" si="0"/>
        <v>500</v>
      </c>
      <c r="H46" s="80">
        <f>VLOOKUP(D46,'Bu Erta'!$C$2:$F$66,4,0)*F46</f>
        <v>600</v>
      </c>
      <c r="J46" s="69" t="s">
        <v>188</v>
      </c>
      <c r="K46">
        <v>7</v>
      </c>
      <c r="L46" s="4">
        <v>2500</v>
      </c>
      <c r="N46" s="44">
        <v>43</v>
      </c>
      <c r="O46" s="17" t="s">
        <v>53</v>
      </c>
      <c r="P46" s="93">
        <f>VLOOKUP(O46,'Bu Erta'!$C$2:$F$66,4,0)</f>
        <v>12000</v>
      </c>
      <c r="Q46" s="94">
        <f t="shared" si="1"/>
        <v>0</v>
      </c>
      <c r="R46" s="93">
        <f t="shared" si="2"/>
        <v>0</v>
      </c>
      <c r="T46" s="44">
        <v>43</v>
      </c>
      <c r="U46" s="17" t="s">
        <v>53</v>
      </c>
      <c r="V46" s="52"/>
      <c r="W46" s="53"/>
      <c r="X46" s="52">
        <f t="shared" si="3"/>
        <v>0</v>
      </c>
    </row>
    <row r="47" spans="1:24" x14ac:dyDescent="0.35">
      <c r="B47" t="s">
        <v>180</v>
      </c>
      <c r="D47" t="s">
        <v>42</v>
      </c>
      <c r="E47" s="80">
        <f>VLOOKUP(D47,'Bu Erta'!$C$2:$E$66,3,0)</f>
        <v>1000</v>
      </c>
      <c r="F47">
        <v>1.1000000000000001</v>
      </c>
      <c r="G47" s="80">
        <f t="shared" si="0"/>
        <v>1100</v>
      </c>
      <c r="H47" s="80">
        <f>VLOOKUP(D47,'Bu Erta'!$C$2:$F$66,4,0)*F47</f>
        <v>1320</v>
      </c>
      <c r="J47" s="69" t="s">
        <v>81</v>
      </c>
      <c r="K47">
        <v>149</v>
      </c>
      <c r="L47" s="4">
        <v>507306.5</v>
      </c>
      <c r="N47" s="44">
        <v>44</v>
      </c>
      <c r="O47" s="17" t="s">
        <v>54</v>
      </c>
      <c r="P47" s="93">
        <f>VLOOKUP(O47,'Bu Erta'!$C$2:$F$66,4,0)</f>
        <v>650</v>
      </c>
      <c r="Q47" s="94">
        <f t="shared" si="1"/>
        <v>0</v>
      </c>
      <c r="R47" s="93">
        <f t="shared" si="2"/>
        <v>0</v>
      </c>
      <c r="T47" s="44">
        <v>44</v>
      </c>
      <c r="U47" s="17" t="s">
        <v>54</v>
      </c>
      <c r="V47" s="52"/>
      <c r="W47" s="53"/>
      <c r="X47" s="52">
        <f t="shared" si="3"/>
        <v>0</v>
      </c>
    </row>
    <row r="48" spans="1:24" x14ac:dyDescent="0.35">
      <c r="B48" t="s">
        <v>180</v>
      </c>
      <c r="D48" t="s">
        <v>6</v>
      </c>
      <c r="E48" s="80">
        <f>VLOOKUP(D48,'Bu Erta'!$C$2:$E$66,3,0)</f>
        <v>2000</v>
      </c>
      <c r="F48">
        <v>0.1</v>
      </c>
      <c r="G48" s="80">
        <f t="shared" si="0"/>
        <v>200</v>
      </c>
      <c r="H48" s="80">
        <f>VLOOKUP(D48,'Bu Erta'!$C$2:$F$66,4,0)*F48</f>
        <v>250</v>
      </c>
      <c r="N48" s="44">
        <v>45</v>
      </c>
      <c r="O48" s="17" t="s">
        <v>55</v>
      </c>
      <c r="P48" s="93">
        <f>VLOOKUP(O48,'Bu Erta'!$C$2:$F$66,4,0)</f>
        <v>40000</v>
      </c>
      <c r="Q48" s="94">
        <f t="shared" si="1"/>
        <v>0</v>
      </c>
      <c r="R48" s="93">
        <f t="shared" si="2"/>
        <v>0</v>
      </c>
      <c r="T48" s="44">
        <v>45</v>
      </c>
      <c r="U48" s="17" t="s">
        <v>55</v>
      </c>
      <c r="V48" s="52"/>
      <c r="W48" s="53"/>
      <c r="X48" s="52">
        <f t="shared" si="3"/>
        <v>0</v>
      </c>
    </row>
    <row r="49" spans="1:24" x14ac:dyDescent="0.35">
      <c r="B49" t="s">
        <v>180</v>
      </c>
      <c r="D49" t="s">
        <v>31</v>
      </c>
      <c r="E49" s="80">
        <f>VLOOKUP(D49,'Bu Erta'!$C$2:$E$66,3,0)</f>
        <v>1000</v>
      </c>
      <c r="F49">
        <v>0.45</v>
      </c>
      <c r="G49" s="80">
        <f t="shared" si="0"/>
        <v>450</v>
      </c>
      <c r="H49" s="80">
        <f>VLOOKUP(D49,'Bu Erta'!$C$2:$F$66,4,0)*F49</f>
        <v>495</v>
      </c>
      <c r="N49" s="44">
        <v>46</v>
      </c>
      <c r="O49" s="17" t="s">
        <v>56</v>
      </c>
      <c r="P49" s="93">
        <f>VLOOKUP(O49,'Bu Erta'!$C$2:$F$66,4,0)</f>
        <v>5500</v>
      </c>
      <c r="Q49" s="94">
        <f t="shared" si="1"/>
        <v>2.1999999999999997</v>
      </c>
      <c r="R49" s="93">
        <f t="shared" si="2"/>
        <v>12099.999999999998</v>
      </c>
      <c r="T49" s="44">
        <v>46</v>
      </c>
      <c r="U49" s="17" t="s">
        <v>56</v>
      </c>
      <c r="V49" s="52"/>
      <c r="W49" s="53"/>
      <c r="X49" s="52">
        <f t="shared" si="3"/>
        <v>0</v>
      </c>
    </row>
    <row r="50" spans="1:24" x14ac:dyDescent="0.35">
      <c r="B50" t="s">
        <v>180</v>
      </c>
      <c r="D50" t="s">
        <v>24</v>
      </c>
      <c r="E50" s="80">
        <f>VLOOKUP(D50,'Bu Erta'!$C$2:$E$66,3,0)</f>
        <v>150</v>
      </c>
      <c r="F50">
        <v>0.55000000000000004</v>
      </c>
      <c r="G50" s="80">
        <f t="shared" si="0"/>
        <v>82.5</v>
      </c>
      <c r="H50" s="80">
        <f>VLOOKUP(D50,'Bu Erta'!$C$2:$F$66,4,0)*F50</f>
        <v>110.00000000000001</v>
      </c>
      <c r="J50" s="69" t="s">
        <v>228</v>
      </c>
      <c r="N50" s="44">
        <v>47</v>
      </c>
      <c r="O50" s="17" t="s">
        <v>88</v>
      </c>
      <c r="P50" s="93">
        <f>VLOOKUP(O50,'Bu Erta'!$C$2:$F$66,4,0)</f>
        <v>400</v>
      </c>
      <c r="Q50" s="94">
        <f t="shared" si="1"/>
        <v>0</v>
      </c>
      <c r="R50" s="93">
        <f t="shared" si="2"/>
        <v>0</v>
      </c>
      <c r="T50" s="44">
        <v>47</v>
      </c>
      <c r="U50" s="17" t="s">
        <v>88</v>
      </c>
      <c r="V50" s="52"/>
      <c r="W50" s="53"/>
      <c r="X50" s="52">
        <f t="shared" si="3"/>
        <v>0</v>
      </c>
    </row>
    <row r="51" spans="1:24" x14ac:dyDescent="0.35">
      <c r="B51" t="s">
        <v>180</v>
      </c>
      <c r="D51" t="s">
        <v>19</v>
      </c>
      <c r="E51" s="80">
        <f>VLOOKUP(D51,'Bu Erta'!$C$2:$E$66,3,0)</f>
        <v>200</v>
      </c>
      <c r="F51">
        <f>0.45+0.15</f>
        <v>0.6</v>
      </c>
      <c r="G51" s="80">
        <f t="shared" si="0"/>
        <v>120</v>
      </c>
      <c r="H51" s="80">
        <f>VLOOKUP(D51,'Bu Erta'!$C$2:$F$66,4,0)*F51</f>
        <v>180</v>
      </c>
      <c r="J51" s="4">
        <f>R68+X68-GETPIVOTDATA("Sum of Total Harga",$J$2)</f>
        <v>313736</v>
      </c>
      <c r="N51" s="44">
        <v>48</v>
      </c>
      <c r="O51" s="17" t="s">
        <v>57</v>
      </c>
      <c r="P51" s="93">
        <f>VLOOKUP(O51,'Bu Erta'!$C$2:$F$66,4,0)</f>
        <v>10000</v>
      </c>
      <c r="Q51" s="94">
        <f t="shared" si="1"/>
        <v>0</v>
      </c>
      <c r="R51" s="93">
        <f t="shared" si="2"/>
        <v>0</v>
      </c>
      <c r="T51" s="44">
        <v>48</v>
      </c>
      <c r="U51" s="17" t="s">
        <v>57</v>
      </c>
      <c r="V51" s="52"/>
      <c r="W51" s="53"/>
      <c r="X51" s="52">
        <f t="shared" si="3"/>
        <v>0</v>
      </c>
    </row>
    <row r="52" spans="1:24" x14ac:dyDescent="0.35">
      <c r="B52" t="s">
        <v>180</v>
      </c>
      <c r="D52" t="s">
        <v>23</v>
      </c>
      <c r="E52" s="80">
        <f>VLOOKUP(D52,'Bu Erta'!$C$2:$E$66,3,0)</f>
        <v>300</v>
      </c>
      <c r="F52">
        <v>0.1</v>
      </c>
      <c r="G52" s="80">
        <f t="shared" si="0"/>
        <v>30</v>
      </c>
      <c r="H52" s="80">
        <f>VLOOKUP(D52,'Bu Erta'!$C$2:$F$66,4,0)*F52</f>
        <v>40</v>
      </c>
      <c r="N52" s="44">
        <v>49</v>
      </c>
      <c r="O52" s="17" t="s">
        <v>58</v>
      </c>
      <c r="P52" s="93">
        <f>VLOOKUP(O52,'Bu Erta'!$C$2:$F$66,4,0)</f>
        <v>15000</v>
      </c>
      <c r="Q52" s="94">
        <f t="shared" si="1"/>
        <v>0</v>
      </c>
      <c r="R52" s="93">
        <f t="shared" si="2"/>
        <v>0</v>
      </c>
      <c r="T52" s="44">
        <v>49</v>
      </c>
      <c r="U52" s="17" t="s">
        <v>58</v>
      </c>
      <c r="V52" s="52"/>
      <c r="W52" s="53"/>
      <c r="X52" s="52">
        <f t="shared" si="3"/>
        <v>0</v>
      </c>
    </row>
    <row r="53" spans="1:24" x14ac:dyDescent="0.35">
      <c r="A53" s="5">
        <v>9</v>
      </c>
      <c r="B53" t="s">
        <v>328</v>
      </c>
      <c r="C53" s="1">
        <v>4</v>
      </c>
      <c r="D53" t="s">
        <v>22</v>
      </c>
      <c r="E53" s="80">
        <f>VLOOKUP(D53,'Bu Erta'!$C$2:$E$66,3,0)</f>
        <v>2500</v>
      </c>
      <c r="F53">
        <v>12.08</v>
      </c>
      <c r="G53" s="80">
        <f t="shared" si="0"/>
        <v>30200</v>
      </c>
      <c r="H53" s="80">
        <f>VLOOKUP(D53,'Bu Erta'!$C$2:$F$66,4,0)*F53</f>
        <v>36240</v>
      </c>
      <c r="N53" s="44">
        <v>50</v>
      </c>
      <c r="O53" s="17" t="s">
        <v>6</v>
      </c>
      <c r="P53" s="93">
        <f>VLOOKUP(O53,'Bu Erta'!$C$2:$F$66,4,0)</f>
        <v>2500</v>
      </c>
      <c r="Q53" s="94">
        <f t="shared" si="1"/>
        <v>2</v>
      </c>
      <c r="R53" s="93">
        <f t="shared" si="2"/>
        <v>5000</v>
      </c>
      <c r="T53" s="44">
        <v>50</v>
      </c>
      <c r="U53" s="17" t="s">
        <v>6</v>
      </c>
      <c r="V53" s="52"/>
      <c r="W53" s="53"/>
      <c r="X53" s="52">
        <f t="shared" si="3"/>
        <v>0</v>
      </c>
    </row>
    <row r="54" spans="1:24" x14ac:dyDescent="0.35">
      <c r="B54" t="s">
        <v>328</v>
      </c>
      <c r="D54" t="s">
        <v>42</v>
      </c>
      <c r="E54" s="80">
        <f>VLOOKUP(D54,'Bu Erta'!$C$2:$E$66,3,0)</f>
        <v>1000</v>
      </c>
      <c r="F54">
        <v>1.9</v>
      </c>
      <c r="G54" s="80">
        <f t="shared" si="0"/>
        <v>1900</v>
      </c>
      <c r="H54" s="80">
        <f>VLOOKUP(D54,'Bu Erta'!$C$2:$F$66,4,0)*F54</f>
        <v>2280</v>
      </c>
      <c r="N54" s="44">
        <v>51</v>
      </c>
      <c r="O54" s="17" t="s">
        <v>59</v>
      </c>
      <c r="P54" s="93">
        <f>VLOOKUP(O54,'Bu Erta'!$C$2:$F$66,4,0)</f>
        <v>600</v>
      </c>
      <c r="Q54" s="94">
        <f t="shared" si="1"/>
        <v>0</v>
      </c>
      <c r="R54" s="93">
        <f t="shared" si="2"/>
        <v>0</v>
      </c>
      <c r="T54" s="44">
        <v>51</v>
      </c>
      <c r="U54" s="17" t="s">
        <v>59</v>
      </c>
      <c r="V54" s="52"/>
      <c r="W54" s="53"/>
      <c r="X54" s="52">
        <f t="shared" si="3"/>
        <v>0</v>
      </c>
    </row>
    <row r="55" spans="1:24" x14ac:dyDescent="0.35">
      <c r="B55" t="s">
        <v>328</v>
      </c>
      <c r="D55" t="s">
        <v>19</v>
      </c>
      <c r="E55" s="80">
        <f>VLOOKUP(D55,'Bu Erta'!$C$2:$E$66,3,0)</f>
        <v>200</v>
      </c>
      <c r="F55">
        <v>1.2</v>
      </c>
      <c r="G55" s="80">
        <f t="shared" si="0"/>
        <v>240</v>
      </c>
      <c r="H55" s="80">
        <f>VLOOKUP(D55,'Bu Erta'!$C$2:$F$66,4,0)*F55</f>
        <v>360</v>
      </c>
      <c r="N55" s="44">
        <v>52</v>
      </c>
      <c r="O55" s="17" t="s">
        <v>60</v>
      </c>
      <c r="P55" s="93">
        <f>VLOOKUP(O55,'Bu Erta'!$C$2:$F$66,4,0)</f>
        <v>1500</v>
      </c>
      <c r="Q55" s="94">
        <f t="shared" si="1"/>
        <v>0</v>
      </c>
      <c r="R55" s="93">
        <f t="shared" si="2"/>
        <v>0</v>
      </c>
      <c r="T55" s="44">
        <v>52</v>
      </c>
      <c r="U55" s="17" t="s">
        <v>60</v>
      </c>
      <c r="V55" s="52"/>
      <c r="W55" s="53"/>
      <c r="X55" s="52">
        <f t="shared" si="3"/>
        <v>0</v>
      </c>
    </row>
    <row r="56" spans="1:24" x14ac:dyDescent="0.35">
      <c r="B56" t="s">
        <v>328</v>
      </c>
      <c r="D56" t="s">
        <v>23</v>
      </c>
      <c r="E56" s="80">
        <f>VLOOKUP(D56,'Bu Erta'!$C$2:$E$66,3,0)</f>
        <v>300</v>
      </c>
      <c r="F56">
        <v>0.1</v>
      </c>
      <c r="G56" s="80">
        <f t="shared" si="0"/>
        <v>30</v>
      </c>
      <c r="H56" s="80">
        <f>VLOOKUP(D56,'Bu Erta'!$C$2:$F$66,4,0)*F56</f>
        <v>40</v>
      </c>
      <c r="N56" s="44">
        <v>53</v>
      </c>
      <c r="O56" s="17" t="s">
        <v>61</v>
      </c>
      <c r="P56" s="93">
        <f>VLOOKUP(O56,'Bu Erta'!$C$2:$F$66,4,0)</f>
        <v>900</v>
      </c>
      <c r="Q56" s="94">
        <f t="shared" si="1"/>
        <v>0</v>
      </c>
      <c r="R56" s="93">
        <f t="shared" si="2"/>
        <v>0</v>
      </c>
      <c r="T56" s="44">
        <v>53</v>
      </c>
      <c r="U56" s="17" t="s">
        <v>61</v>
      </c>
      <c r="V56" s="52"/>
      <c r="W56" s="53"/>
      <c r="X56" s="52">
        <f t="shared" si="3"/>
        <v>0</v>
      </c>
    </row>
    <row r="57" spans="1:24" x14ac:dyDescent="0.35">
      <c r="B57" t="s">
        <v>328</v>
      </c>
      <c r="D57" t="s">
        <v>31</v>
      </c>
      <c r="E57" s="80">
        <f>VLOOKUP(D57,'Bu Erta'!$C$2:$E$66,3,0)</f>
        <v>1000</v>
      </c>
      <c r="F57">
        <v>1.45</v>
      </c>
      <c r="G57" s="80">
        <f t="shared" si="0"/>
        <v>1450</v>
      </c>
      <c r="H57" s="80">
        <f>VLOOKUP(D57,'Bu Erta'!$C$2:$F$66,4,0)*F57</f>
        <v>1595</v>
      </c>
      <c r="N57" s="44">
        <v>54</v>
      </c>
      <c r="O57" s="17" t="s">
        <v>62</v>
      </c>
      <c r="P57" s="93">
        <f>VLOOKUP(O57,'Bu Erta'!$C$2:$F$66,4,0)</f>
        <v>500</v>
      </c>
      <c r="Q57" s="94">
        <f t="shared" si="1"/>
        <v>0</v>
      </c>
      <c r="R57" s="93">
        <f t="shared" si="2"/>
        <v>0</v>
      </c>
      <c r="T57" s="44">
        <v>54</v>
      </c>
      <c r="U57" s="17" t="s">
        <v>62</v>
      </c>
      <c r="V57" s="52"/>
      <c r="W57" s="53"/>
      <c r="X57" s="52">
        <f t="shared" si="3"/>
        <v>0</v>
      </c>
    </row>
    <row r="58" spans="1:24" x14ac:dyDescent="0.35">
      <c r="A58" s="5">
        <v>10</v>
      </c>
      <c r="B58" t="s">
        <v>178</v>
      </c>
      <c r="C58" s="5">
        <v>3</v>
      </c>
      <c r="D58" t="s">
        <v>19</v>
      </c>
      <c r="E58" s="80">
        <f>VLOOKUP(D58,'Bu Erta'!$C$2:$E$66,3,0)</f>
        <v>200</v>
      </c>
      <c r="F58">
        <f>1.1+0.15</f>
        <v>1.25</v>
      </c>
      <c r="G58" s="80">
        <f t="shared" si="0"/>
        <v>250</v>
      </c>
      <c r="H58" s="80">
        <f>VLOOKUP(D58,'Bu Erta'!$C$2:$F$66,4,0)*F58</f>
        <v>375</v>
      </c>
      <c r="N58" s="44">
        <v>55</v>
      </c>
      <c r="O58" s="17" t="s">
        <v>63</v>
      </c>
      <c r="P58" s="93">
        <f>VLOOKUP(O58,'Bu Erta'!$C$2:$F$66,4,0)</f>
        <v>1000</v>
      </c>
      <c r="Q58" s="94">
        <f t="shared" si="1"/>
        <v>0.9</v>
      </c>
      <c r="R58" s="93">
        <f t="shared" si="2"/>
        <v>900</v>
      </c>
      <c r="T58" s="44">
        <v>55</v>
      </c>
      <c r="U58" s="17" t="s">
        <v>63</v>
      </c>
      <c r="V58" s="52"/>
      <c r="W58" s="53"/>
      <c r="X58" s="52">
        <f t="shared" si="3"/>
        <v>0</v>
      </c>
    </row>
    <row r="59" spans="1:24" x14ac:dyDescent="0.35">
      <c r="B59" t="s">
        <v>178</v>
      </c>
      <c r="D59" t="s">
        <v>23</v>
      </c>
      <c r="E59" s="80">
        <f>VLOOKUP(D59,'Bu Erta'!$C$2:$E$66,3,0)</f>
        <v>300</v>
      </c>
      <c r="F59">
        <v>1.4</v>
      </c>
      <c r="G59" s="80">
        <f t="shared" si="0"/>
        <v>420</v>
      </c>
      <c r="H59" s="80">
        <f>VLOOKUP(D59,'Bu Erta'!$C$2:$F$66,4,0)*F59</f>
        <v>560</v>
      </c>
      <c r="N59" s="44">
        <v>56</v>
      </c>
      <c r="O59" s="17" t="s">
        <v>64</v>
      </c>
      <c r="P59" s="93">
        <f>VLOOKUP(O59,'Bu Erta'!$C$2:$F$66,4,0)</f>
        <v>900</v>
      </c>
      <c r="Q59" s="94">
        <f t="shared" si="1"/>
        <v>0</v>
      </c>
      <c r="R59" s="93">
        <f t="shared" si="2"/>
        <v>0</v>
      </c>
      <c r="T59" s="44">
        <v>56</v>
      </c>
      <c r="U59" s="17" t="s">
        <v>64</v>
      </c>
      <c r="V59" s="52"/>
      <c r="W59" s="53"/>
      <c r="X59" s="52">
        <f t="shared" si="3"/>
        <v>0</v>
      </c>
    </row>
    <row r="60" spans="1:24" x14ac:dyDescent="0.35">
      <c r="B60" t="s">
        <v>178</v>
      </c>
      <c r="D60" t="s">
        <v>31</v>
      </c>
      <c r="E60" s="80">
        <f>VLOOKUP(D60,'Bu Erta'!$C$2:$E$66,3,0)</f>
        <v>1000</v>
      </c>
      <c r="F60">
        <f>1.25+0.55</f>
        <v>1.8</v>
      </c>
      <c r="G60" s="80">
        <f t="shared" si="0"/>
        <v>1800</v>
      </c>
      <c r="H60" s="80">
        <f>VLOOKUP(D60,'Bu Erta'!$C$2:$F$66,4,0)*F60</f>
        <v>1980</v>
      </c>
      <c r="N60" s="44">
        <v>57</v>
      </c>
      <c r="O60" s="17" t="s">
        <v>65</v>
      </c>
      <c r="P60" s="93">
        <f>VLOOKUP(O60,'Bu Erta'!$C$2:$F$66,4,0)</f>
        <v>200</v>
      </c>
      <c r="Q60" s="94">
        <f t="shared" si="1"/>
        <v>0</v>
      </c>
      <c r="R60" s="93">
        <f t="shared" si="2"/>
        <v>0</v>
      </c>
      <c r="T60" s="44">
        <v>57</v>
      </c>
      <c r="U60" s="17" t="s">
        <v>65</v>
      </c>
      <c r="V60" s="52"/>
      <c r="W60" s="53"/>
      <c r="X60" s="52">
        <f t="shared" si="3"/>
        <v>0</v>
      </c>
    </row>
    <row r="61" spans="1:24" x14ac:dyDescent="0.35">
      <c r="B61" t="s">
        <v>178</v>
      </c>
      <c r="D61" t="s">
        <v>42</v>
      </c>
      <c r="E61" s="80">
        <f>VLOOKUP(D61,'Bu Erta'!$C$2:$E$66,3,0)</f>
        <v>1000</v>
      </c>
      <c r="F61">
        <f>5.3+6.9</f>
        <v>12.2</v>
      </c>
      <c r="G61" s="80">
        <f t="shared" si="0"/>
        <v>12200</v>
      </c>
      <c r="H61" s="80">
        <f>VLOOKUP(D61,'Bu Erta'!$C$2:$F$66,4,0)*F61</f>
        <v>14640</v>
      </c>
      <c r="N61" s="44">
        <v>58</v>
      </c>
      <c r="O61" s="17" t="s">
        <v>66</v>
      </c>
      <c r="P61" s="93">
        <f>VLOOKUP(O61,'Bu Erta'!$C$2:$F$66,4,0)</f>
        <v>55000</v>
      </c>
      <c r="Q61" s="94">
        <f t="shared" si="1"/>
        <v>0.15</v>
      </c>
      <c r="R61" s="93">
        <f t="shared" si="2"/>
        <v>8250</v>
      </c>
      <c r="T61" s="44">
        <v>58</v>
      </c>
      <c r="U61" s="17" t="s">
        <v>66</v>
      </c>
      <c r="V61" s="52"/>
      <c r="W61" s="53"/>
      <c r="X61" s="52">
        <f t="shared" si="3"/>
        <v>0</v>
      </c>
    </row>
    <row r="62" spans="1:24" x14ac:dyDescent="0.35">
      <c r="B62" t="s">
        <v>178</v>
      </c>
      <c r="D62" t="s">
        <v>40</v>
      </c>
      <c r="E62" s="80">
        <f>VLOOKUP(D62,'Bu Erta'!$C$2:$E$66,3,0)</f>
        <v>1800</v>
      </c>
      <c r="F62">
        <v>0.4</v>
      </c>
      <c r="G62" s="80">
        <f t="shared" si="0"/>
        <v>720</v>
      </c>
      <c r="H62" s="80">
        <f>VLOOKUP(D62,'Bu Erta'!$C$2:$F$66,4,0)*F62</f>
        <v>800</v>
      </c>
      <c r="N62" s="44">
        <v>59</v>
      </c>
      <c r="O62" s="17" t="s">
        <v>67</v>
      </c>
      <c r="P62" s="93">
        <f>VLOOKUP(O62,'Bu Erta'!$C$2:$F$66,4,0)</f>
        <v>3000</v>
      </c>
      <c r="Q62" s="94">
        <f t="shared" si="1"/>
        <v>0.65</v>
      </c>
      <c r="R62" s="93">
        <f t="shared" si="2"/>
        <v>1950</v>
      </c>
      <c r="T62" s="44">
        <v>59</v>
      </c>
      <c r="U62" s="17" t="s">
        <v>67</v>
      </c>
      <c r="V62" s="52"/>
      <c r="W62" s="53"/>
      <c r="X62" s="52">
        <f t="shared" si="3"/>
        <v>0</v>
      </c>
    </row>
    <row r="63" spans="1:24" x14ac:dyDescent="0.35">
      <c r="A63" s="5">
        <v>11</v>
      </c>
      <c r="B63" t="s">
        <v>182</v>
      </c>
      <c r="C63" s="5">
        <v>4</v>
      </c>
      <c r="D63" t="s">
        <v>31</v>
      </c>
      <c r="E63" s="80">
        <f>VLOOKUP(D63,'Bu Erta'!$C$2:$E$66,3,0)</f>
        <v>1000</v>
      </c>
      <c r="F63">
        <f>0.25+1.08</f>
        <v>1.33</v>
      </c>
      <c r="G63" s="80">
        <f t="shared" si="0"/>
        <v>1330</v>
      </c>
      <c r="H63" s="80">
        <f>VLOOKUP(D63,'Bu Erta'!$C$2:$F$66,4,0)*F63</f>
        <v>1463</v>
      </c>
      <c r="N63" s="44">
        <v>60</v>
      </c>
      <c r="O63" s="17" t="s">
        <v>68</v>
      </c>
      <c r="P63" s="93">
        <f>VLOOKUP(O63,'Bu Erta'!$C$2:$F$66,4,0)</f>
        <v>200</v>
      </c>
      <c r="Q63" s="94">
        <f t="shared" si="1"/>
        <v>0</v>
      </c>
      <c r="R63" s="93">
        <f t="shared" si="2"/>
        <v>0</v>
      </c>
      <c r="T63" s="44">
        <v>60</v>
      </c>
      <c r="U63" s="17" t="s">
        <v>68</v>
      </c>
      <c r="V63" s="52"/>
      <c r="W63" s="53"/>
      <c r="X63" s="52">
        <f t="shared" si="3"/>
        <v>0</v>
      </c>
    </row>
    <row r="64" spans="1:24" x14ac:dyDescent="0.35">
      <c r="B64" t="s">
        <v>182</v>
      </c>
      <c r="D64" t="s">
        <v>24</v>
      </c>
      <c r="E64" s="80">
        <f>VLOOKUP(D64,'Bu Erta'!$C$2:$E$66,3,0)</f>
        <v>150</v>
      </c>
      <c r="F64">
        <v>0.3</v>
      </c>
      <c r="G64" s="80">
        <f t="shared" si="0"/>
        <v>45</v>
      </c>
      <c r="H64" s="80">
        <f>VLOOKUP(D64,'Bu Erta'!$C$2:$F$66,4,0)*F64</f>
        <v>60</v>
      </c>
      <c r="N64" s="44">
        <v>61</v>
      </c>
      <c r="O64" s="17" t="s">
        <v>69</v>
      </c>
      <c r="P64" s="93">
        <f>VLOOKUP(O64,'Bu Erta'!$C$2:$F$66,4,0)</f>
        <v>3000</v>
      </c>
      <c r="Q64" s="94">
        <f t="shared" si="1"/>
        <v>2.2000000000000002</v>
      </c>
      <c r="R64" s="93">
        <f t="shared" si="2"/>
        <v>6600.0000000000009</v>
      </c>
      <c r="T64" s="44">
        <v>61</v>
      </c>
      <c r="U64" s="17" t="s">
        <v>69</v>
      </c>
      <c r="V64" s="52"/>
      <c r="W64" s="53"/>
      <c r="X64" s="52">
        <f t="shared" si="3"/>
        <v>0</v>
      </c>
    </row>
    <row r="65" spans="1:24" x14ac:dyDescent="0.35">
      <c r="A65" s="5">
        <v>12</v>
      </c>
      <c r="B65" t="s">
        <v>189</v>
      </c>
      <c r="C65" s="5">
        <v>5</v>
      </c>
      <c r="D65" t="s">
        <v>34</v>
      </c>
      <c r="E65" s="80">
        <f>VLOOKUP(D65,'Bu Erta'!$C$2:$E$66,3,0)</f>
        <v>3500</v>
      </c>
      <c r="F65">
        <v>1.3</v>
      </c>
      <c r="G65" s="80">
        <f t="shared" si="0"/>
        <v>4550</v>
      </c>
      <c r="H65" s="80">
        <f>VLOOKUP(D65,'Bu Erta'!$C$2:$F$66,4,0)*F65</f>
        <v>4680</v>
      </c>
      <c r="N65" s="44">
        <v>62</v>
      </c>
      <c r="O65" s="17" t="s">
        <v>70</v>
      </c>
      <c r="P65" s="93">
        <f>VLOOKUP(O65,'Bu Erta'!$C$2:$F$66,4,0)</f>
        <v>4000</v>
      </c>
      <c r="Q65" s="94">
        <v>1.17</v>
      </c>
      <c r="R65" s="93">
        <f t="shared" si="2"/>
        <v>4680</v>
      </c>
      <c r="S65">
        <v>0.45</v>
      </c>
      <c r="T65" s="44">
        <v>62</v>
      </c>
      <c r="U65" s="17" t="s">
        <v>70</v>
      </c>
      <c r="V65" s="52"/>
      <c r="W65" s="53"/>
      <c r="X65" s="52">
        <f t="shared" si="3"/>
        <v>0</v>
      </c>
    </row>
    <row r="66" spans="1:24" x14ac:dyDescent="0.35">
      <c r="B66" t="s">
        <v>189</v>
      </c>
      <c r="D66" t="s">
        <v>19</v>
      </c>
      <c r="E66" s="80">
        <f>VLOOKUP(D66,'Bu Erta'!$C$2:$E$66,3,0)</f>
        <v>200</v>
      </c>
      <c r="F66">
        <v>0.6</v>
      </c>
      <c r="G66" s="80">
        <f t="shared" si="0"/>
        <v>120</v>
      </c>
      <c r="H66" s="80">
        <f>VLOOKUP(D66,'Bu Erta'!$C$2:$F$66,4,0)*F66</f>
        <v>180</v>
      </c>
      <c r="N66" s="44">
        <v>63</v>
      </c>
      <c r="O66" s="17" t="s">
        <v>71</v>
      </c>
      <c r="P66" s="93">
        <f>VLOOKUP(O66,'Bu Erta'!$C$2:$F$66,4,0)</f>
        <v>10000</v>
      </c>
      <c r="Q66" s="94">
        <f t="shared" si="1"/>
        <v>0</v>
      </c>
      <c r="R66" s="93">
        <f t="shared" si="2"/>
        <v>0</v>
      </c>
      <c r="T66" s="44">
        <v>63</v>
      </c>
      <c r="U66" s="17" t="s">
        <v>71</v>
      </c>
      <c r="V66" s="52"/>
      <c r="W66" s="53"/>
      <c r="X66" s="52">
        <f t="shared" si="3"/>
        <v>0</v>
      </c>
    </row>
    <row r="67" spans="1:24" x14ac:dyDescent="0.35">
      <c r="B67" t="s">
        <v>189</v>
      </c>
      <c r="D67" t="s">
        <v>42</v>
      </c>
      <c r="E67" s="80">
        <f>VLOOKUP(D67,'Bu Erta'!$C$2:$E$66,3,0)</f>
        <v>1000</v>
      </c>
      <c r="F67">
        <v>5.7</v>
      </c>
      <c r="G67" s="80">
        <f t="shared" si="0"/>
        <v>5700</v>
      </c>
      <c r="H67" s="80">
        <f>VLOOKUP(D67,'Bu Erta'!$C$2:$F$66,4,0)*F67</f>
        <v>6840</v>
      </c>
      <c r="N67" s="44">
        <v>64</v>
      </c>
      <c r="O67" s="17" t="s">
        <v>72</v>
      </c>
      <c r="P67" s="93">
        <f>VLOOKUP(O67,'Bu Erta'!$C$2:$F$66,4,0)</f>
        <v>15000</v>
      </c>
      <c r="Q67" s="94">
        <f t="shared" si="1"/>
        <v>0</v>
      </c>
      <c r="R67" s="93">
        <f t="shared" si="2"/>
        <v>0</v>
      </c>
      <c r="T67" s="44">
        <v>64</v>
      </c>
      <c r="U67" s="17" t="s">
        <v>72</v>
      </c>
      <c r="V67" s="52"/>
      <c r="W67" s="53"/>
      <c r="X67" s="52">
        <f t="shared" si="3"/>
        <v>0</v>
      </c>
    </row>
    <row r="68" spans="1:24" x14ac:dyDescent="0.35">
      <c r="B68" t="s">
        <v>189</v>
      </c>
      <c r="D68" t="s">
        <v>69</v>
      </c>
      <c r="E68" s="80">
        <f>VLOOKUP(D68,'Bu Erta'!$C$2:$E$66,3,0)</f>
        <v>2500</v>
      </c>
      <c r="F68">
        <v>0.15</v>
      </c>
      <c r="G68" s="80">
        <f t="shared" ref="G68:G131" si="4">E68*F68</f>
        <v>375</v>
      </c>
      <c r="H68" s="80">
        <f>VLOOKUP(D68,'Bu Erta'!$C$2:$F$66,4,0)*F68</f>
        <v>450</v>
      </c>
      <c r="N68" s="17"/>
      <c r="O68" s="17"/>
      <c r="P68" s="95" t="s">
        <v>130</v>
      </c>
      <c r="Q68" s="95">
        <f>SUM(Q4:Q67)</f>
        <v>357.80999999999989</v>
      </c>
      <c r="R68" s="87">
        <f>SUM(R4:R67)</f>
        <v>504542.5</v>
      </c>
      <c r="T68" s="17"/>
      <c r="U68" s="17"/>
      <c r="V68" s="54" t="s">
        <v>130</v>
      </c>
      <c r="W68" s="54">
        <f>SUM(W4:W67)</f>
        <v>41</v>
      </c>
      <c r="X68" s="87">
        <f>SUM(X4:X67)</f>
        <v>316500</v>
      </c>
    </row>
    <row r="69" spans="1:24" x14ac:dyDescent="0.35">
      <c r="B69" t="s">
        <v>189</v>
      </c>
      <c r="D69" t="s">
        <v>27</v>
      </c>
      <c r="E69" s="80">
        <f>VLOOKUP(D69,'Bu Erta'!$C$2:$E$66,3,0)</f>
        <v>2800</v>
      </c>
      <c r="F69">
        <v>0.3</v>
      </c>
      <c r="G69" s="80">
        <f t="shared" si="4"/>
        <v>840</v>
      </c>
      <c r="H69" s="80">
        <f>VLOOKUP(D69,'Bu Erta'!$C$2:$F$66,4,0)*F69</f>
        <v>930</v>
      </c>
    </row>
    <row r="70" spans="1:24" x14ac:dyDescent="0.35">
      <c r="B70" t="s">
        <v>189</v>
      </c>
      <c r="D70" t="s">
        <v>37</v>
      </c>
      <c r="E70" s="80">
        <f>VLOOKUP(D70,'Bu Erta'!$C$2:$E$66,3,0)</f>
        <v>1600</v>
      </c>
      <c r="F70">
        <v>1.4</v>
      </c>
      <c r="G70" s="80">
        <f t="shared" si="4"/>
        <v>2240</v>
      </c>
      <c r="H70" s="80">
        <f>VLOOKUP(D70,'Bu Erta'!$C$2:$F$66,4,0)*F70</f>
        <v>2800</v>
      </c>
    </row>
    <row r="71" spans="1:24" x14ac:dyDescent="0.35">
      <c r="B71" t="s">
        <v>189</v>
      </c>
      <c r="D71" t="s">
        <v>7</v>
      </c>
      <c r="E71" s="80">
        <f>VLOOKUP(D71,'Bu Erta'!$C$2:$E$66,3,0)</f>
        <v>1400</v>
      </c>
      <c r="F71">
        <v>0.15</v>
      </c>
      <c r="G71" s="80">
        <f t="shared" si="4"/>
        <v>210</v>
      </c>
      <c r="H71" s="80">
        <f>VLOOKUP(D71,'Bu Erta'!$C$2:$F$66,4,0)*F71</f>
        <v>240</v>
      </c>
    </row>
    <row r="72" spans="1:24" x14ac:dyDescent="0.35">
      <c r="B72" t="s">
        <v>189</v>
      </c>
      <c r="D72" t="s">
        <v>41</v>
      </c>
      <c r="E72" s="80">
        <f>VLOOKUP(D72,'Bu Erta'!$C$2:$E$66,3,0)</f>
        <v>1500</v>
      </c>
      <c r="F72">
        <v>0.3</v>
      </c>
      <c r="G72" s="80">
        <f t="shared" si="4"/>
        <v>450</v>
      </c>
      <c r="H72" s="80">
        <f>VLOOKUP(D72,'Bu Erta'!$C$2:$F$66,4,0)*F72</f>
        <v>600</v>
      </c>
    </row>
    <row r="73" spans="1:24" x14ac:dyDescent="0.35">
      <c r="A73" s="5">
        <v>13</v>
      </c>
      <c r="B73" t="s">
        <v>138</v>
      </c>
      <c r="C73" s="5">
        <v>1</v>
      </c>
      <c r="D73" t="s">
        <v>24</v>
      </c>
      <c r="E73" s="80">
        <f>VLOOKUP(D73,'Bu Erta'!$C$2:$E$66,3,0)</f>
        <v>150</v>
      </c>
      <c r="F73">
        <v>2.2999999999999998</v>
      </c>
      <c r="G73" s="80">
        <f t="shared" si="4"/>
        <v>345</v>
      </c>
      <c r="H73" s="80">
        <f>VLOOKUP(D73,'Bu Erta'!$C$2:$F$66,4,0)*F73</f>
        <v>459.99999999999994</v>
      </c>
    </row>
    <row r="74" spans="1:24" x14ac:dyDescent="0.35">
      <c r="B74" t="s">
        <v>138</v>
      </c>
      <c r="D74" t="s">
        <v>25</v>
      </c>
      <c r="E74" s="80">
        <f>VLOOKUP(D74,'Bu Erta'!$C$2:$E$66,3,0)</f>
        <v>1600</v>
      </c>
      <c r="F74">
        <v>1.8</v>
      </c>
      <c r="G74" s="80">
        <f t="shared" si="4"/>
        <v>2880</v>
      </c>
      <c r="H74" s="80">
        <f>VLOOKUP(D74,'Bu Erta'!$C$2:$F$66,4,0)*F74</f>
        <v>3060</v>
      </c>
    </row>
    <row r="75" spans="1:24" x14ac:dyDescent="0.35">
      <c r="B75" t="s">
        <v>138</v>
      </c>
      <c r="D75" t="s">
        <v>19</v>
      </c>
      <c r="E75" s="80">
        <f>VLOOKUP(D75,'Bu Erta'!$C$2:$E$66,3,0)</f>
        <v>200</v>
      </c>
      <c r="F75">
        <v>0.5</v>
      </c>
      <c r="G75" s="80">
        <f t="shared" si="4"/>
        <v>100</v>
      </c>
      <c r="H75" s="80">
        <f>VLOOKUP(D75,'Bu Erta'!$C$2:$F$66,4,0)*F75</f>
        <v>150</v>
      </c>
    </row>
    <row r="76" spans="1:24" x14ac:dyDescent="0.35">
      <c r="B76" t="s">
        <v>138</v>
      </c>
      <c r="D76" t="s">
        <v>7</v>
      </c>
      <c r="E76" s="80">
        <f>VLOOKUP(D76,'Bu Erta'!$C$2:$E$66,3,0)</f>
        <v>1400</v>
      </c>
      <c r="F76">
        <f>1.65+1.3</f>
        <v>2.95</v>
      </c>
      <c r="G76" s="80">
        <f t="shared" si="4"/>
        <v>4130</v>
      </c>
      <c r="H76" s="80">
        <f>VLOOKUP(D76,'Bu Erta'!$C$2:$F$66,4,0)*F76</f>
        <v>4720</v>
      </c>
    </row>
    <row r="77" spans="1:24" x14ac:dyDescent="0.35">
      <c r="B77" t="s">
        <v>138</v>
      </c>
      <c r="D77" t="s">
        <v>40</v>
      </c>
      <c r="E77" s="80">
        <f>VLOOKUP(D77,'Bu Erta'!$C$2:$E$66,3,0)</f>
        <v>1800</v>
      </c>
      <c r="F77">
        <v>0.5</v>
      </c>
      <c r="G77" s="80">
        <f t="shared" si="4"/>
        <v>900</v>
      </c>
      <c r="H77" s="80">
        <f>VLOOKUP(D77,'Bu Erta'!$C$2:$F$66,4,0)*F77</f>
        <v>1000</v>
      </c>
    </row>
    <row r="78" spans="1:24" x14ac:dyDescent="0.35">
      <c r="A78" s="5">
        <v>14</v>
      </c>
      <c r="B78" t="s">
        <v>217</v>
      </c>
      <c r="C78" s="5">
        <v>1</v>
      </c>
      <c r="D78" t="s">
        <v>23</v>
      </c>
      <c r="E78" s="80">
        <f>VLOOKUP(D78,'Bu Erta'!$C$2:$E$66,3,0)</f>
        <v>300</v>
      </c>
      <c r="F78">
        <v>6.4</v>
      </c>
      <c r="G78" s="80">
        <f t="shared" si="4"/>
        <v>1920</v>
      </c>
      <c r="H78" s="80">
        <f>VLOOKUP(D78,'Bu Erta'!$C$2:$F$66,4,0)*F78</f>
        <v>2560</v>
      </c>
    </row>
    <row r="79" spans="1:24" x14ac:dyDescent="0.35">
      <c r="B79" t="s">
        <v>217</v>
      </c>
      <c r="D79" t="s">
        <v>19</v>
      </c>
      <c r="E79" s="80">
        <f>VLOOKUP(D79,'Bu Erta'!$C$2:$E$66,3,0)</f>
        <v>200</v>
      </c>
      <c r="F79">
        <v>3.2</v>
      </c>
      <c r="G79" s="80">
        <f t="shared" si="4"/>
        <v>640</v>
      </c>
      <c r="H79" s="80">
        <f>VLOOKUP(D79,'Bu Erta'!$C$2:$F$66,4,0)*F79</f>
        <v>960</v>
      </c>
    </row>
    <row r="80" spans="1:24" x14ac:dyDescent="0.35">
      <c r="B80" t="s">
        <v>217</v>
      </c>
      <c r="D80" t="s">
        <v>31</v>
      </c>
      <c r="E80" s="80">
        <f>VLOOKUP(D80,'Bu Erta'!$C$2:$E$66,3,0)</f>
        <v>1000</v>
      </c>
      <c r="F80">
        <v>1.05</v>
      </c>
      <c r="G80" s="80">
        <f t="shared" si="4"/>
        <v>1050</v>
      </c>
      <c r="H80" s="80">
        <f>VLOOKUP(D80,'Bu Erta'!$C$2:$F$66,4,0)*F80</f>
        <v>1155</v>
      </c>
    </row>
    <row r="81" spans="1:8" x14ac:dyDescent="0.35">
      <c r="B81" t="s">
        <v>217</v>
      </c>
      <c r="D81" t="s">
        <v>41</v>
      </c>
      <c r="E81" s="80">
        <f>VLOOKUP(D81,'Bu Erta'!$C$2:$E$66,3,0)</f>
        <v>1500</v>
      </c>
      <c r="F81">
        <v>0.7</v>
      </c>
      <c r="G81" s="80">
        <f t="shared" si="4"/>
        <v>1050</v>
      </c>
      <c r="H81" s="80">
        <f>VLOOKUP(D81,'Bu Erta'!$C$2:$F$66,4,0)*F81</f>
        <v>1400</v>
      </c>
    </row>
    <row r="82" spans="1:8" x14ac:dyDescent="0.35">
      <c r="A82" s="5">
        <v>15</v>
      </c>
      <c r="B82" t="s">
        <v>195</v>
      </c>
      <c r="C82" s="5">
        <v>1</v>
      </c>
      <c r="D82" t="s">
        <v>25</v>
      </c>
      <c r="E82" s="80">
        <f>VLOOKUP(D82,'Bu Erta'!$C$2:$E$66,3,0)</f>
        <v>1600</v>
      </c>
      <c r="F82">
        <f>0.55+1.15</f>
        <v>1.7</v>
      </c>
      <c r="G82" s="80">
        <f t="shared" si="4"/>
        <v>2720</v>
      </c>
      <c r="H82" s="80">
        <f>VLOOKUP(D82,'Bu Erta'!$C$2:$F$66,4,0)*F82</f>
        <v>2890</v>
      </c>
    </row>
    <row r="83" spans="1:8" x14ac:dyDescent="0.35">
      <c r="B83" t="s">
        <v>195</v>
      </c>
      <c r="D83" t="s">
        <v>7</v>
      </c>
      <c r="E83" s="80">
        <f>VLOOKUP(D83,'Bu Erta'!$C$2:$E$66,3,0)</f>
        <v>1400</v>
      </c>
      <c r="F83">
        <v>1.05</v>
      </c>
      <c r="G83" s="80">
        <f t="shared" si="4"/>
        <v>1470</v>
      </c>
      <c r="H83" s="80">
        <f>VLOOKUP(D83,'Bu Erta'!$C$2:$F$66,4,0)*F83</f>
        <v>1680</v>
      </c>
    </row>
    <row r="84" spans="1:8" x14ac:dyDescent="0.35">
      <c r="A84" s="5">
        <v>16</v>
      </c>
      <c r="B84" t="s">
        <v>297</v>
      </c>
      <c r="C84" s="5">
        <v>5</v>
      </c>
      <c r="D84" t="s">
        <v>37</v>
      </c>
      <c r="E84" s="80">
        <f>VLOOKUP(D84,'Bu Erta'!$C$2:$E$66,3,0)</f>
        <v>1600</v>
      </c>
      <c r="F84">
        <v>0.7</v>
      </c>
      <c r="G84" s="80">
        <f t="shared" si="4"/>
        <v>1120</v>
      </c>
      <c r="H84" s="80">
        <f>VLOOKUP(D84,'Bu Erta'!$C$2:$F$66,4,0)*F84</f>
        <v>1400</v>
      </c>
    </row>
    <row r="85" spans="1:8" x14ac:dyDescent="0.35">
      <c r="B85" t="s">
        <v>297</v>
      </c>
      <c r="D85" t="s">
        <v>7</v>
      </c>
      <c r="E85" s="80">
        <f>VLOOKUP(D85,'Bu Erta'!$C$2:$E$66,3,0)</f>
        <v>1400</v>
      </c>
      <c r="F85">
        <v>1.05</v>
      </c>
      <c r="G85" s="80">
        <f t="shared" si="4"/>
        <v>1470</v>
      </c>
      <c r="H85" s="80">
        <f>VLOOKUP(D85,'Bu Erta'!$C$2:$F$66,4,0)*F85</f>
        <v>1680</v>
      </c>
    </row>
    <row r="86" spans="1:8" x14ac:dyDescent="0.35">
      <c r="B86" t="s">
        <v>297</v>
      </c>
      <c r="D86" t="s">
        <v>67</v>
      </c>
      <c r="E86" s="80">
        <f>VLOOKUP(D86,'Bu Erta'!$C$2:$E$66,3,0)</f>
        <v>2700</v>
      </c>
      <c r="F86">
        <v>0.55000000000000004</v>
      </c>
      <c r="G86" s="80">
        <f t="shared" si="4"/>
        <v>1485.0000000000002</v>
      </c>
      <c r="H86" s="80">
        <f>VLOOKUP(D86,'Bu Erta'!$C$2:$F$66,4,0)*F86</f>
        <v>1650.0000000000002</v>
      </c>
    </row>
    <row r="87" spans="1:8" x14ac:dyDescent="0.35">
      <c r="B87" t="s">
        <v>297</v>
      </c>
      <c r="D87" t="s">
        <v>19</v>
      </c>
      <c r="E87" s="80">
        <f>VLOOKUP(D87,'Bu Erta'!$C$2:$E$66,3,0)</f>
        <v>200</v>
      </c>
      <c r="F87">
        <v>0.9</v>
      </c>
      <c r="G87" s="80">
        <f t="shared" si="4"/>
        <v>180</v>
      </c>
      <c r="H87" s="80">
        <f>VLOOKUP(D87,'Bu Erta'!$C$2:$F$66,4,0)*F87</f>
        <v>270</v>
      </c>
    </row>
    <row r="88" spans="1:8" x14ac:dyDescent="0.35">
      <c r="B88" t="s">
        <v>297</v>
      </c>
      <c r="D88" t="s">
        <v>69</v>
      </c>
      <c r="E88" s="80">
        <f>VLOOKUP(D88,'Bu Erta'!$C$2:$E$66,3,0)</f>
        <v>2500</v>
      </c>
      <c r="F88">
        <v>0.3</v>
      </c>
      <c r="G88" s="80">
        <f t="shared" si="4"/>
        <v>750</v>
      </c>
      <c r="H88" s="80">
        <f>VLOOKUP(D88,'Bu Erta'!$C$2:$F$66,4,0)*F88</f>
        <v>900</v>
      </c>
    </row>
    <row r="89" spans="1:8" x14ac:dyDescent="0.35">
      <c r="B89" t="s">
        <v>297</v>
      </c>
      <c r="D89" t="s">
        <v>56</v>
      </c>
      <c r="E89" s="80">
        <f>VLOOKUP(D89,'Bu Erta'!$C$2:$E$66,3,0)</f>
        <v>4000</v>
      </c>
      <c r="F89">
        <v>0.95</v>
      </c>
      <c r="G89" s="80">
        <f t="shared" si="4"/>
        <v>3800</v>
      </c>
      <c r="H89" s="80">
        <f>VLOOKUP(D89,'Bu Erta'!$C$2:$F$66,4,0)*F89</f>
        <v>5225</v>
      </c>
    </row>
    <row r="90" spans="1:8" x14ac:dyDescent="0.35">
      <c r="B90" t="s">
        <v>297</v>
      </c>
      <c r="D90" t="s">
        <v>41</v>
      </c>
      <c r="E90" s="80">
        <f>VLOOKUP(D90,'Bu Erta'!$C$2:$E$66,3,0)</f>
        <v>1500</v>
      </c>
      <c r="F90">
        <v>0.2</v>
      </c>
      <c r="G90" s="80">
        <f t="shared" si="4"/>
        <v>300</v>
      </c>
      <c r="H90" s="80">
        <f>VLOOKUP(D90,'Bu Erta'!$C$2:$F$66,4,0)*F90</f>
        <v>400</v>
      </c>
    </row>
    <row r="91" spans="1:8" x14ac:dyDescent="0.35">
      <c r="B91" t="s">
        <v>297</v>
      </c>
      <c r="D91" t="s">
        <v>46</v>
      </c>
      <c r="E91" s="80">
        <f>VLOOKUP(D91,'Bu Erta'!$C$2:$E$66,3,0)</f>
        <v>1400</v>
      </c>
      <c r="F91">
        <v>2.15</v>
      </c>
      <c r="G91" s="80">
        <f t="shared" si="4"/>
        <v>3010</v>
      </c>
      <c r="H91" s="80">
        <f>VLOOKUP(D91,'Bu Erta'!$C$2:$F$66,4,0)*F91</f>
        <v>3225</v>
      </c>
    </row>
    <row r="92" spans="1:8" x14ac:dyDescent="0.35">
      <c r="B92" t="s">
        <v>297</v>
      </c>
      <c r="D92" t="s">
        <v>27</v>
      </c>
      <c r="E92" s="80">
        <f>VLOOKUP(D92,'Bu Erta'!$C$2:$E$66,3,0)</f>
        <v>2800</v>
      </c>
      <c r="F92">
        <v>2.0499999999999998</v>
      </c>
      <c r="G92" s="80">
        <f t="shared" si="4"/>
        <v>5739.9999999999991</v>
      </c>
      <c r="H92" s="80">
        <f>VLOOKUP(D92,'Bu Erta'!$C$2:$F$66,4,0)*F92</f>
        <v>6354.9999999999991</v>
      </c>
    </row>
    <row r="93" spans="1:8" x14ac:dyDescent="0.35">
      <c r="A93" s="5">
        <v>17</v>
      </c>
      <c r="B93" t="s">
        <v>142</v>
      </c>
      <c r="C93" s="5">
        <v>4</v>
      </c>
      <c r="D93" t="s">
        <v>27</v>
      </c>
      <c r="E93" s="80">
        <f>VLOOKUP(D93,'Bu Erta'!$C$2:$E$66,3,0)</f>
        <v>2800</v>
      </c>
      <c r="F93">
        <v>1.25</v>
      </c>
      <c r="G93" s="80">
        <f t="shared" si="4"/>
        <v>3500</v>
      </c>
      <c r="H93" s="80">
        <f>VLOOKUP(D93,'Bu Erta'!$C$2:$F$66,4,0)*F93</f>
        <v>3875</v>
      </c>
    </row>
    <row r="94" spans="1:8" x14ac:dyDescent="0.35">
      <c r="B94" t="s">
        <v>142</v>
      </c>
      <c r="D94" t="s">
        <v>69</v>
      </c>
      <c r="E94" s="80">
        <f>VLOOKUP(D94,'Bu Erta'!$C$2:$E$66,3,0)</f>
        <v>2500</v>
      </c>
      <c r="F94">
        <v>0.15</v>
      </c>
      <c r="G94" s="80">
        <f t="shared" si="4"/>
        <v>375</v>
      </c>
      <c r="H94" s="80">
        <f>VLOOKUP(D94,'Bu Erta'!$C$2:$F$66,4,0)*F94</f>
        <v>450</v>
      </c>
    </row>
    <row r="95" spans="1:8" x14ac:dyDescent="0.35">
      <c r="B95" t="s">
        <v>142</v>
      </c>
      <c r="D95" t="s">
        <v>42</v>
      </c>
      <c r="E95" s="80">
        <f>VLOOKUP(D95,'Bu Erta'!$C$2:$E$66,3,0)</f>
        <v>1000</v>
      </c>
      <c r="F95">
        <v>1.55</v>
      </c>
      <c r="G95" s="80">
        <f t="shared" si="4"/>
        <v>1550</v>
      </c>
      <c r="H95" s="80">
        <f>VLOOKUP(D95,'Bu Erta'!$C$2:$F$66,4,0)*F95</f>
        <v>1860</v>
      </c>
    </row>
    <row r="96" spans="1:8" x14ac:dyDescent="0.35">
      <c r="B96" t="s">
        <v>142</v>
      </c>
      <c r="D96" t="s">
        <v>31</v>
      </c>
      <c r="E96" s="80">
        <f>VLOOKUP(D96,'Bu Erta'!$C$2:$E$66,3,0)</f>
        <v>1000</v>
      </c>
      <c r="F96">
        <v>0.25</v>
      </c>
      <c r="G96" s="80">
        <f t="shared" si="4"/>
        <v>250</v>
      </c>
      <c r="H96" s="80">
        <f>VLOOKUP(D96,'Bu Erta'!$C$2:$F$66,4,0)*F96</f>
        <v>275</v>
      </c>
    </row>
    <row r="97" spans="1:8" x14ac:dyDescent="0.35">
      <c r="B97" t="s">
        <v>142</v>
      </c>
      <c r="D97" t="s">
        <v>22</v>
      </c>
      <c r="E97" s="80">
        <f>VLOOKUP(D97,'Bu Erta'!$C$2:$E$66,3,0)</f>
        <v>2500</v>
      </c>
      <c r="F97">
        <v>0.15</v>
      </c>
      <c r="G97" s="80">
        <f t="shared" si="4"/>
        <v>375</v>
      </c>
      <c r="H97" s="80">
        <f>VLOOKUP(D97,'Bu Erta'!$C$2:$F$66,4,0)*F97</f>
        <v>450</v>
      </c>
    </row>
    <row r="98" spans="1:8" x14ac:dyDescent="0.35">
      <c r="B98" t="s">
        <v>142</v>
      </c>
      <c r="D98" t="s">
        <v>23</v>
      </c>
      <c r="E98" s="80">
        <f>VLOOKUP(D98,'Bu Erta'!$C$2:$E$66,3,0)</f>
        <v>300</v>
      </c>
      <c r="F98">
        <v>0.25</v>
      </c>
      <c r="G98" s="80">
        <f t="shared" si="4"/>
        <v>75</v>
      </c>
      <c r="H98" s="80">
        <f>VLOOKUP(D98,'Bu Erta'!$C$2:$F$66,4,0)*F98</f>
        <v>100</v>
      </c>
    </row>
    <row r="99" spans="1:8" x14ac:dyDescent="0.35">
      <c r="B99" t="s">
        <v>142</v>
      </c>
      <c r="D99" t="s">
        <v>19</v>
      </c>
      <c r="E99" s="80">
        <f>VLOOKUP(D99,'Bu Erta'!$C$2:$E$66,3,0)</f>
        <v>200</v>
      </c>
      <c r="F99">
        <v>0.25</v>
      </c>
      <c r="G99" s="80">
        <f t="shared" si="4"/>
        <v>50</v>
      </c>
      <c r="H99" s="80">
        <f>VLOOKUP(D99,'Bu Erta'!$C$2:$F$66,4,0)*F99</f>
        <v>75</v>
      </c>
    </row>
    <row r="100" spans="1:8" x14ac:dyDescent="0.35">
      <c r="B100" t="s">
        <v>142</v>
      </c>
      <c r="D100" t="s">
        <v>41</v>
      </c>
      <c r="E100" s="80">
        <f>VLOOKUP(D100,'Bu Erta'!$C$2:$E$66,3,0)</f>
        <v>1500</v>
      </c>
      <c r="F100">
        <v>0.25</v>
      </c>
      <c r="G100" s="80">
        <f t="shared" si="4"/>
        <v>375</v>
      </c>
      <c r="H100" s="80">
        <f>VLOOKUP(D100,'Bu Erta'!$C$2:$F$66,4,0)*F100</f>
        <v>500</v>
      </c>
    </row>
    <row r="101" spans="1:8" x14ac:dyDescent="0.35">
      <c r="B101" t="s">
        <v>142</v>
      </c>
      <c r="D101" t="s">
        <v>7</v>
      </c>
      <c r="E101" s="80">
        <f>VLOOKUP(D101,'Bu Erta'!$C$2:$E$66,3,0)</f>
        <v>1400</v>
      </c>
      <c r="F101">
        <v>0.15</v>
      </c>
      <c r="G101" s="80">
        <f t="shared" si="4"/>
        <v>210</v>
      </c>
      <c r="H101" s="80">
        <f>VLOOKUP(D101,'Bu Erta'!$C$2:$F$66,4,0)*F101</f>
        <v>240</v>
      </c>
    </row>
    <row r="102" spans="1:8" x14ac:dyDescent="0.35">
      <c r="B102" t="s">
        <v>142</v>
      </c>
      <c r="D102" t="s">
        <v>56</v>
      </c>
      <c r="E102" s="80">
        <f>VLOOKUP(D102,'Bu Erta'!$C$2:$E$66,3,0)</f>
        <v>4000</v>
      </c>
      <c r="F102">
        <v>0.65</v>
      </c>
      <c r="G102" s="80">
        <f t="shared" si="4"/>
        <v>2600</v>
      </c>
      <c r="H102" s="80">
        <f>VLOOKUP(D102,'Bu Erta'!$C$2:$F$66,4,0)*F102</f>
        <v>3575</v>
      </c>
    </row>
    <row r="103" spans="1:8" x14ac:dyDescent="0.35">
      <c r="A103" s="5">
        <v>18</v>
      </c>
      <c r="B103" t="s">
        <v>127</v>
      </c>
      <c r="C103" s="5">
        <v>2</v>
      </c>
      <c r="D103" t="s">
        <v>7</v>
      </c>
      <c r="E103" s="80">
        <f>VLOOKUP(D103,'Bu Erta'!$C$2:$E$66,3,0)</f>
        <v>1400</v>
      </c>
      <c r="F103">
        <v>1.28</v>
      </c>
      <c r="G103" s="80">
        <f t="shared" si="4"/>
        <v>1792</v>
      </c>
      <c r="H103" s="80">
        <f>VLOOKUP(D103,'Bu Erta'!$C$2:$F$66,4,0)*F103</f>
        <v>2048</v>
      </c>
    </row>
    <row r="104" spans="1:8" x14ac:dyDescent="0.35">
      <c r="B104" t="s">
        <v>127</v>
      </c>
      <c r="D104" t="s">
        <v>41</v>
      </c>
      <c r="E104" s="80">
        <f>VLOOKUP(D104,'Bu Erta'!$C$2:$E$66,3,0)</f>
        <v>1500</v>
      </c>
      <c r="F104">
        <v>0.45</v>
      </c>
      <c r="G104" s="80">
        <f t="shared" si="4"/>
        <v>675</v>
      </c>
      <c r="H104" s="80">
        <f>VLOOKUP(D104,'Bu Erta'!$C$2:$F$66,4,0)*F104</f>
        <v>900</v>
      </c>
    </row>
    <row r="105" spans="1:8" x14ac:dyDescent="0.35">
      <c r="B105" t="s">
        <v>127</v>
      </c>
      <c r="D105" t="s">
        <v>19</v>
      </c>
      <c r="E105" s="80">
        <f>VLOOKUP(D105,'Bu Erta'!$C$2:$E$66,3,0)</f>
        <v>200</v>
      </c>
      <c r="F105">
        <v>0.55000000000000004</v>
      </c>
      <c r="G105" s="80">
        <f t="shared" si="4"/>
        <v>110.00000000000001</v>
      </c>
      <c r="H105" s="80">
        <f>VLOOKUP(D105,'Bu Erta'!$C$2:$F$66,4,0)*F105</f>
        <v>165</v>
      </c>
    </row>
    <row r="106" spans="1:8" x14ac:dyDescent="0.35">
      <c r="B106" t="s">
        <v>127</v>
      </c>
      <c r="D106" t="s">
        <v>25</v>
      </c>
      <c r="E106" s="80">
        <f>VLOOKUP(D106,'Bu Erta'!$C$2:$E$66,3,0)</f>
        <v>1600</v>
      </c>
      <c r="F106">
        <v>0.15</v>
      </c>
      <c r="G106" s="80">
        <f t="shared" si="4"/>
        <v>240</v>
      </c>
      <c r="H106" s="80">
        <f>VLOOKUP(D106,'Bu Erta'!$C$2:$F$66,4,0)*F106</f>
        <v>255</v>
      </c>
    </row>
    <row r="107" spans="1:8" x14ac:dyDescent="0.35">
      <c r="B107" t="s">
        <v>127</v>
      </c>
      <c r="D107" t="s">
        <v>42</v>
      </c>
      <c r="E107" s="80">
        <f>VLOOKUP(D107,'Bu Erta'!$C$2:$E$66,3,0)</f>
        <v>1000</v>
      </c>
      <c r="F107">
        <v>2.1</v>
      </c>
      <c r="G107" s="80">
        <f t="shared" si="4"/>
        <v>2100</v>
      </c>
      <c r="H107" s="80">
        <f>VLOOKUP(D107,'Bu Erta'!$C$2:$F$66,4,0)*F107</f>
        <v>2520</v>
      </c>
    </row>
    <row r="108" spans="1:8" x14ac:dyDescent="0.35">
      <c r="B108" t="s">
        <v>127</v>
      </c>
      <c r="D108" t="s">
        <v>23</v>
      </c>
      <c r="E108" s="80">
        <f>VLOOKUP(D108,'Bu Erta'!$C$2:$E$66,3,0)</f>
        <v>300</v>
      </c>
      <c r="F108">
        <v>0.55000000000000004</v>
      </c>
      <c r="G108" s="80">
        <f t="shared" si="4"/>
        <v>165</v>
      </c>
      <c r="H108" s="80">
        <f>VLOOKUP(D108,'Bu Erta'!$C$2:$F$66,4,0)*F108</f>
        <v>220.00000000000003</v>
      </c>
    </row>
    <row r="109" spans="1:8" x14ac:dyDescent="0.35">
      <c r="B109" t="s">
        <v>127</v>
      </c>
      <c r="D109" t="s">
        <v>69</v>
      </c>
      <c r="E109" s="80">
        <f>VLOOKUP(D109,'Bu Erta'!$C$2:$E$66,3,0)</f>
        <v>2500</v>
      </c>
      <c r="F109">
        <v>0.1</v>
      </c>
      <c r="G109" s="80">
        <f t="shared" si="4"/>
        <v>250</v>
      </c>
      <c r="H109" s="80">
        <f>VLOOKUP(D109,'Bu Erta'!$C$2:$F$66,4,0)*F109</f>
        <v>300</v>
      </c>
    </row>
    <row r="110" spans="1:8" x14ac:dyDescent="0.35">
      <c r="B110" t="s">
        <v>127</v>
      </c>
      <c r="D110" t="s">
        <v>70</v>
      </c>
      <c r="E110" s="80">
        <f>VLOOKUP(D110,'Bu Erta'!$C$2:$E$66,3,0)</f>
        <v>3500</v>
      </c>
      <c r="F110">
        <v>0.25</v>
      </c>
      <c r="G110" s="80">
        <f t="shared" si="4"/>
        <v>875</v>
      </c>
      <c r="H110" s="80">
        <f>VLOOKUP(D110,'Bu Erta'!$C$2:$F$66,4,0)*F110</f>
        <v>1000</v>
      </c>
    </row>
    <row r="111" spans="1:8" x14ac:dyDescent="0.35">
      <c r="B111" t="s">
        <v>127</v>
      </c>
      <c r="D111" t="s">
        <v>27</v>
      </c>
      <c r="E111" s="80">
        <f>VLOOKUP(D111,'Bu Erta'!$C$2:$E$66,3,0)</f>
        <v>2800</v>
      </c>
      <c r="F111">
        <v>1.75</v>
      </c>
      <c r="G111" s="80">
        <f t="shared" si="4"/>
        <v>4900</v>
      </c>
      <c r="H111" s="80">
        <f>VLOOKUP(D111,'Bu Erta'!$C$2:$F$66,4,0)*F111</f>
        <v>5425</v>
      </c>
    </row>
    <row r="112" spans="1:8" x14ac:dyDescent="0.35">
      <c r="A112" s="5">
        <v>19</v>
      </c>
      <c r="B112" t="s">
        <v>135</v>
      </c>
      <c r="C112" s="5">
        <v>4</v>
      </c>
      <c r="D112" t="s">
        <v>19</v>
      </c>
      <c r="E112" s="80">
        <f>VLOOKUP(D112,'Bu Erta'!$C$2:$E$66,3,0)</f>
        <v>200</v>
      </c>
      <c r="F112">
        <v>1.2</v>
      </c>
      <c r="G112" s="80">
        <f t="shared" si="4"/>
        <v>240</v>
      </c>
      <c r="H112" s="80">
        <f>VLOOKUP(D112,'Bu Erta'!$C$2:$F$66,4,0)*F112</f>
        <v>360</v>
      </c>
    </row>
    <row r="113" spans="1:8" x14ac:dyDescent="0.35">
      <c r="B113" t="s">
        <v>135</v>
      </c>
      <c r="D113" t="s">
        <v>23</v>
      </c>
      <c r="E113" s="80">
        <f>VLOOKUP(D113,'Bu Erta'!$C$2:$E$66,3,0)</f>
        <v>300</v>
      </c>
      <c r="F113">
        <f>1.9+0.8</f>
        <v>2.7</v>
      </c>
      <c r="G113" s="80">
        <f t="shared" si="4"/>
        <v>810</v>
      </c>
      <c r="H113" s="80">
        <f>VLOOKUP(D113,'Bu Erta'!$C$2:$F$66,4,0)*F113</f>
        <v>1080</v>
      </c>
    </row>
    <row r="114" spans="1:8" x14ac:dyDescent="0.35">
      <c r="B114" t="s">
        <v>135</v>
      </c>
      <c r="D114" t="s">
        <v>7</v>
      </c>
      <c r="E114" s="80">
        <f>VLOOKUP(D114,'Bu Erta'!$C$2:$E$66,3,0)</f>
        <v>1400</v>
      </c>
      <c r="F114">
        <v>0.2</v>
      </c>
      <c r="G114" s="80">
        <f t="shared" si="4"/>
        <v>280</v>
      </c>
      <c r="H114" s="80">
        <f>VLOOKUP(D114,'Bu Erta'!$C$2:$F$66,4,0)*F114</f>
        <v>320</v>
      </c>
    </row>
    <row r="115" spans="1:8" x14ac:dyDescent="0.35">
      <c r="B115" t="s">
        <v>135</v>
      </c>
      <c r="D115" t="s">
        <v>42</v>
      </c>
      <c r="E115" s="80">
        <f>VLOOKUP(D115,'Bu Erta'!$C$2:$E$66,3,0)</f>
        <v>1000</v>
      </c>
      <c r="F115">
        <v>0.15</v>
      </c>
      <c r="G115" s="80">
        <f t="shared" si="4"/>
        <v>150</v>
      </c>
      <c r="H115" s="80">
        <f>VLOOKUP(D115,'Bu Erta'!$C$2:$F$66,4,0)*F115</f>
        <v>180</v>
      </c>
    </row>
    <row r="116" spans="1:8" x14ac:dyDescent="0.35">
      <c r="B116" t="s">
        <v>135</v>
      </c>
      <c r="D116" t="s">
        <v>46</v>
      </c>
      <c r="E116" s="80">
        <f>VLOOKUP(D116,'Bu Erta'!$C$2:$E$66,3,0)</f>
        <v>1400</v>
      </c>
      <c r="F116">
        <f>0.75+0.1+0.5+0.95</f>
        <v>2.2999999999999998</v>
      </c>
      <c r="G116" s="80">
        <f t="shared" si="4"/>
        <v>3219.9999999999995</v>
      </c>
      <c r="H116" s="80">
        <f>VLOOKUP(D116,'Bu Erta'!$C$2:$F$66,4,0)*F116</f>
        <v>3449.9999999999995</v>
      </c>
    </row>
    <row r="117" spans="1:8" x14ac:dyDescent="0.35">
      <c r="B117" t="s">
        <v>135</v>
      </c>
      <c r="D117" t="s">
        <v>28</v>
      </c>
      <c r="E117" s="80">
        <f>VLOOKUP(D117,'Bu Erta'!$C$2:$E$66,3,0)</f>
        <v>1200</v>
      </c>
      <c r="F117">
        <f>0.8+6+1.8+0.3+0.15</f>
        <v>9.0500000000000007</v>
      </c>
      <c r="G117" s="80">
        <f t="shared" si="4"/>
        <v>10860</v>
      </c>
      <c r="H117" s="80">
        <f>VLOOKUP(D117,'Bu Erta'!$C$2:$F$66,4,0)*F117</f>
        <v>11765.000000000002</v>
      </c>
    </row>
    <row r="118" spans="1:8" x14ac:dyDescent="0.35">
      <c r="B118" t="s">
        <v>135</v>
      </c>
      <c r="D118" t="s">
        <v>49</v>
      </c>
      <c r="E118" s="80">
        <f>VLOOKUP(D118,'Bu Erta'!$C$2:$E$66,3,0)</f>
        <v>800</v>
      </c>
      <c r="F118">
        <f>2.6+6.15</f>
        <v>8.75</v>
      </c>
      <c r="G118" s="80">
        <f t="shared" si="4"/>
        <v>7000</v>
      </c>
      <c r="H118" s="80">
        <f>VLOOKUP(D118,'Bu Erta'!$C$2:$F$66,4,0)*F118</f>
        <v>7875</v>
      </c>
    </row>
    <row r="119" spans="1:8" x14ac:dyDescent="0.35">
      <c r="A119" s="5">
        <v>20</v>
      </c>
      <c r="B119" s="69" t="s">
        <v>299</v>
      </c>
      <c r="C119" s="5">
        <v>6</v>
      </c>
      <c r="D119" t="s">
        <v>27</v>
      </c>
      <c r="E119" s="80">
        <f>VLOOKUP(D119,'Bu Erta'!$C$2:$E$66,3,0)</f>
        <v>2800</v>
      </c>
      <c r="F119">
        <f>0.4+0.8+0.25</f>
        <v>1.4500000000000002</v>
      </c>
      <c r="G119" s="80">
        <f t="shared" si="4"/>
        <v>4060.0000000000005</v>
      </c>
      <c r="H119" s="80">
        <f>VLOOKUP(D119,'Bu Erta'!$C$2:$F$66,4,0)*F119</f>
        <v>4495.0000000000009</v>
      </c>
    </row>
    <row r="120" spans="1:8" x14ac:dyDescent="0.35">
      <c r="B120" s="69" t="s">
        <v>299</v>
      </c>
      <c r="D120" t="s">
        <v>7</v>
      </c>
      <c r="E120" s="80">
        <f>VLOOKUP(D120,'Bu Erta'!$C$2:$E$66,3,0)</f>
        <v>1400</v>
      </c>
      <c r="F120">
        <f>0.5+0.45</f>
        <v>0.95</v>
      </c>
      <c r="G120" s="80">
        <f t="shared" si="4"/>
        <v>1330</v>
      </c>
      <c r="H120" s="80">
        <f>VLOOKUP(D120,'Bu Erta'!$C$2:$F$66,4,0)*F120</f>
        <v>1520</v>
      </c>
    </row>
    <row r="121" spans="1:8" x14ac:dyDescent="0.35">
      <c r="B121" s="69" t="s">
        <v>299</v>
      </c>
      <c r="D121" t="s">
        <v>42</v>
      </c>
      <c r="E121" s="80">
        <f>VLOOKUP(D121,'Bu Erta'!$C$2:$E$66,3,0)</f>
        <v>1000</v>
      </c>
      <c r="F121">
        <v>4.05</v>
      </c>
      <c r="G121" s="80">
        <f t="shared" si="4"/>
        <v>4050</v>
      </c>
      <c r="H121" s="80">
        <f>VLOOKUP(D121,'Bu Erta'!$C$2:$F$66,4,0)*F121</f>
        <v>4860</v>
      </c>
    </row>
    <row r="122" spans="1:8" x14ac:dyDescent="0.35">
      <c r="B122" s="69" t="s">
        <v>299</v>
      </c>
      <c r="D122" t="s">
        <v>37</v>
      </c>
      <c r="E122" s="80">
        <f>VLOOKUP(D122,'Bu Erta'!$C$2:$E$66,3,0)</f>
        <v>1600</v>
      </c>
      <c r="F122">
        <v>0.15</v>
      </c>
      <c r="G122" s="80">
        <f t="shared" si="4"/>
        <v>240</v>
      </c>
      <c r="H122" s="80">
        <f>VLOOKUP(D122,'Bu Erta'!$C$2:$F$66,4,0)*F122</f>
        <v>300</v>
      </c>
    </row>
    <row r="123" spans="1:8" x14ac:dyDescent="0.35">
      <c r="B123" s="69" t="s">
        <v>299</v>
      </c>
      <c r="D123" t="s">
        <v>34</v>
      </c>
      <c r="E123" s="80">
        <f>VLOOKUP(D123,'Bu Erta'!$C$2:$E$66,3,0)</f>
        <v>3500</v>
      </c>
      <c r="F123">
        <f>0.15+0.5</f>
        <v>0.65</v>
      </c>
      <c r="G123" s="80">
        <f t="shared" si="4"/>
        <v>2275</v>
      </c>
      <c r="H123" s="80">
        <f>VLOOKUP(D123,'Bu Erta'!$C$2:$F$66,4,0)*F123</f>
        <v>2340</v>
      </c>
    </row>
    <row r="124" spans="1:8" x14ac:dyDescent="0.35">
      <c r="B124" s="69" t="s">
        <v>299</v>
      </c>
      <c r="D124" t="s">
        <v>41</v>
      </c>
      <c r="E124" s="80">
        <f>VLOOKUP(D124,'Bu Erta'!$C$2:$E$66,3,0)</f>
        <v>1500</v>
      </c>
      <c r="F124">
        <v>0.25</v>
      </c>
      <c r="G124" s="80">
        <f t="shared" si="4"/>
        <v>375</v>
      </c>
      <c r="H124" s="80">
        <f>VLOOKUP(D124,'Bu Erta'!$C$2:$F$66,4,0)*F124</f>
        <v>500</v>
      </c>
    </row>
    <row r="125" spans="1:8" x14ac:dyDescent="0.35">
      <c r="B125" s="69" t="s">
        <v>299</v>
      </c>
      <c r="D125" t="s">
        <v>6</v>
      </c>
      <c r="E125" s="80">
        <f>VLOOKUP(D125,'Bu Erta'!$C$2:$E$66,3,0)</f>
        <v>2000</v>
      </c>
      <c r="F125">
        <v>0.25</v>
      </c>
      <c r="G125" s="80">
        <f t="shared" si="4"/>
        <v>500</v>
      </c>
      <c r="H125" s="80">
        <f>VLOOKUP(D125,'Bu Erta'!$C$2:$F$66,4,0)*F125</f>
        <v>625</v>
      </c>
    </row>
    <row r="126" spans="1:8" x14ac:dyDescent="0.35">
      <c r="B126" s="69" t="s">
        <v>299</v>
      </c>
      <c r="D126" t="s">
        <v>31</v>
      </c>
      <c r="E126" s="80">
        <f>VLOOKUP(D126,'Bu Erta'!$C$2:$E$66,3,0)</f>
        <v>1000</v>
      </c>
      <c r="F126">
        <v>0.7</v>
      </c>
      <c r="G126" s="80">
        <f t="shared" si="4"/>
        <v>700</v>
      </c>
      <c r="H126" s="80">
        <f>VLOOKUP(D126,'Bu Erta'!$C$2:$F$66,4,0)*F126</f>
        <v>770</v>
      </c>
    </row>
    <row r="127" spans="1:8" x14ac:dyDescent="0.35">
      <c r="B127" s="69" t="s">
        <v>299</v>
      </c>
      <c r="D127" t="s">
        <v>69</v>
      </c>
      <c r="E127" s="80">
        <f>VLOOKUP(D127,'Bu Erta'!$C$2:$E$66,3,0)</f>
        <v>2500</v>
      </c>
      <c r="F127">
        <v>0.15</v>
      </c>
      <c r="G127" s="80">
        <f t="shared" si="4"/>
        <v>375</v>
      </c>
      <c r="H127" s="80">
        <f>VLOOKUP(D127,'Bu Erta'!$C$2:$F$66,4,0)*F127</f>
        <v>450</v>
      </c>
    </row>
    <row r="128" spans="1:8" x14ac:dyDescent="0.35">
      <c r="B128" s="69" t="s">
        <v>299</v>
      </c>
      <c r="D128" t="s">
        <v>19</v>
      </c>
      <c r="E128" s="80">
        <f>VLOOKUP(D128,'Bu Erta'!$C$2:$E$66,3,0)</f>
        <v>200</v>
      </c>
      <c r="F128">
        <v>0.15</v>
      </c>
      <c r="G128" s="80">
        <f t="shared" si="4"/>
        <v>30</v>
      </c>
      <c r="H128" s="80">
        <f>VLOOKUP(D128,'Bu Erta'!$C$2:$F$66,4,0)*F128</f>
        <v>45</v>
      </c>
    </row>
    <row r="129" spans="1:8" x14ac:dyDescent="0.35">
      <c r="B129" s="69" t="s">
        <v>299</v>
      </c>
      <c r="D129" t="s">
        <v>23</v>
      </c>
      <c r="E129" s="80">
        <f>VLOOKUP(D129,'Bu Erta'!$C$2:$E$66,3,0)</f>
        <v>300</v>
      </c>
      <c r="F129">
        <f>0.15+0.1</f>
        <v>0.25</v>
      </c>
      <c r="G129" s="80">
        <f t="shared" si="4"/>
        <v>75</v>
      </c>
      <c r="H129" s="80">
        <f>VLOOKUP(D129,'Bu Erta'!$C$2:$F$66,4,0)*F129</f>
        <v>100</v>
      </c>
    </row>
    <row r="130" spans="1:8" x14ac:dyDescent="0.35">
      <c r="B130" s="69" t="s">
        <v>299</v>
      </c>
      <c r="D130" t="s">
        <v>17</v>
      </c>
      <c r="E130" s="80">
        <f>VLOOKUP(D130,'Bu Erta'!$C$2:$E$66,3,0)</f>
        <v>8000</v>
      </c>
      <c r="F130">
        <v>0.1</v>
      </c>
      <c r="G130" s="80">
        <f t="shared" si="4"/>
        <v>800</v>
      </c>
      <c r="H130" s="80">
        <f>VLOOKUP(D130,'Bu Erta'!$C$2:$F$66,4,0)*F130</f>
        <v>850</v>
      </c>
    </row>
    <row r="131" spans="1:8" x14ac:dyDescent="0.35">
      <c r="A131" s="5">
        <v>21</v>
      </c>
      <c r="B131" t="s">
        <v>90</v>
      </c>
      <c r="C131" s="5">
        <v>3</v>
      </c>
      <c r="D131" t="s">
        <v>22</v>
      </c>
      <c r="E131" s="80">
        <f>VLOOKUP(D131,'Bu Erta'!$C$2:$E$66,3,0)</f>
        <v>2500</v>
      </c>
      <c r="F131">
        <f>2.95+0.15</f>
        <v>3.1</v>
      </c>
      <c r="G131" s="80">
        <f t="shared" si="4"/>
        <v>7750</v>
      </c>
      <c r="H131" s="80">
        <f>VLOOKUP(D131,'Bu Erta'!$C$2:$F$66,4,0)*F131</f>
        <v>9300</v>
      </c>
    </row>
    <row r="132" spans="1:8" x14ac:dyDescent="0.35">
      <c r="B132" t="s">
        <v>90</v>
      </c>
      <c r="D132" t="s">
        <v>27</v>
      </c>
      <c r="E132" s="80">
        <f>VLOOKUP(D132,'Bu Erta'!$C$2:$E$66,3,0)</f>
        <v>2800</v>
      </c>
      <c r="F132">
        <v>0.6</v>
      </c>
      <c r="G132" s="80">
        <f t="shared" ref="G132:G195" si="5">E132*F132</f>
        <v>1680</v>
      </c>
      <c r="H132" s="80">
        <f>VLOOKUP(D132,'Bu Erta'!$C$2:$F$66,4,0)*F132</f>
        <v>1860</v>
      </c>
    </row>
    <row r="133" spans="1:8" x14ac:dyDescent="0.35">
      <c r="B133" t="s">
        <v>90</v>
      </c>
      <c r="D133" t="s">
        <v>69</v>
      </c>
      <c r="E133" s="80">
        <f>VLOOKUP(D133,'Bu Erta'!$C$2:$E$66,3,0)</f>
        <v>2500</v>
      </c>
      <c r="F133">
        <v>0.1</v>
      </c>
      <c r="G133" s="80">
        <f t="shared" si="5"/>
        <v>250</v>
      </c>
      <c r="H133" s="80">
        <f>VLOOKUP(D133,'Bu Erta'!$C$2:$F$66,4,0)*F133</f>
        <v>300</v>
      </c>
    </row>
    <row r="134" spans="1:8" x14ac:dyDescent="0.35">
      <c r="B134" t="s">
        <v>90</v>
      </c>
      <c r="D134" t="s">
        <v>70</v>
      </c>
      <c r="E134" s="80">
        <f>VLOOKUP(D134,'Bu Erta'!$C$2:$E$66,3,0)</f>
        <v>3500</v>
      </c>
      <c r="F134">
        <v>0.2</v>
      </c>
      <c r="G134" s="80">
        <f t="shared" si="5"/>
        <v>700</v>
      </c>
      <c r="H134" s="80">
        <f>VLOOKUP(D134,'Bu Erta'!$C$2:$F$66,4,0)*F134</f>
        <v>800</v>
      </c>
    </row>
    <row r="135" spans="1:8" x14ac:dyDescent="0.35">
      <c r="B135" t="s">
        <v>90</v>
      </c>
      <c r="D135" t="s">
        <v>7</v>
      </c>
      <c r="E135" s="80">
        <f>VLOOKUP(D135,'Bu Erta'!$C$2:$E$66,3,0)</f>
        <v>1400</v>
      </c>
      <c r="F135">
        <f>0.2+0.3</f>
        <v>0.5</v>
      </c>
      <c r="G135" s="80">
        <f t="shared" si="5"/>
        <v>700</v>
      </c>
      <c r="H135" s="80">
        <f>VLOOKUP(D135,'Bu Erta'!$C$2:$F$66,4,0)*F135</f>
        <v>800</v>
      </c>
    </row>
    <row r="136" spans="1:8" x14ac:dyDescent="0.35">
      <c r="B136" t="s">
        <v>90</v>
      </c>
      <c r="D136" t="s">
        <v>6</v>
      </c>
      <c r="E136" s="80">
        <f>VLOOKUP(D136,'Bu Erta'!$C$2:$E$66,3,0)</f>
        <v>2000</v>
      </c>
      <c r="F136">
        <v>0.2</v>
      </c>
      <c r="G136" s="80">
        <f t="shared" si="5"/>
        <v>400</v>
      </c>
      <c r="H136" s="80">
        <f>VLOOKUP(D136,'Bu Erta'!$C$2:$F$66,4,0)*F136</f>
        <v>500</v>
      </c>
    </row>
    <row r="137" spans="1:8" x14ac:dyDescent="0.35">
      <c r="A137" s="5">
        <v>22</v>
      </c>
      <c r="B137" t="s">
        <v>137</v>
      </c>
      <c r="C137" s="5">
        <v>4</v>
      </c>
      <c r="D137" t="s">
        <v>31</v>
      </c>
      <c r="E137" s="80">
        <f>VLOOKUP(D137,'Bu Erta'!$C$2:$E$66,3,0)</f>
        <v>1000</v>
      </c>
      <c r="F137">
        <v>0.45</v>
      </c>
      <c r="G137" s="80">
        <f t="shared" si="5"/>
        <v>450</v>
      </c>
      <c r="H137" s="80">
        <f>VLOOKUP(D137,'Bu Erta'!$C$2:$F$66,4,0)*F137</f>
        <v>495</v>
      </c>
    </row>
    <row r="138" spans="1:8" x14ac:dyDescent="0.35">
      <c r="B138" t="s">
        <v>137</v>
      </c>
      <c r="D138" t="s">
        <v>19</v>
      </c>
      <c r="E138" s="80">
        <f>VLOOKUP(D138,'Bu Erta'!$C$2:$E$66,3,0)</f>
        <v>200</v>
      </c>
      <c r="F138">
        <v>0.65</v>
      </c>
      <c r="G138" s="80">
        <f t="shared" si="5"/>
        <v>130</v>
      </c>
      <c r="H138" s="80">
        <f>VLOOKUP(D138,'Bu Erta'!$C$2:$F$66,4,0)*F138</f>
        <v>195</v>
      </c>
    </row>
    <row r="139" spans="1:8" x14ac:dyDescent="0.35">
      <c r="B139" t="s">
        <v>137</v>
      </c>
      <c r="D139" t="s">
        <v>69</v>
      </c>
      <c r="E139" s="80">
        <f>VLOOKUP(D139,'Bu Erta'!$C$2:$E$66,3,0)</f>
        <v>2500</v>
      </c>
      <c r="F139">
        <v>0.25</v>
      </c>
      <c r="G139" s="80">
        <f t="shared" si="5"/>
        <v>625</v>
      </c>
      <c r="H139" s="80">
        <f>VLOOKUP(D139,'Bu Erta'!$C$2:$F$66,4,0)*F139</f>
        <v>750</v>
      </c>
    </row>
    <row r="140" spans="1:8" x14ac:dyDescent="0.35">
      <c r="B140" t="s">
        <v>137</v>
      </c>
      <c r="D140" t="s">
        <v>42</v>
      </c>
      <c r="E140" s="80">
        <f>VLOOKUP(D140,'Bu Erta'!$C$2:$E$66,3,0)</f>
        <v>1000</v>
      </c>
      <c r="F140">
        <f>1.05+0.25</f>
        <v>1.3</v>
      </c>
      <c r="G140" s="80">
        <f t="shared" si="5"/>
        <v>1300</v>
      </c>
      <c r="H140" s="80">
        <f>VLOOKUP(D140,'Bu Erta'!$C$2:$F$66,4,0)*F140</f>
        <v>1560</v>
      </c>
    </row>
    <row r="141" spans="1:8" x14ac:dyDescent="0.35">
      <c r="B141" t="s">
        <v>137</v>
      </c>
      <c r="D141" t="s">
        <v>23</v>
      </c>
      <c r="E141" s="80">
        <f>VLOOKUP(D141,'Bu Erta'!$C$2:$E$66,3,0)</f>
        <v>300</v>
      </c>
      <c r="F141">
        <f>0.25+1.75</f>
        <v>2</v>
      </c>
      <c r="G141" s="80">
        <f t="shared" si="5"/>
        <v>600</v>
      </c>
      <c r="H141" s="80">
        <f>VLOOKUP(D141,'Bu Erta'!$C$2:$F$66,4,0)*F141</f>
        <v>800</v>
      </c>
    </row>
    <row r="142" spans="1:8" x14ac:dyDescent="0.35">
      <c r="B142" t="s">
        <v>137</v>
      </c>
      <c r="D142" t="s">
        <v>41</v>
      </c>
      <c r="E142" s="80">
        <f>VLOOKUP(D142,'Bu Erta'!$C$2:$E$66,3,0)</f>
        <v>1500</v>
      </c>
      <c r="F142">
        <v>0.1</v>
      </c>
      <c r="G142" s="80">
        <f t="shared" si="5"/>
        <v>150</v>
      </c>
      <c r="H142" s="80">
        <f>VLOOKUP(D142,'Bu Erta'!$C$2:$F$66,4,0)*F142</f>
        <v>200</v>
      </c>
    </row>
    <row r="143" spans="1:8" x14ac:dyDescent="0.35">
      <c r="B143" t="s">
        <v>137</v>
      </c>
      <c r="D143" t="s">
        <v>40</v>
      </c>
      <c r="E143" s="80">
        <f>VLOOKUP(D143,'Bu Erta'!$C$2:$E$66,3,0)</f>
        <v>1800</v>
      </c>
      <c r="F143">
        <v>0.3</v>
      </c>
      <c r="G143" s="80">
        <f t="shared" si="5"/>
        <v>540</v>
      </c>
      <c r="H143" s="80">
        <f>VLOOKUP(D143,'Bu Erta'!$C$2:$F$66,4,0)*F143</f>
        <v>600</v>
      </c>
    </row>
    <row r="144" spans="1:8" x14ac:dyDescent="0.35">
      <c r="B144" t="s">
        <v>137</v>
      </c>
      <c r="D144" t="s">
        <v>7</v>
      </c>
      <c r="E144" s="80">
        <f>VLOOKUP(D144,'Bu Erta'!$C$2:$E$66,3,0)</f>
        <v>1400</v>
      </c>
      <c r="F144">
        <v>0.4</v>
      </c>
      <c r="G144" s="80">
        <f t="shared" si="5"/>
        <v>560</v>
      </c>
      <c r="H144" s="80">
        <f>VLOOKUP(D144,'Bu Erta'!$C$2:$F$66,4,0)*F144</f>
        <v>640</v>
      </c>
    </row>
    <row r="145" spans="1:8" x14ac:dyDescent="0.35">
      <c r="A145" s="5">
        <v>23</v>
      </c>
      <c r="B145" t="s">
        <v>136</v>
      </c>
      <c r="C145" s="5">
        <v>4</v>
      </c>
      <c r="D145" t="s">
        <v>19</v>
      </c>
      <c r="E145" s="80">
        <f>VLOOKUP(D145,'Bu Erta'!$C$2:$E$66,3,0)</f>
        <v>200</v>
      </c>
      <c r="F145">
        <v>0.35</v>
      </c>
      <c r="G145" s="80">
        <f t="shared" si="5"/>
        <v>70</v>
      </c>
      <c r="H145" s="80">
        <f>VLOOKUP(D145,'Bu Erta'!$C$2:$F$66,4,0)*F145</f>
        <v>105</v>
      </c>
    </row>
    <row r="146" spans="1:8" x14ac:dyDescent="0.35">
      <c r="B146" t="s">
        <v>136</v>
      </c>
      <c r="D146" t="s">
        <v>7</v>
      </c>
      <c r="E146" s="80">
        <f>VLOOKUP(D146,'Bu Erta'!$C$2:$E$66,3,0)</f>
        <v>1400</v>
      </c>
      <c r="F146">
        <v>1.4</v>
      </c>
      <c r="G146" s="80">
        <f t="shared" si="5"/>
        <v>1959.9999999999998</v>
      </c>
      <c r="H146" s="80">
        <f>VLOOKUP(D146,'Bu Erta'!$C$2:$F$66,4,0)*F146</f>
        <v>2240</v>
      </c>
    </row>
    <row r="147" spans="1:8" x14ac:dyDescent="0.35">
      <c r="B147" t="s">
        <v>136</v>
      </c>
      <c r="D147" t="s">
        <v>69</v>
      </c>
      <c r="E147" s="80">
        <f>VLOOKUP(D147,'Bu Erta'!$C$2:$E$66,3,0)</f>
        <v>2500</v>
      </c>
      <c r="F147">
        <v>0.2</v>
      </c>
      <c r="G147" s="80">
        <f t="shared" si="5"/>
        <v>500</v>
      </c>
      <c r="H147" s="80">
        <f>VLOOKUP(D147,'Bu Erta'!$C$2:$F$66,4,0)*F147</f>
        <v>600</v>
      </c>
    </row>
    <row r="148" spans="1:8" x14ac:dyDescent="0.35">
      <c r="B148" t="s">
        <v>136</v>
      </c>
      <c r="D148" t="s">
        <v>42</v>
      </c>
      <c r="E148" s="80">
        <f>VLOOKUP(D148,'Bu Erta'!$C$2:$E$66,3,0)</f>
        <v>1000</v>
      </c>
      <c r="F148">
        <f>0.2+1.45</f>
        <v>1.65</v>
      </c>
      <c r="G148" s="80">
        <f t="shared" si="5"/>
        <v>1650</v>
      </c>
      <c r="H148" s="80">
        <f>VLOOKUP(D148,'Bu Erta'!$C$2:$F$66,4,0)*F148</f>
        <v>1980</v>
      </c>
    </row>
    <row r="149" spans="1:8" x14ac:dyDescent="0.35">
      <c r="B149" t="s">
        <v>136</v>
      </c>
      <c r="D149" t="s">
        <v>36</v>
      </c>
      <c r="E149" s="80">
        <f>VLOOKUP(D149,'Bu Erta'!$C$2:$E$66,3,0)</f>
        <v>600</v>
      </c>
      <c r="F149">
        <v>0.35</v>
      </c>
      <c r="G149" s="80">
        <f t="shared" si="5"/>
        <v>210</v>
      </c>
      <c r="H149" s="80">
        <f>VLOOKUP(D149,'Bu Erta'!$C$2:$F$66,4,0)*F149</f>
        <v>227.49999999999997</v>
      </c>
    </row>
    <row r="150" spans="1:8" x14ac:dyDescent="0.35">
      <c r="B150" t="s">
        <v>136</v>
      </c>
      <c r="D150" t="s">
        <v>27</v>
      </c>
      <c r="E150" s="80">
        <f>VLOOKUP(D150,'Bu Erta'!$C$2:$E$66,3,0)</f>
        <v>2800</v>
      </c>
      <c r="F150">
        <v>1.5</v>
      </c>
      <c r="G150" s="80">
        <f t="shared" si="5"/>
        <v>4200</v>
      </c>
      <c r="H150" s="80">
        <f>VLOOKUP(D150,'Bu Erta'!$C$2:$F$66,4,0)*F150</f>
        <v>4650</v>
      </c>
    </row>
    <row r="151" spans="1:8" x14ac:dyDescent="0.35">
      <c r="A151" s="5">
        <v>24</v>
      </c>
      <c r="B151" t="s">
        <v>100</v>
      </c>
      <c r="C151" s="5">
        <v>4</v>
      </c>
      <c r="D151" t="s">
        <v>42</v>
      </c>
      <c r="E151" s="80">
        <f>VLOOKUP(D151,'Bu Erta'!$C$2:$E$66,3,0)</f>
        <v>1000</v>
      </c>
      <c r="F151">
        <v>1.6</v>
      </c>
      <c r="G151" s="80">
        <f t="shared" si="5"/>
        <v>1600</v>
      </c>
      <c r="H151" s="80">
        <f>VLOOKUP(D151,'Bu Erta'!$C$2:$F$66,4,0)*F151</f>
        <v>1920</v>
      </c>
    </row>
    <row r="152" spans="1:8" x14ac:dyDescent="0.35">
      <c r="B152" t="s">
        <v>100</v>
      </c>
      <c r="D152" t="s">
        <v>22</v>
      </c>
      <c r="E152" s="80">
        <f>VLOOKUP(D152,'Bu Erta'!$C$2:$E$66,3,0)</f>
        <v>2500</v>
      </c>
      <c r="F152">
        <v>18.2</v>
      </c>
      <c r="G152" s="80">
        <f t="shared" si="5"/>
        <v>45500</v>
      </c>
      <c r="H152" s="80">
        <f>VLOOKUP(D152,'Bu Erta'!$C$2:$F$66,4,0)*F152</f>
        <v>54600</v>
      </c>
    </row>
    <row r="153" spans="1:8" x14ac:dyDescent="0.35">
      <c r="B153" t="s">
        <v>100</v>
      </c>
      <c r="D153" t="s">
        <v>63</v>
      </c>
      <c r="E153" s="80">
        <f>VLOOKUP(D153,'Bu Erta'!$C$2:$E$66,3,0)</f>
        <v>800</v>
      </c>
      <c r="F153">
        <v>0.9</v>
      </c>
      <c r="G153" s="80">
        <f t="shared" si="5"/>
        <v>720</v>
      </c>
      <c r="H153" s="80">
        <f>VLOOKUP(D153,'Bu Erta'!$C$2:$F$66,4,0)*F153</f>
        <v>900</v>
      </c>
    </row>
    <row r="154" spans="1:8" x14ac:dyDescent="0.35">
      <c r="B154" t="s">
        <v>100</v>
      </c>
      <c r="D154" t="s">
        <v>40</v>
      </c>
      <c r="E154" s="80">
        <f>VLOOKUP(D154,'Bu Erta'!$C$2:$E$66,3,0)</f>
        <v>1800</v>
      </c>
      <c r="F154">
        <v>0.15</v>
      </c>
      <c r="G154" s="80">
        <f t="shared" si="5"/>
        <v>270</v>
      </c>
      <c r="H154" s="80">
        <f>VLOOKUP(D154,'Bu Erta'!$C$2:$F$66,4,0)*F154</f>
        <v>300</v>
      </c>
    </row>
    <row r="155" spans="1:8" x14ac:dyDescent="0.35">
      <c r="B155" t="s">
        <v>100</v>
      </c>
      <c r="D155" t="s">
        <v>19</v>
      </c>
      <c r="E155" s="80">
        <f>VLOOKUP(D155,'Bu Erta'!$C$2:$E$66,3,0)</f>
        <v>200</v>
      </c>
      <c r="F155">
        <v>0.1</v>
      </c>
      <c r="G155" s="80">
        <f t="shared" si="5"/>
        <v>20</v>
      </c>
      <c r="H155" s="80">
        <f>VLOOKUP(D155,'Bu Erta'!$C$2:$F$66,4,0)*F155</f>
        <v>30</v>
      </c>
    </row>
    <row r="156" spans="1:8" x14ac:dyDescent="0.35">
      <c r="B156" t="s">
        <v>100</v>
      </c>
      <c r="D156" t="s">
        <v>23</v>
      </c>
      <c r="E156" s="80">
        <f>VLOOKUP(D156,'Bu Erta'!$C$2:$E$66,3,0)</f>
        <v>300</v>
      </c>
      <c r="F156">
        <v>0.4</v>
      </c>
      <c r="G156" s="80">
        <f t="shared" si="5"/>
        <v>120</v>
      </c>
      <c r="H156" s="80">
        <f>VLOOKUP(D156,'Bu Erta'!$C$2:$F$66,4,0)*F156</f>
        <v>160</v>
      </c>
    </row>
    <row r="157" spans="1:8" x14ac:dyDescent="0.35">
      <c r="B157" t="s">
        <v>100</v>
      </c>
      <c r="D157" t="s">
        <v>31</v>
      </c>
      <c r="E157" s="80">
        <f>VLOOKUP(D157,'Bu Erta'!$C$2:$E$66,3,0)</f>
        <v>1000</v>
      </c>
      <c r="F157">
        <v>0.8</v>
      </c>
      <c r="G157" s="80">
        <f t="shared" si="5"/>
        <v>800</v>
      </c>
      <c r="H157" s="80">
        <f>VLOOKUP(D157,'Bu Erta'!$C$2:$F$66,4,0)*F157</f>
        <v>880</v>
      </c>
    </row>
    <row r="158" spans="1:8" x14ac:dyDescent="0.35">
      <c r="A158" s="5">
        <v>25</v>
      </c>
      <c r="B158" t="s">
        <v>139</v>
      </c>
      <c r="C158" s="1">
        <v>1</v>
      </c>
      <c r="D158" t="s">
        <v>19</v>
      </c>
      <c r="E158" s="80">
        <f>VLOOKUP(D158,'Bu Erta'!$C$2:$E$66,3,0)</f>
        <v>200</v>
      </c>
      <c r="F158">
        <f>0.8+0.95+1.55</f>
        <v>3.3</v>
      </c>
      <c r="G158" s="80">
        <f t="shared" si="5"/>
        <v>660</v>
      </c>
      <c r="H158" s="80">
        <f>VLOOKUP(D158,'Bu Erta'!$C$2:$F$66,4,0)*F158</f>
        <v>990</v>
      </c>
    </row>
    <row r="159" spans="1:8" x14ac:dyDescent="0.35">
      <c r="B159" t="s">
        <v>139</v>
      </c>
      <c r="D159" t="s">
        <v>24</v>
      </c>
      <c r="E159" s="80">
        <f>VLOOKUP(D159,'Bu Erta'!$C$2:$E$66,3,0)</f>
        <v>150</v>
      </c>
      <c r="F159">
        <v>0.3</v>
      </c>
      <c r="G159" s="80">
        <f t="shared" si="5"/>
        <v>45</v>
      </c>
      <c r="H159" s="80">
        <f>VLOOKUP(D159,'Bu Erta'!$C$2:$F$66,4,0)*F159</f>
        <v>60</v>
      </c>
    </row>
    <row r="160" spans="1:8" x14ac:dyDescent="0.35">
      <c r="B160" t="s">
        <v>139</v>
      </c>
      <c r="D160" t="s">
        <v>17</v>
      </c>
      <c r="E160" s="80">
        <f>VLOOKUP(D160,'Bu Erta'!$C$2:$E$66,3,0)</f>
        <v>8000</v>
      </c>
      <c r="F160">
        <v>0.25</v>
      </c>
      <c r="G160" s="80">
        <f t="shared" si="5"/>
        <v>2000</v>
      </c>
      <c r="H160" s="80">
        <f>VLOOKUP(D160,'Bu Erta'!$C$2:$F$66,4,0)*F160</f>
        <v>2125</v>
      </c>
    </row>
    <row r="161" spans="1:8" x14ac:dyDescent="0.35">
      <c r="B161" t="s">
        <v>139</v>
      </c>
      <c r="D161" t="s">
        <v>23</v>
      </c>
      <c r="E161" s="80">
        <f>VLOOKUP(D161,'Bu Erta'!$C$2:$E$66,3,0)</f>
        <v>300</v>
      </c>
      <c r="F161">
        <v>0.6</v>
      </c>
      <c r="G161" s="80">
        <f t="shared" si="5"/>
        <v>180</v>
      </c>
      <c r="H161" s="80">
        <f>VLOOKUP(D161,'Bu Erta'!$C$2:$F$66,4,0)*F161</f>
        <v>240</v>
      </c>
    </row>
    <row r="162" spans="1:8" x14ac:dyDescent="0.35">
      <c r="B162" t="s">
        <v>139</v>
      </c>
      <c r="D162" t="s">
        <v>25</v>
      </c>
      <c r="E162" s="80">
        <f>VLOOKUP(D162,'Bu Erta'!$C$2:$E$66,3,0)</f>
        <v>1600</v>
      </c>
      <c r="F162">
        <v>0.15</v>
      </c>
      <c r="G162" s="80">
        <f t="shared" si="5"/>
        <v>240</v>
      </c>
      <c r="H162" s="80">
        <f>VLOOKUP(D162,'Bu Erta'!$C$2:$F$66,4,0)*F162</f>
        <v>255</v>
      </c>
    </row>
    <row r="163" spans="1:8" x14ac:dyDescent="0.35">
      <c r="B163" t="s">
        <v>139</v>
      </c>
      <c r="D163" t="s">
        <v>31</v>
      </c>
      <c r="E163" s="80">
        <f>VLOOKUP(D163,'Bu Erta'!$C$2:$E$66,3,0)</f>
        <v>1000</v>
      </c>
      <c r="F163">
        <v>0.3</v>
      </c>
      <c r="G163" s="80">
        <f t="shared" si="5"/>
        <v>300</v>
      </c>
      <c r="H163" s="80">
        <f>VLOOKUP(D163,'Bu Erta'!$C$2:$F$66,4,0)*F163</f>
        <v>330</v>
      </c>
    </row>
    <row r="164" spans="1:8" x14ac:dyDescent="0.35">
      <c r="A164" s="5">
        <v>26</v>
      </c>
      <c r="B164" t="s">
        <v>259</v>
      </c>
      <c r="C164" s="5">
        <v>3</v>
      </c>
      <c r="D164" t="s">
        <v>27</v>
      </c>
      <c r="E164" s="80">
        <f>VLOOKUP(D164,'Bu Erta'!$C$2:$E$66,3,0)</f>
        <v>2800</v>
      </c>
      <c r="F164">
        <v>0.7</v>
      </c>
      <c r="G164" s="80">
        <f t="shared" si="5"/>
        <v>1959.9999999999998</v>
      </c>
      <c r="H164" s="80">
        <f>VLOOKUP(D164,'Bu Erta'!$C$2:$F$66,4,0)*F164</f>
        <v>2170</v>
      </c>
    </row>
    <row r="165" spans="1:8" x14ac:dyDescent="0.35">
      <c r="B165" t="s">
        <v>259</v>
      </c>
      <c r="D165" t="s">
        <v>25</v>
      </c>
      <c r="E165" s="80">
        <f>VLOOKUP(D165,'Bu Erta'!$C$2:$E$66,3,0)</f>
        <v>1600</v>
      </c>
      <c r="F165">
        <v>0.3</v>
      </c>
      <c r="G165" s="80">
        <f t="shared" si="5"/>
        <v>480</v>
      </c>
      <c r="H165" s="80">
        <f>VLOOKUP(D165,'Bu Erta'!$C$2:$F$66,4,0)*F165</f>
        <v>510</v>
      </c>
    </row>
    <row r="166" spans="1:8" x14ac:dyDescent="0.35">
      <c r="B166" t="s">
        <v>259</v>
      </c>
      <c r="D166" t="s">
        <v>19</v>
      </c>
      <c r="E166" s="80">
        <f>VLOOKUP(D166,'Bu Erta'!$C$2:$E$66,3,0)</f>
        <v>200</v>
      </c>
      <c r="F166">
        <v>0.85</v>
      </c>
      <c r="G166" s="80">
        <f t="shared" si="5"/>
        <v>170</v>
      </c>
      <c r="H166" s="80">
        <f>VLOOKUP(D166,'Bu Erta'!$C$2:$F$66,4,0)*F166</f>
        <v>255</v>
      </c>
    </row>
    <row r="167" spans="1:8" x14ac:dyDescent="0.35">
      <c r="B167" t="s">
        <v>259</v>
      </c>
      <c r="D167" t="s">
        <v>41</v>
      </c>
      <c r="E167" s="80">
        <f>VLOOKUP(D167,'Bu Erta'!$C$2:$E$66,3,0)</f>
        <v>1500</v>
      </c>
      <c r="F167">
        <v>0.3</v>
      </c>
      <c r="G167" s="80">
        <f t="shared" si="5"/>
        <v>450</v>
      </c>
      <c r="H167" s="80">
        <f>VLOOKUP(D167,'Bu Erta'!$C$2:$F$66,4,0)*F167</f>
        <v>600</v>
      </c>
    </row>
    <row r="168" spans="1:8" x14ac:dyDescent="0.35">
      <c r="B168" t="s">
        <v>259</v>
      </c>
      <c r="D168" t="s">
        <v>69</v>
      </c>
      <c r="E168" s="80">
        <f>VLOOKUP(D168,'Bu Erta'!$C$2:$E$66,3,0)</f>
        <v>2500</v>
      </c>
      <c r="F168">
        <v>0.1</v>
      </c>
      <c r="G168" s="80">
        <f t="shared" si="5"/>
        <v>250</v>
      </c>
      <c r="H168" s="80">
        <f>VLOOKUP(D168,'Bu Erta'!$C$2:$F$66,4,0)*F168</f>
        <v>300</v>
      </c>
    </row>
    <row r="169" spans="1:8" x14ac:dyDescent="0.35">
      <c r="B169" t="s">
        <v>259</v>
      </c>
      <c r="D169" t="s">
        <v>42</v>
      </c>
      <c r="E169" s="80">
        <f>VLOOKUP(D169,'Bu Erta'!$C$2:$E$66,3,0)</f>
        <v>1000</v>
      </c>
      <c r="F169">
        <v>1.4</v>
      </c>
      <c r="G169" s="80">
        <f t="shared" si="5"/>
        <v>1400</v>
      </c>
      <c r="H169" s="80">
        <f>VLOOKUP(D169,'Bu Erta'!$C$2:$F$66,4,0)*F169</f>
        <v>1680</v>
      </c>
    </row>
    <row r="170" spans="1:8" x14ac:dyDescent="0.35">
      <c r="A170" s="5">
        <v>27</v>
      </c>
      <c r="B170" t="s">
        <v>192</v>
      </c>
      <c r="C170" s="5">
        <v>4</v>
      </c>
      <c r="D170" t="s">
        <v>25</v>
      </c>
      <c r="E170" s="80">
        <f>VLOOKUP(D170,'Bu Erta'!$C$2:$E$66,3,0)</f>
        <v>1600</v>
      </c>
      <c r="F170">
        <v>0.3</v>
      </c>
      <c r="G170" s="80">
        <f t="shared" si="5"/>
        <v>480</v>
      </c>
      <c r="H170" s="80">
        <f>VLOOKUP(D170,'Bu Erta'!$C$2:$F$66,4,0)*F170</f>
        <v>510</v>
      </c>
    </row>
    <row r="171" spans="1:8" x14ac:dyDescent="0.35">
      <c r="B171" t="s">
        <v>192</v>
      </c>
      <c r="D171" t="s">
        <v>42</v>
      </c>
      <c r="E171" s="80">
        <f>VLOOKUP(D171,'Bu Erta'!$C$2:$E$66,3,0)</f>
        <v>1000</v>
      </c>
      <c r="F171">
        <v>1.55</v>
      </c>
      <c r="G171" s="80">
        <f t="shared" si="5"/>
        <v>1550</v>
      </c>
      <c r="H171" s="80">
        <f>VLOOKUP(D171,'Bu Erta'!$C$2:$F$66,4,0)*F171</f>
        <v>1860</v>
      </c>
    </row>
    <row r="172" spans="1:8" x14ac:dyDescent="0.35">
      <c r="B172" t="s">
        <v>192</v>
      </c>
      <c r="D172" t="s">
        <v>31</v>
      </c>
      <c r="E172" s="80">
        <f>VLOOKUP(D172,'Bu Erta'!$C$2:$E$66,3,0)</f>
        <v>1000</v>
      </c>
      <c r="F172">
        <v>0.85</v>
      </c>
      <c r="G172" s="80">
        <f t="shared" si="5"/>
        <v>850</v>
      </c>
      <c r="H172" s="80">
        <f>VLOOKUP(D172,'Bu Erta'!$C$2:$F$66,4,0)*F172</f>
        <v>935</v>
      </c>
    </row>
    <row r="173" spans="1:8" x14ac:dyDescent="0.35">
      <c r="A173" s="5">
        <v>28</v>
      </c>
      <c r="B173" t="s">
        <v>295</v>
      </c>
      <c r="C173" s="5">
        <v>6</v>
      </c>
      <c r="D173" t="s">
        <v>31</v>
      </c>
      <c r="E173" s="80">
        <f>VLOOKUP(D173,'Bu Erta'!$C$2:$E$66,3,0)</f>
        <v>1000</v>
      </c>
      <c r="F173">
        <f>0.9+0.75</f>
        <v>1.65</v>
      </c>
      <c r="G173" s="80">
        <f t="shared" si="5"/>
        <v>1650</v>
      </c>
      <c r="H173" s="80">
        <f>VLOOKUP(D173,'Bu Erta'!$C$2:$F$66,4,0)*F173</f>
        <v>1815</v>
      </c>
    </row>
    <row r="174" spans="1:8" x14ac:dyDescent="0.35">
      <c r="B174" t="s">
        <v>295</v>
      </c>
      <c r="D174" t="s">
        <v>19</v>
      </c>
      <c r="E174" s="80">
        <f>VLOOKUP(D174,'Bu Erta'!$C$2:$E$66,3,0)</f>
        <v>200</v>
      </c>
      <c r="F174">
        <v>0.3</v>
      </c>
      <c r="G174" s="80">
        <f t="shared" si="5"/>
        <v>60</v>
      </c>
      <c r="H174" s="80">
        <f>VLOOKUP(D174,'Bu Erta'!$C$2:$F$66,4,0)*F174</f>
        <v>90</v>
      </c>
    </row>
    <row r="175" spans="1:8" x14ac:dyDescent="0.35">
      <c r="B175" t="s">
        <v>295</v>
      </c>
      <c r="D175" t="s">
        <v>25</v>
      </c>
      <c r="E175" s="80">
        <f>VLOOKUP(D175,'Bu Erta'!$C$2:$E$66,3,0)</f>
        <v>1600</v>
      </c>
      <c r="F175">
        <v>0.3</v>
      </c>
      <c r="G175" s="80">
        <f t="shared" si="5"/>
        <v>480</v>
      </c>
      <c r="H175" s="80">
        <f>VLOOKUP(D175,'Bu Erta'!$C$2:$F$66,4,0)*F175</f>
        <v>510</v>
      </c>
    </row>
    <row r="176" spans="1:8" x14ac:dyDescent="0.35">
      <c r="B176" t="s">
        <v>295</v>
      </c>
      <c r="D176" t="s">
        <v>7</v>
      </c>
      <c r="E176" s="80">
        <f>VLOOKUP(D176,'Bu Erta'!$C$2:$E$66,3,0)</f>
        <v>1400</v>
      </c>
      <c r="F176">
        <v>2.7</v>
      </c>
      <c r="G176" s="80">
        <f t="shared" si="5"/>
        <v>3780.0000000000005</v>
      </c>
      <c r="H176" s="80">
        <f>VLOOKUP(D176,'Bu Erta'!$C$2:$F$66,4,0)*F176</f>
        <v>4320</v>
      </c>
    </row>
    <row r="177" spans="1:8" x14ac:dyDescent="0.35">
      <c r="A177" s="5">
        <v>29</v>
      </c>
      <c r="B177" t="s">
        <v>140</v>
      </c>
      <c r="C177" s="1">
        <v>4</v>
      </c>
      <c r="D177" t="s">
        <v>215</v>
      </c>
      <c r="E177" s="80">
        <f>VLOOKUP(D177,'Bu Erta'!$C$2:$E$66,3,0)</f>
        <v>6000</v>
      </c>
      <c r="F177">
        <v>1.3</v>
      </c>
      <c r="G177" s="80">
        <f t="shared" si="5"/>
        <v>7800</v>
      </c>
      <c r="H177" s="80">
        <f>VLOOKUP(D177,'Bu Erta'!$C$2:$F$66,4,0)*F177</f>
        <v>8450</v>
      </c>
    </row>
    <row r="178" spans="1:8" x14ac:dyDescent="0.35">
      <c r="B178" t="s">
        <v>140</v>
      </c>
      <c r="D178" t="s">
        <v>22</v>
      </c>
      <c r="E178" s="80">
        <f>VLOOKUP(D178,'Bu Erta'!$C$2:$E$66,3,0)</f>
        <v>2500</v>
      </c>
      <c r="F178">
        <v>0.3</v>
      </c>
      <c r="G178" s="80">
        <f t="shared" si="5"/>
        <v>750</v>
      </c>
      <c r="H178" s="80">
        <f>VLOOKUP(D178,'Bu Erta'!$C$2:$F$66,4,0)*F178</f>
        <v>900</v>
      </c>
    </row>
    <row r="179" spans="1:8" x14ac:dyDescent="0.35">
      <c r="B179" t="s">
        <v>140</v>
      </c>
      <c r="D179" t="s">
        <v>7</v>
      </c>
      <c r="E179" s="80">
        <f>VLOOKUP(D179,'Bu Erta'!$C$2:$E$66,3,0)</f>
        <v>1400</v>
      </c>
      <c r="F179">
        <v>0.4</v>
      </c>
      <c r="G179" s="80">
        <f t="shared" si="5"/>
        <v>560</v>
      </c>
      <c r="H179" s="80">
        <f>VLOOKUP(D179,'Bu Erta'!$C$2:$F$66,4,0)*F179</f>
        <v>640</v>
      </c>
    </row>
    <row r="180" spans="1:8" x14ac:dyDescent="0.35">
      <c r="B180" t="s">
        <v>140</v>
      </c>
      <c r="D180" t="s">
        <v>19</v>
      </c>
      <c r="E180" s="80">
        <f>VLOOKUP(D180,'Bu Erta'!$C$2:$E$66,3,0)</f>
        <v>200</v>
      </c>
      <c r="F180">
        <v>0.1</v>
      </c>
      <c r="G180" s="80">
        <f t="shared" si="5"/>
        <v>20</v>
      </c>
      <c r="H180" s="80">
        <f>VLOOKUP(D180,'Bu Erta'!$C$2:$F$66,4,0)*F180</f>
        <v>30</v>
      </c>
    </row>
    <row r="181" spans="1:8" x14ac:dyDescent="0.35">
      <c r="B181" t="s">
        <v>140</v>
      </c>
      <c r="D181" t="s">
        <v>42</v>
      </c>
      <c r="E181" s="80">
        <f>VLOOKUP(D181,'Bu Erta'!$C$2:$E$66,3,0)</f>
        <v>1000</v>
      </c>
      <c r="F181">
        <v>0.15</v>
      </c>
      <c r="G181" s="80">
        <f t="shared" si="5"/>
        <v>150</v>
      </c>
      <c r="H181" s="80">
        <f>VLOOKUP(D181,'Bu Erta'!$C$2:$F$66,4,0)*F181</f>
        <v>180</v>
      </c>
    </row>
    <row r="182" spans="1:8" x14ac:dyDescent="0.35">
      <c r="B182" t="s">
        <v>140</v>
      </c>
      <c r="D182" t="s">
        <v>46</v>
      </c>
      <c r="E182" s="80">
        <f>VLOOKUP(D182,'Bu Erta'!$C$2:$E$66,3,0)</f>
        <v>1400</v>
      </c>
      <c r="F182">
        <v>17.649999999999999</v>
      </c>
      <c r="G182" s="80">
        <f t="shared" si="5"/>
        <v>24709.999999999996</v>
      </c>
      <c r="H182" s="80">
        <f>VLOOKUP(D182,'Bu Erta'!$C$2:$F$66,4,0)*F182</f>
        <v>26474.999999999996</v>
      </c>
    </row>
    <row r="183" spans="1:8" x14ac:dyDescent="0.35">
      <c r="B183" t="s">
        <v>140</v>
      </c>
      <c r="D183" t="s">
        <v>27</v>
      </c>
      <c r="E183" s="80">
        <f>VLOOKUP(D183,'Bu Erta'!$C$2:$E$66,3,0)</f>
        <v>2800</v>
      </c>
      <c r="F183">
        <v>0.35</v>
      </c>
      <c r="G183" s="80">
        <f t="shared" si="5"/>
        <v>979.99999999999989</v>
      </c>
      <c r="H183" s="80">
        <f>VLOOKUP(D183,'Bu Erta'!$C$2:$F$66,4,0)*F183</f>
        <v>1085</v>
      </c>
    </row>
    <row r="184" spans="1:8" x14ac:dyDescent="0.35">
      <c r="A184" s="5">
        <v>30</v>
      </c>
      <c r="B184" t="s">
        <v>116</v>
      </c>
      <c r="C184" s="5">
        <v>2</v>
      </c>
      <c r="D184" t="s">
        <v>25</v>
      </c>
      <c r="E184" s="80">
        <f>VLOOKUP(D184,'Bu Erta'!$C$2:$E$66,3,0)</f>
        <v>1600</v>
      </c>
      <c r="F184">
        <f>5*0.3</f>
        <v>1.5</v>
      </c>
      <c r="G184" s="80">
        <f t="shared" si="5"/>
        <v>2400</v>
      </c>
      <c r="H184" s="80">
        <f>VLOOKUP(D184,'Bu Erta'!$C$2:$F$66,4,0)*F184</f>
        <v>2550</v>
      </c>
    </row>
    <row r="185" spans="1:8" x14ac:dyDescent="0.35">
      <c r="B185" t="s">
        <v>116</v>
      </c>
      <c r="D185" t="s">
        <v>42</v>
      </c>
      <c r="E185" s="80">
        <f>VLOOKUP(D185,'Bu Erta'!$C$2:$E$66,3,0)</f>
        <v>1000</v>
      </c>
      <c r="F185">
        <v>0.9</v>
      </c>
      <c r="G185" s="80">
        <f t="shared" si="5"/>
        <v>900</v>
      </c>
      <c r="H185" s="80">
        <f>VLOOKUP(D185,'Bu Erta'!$C$2:$F$66,4,0)*F185</f>
        <v>1080</v>
      </c>
    </row>
    <row r="186" spans="1:8" x14ac:dyDescent="0.35">
      <c r="B186" t="s">
        <v>116</v>
      </c>
      <c r="D186" t="s">
        <v>19</v>
      </c>
      <c r="E186" s="80">
        <f>VLOOKUP(D186,'Bu Erta'!$C$2:$E$66,3,0)</f>
        <v>200</v>
      </c>
      <c r="F186">
        <v>0.1</v>
      </c>
      <c r="G186" s="80">
        <f t="shared" si="5"/>
        <v>20</v>
      </c>
      <c r="H186" s="80">
        <f>VLOOKUP(D186,'Bu Erta'!$C$2:$F$66,4,0)*F186</f>
        <v>30</v>
      </c>
    </row>
    <row r="187" spans="1:8" x14ac:dyDescent="0.35">
      <c r="B187" t="s">
        <v>116</v>
      </c>
      <c r="D187" t="s">
        <v>23</v>
      </c>
      <c r="E187" s="80">
        <f>VLOOKUP(D187,'Bu Erta'!$C$2:$E$66,3,0)</f>
        <v>300</v>
      </c>
      <c r="F187">
        <v>0.2</v>
      </c>
      <c r="G187" s="80">
        <f t="shared" si="5"/>
        <v>60</v>
      </c>
      <c r="H187" s="80">
        <f>VLOOKUP(D187,'Bu Erta'!$C$2:$F$66,4,0)*F187</f>
        <v>80</v>
      </c>
    </row>
    <row r="188" spans="1:8" x14ac:dyDescent="0.35">
      <c r="B188" t="s">
        <v>116</v>
      </c>
      <c r="D188" t="s">
        <v>31</v>
      </c>
      <c r="E188" s="80">
        <f>VLOOKUP(D188,'Bu Erta'!$C$2:$E$66,3,0)</f>
        <v>1000</v>
      </c>
      <c r="F188">
        <v>0.2</v>
      </c>
      <c r="G188" s="80">
        <f t="shared" si="5"/>
        <v>200</v>
      </c>
      <c r="H188" s="80">
        <f>VLOOKUP(D188,'Bu Erta'!$C$2:$F$66,4,0)*F188</f>
        <v>220</v>
      </c>
    </row>
    <row r="189" spans="1:8" x14ac:dyDescent="0.35">
      <c r="B189" t="s">
        <v>116</v>
      </c>
      <c r="D189" t="s">
        <v>41</v>
      </c>
      <c r="E189" s="80">
        <f>VLOOKUP(D189,'Bu Erta'!$C$2:$E$66,3,0)</f>
        <v>1500</v>
      </c>
      <c r="F189">
        <v>0.3</v>
      </c>
      <c r="G189" s="80">
        <f t="shared" si="5"/>
        <v>450</v>
      </c>
      <c r="H189" s="80">
        <f>VLOOKUP(D189,'Bu Erta'!$C$2:$F$66,4,0)*F189</f>
        <v>600</v>
      </c>
    </row>
    <row r="190" spans="1:8" x14ac:dyDescent="0.35">
      <c r="B190" t="s">
        <v>116</v>
      </c>
      <c r="D190" t="s">
        <v>24</v>
      </c>
      <c r="E190" s="80">
        <f>VLOOKUP(D190,'Bu Erta'!$C$2:$E$66,3,0)</f>
        <v>150</v>
      </c>
      <c r="F190">
        <v>0.3</v>
      </c>
      <c r="G190" s="80">
        <f t="shared" si="5"/>
        <v>45</v>
      </c>
      <c r="H190" s="80">
        <f>VLOOKUP(D190,'Bu Erta'!$C$2:$F$66,4,0)*F190</f>
        <v>60</v>
      </c>
    </row>
    <row r="191" spans="1:8" x14ac:dyDescent="0.35">
      <c r="B191" t="s">
        <v>116</v>
      </c>
      <c r="D191" t="s">
        <v>7</v>
      </c>
      <c r="E191" s="80">
        <f>VLOOKUP(D191,'Bu Erta'!$C$2:$E$66,3,0)</f>
        <v>1400</v>
      </c>
      <c r="F191">
        <v>0.35</v>
      </c>
      <c r="G191" s="80">
        <f t="shared" si="5"/>
        <v>489.99999999999994</v>
      </c>
      <c r="H191" s="80">
        <f>VLOOKUP(D191,'Bu Erta'!$C$2:$F$66,4,0)*F191</f>
        <v>560</v>
      </c>
    </row>
    <row r="192" spans="1:8" x14ac:dyDescent="0.35">
      <c r="B192" t="s">
        <v>116</v>
      </c>
      <c r="D192" t="s">
        <v>17</v>
      </c>
      <c r="E192" s="80">
        <f>VLOOKUP(D192,'Bu Erta'!$C$2:$E$66,3,0)</f>
        <v>8000</v>
      </c>
      <c r="F192">
        <v>0.1</v>
      </c>
      <c r="G192" s="80">
        <f t="shared" si="5"/>
        <v>800</v>
      </c>
      <c r="H192" s="80">
        <f>VLOOKUP(D192,'Bu Erta'!$C$2:$F$66,4,0)*F192</f>
        <v>850</v>
      </c>
    </row>
    <row r="193" spans="1:8" x14ac:dyDescent="0.35">
      <c r="A193" s="5">
        <v>31</v>
      </c>
      <c r="B193" t="s">
        <v>76</v>
      </c>
      <c r="C193" s="5">
        <v>3</v>
      </c>
      <c r="D193" t="s">
        <v>42</v>
      </c>
      <c r="E193" s="80">
        <f>VLOOKUP(D193,'Bu Erta'!$C$2:$E$66,3,0)</f>
        <v>1000</v>
      </c>
      <c r="F193">
        <v>2</v>
      </c>
      <c r="G193" s="80">
        <f t="shared" si="5"/>
        <v>2000</v>
      </c>
      <c r="H193" s="80">
        <f>VLOOKUP(D193,'Bu Erta'!$C$2:$F$66,4,0)*F193</f>
        <v>2400</v>
      </c>
    </row>
    <row r="194" spans="1:8" x14ac:dyDescent="0.35">
      <c r="B194" t="s">
        <v>76</v>
      </c>
      <c r="D194" t="s">
        <v>25</v>
      </c>
      <c r="E194" s="80">
        <f>VLOOKUP(D194,'Bu Erta'!$C$2:$E$66,3,0)</f>
        <v>1600</v>
      </c>
      <c r="F194">
        <v>0.3</v>
      </c>
      <c r="G194" s="80">
        <f t="shared" si="5"/>
        <v>480</v>
      </c>
      <c r="H194" s="80">
        <f>VLOOKUP(D194,'Bu Erta'!$C$2:$F$66,4,0)*F194</f>
        <v>510</v>
      </c>
    </row>
    <row r="195" spans="1:8" x14ac:dyDescent="0.35">
      <c r="B195" t="s">
        <v>76</v>
      </c>
      <c r="D195" t="s">
        <v>19</v>
      </c>
      <c r="E195" s="80">
        <f>VLOOKUP(D195,'Bu Erta'!$C$2:$E$66,3,0)</f>
        <v>200</v>
      </c>
      <c r="F195">
        <v>0.3</v>
      </c>
      <c r="G195" s="80">
        <f t="shared" si="5"/>
        <v>60</v>
      </c>
      <c r="H195" s="80">
        <f>VLOOKUP(D195,'Bu Erta'!$C$2:$F$66,4,0)*F195</f>
        <v>90</v>
      </c>
    </row>
    <row r="196" spans="1:8" x14ac:dyDescent="0.35">
      <c r="B196" t="s">
        <v>76</v>
      </c>
      <c r="D196" t="s">
        <v>34</v>
      </c>
      <c r="E196" s="80">
        <f>VLOOKUP(D196,'Bu Erta'!$C$2:$E$66,3,0)</f>
        <v>3500</v>
      </c>
      <c r="F196">
        <v>0.45</v>
      </c>
      <c r="G196" s="80">
        <f t="shared" ref="G196:G242" si="6">E196*F196</f>
        <v>1575</v>
      </c>
      <c r="H196" s="80">
        <f>VLOOKUP(D196,'Bu Erta'!$C$2:$F$66,4,0)*F196</f>
        <v>1620</v>
      </c>
    </row>
    <row r="197" spans="1:8" x14ac:dyDescent="0.35">
      <c r="B197" t="s">
        <v>76</v>
      </c>
      <c r="D197" t="s">
        <v>23</v>
      </c>
      <c r="E197" s="80">
        <f>VLOOKUP(D197,'Bu Erta'!$C$2:$E$66,3,0)</f>
        <v>300</v>
      </c>
      <c r="F197">
        <v>0.55000000000000004</v>
      </c>
      <c r="G197" s="80">
        <f t="shared" si="6"/>
        <v>165</v>
      </c>
      <c r="H197" s="80">
        <f>VLOOKUP(D197,'Bu Erta'!$C$2:$F$66,4,0)*F197</f>
        <v>220.00000000000003</v>
      </c>
    </row>
    <row r="198" spans="1:8" x14ac:dyDescent="0.35">
      <c r="B198" t="s">
        <v>76</v>
      </c>
      <c r="D198" t="s">
        <v>17</v>
      </c>
      <c r="E198" s="80">
        <f>VLOOKUP(D198,'Bu Erta'!$C$2:$E$66,3,0)</f>
        <v>8000</v>
      </c>
      <c r="F198">
        <v>0.45</v>
      </c>
      <c r="G198" s="80">
        <f t="shared" si="6"/>
        <v>3600</v>
      </c>
      <c r="H198" s="80">
        <f>VLOOKUP(D198,'Bu Erta'!$C$2:$F$66,4,0)*F198</f>
        <v>3825</v>
      </c>
    </row>
    <row r="199" spans="1:8" x14ac:dyDescent="0.35">
      <c r="B199" t="s">
        <v>76</v>
      </c>
      <c r="D199" t="s">
        <v>27</v>
      </c>
      <c r="E199" s="80">
        <f>VLOOKUP(D199,'Bu Erta'!$C$2:$E$66,3,0)</f>
        <v>2800</v>
      </c>
      <c r="F199">
        <f>0.35+0.35</f>
        <v>0.7</v>
      </c>
      <c r="G199" s="80">
        <f t="shared" si="6"/>
        <v>1959.9999999999998</v>
      </c>
      <c r="H199" s="80">
        <f>VLOOKUP(D199,'Bu Erta'!$C$2:$F$66,4,0)*F199</f>
        <v>2170</v>
      </c>
    </row>
    <row r="200" spans="1:8" x14ac:dyDescent="0.35">
      <c r="B200" t="s">
        <v>76</v>
      </c>
      <c r="D200" t="s">
        <v>7</v>
      </c>
      <c r="E200" s="80">
        <f>VLOOKUP(D200,'Bu Erta'!$C$2:$E$66,3,0)</f>
        <v>1400</v>
      </c>
      <c r="F200">
        <v>0.35</v>
      </c>
      <c r="G200" s="80">
        <f t="shared" si="6"/>
        <v>489.99999999999994</v>
      </c>
      <c r="H200" s="80">
        <f>VLOOKUP(D200,'Bu Erta'!$C$2:$F$66,4,0)*F200</f>
        <v>560</v>
      </c>
    </row>
    <row r="201" spans="1:8" x14ac:dyDescent="0.35">
      <c r="A201" s="5">
        <v>32</v>
      </c>
      <c r="B201" t="s">
        <v>193</v>
      </c>
      <c r="C201" s="5">
        <v>1</v>
      </c>
      <c r="D201" t="s">
        <v>31</v>
      </c>
      <c r="E201" s="80">
        <f>VLOOKUP(D201,'Bu Erta'!$C$2:$E$66,3,0)</f>
        <v>1000</v>
      </c>
      <c r="F201">
        <v>0.8</v>
      </c>
      <c r="G201" s="80">
        <f t="shared" si="6"/>
        <v>800</v>
      </c>
      <c r="H201" s="80">
        <f>VLOOKUP(D201,'Bu Erta'!$C$2:$F$66,4,0)*F201</f>
        <v>880</v>
      </c>
    </row>
    <row r="202" spans="1:8" x14ac:dyDescent="0.35">
      <c r="A202" s="5">
        <v>33</v>
      </c>
      <c r="B202" t="s">
        <v>89</v>
      </c>
      <c r="C202" s="5">
        <v>4</v>
      </c>
      <c r="D202" t="s">
        <v>7</v>
      </c>
      <c r="E202" s="80">
        <f>VLOOKUP(D202,'Bu Erta'!$C$2:$E$66,3,0)</f>
        <v>1400</v>
      </c>
      <c r="F202">
        <v>0.53</v>
      </c>
      <c r="G202" s="80">
        <f t="shared" si="6"/>
        <v>742</v>
      </c>
      <c r="H202" s="80">
        <f>VLOOKUP(D202,'Bu Erta'!$C$2:$F$66,4,0)*F202</f>
        <v>848</v>
      </c>
    </row>
    <row r="203" spans="1:8" x14ac:dyDescent="0.35">
      <c r="B203" t="s">
        <v>89</v>
      </c>
      <c r="D203" t="s">
        <v>19</v>
      </c>
      <c r="E203" s="80">
        <f>VLOOKUP(D203,'Bu Erta'!$C$2:$E$66,3,0)</f>
        <v>200</v>
      </c>
      <c r="F203">
        <v>0.8</v>
      </c>
      <c r="G203" s="80">
        <f t="shared" si="6"/>
        <v>160</v>
      </c>
      <c r="H203" s="80">
        <f>VLOOKUP(D203,'Bu Erta'!$C$2:$F$66,4,0)*F203</f>
        <v>240</v>
      </c>
    </row>
    <row r="204" spans="1:8" x14ac:dyDescent="0.35">
      <c r="B204" t="s">
        <v>89</v>
      </c>
      <c r="D204" t="s">
        <v>24</v>
      </c>
      <c r="E204" s="80">
        <f>VLOOKUP(D204,'Bu Erta'!$C$2:$E$66,3,0)</f>
        <v>150</v>
      </c>
      <c r="F204">
        <v>1</v>
      </c>
      <c r="G204" s="80">
        <f t="shared" si="6"/>
        <v>150</v>
      </c>
      <c r="H204" s="80">
        <f>VLOOKUP(D204,'Bu Erta'!$C$2:$F$66,4,0)*F204</f>
        <v>200</v>
      </c>
    </row>
    <row r="205" spans="1:8" x14ac:dyDescent="0.35">
      <c r="B205" t="s">
        <v>89</v>
      </c>
      <c r="D205" t="s">
        <v>41</v>
      </c>
      <c r="E205" s="80">
        <f>VLOOKUP(D205,'Bu Erta'!$C$2:$E$66,3,0)</f>
        <v>1500</v>
      </c>
      <c r="F205">
        <v>1.35</v>
      </c>
      <c r="G205" s="80">
        <f t="shared" si="6"/>
        <v>2025.0000000000002</v>
      </c>
      <c r="H205" s="80">
        <f>VLOOKUP(D205,'Bu Erta'!$C$2:$F$66,4,0)*F205</f>
        <v>2700</v>
      </c>
    </row>
    <row r="206" spans="1:8" x14ac:dyDescent="0.35">
      <c r="B206" t="s">
        <v>89</v>
      </c>
      <c r="D206" t="s">
        <v>31</v>
      </c>
      <c r="E206" s="80">
        <f>VLOOKUP(D206,'Bu Erta'!$C$2:$E$66,3,0)</f>
        <v>1000</v>
      </c>
      <c r="F206">
        <v>0.55000000000000004</v>
      </c>
      <c r="G206" s="80">
        <f t="shared" si="6"/>
        <v>550</v>
      </c>
      <c r="H206" s="80">
        <f>VLOOKUP(D206,'Bu Erta'!$C$2:$F$66,4,0)*F206</f>
        <v>605</v>
      </c>
    </row>
    <row r="207" spans="1:8" x14ac:dyDescent="0.35">
      <c r="B207" t="s">
        <v>89</v>
      </c>
      <c r="D207" t="s">
        <v>27</v>
      </c>
      <c r="E207" s="80">
        <f>VLOOKUP(D207,'Bu Erta'!$C$2:$E$66,3,0)</f>
        <v>2800</v>
      </c>
      <c r="F207">
        <v>0.9</v>
      </c>
      <c r="G207" s="80">
        <f t="shared" si="6"/>
        <v>2520</v>
      </c>
      <c r="H207" s="80">
        <f>VLOOKUP(D207,'Bu Erta'!$C$2:$F$66,4,0)*F207</f>
        <v>2790</v>
      </c>
    </row>
    <row r="208" spans="1:8" x14ac:dyDescent="0.35">
      <c r="A208" s="5">
        <v>34</v>
      </c>
      <c r="B208" t="s">
        <v>102</v>
      </c>
      <c r="C208" s="5">
        <v>4</v>
      </c>
      <c r="D208" t="s">
        <v>42</v>
      </c>
      <c r="E208" s="80">
        <f>VLOOKUP(D208,'Bu Erta'!$C$2:$E$66,3,0)</f>
        <v>1000</v>
      </c>
      <c r="F208">
        <v>7.7</v>
      </c>
      <c r="G208" s="80">
        <f t="shared" si="6"/>
        <v>7700</v>
      </c>
      <c r="H208" s="80">
        <f>VLOOKUP(D208,'Bu Erta'!$C$2:$F$66,4,0)*F208</f>
        <v>9240</v>
      </c>
    </row>
    <row r="209" spans="1:8" x14ac:dyDescent="0.35">
      <c r="B209" t="s">
        <v>102</v>
      </c>
      <c r="D209" t="s">
        <v>34</v>
      </c>
      <c r="E209" s="80">
        <f>VLOOKUP(D209,'Bu Erta'!$C$2:$E$66,3,0)</f>
        <v>3500</v>
      </c>
      <c r="F209">
        <v>0.2</v>
      </c>
      <c r="G209" s="80">
        <f t="shared" si="6"/>
        <v>700</v>
      </c>
      <c r="H209" s="80">
        <f>VLOOKUP(D209,'Bu Erta'!$C$2:$F$66,4,0)*F209</f>
        <v>720</v>
      </c>
    </row>
    <row r="210" spans="1:8" x14ac:dyDescent="0.35">
      <c r="B210" t="s">
        <v>102</v>
      </c>
      <c r="D210" t="s">
        <v>24</v>
      </c>
      <c r="E210" s="80">
        <f>VLOOKUP(D210,'Bu Erta'!$C$2:$E$66,3,0)</f>
        <v>150</v>
      </c>
      <c r="F210">
        <v>1</v>
      </c>
      <c r="G210" s="80">
        <f t="shared" si="6"/>
        <v>150</v>
      </c>
      <c r="H210" s="80">
        <f>VLOOKUP(D210,'Bu Erta'!$C$2:$F$66,4,0)*F210</f>
        <v>200</v>
      </c>
    </row>
    <row r="211" spans="1:8" x14ac:dyDescent="0.35">
      <c r="B211" t="s">
        <v>102</v>
      </c>
      <c r="D211" t="s">
        <v>36</v>
      </c>
      <c r="E211" s="80">
        <f>VLOOKUP(D211,'Bu Erta'!$C$2:$E$66,3,0)</f>
        <v>600</v>
      </c>
      <c r="F211">
        <v>0.5</v>
      </c>
      <c r="G211" s="80">
        <f t="shared" si="6"/>
        <v>300</v>
      </c>
      <c r="H211" s="80">
        <f>VLOOKUP(D211,'Bu Erta'!$C$2:$F$66,4,0)*F211</f>
        <v>325</v>
      </c>
    </row>
    <row r="212" spans="1:8" x14ac:dyDescent="0.35">
      <c r="B212" t="s">
        <v>102</v>
      </c>
      <c r="D212" t="s">
        <v>31</v>
      </c>
      <c r="E212" s="80">
        <f>VLOOKUP(D212,'Bu Erta'!$C$2:$E$66,3,0)</f>
        <v>1000</v>
      </c>
      <c r="F212">
        <v>0.25</v>
      </c>
      <c r="G212" s="80">
        <f t="shared" si="6"/>
        <v>250</v>
      </c>
      <c r="H212" s="80">
        <f>VLOOKUP(D212,'Bu Erta'!$C$2:$F$66,4,0)*F212</f>
        <v>275</v>
      </c>
    </row>
    <row r="213" spans="1:8" x14ac:dyDescent="0.35">
      <c r="A213" s="5">
        <v>35</v>
      </c>
      <c r="B213" t="s">
        <v>242</v>
      </c>
      <c r="C213" s="5">
        <v>3</v>
      </c>
      <c r="D213" t="s">
        <v>41</v>
      </c>
      <c r="E213" s="80">
        <f>VLOOKUP(D213,'Bu Erta'!$C$2:$E$66,3,0)</f>
        <v>1500</v>
      </c>
      <c r="F213">
        <v>0.55000000000000004</v>
      </c>
      <c r="G213" s="80">
        <f t="shared" si="6"/>
        <v>825.00000000000011</v>
      </c>
      <c r="H213" s="80">
        <f>VLOOKUP(D213,'Bu Erta'!$C$2:$F$66,4,0)*F213</f>
        <v>1100</v>
      </c>
    </row>
    <row r="214" spans="1:8" x14ac:dyDescent="0.35">
      <c r="B214" t="s">
        <v>242</v>
      </c>
      <c r="D214" t="s">
        <v>6</v>
      </c>
      <c r="E214" s="80">
        <f>VLOOKUP(D214,'Bu Erta'!$C$2:$E$66,3,0)</f>
        <v>2000</v>
      </c>
      <c r="F214">
        <v>0.2</v>
      </c>
      <c r="G214" s="80">
        <f t="shared" si="6"/>
        <v>400</v>
      </c>
      <c r="H214" s="80">
        <f>VLOOKUP(D214,'Bu Erta'!$C$2:$F$66,4,0)*F214</f>
        <v>500</v>
      </c>
    </row>
    <row r="215" spans="1:8" x14ac:dyDescent="0.35">
      <c r="B215" t="s">
        <v>242</v>
      </c>
      <c r="D215" t="s">
        <v>7</v>
      </c>
      <c r="E215" s="80">
        <f>VLOOKUP(D215,'Bu Erta'!$C$2:$E$66,3,0)</f>
        <v>1400</v>
      </c>
      <c r="F215">
        <v>1.05</v>
      </c>
      <c r="G215" s="80">
        <f t="shared" si="6"/>
        <v>1470</v>
      </c>
      <c r="H215" s="80">
        <f>VLOOKUP(D215,'Bu Erta'!$C$2:$F$66,4,0)*F215</f>
        <v>1680</v>
      </c>
    </row>
    <row r="216" spans="1:8" x14ac:dyDescent="0.35">
      <c r="B216" t="s">
        <v>242</v>
      </c>
      <c r="D216" t="s">
        <v>40</v>
      </c>
      <c r="E216" s="80">
        <f>VLOOKUP(D216,'Bu Erta'!$C$2:$E$66,3,0)</f>
        <v>1800</v>
      </c>
      <c r="F216">
        <v>1.35</v>
      </c>
      <c r="G216" s="80">
        <f t="shared" si="6"/>
        <v>2430</v>
      </c>
      <c r="H216" s="80">
        <f>VLOOKUP(D216,'Bu Erta'!$C$2:$F$66,4,0)*F216</f>
        <v>2700</v>
      </c>
    </row>
    <row r="217" spans="1:8" x14ac:dyDescent="0.35">
      <c r="B217" t="s">
        <v>242</v>
      </c>
      <c r="D217" t="s">
        <v>42</v>
      </c>
      <c r="E217" s="80">
        <f>VLOOKUP(D217,'Bu Erta'!$C$2:$E$66,3,0)</f>
        <v>1000</v>
      </c>
      <c r="F217">
        <v>0.95</v>
      </c>
      <c r="G217" s="80">
        <f t="shared" si="6"/>
        <v>950</v>
      </c>
      <c r="H217" s="80">
        <f>VLOOKUP(D217,'Bu Erta'!$C$2:$F$66,4,0)*F217</f>
        <v>1140</v>
      </c>
    </row>
    <row r="218" spans="1:8" x14ac:dyDescent="0.35">
      <c r="B218" t="s">
        <v>242</v>
      </c>
      <c r="D218" t="s">
        <v>23</v>
      </c>
      <c r="E218" s="80">
        <f>VLOOKUP(D218,'Bu Erta'!$C$2:$E$66,3,0)</f>
        <v>300</v>
      </c>
      <c r="F218">
        <v>0.35</v>
      </c>
      <c r="G218" s="80">
        <f t="shared" si="6"/>
        <v>105</v>
      </c>
      <c r="H218" s="80">
        <f>VLOOKUP(D218,'Bu Erta'!$C$2:$F$66,4,0)*F218</f>
        <v>140</v>
      </c>
    </row>
    <row r="219" spans="1:8" x14ac:dyDescent="0.35">
      <c r="A219" s="5">
        <v>36</v>
      </c>
      <c r="B219" t="s">
        <v>175</v>
      </c>
      <c r="C219" s="5">
        <v>2</v>
      </c>
      <c r="D219" t="s">
        <v>19</v>
      </c>
      <c r="E219" s="80">
        <f>VLOOKUP(D219,'Bu Erta'!$C$2:$E$66,3,0)</f>
        <v>200</v>
      </c>
      <c r="F219">
        <v>1</v>
      </c>
      <c r="G219" s="80">
        <f t="shared" si="6"/>
        <v>200</v>
      </c>
      <c r="H219" s="80">
        <f>VLOOKUP(D219,'Bu Erta'!$C$2:$F$66,4,0)*F219</f>
        <v>300</v>
      </c>
    </row>
    <row r="220" spans="1:8" x14ac:dyDescent="0.35">
      <c r="B220" t="s">
        <v>175</v>
      </c>
      <c r="D220" t="s">
        <v>23</v>
      </c>
      <c r="E220" s="80">
        <f>VLOOKUP(D220,'Bu Erta'!$C$2:$E$66,3,0)</f>
        <v>300</v>
      </c>
      <c r="F220">
        <v>0.15</v>
      </c>
      <c r="G220" s="80">
        <f t="shared" si="6"/>
        <v>45</v>
      </c>
      <c r="H220" s="80">
        <f>VLOOKUP(D220,'Bu Erta'!$C$2:$F$66,4,0)*F220</f>
        <v>60</v>
      </c>
    </row>
    <row r="221" spans="1:8" x14ac:dyDescent="0.35">
      <c r="B221" t="s">
        <v>175</v>
      </c>
      <c r="D221" t="s">
        <v>31</v>
      </c>
      <c r="E221" s="80">
        <f>VLOOKUP(D221,'Bu Erta'!$C$2:$E$66,3,0)</f>
        <v>1000</v>
      </c>
      <c r="F221">
        <f>0.5+0.95</f>
        <v>1.45</v>
      </c>
      <c r="G221" s="80">
        <f t="shared" si="6"/>
        <v>1450</v>
      </c>
      <c r="H221" s="80">
        <f>VLOOKUP(D221,'Bu Erta'!$C$2:$F$66,4,0)*F221</f>
        <v>1595</v>
      </c>
    </row>
    <row r="222" spans="1:8" x14ac:dyDescent="0.35">
      <c r="B222" t="s">
        <v>175</v>
      </c>
      <c r="D222" t="s">
        <v>44</v>
      </c>
      <c r="E222" s="80">
        <f>VLOOKUP(D222,'Bu Erta'!$C$2:$E$66,3,0)</f>
        <v>400</v>
      </c>
      <c r="F222">
        <v>1.25</v>
      </c>
      <c r="G222" s="80">
        <f t="shared" si="6"/>
        <v>500</v>
      </c>
      <c r="H222" s="80">
        <f>VLOOKUP(D222,'Bu Erta'!$C$2:$F$66,4,0)*F222</f>
        <v>625</v>
      </c>
    </row>
    <row r="223" spans="1:8" x14ac:dyDescent="0.35">
      <c r="B223" t="s">
        <v>175</v>
      </c>
      <c r="D223" t="s">
        <v>7</v>
      </c>
      <c r="E223" s="80">
        <f>VLOOKUP(D223,'Bu Erta'!$C$2:$E$66,3,0)</f>
        <v>1400</v>
      </c>
      <c r="F223">
        <f>2.25+3.95</f>
        <v>6.2</v>
      </c>
      <c r="G223" s="80">
        <f t="shared" si="6"/>
        <v>8680</v>
      </c>
      <c r="H223" s="80">
        <f>VLOOKUP(D223,'Bu Erta'!$C$2:$F$66,4,0)*F223</f>
        <v>9920</v>
      </c>
    </row>
    <row r="224" spans="1:8" x14ac:dyDescent="0.35">
      <c r="B224" t="s">
        <v>175</v>
      </c>
      <c r="D224" t="s">
        <v>24</v>
      </c>
      <c r="E224" s="80">
        <f>VLOOKUP(D224,'Bu Erta'!$C$2:$E$66,3,0)</f>
        <v>150</v>
      </c>
      <c r="F224">
        <v>7.2</v>
      </c>
      <c r="G224" s="80">
        <f t="shared" si="6"/>
        <v>1080</v>
      </c>
      <c r="H224" s="80">
        <f>VLOOKUP(D224,'Bu Erta'!$C$2:$F$66,4,0)*F224</f>
        <v>1440</v>
      </c>
    </row>
    <row r="225" spans="1:8" x14ac:dyDescent="0.35">
      <c r="A225" s="5">
        <v>37</v>
      </c>
      <c r="B225" t="s">
        <v>109</v>
      </c>
      <c r="C225" s="5">
        <v>4</v>
      </c>
      <c r="D225" t="s">
        <v>27</v>
      </c>
      <c r="E225" s="80">
        <f>VLOOKUP(D225,'Bu Erta'!$C$2:$E$66,3,0)</f>
        <v>2800</v>
      </c>
      <c r="F225">
        <v>0.65</v>
      </c>
      <c r="G225" s="80">
        <f t="shared" si="6"/>
        <v>1820</v>
      </c>
      <c r="H225" s="80">
        <f>VLOOKUP(D225,'Bu Erta'!$C$2:$F$66,4,0)*F225</f>
        <v>2015</v>
      </c>
    </row>
    <row r="226" spans="1:8" x14ac:dyDescent="0.35">
      <c r="B226" t="s">
        <v>109</v>
      </c>
      <c r="D226" t="s">
        <v>23</v>
      </c>
      <c r="E226" s="80">
        <f>VLOOKUP(D226,'Bu Erta'!$C$2:$E$66,3,0)</f>
        <v>300</v>
      </c>
      <c r="F226">
        <f>0.3+1.35</f>
        <v>1.6500000000000001</v>
      </c>
      <c r="G226" s="80">
        <f t="shared" si="6"/>
        <v>495.00000000000006</v>
      </c>
      <c r="H226" s="80">
        <f>VLOOKUP(D226,'Bu Erta'!$C$2:$F$66,4,0)*F226</f>
        <v>660</v>
      </c>
    </row>
    <row r="227" spans="1:8" x14ac:dyDescent="0.35">
      <c r="B227" t="s">
        <v>109</v>
      </c>
      <c r="D227" t="s">
        <v>6</v>
      </c>
      <c r="E227" s="80">
        <f>VLOOKUP(D227,'Bu Erta'!$C$2:$E$66,3,0)</f>
        <v>2000</v>
      </c>
      <c r="F227">
        <v>0.1</v>
      </c>
      <c r="G227" s="80">
        <f t="shared" si="6"/>
        <v>200</v>
      </c>
      <c r="H227" s="80">
        <f>VLOOKUP(D227,'Bu Erta'!$C$2:$F$66,4,0)*F227</f>
        <v>250</v>
      </c>
    </row>
    <row r="228" spans="1:8" x14ac:dyDescent="0.35">
      <c r="B228" t="s">
        <v>109</v>
      </c>
      <c r="D228" t="s">
        <v>41</v>
      </c>
      <c r="E228" s="80">
        <f>VLOOKUP(D228,'Bu Erta'!$C$2:$E$66,3,0)</f>
        <v>1500</v>
      </c>
      <c r="F228">
        <v>0.4</v>
      </c>
      <c r="G228" s="80">
        <f t="shared" si="6"/>
        <v>600</v>
      </c>
      <c r="H228" s="80">
        <f>VLOOKUP(D228,'Bu Erta'!$C$2:$F$66,4,0)*F228</f>
        <v>800</v>
      </c>
    </row>
    <row r="229" spans="1:8" x14ac:dyDescent="0.35">
      <c r="B229" t="s">
        <v>109</v>
      </c>
      <c r="D229" t="s">
        <v>7</v>
      </c>
      <c r="E229" s="80">
        <f>VLOOKUP(D229,'Bu Erta'!$C$2:$E$66,3,0)</f>
        <v>1400</v>
      </c>
      <c r="F229">
        <v>0.4</v>
      </c>
      <c r="G229" s="80">
        <f t="shared" si="6"/>
        <v>560</v>
      </c>
      <c r="H229" s="80">
        <f>VLOOKUP(D229,'Bu Erta'!$C$2:$F$66,4,0)*F229</f>
        <v>640</v>
      </c>
    </row>
    <row r="230" spans="1:8" x14ac:dyDescent="0.35">
      <c r="B230" t="s">
        <v>109</v>
      </c>
      <c r="D230" t="s">
        <v>25</v>
      </c>
      <c r="E230" s="80">
        <f>VLOOKUP(D230,'Bu Erta'!$C$2:$E$66,3,0)</f>
        <v>1600</v>
      </c>
      <c r="F230">
        <v>0.16</v>
      </c>
      <c r="G230" s="80">
        <f t="shared" si="6"/>
        <v>256</v>
      </c>
      <c r="H230" s="80">
        <f>VLOOKUP(D230,'Bu Erta'!$C$2:$F$66,4,0)*F230</f>
        <v>272</v>
      </c>
    </row>
    <row r="231" spans="1:8" x14ac:dyDescent="0.35">
      <c r="B231" t="s">
        <v>109</v>
      </c>
      <c r="D231" t="s">
        <v>19</v>
      </c>
      <c r="E231" s="80">
        <f>VLOOKUP(D231,'Bu Erta'!$C$2:$E$66,3,0)</f>
        <v>200</v>
      </c>
      <c r="F231">
        <v>0.5</v>
      </c>
      <c r="G231" s="80">
        <f t="shared" si="6"/>
        <v>100</v>
      </c>
      <c r="H231" s="80">
        <f>VLOOKUP(D231,'Bu Erta'!$C$2:$F$66,4,0)*F231</f>
        <v>150</v>
      </c>
    </row>
    <row r="232" spans="1:8" x14ac:dyDescent="0.35">
      <c r="B232" t="s">
        <v>109</v>
      </c>
      <c r="D232" t="s">
        <v>69</v>
      </c>
      <c r="E232" s="80">
        <f>VLOOKUP(D232,'Bu Erta'!$C$2:$E$66,3,0)</f>
        <v>2500</v>
      </c>
      <c r="F232">
        <v>0.2</v>
      </c>
      <c r="G232" s="80">
        <f t="shared" si="6"/>
        <v>500</v>
      </c>
      <c r="H232" s="80">
        <f>VLOOKUP(D232,'Bu Erta'!$C$2:$F$66,4,0)*F232</f>
        <v>600</v>
      </c>
    </row>
    <row r="233" spans="1:8" x14ac:dyDescent="0.35">
      <c r="B233" t="s">
        <v>109</v>
      </c>
      <c r="D233" t="s">
        <v>42</v>
      </c>
      <c r="E233" s="80">
        <f>VLOOKUP(D233,'Bu Erta'!$C$2:$E$66,3,0)</f>
        <v>1000</v>
      </c>
      <c r="F233">
        <v>0.6</v>
      </c>
      <c r="G233" s="80">
        <f t="shared" si="6"/>
        <v>600</v>
      </c>
      <c r="H233" s="80">
        <f>VLOOKUP(D233,'Bu Erta'!$C$2:$F$66,4,0)*F233</f>
        <v>720</v>
      </c>
    </row>
    <row r="234" spans="1:8" x14ac:dyDescent="0.35">
      <c r="B234" t="s">
        <v>109</v>
      </c>
      <c r="D234" t="s">
        <v>31</v>
      </c>
      <c r="E234" s="80">
        <f>VLOOKUP(D234,'Bu Erta'!$C$2:$E$66,3,0)</f>
        <v>1000</v>
      </c>
      <c r="F234">
        <v>0.6</v>
      </c>
      <c r="G234" s="80">
        <f t="shared" si="6"/>
        <v>600</v>
      </c>
      <c r="H234" s="80">
        <f>VLOOKUP(D234,'Bu Erta'!$C$2:$F$66,4,0)*F234</f>
        <v>660</v>
      </c>
    </row>
    <row r="235" spans="1:8" x14ac:dyDescent="0.35">
      <c r="A235" s="5">
        <v>38</v>
      </c>
      <c r="B235" t="s">
        <v>95</v>
      </c>
      <c r="C235" s="5">
        <v>5</v>
      </c>
      <c r="D235" t="s">
        <v>24</v>
      </c>
      <c r="E235" s="80">
        <f>VLOOKUP(D235,'Bu Erta'!$C$2:$E$66,3,0)</f>
        <v>150</v>
      </c>
      <c r="F235">
        <v>2.6</v>
      </c>
      <c r="G235" s="80">
        <f t="shared" si="6"/>
        <v>390</v>
      </c>
      <c r="H235" s="80">
        <f>VLOOKUP(D235,'Bu Erta'!$C$2:$F$66,4,0)*F235</f>
        <v>520</v>
      </c>
    </row>
    <row r="236" spans="1:8" x14ac:dyDescent="0.35">
      <c r="B236" t="s">
        <v>95</v>
      </c>
      <c r="D236" t="s">
        <v>41</v>
      </c>
      <c r="E236" s="80">
        <f>VLOOKUP(D236,'Bu Erta'!$C$2:$E$66,3,0)</f>
        <v>1500</v>
      </c>
      <c r="F236">
        <v>1</v>
      </c>
      <c r="G236" s="80">
        <f t="shared" si="6"/>
        <v>1500</v>
      </c>
      <c r="H236" s="80">
        <f>VLOOKUP(D236,'Bu Erta'!$C$2:$F$66,4,0)*F236</f>
        <v>2000</v>
      </c>
    </row>
    <row r="237" spans="1:8" x14ac:dyDescent="0.35">
      <c r="B237" t="s">
        <v>95</v>
      </c>
      <c r="D237" t="s">
        <v>31</v>
      </c>
      <c r="E237" s="80">
        <f>VLOOKUP(D237,'Bu Erta'!$C$2:$E$66,3,0)</f>
        <v>1000</v>
      </c>
      <c r="F237">
        <v>0.9</v>
      </c>
      <c r="G237" s="80">
        <f t="shared" si="6"/>
        <v>900</v>
      </c>
      <c r="H237" s="80">
        <f>VLOOKUP(D237,'Bu Erta'!$C$2:$F$66,4,0)*F237</f>
        <v>990</v>
      </c>
    </row>
    <row r="238" spans="1:8" x14ac:dyDescent="0.35">
      <c r="B238" t="s">
        <v>95</v>
      </c>
      <c r="D238" t="s">
        <v>42</v>
      </c>
      <c r="E238" s="80">
        <f>VLOOKUP(D238,'Bu Erta'!$C$2:$E$66,3,0)</f>
        <v>1000</v>
      </c>
      <c r="F238">
        <v>1.5</v>
      </c>
      <c r="G238" s="80">
        <f t="shared" si="6"/>
        <v>1500</v>
      </c>
      <c r="H238" s="80">
        <f>VLOOKUP(D238,'Bu Erta'!$C$2:$F$66,4,0)*F238</f>
        <v>1800</v>
      </c>
    </row>
    <row r="239" spans="1:8" x14ac:dyDescent="0.35">
      <c r="A239" s="5">
        <v>39</v>
      </c>
      <c r="B239" t="s">
        <v>94</v>
      </c>
      <c r="C239" s="5">
        <v>4</v>
      </c>
      <c r="D239" t="s">
        <v>6</v>
      </c>
      <c r="E239" s="80">
        <f>VLOOKUP(D239,'Bu Erta'!$C$2:$E$66,3,0)</f>
        <v>2000</v>
      </c>
      <c r="F239">
        <v>0.15</v>
      </c>
      <c r="G239" s="80">
        <f t="shared" si="6"/>
        <v>300</v>
      </c>
      <c r="H239" s="80">
        <f>VLOOKUP(D239,'Bu Erta'!$C$2:$F$66,4,0)*F239</f>
        <v>375</v>
      </c>
    </row>
    <row r="240" spans="1:8" x14ac:dyDescent="0.35">
      <c r="B240" t="s">
        <v>94</v>
      </c>
      <c r="D240" t="s">
        <v>19</v>
      </c>
      <c r="E240" s="80">
        <f>VLOOKUP(D240,'Bu Erta'!$C$2:$E$66,3,0)</f>
        <v>200</v>
      </c>
      <c r="F240">
        <v>0.3</v>
      </c>
      <c r="G240" s="80">
        <f t="shared" si="6"/>
        <v>60</v>
      </c>
      <c r="H240" s="80">
        <f>VLOOKUP(D240,'Bu Erta'!$C$2:$F$66,4,0)*F240</f>
        <v>90</v>
      </c>
    </row>
    <row r="241" spans="1:8" x14ac:dyDescent="0.35">
      <c r="B241" t="s">
        <v>94</v>
      </c>
      <c r="D241" t="s">
        <v>23</v>
      </c>
      <c r="E241" s="80">
        <f>VLOOKUP(D241,'Bu Erta'!$C$2:$E$66,3,0)</f>
        <v>300</v>
      </c>
      <c r="F241">
        <v>0.16</v>
      </c>
      <c r="G241" s="80">
        <f t="shared" si="6"/>
        <v>48</v>
      </c>
      <c r="H241" s="80">
        <f>VLOOKUP(D241,'Bu Erta'!$C$2:$F$66,4,0)*F241</f>
        <v>64</v>
      </c>
    </row>
    <row r="242" spans="1:8" x14ac:dyDescent="0.35">
      <c r="B242" t="s">
        <v>94</v>
      </c>
      <c r="D242" t="s">
        <v>31</v>
      </c>
      <c r="E242" s="80">
        <f>VLOOKUP(D242,'Bu Erta'!$C$2:$E$66,3,0)</f>
        <v>1000</v>
      </c>
      <c r="F242">
        <v>0.6</v>
      </c>
      <c r="G242" s="80">
        <f t="shared" si="6"/>
        <v>600</v>
      </c>
      <c r="H242" s="80">
        <f>VLOOKUP(D242,'Bu Erta'!$C$2:$F$66,4,0)*F242</f>
        <v>660</v>
      </c>
    </row>
    <row r="243" spans="1:8" x14ac:dyDescent="0.35">
      <c r="B243" t="s">
        <v>94</v>
      </c>
      <c r="D243" t="s">
        <v>27</v>
      </c>
      <c r="E243" s="80">
        <f>VLOOKUP(D243,'Bu Erta'!$C$2:$E$66,3,0)</f>
        <v>2800</v>
      </c>
      <c r="F243">
        <v>0.25</v>
      </c>
      <c r="G243" s="80">
        <f t="shared" ref="G243:G265" si="7">E243*F243</f>
        <v>700</v>
      </c>
      <c r="H243" s="80">
        <f>VLOOKUP(D243,'Bu Erta'!$C$2:$F$66,4,0)*F243</f>
        <v>775</v>
      </c>
    </row>
    <row r="244" spans="1:8" x14ac:dyDescent="0.35">
      <c r="B244" t="s">
        <v>94</v>
      </c>
      <c r="D244" t="s">
        <v>42</v>
      </c>
      <c r="E244" s="80">
        <f>VLOOKUP(D244,'Bu Erta'!$C$2:$E$66,3,0)</f>
        <v>1000</v>
      </c>
      <c r="F244">
        <v>1.95</v>
      </c>
      <c r="G244" s="80">
        <f t="shared" si="7"/>
        <v>1950</v>
      </c>
      <c r="H244" s="80">
        <f>VLOOKUP(D244,'Bu Erta'!$C$2:$F$66,4,0)*F244</f>
        <v>2340</v>
      </c>
    </row>
    <row r="245" spans="1:8" x14ac:dyDescent="0.35">
      <c r="A245" s="5">
        <v>40</v>
      </c>
      <c r="B245" t="s">
        <v>84</v>
      </c>
      <c r="C245" s="5">
        <v>4</v>
      </c>
      <c r="D245" t="s">
        <v>23</v>
      </c>
      <c r="E245" s="80">
        <f>VLOOKUP(D245,'Bu Erta'!$C$2:$E$66,3,0)</f>
        <v>300</v>
      </c>
      <c r="F245">
        <f>1.5+0.2</f>
        <v>1.7</v>
      </c>
      <c r="G245" s="80">
        <f t="shared" si="7"/>
        <v>510</v>
      </c>
      <c r="H245" s="80">
        <f>VLOOKUP(D245,'Bu Erta'!$C$2:$F$66,4,0)*F245</f>
        <v>680</v>
      </c>
    </row>
    <row r="246" spans="1:8" x14ac:dyDescent="0.35">
      <c r="B246" t="s">
        <v>84</v>
      </c>
      <c r="D246" t="s">
        <v>42</v>
      </c>
      <c r="E246" s="80">
        <f>VLOOKUP(D246,'Bu Erta'!$C$2:$E$66,3,0)</f>
        <v>1000</v>
      </c>
      <c r="F246">
        <v>0.65</v>
      </c>
      <c r="G246" s="80">
        <f t="shared" si="7"/>
        <v>650</v>
      </c>
      <c r="H246" s="80">
        <f>VLOOKUP(D246,'Bu Erta'!$C$2:$F$66,4,0)*F246</f>
        <v>780</v>
      </c>
    </row>
    <row r="247" spans="1:8" x14ac:dyDescent="0.35">
      <c r="B247" t="s">
        <v>84</v>
      </c>
      <c r="D247" t="s">
        <v>24</v>
      </c>
      <c r="E247" s="80">
        <f>VLOOKUP(D247,'Bu Erta'!$C$2:$E$66,3,0)</f>
        <v>150</v>
      </c>
      <c r="F247">
        <v>0.75</v>
      </c>
      <c r="G247" s="80">
        <f t="shared" si="7"/>
        <v>112.5</v>
      </c>
      <c r="H247" s="80">
        <f>VLOOKUP(D247,'Bu Erta'!$C$2:$F$66,4,0)*F247</f>
        <v>150</v>
      </c>
    </row>
    <row r="248" spans="1:8" x14ac:dyDescent="0.35">
      <c r="B248" t="s">
        <v>84</v>
      </c>
      <c r="D248" t="s">
        <v>7</v>
      </c>
      <c r="E248" s="80">
        <f>VLOOKUP(D248,'Bu Erta'!$C$2:$E$66,3,0)</f>
        <v>1400</v>
      </c>
      <c r="F248">
        <v>1.45</v>
      </c>
      <c r="G248" s="80">
        <f t="shared" si="7"/>
        <v>2030</v>
      </c>
      <c r="H248" s="80">
        <f>VLOOKUP(D248,'Bu Erta'!$C$2:$F$66,4,0)*F248</f>
        <v>2320</v>
      </c>
    </row>
    <row r="249" spans="1:8" x14ac:dyDescent="0.35">
      <c r="B249" t="s">
        <v>84</v>
      </c>
      <c r="D249" t="s">
        <v>19</v>
      </c>
      <c r="E249" s="80">
        <f>VLOOKUP(D249,'Bu Erta'!$C$2:$E$66,3,0)</f>
        <v>200</v>
      </c>
      <c r="F249">
        <v>0.95</v>
      </c>
      <c r="G249" s="80">
        <f t="shared" si="7"/>
        <v>190</v>
      </c>
      <c r="H249" s="80">
        <f>VLOOKUP(D249,'Bu Erta'!$C$2:$F$66,4,0)*F249</f>
        <v>285</v>
      </c>
    </row>
    <row r="250" spans="1:8" x14ac:dyDescent="0.35">
      <c r="B250" t="s">
        <v>84</v>
      </c>
      <c r="D250" t="s">
        <v>27</v>
      </c>
      <c r="E250" s="80">
        <f>VLOOKUP(D250,'Bu Erta'!$C$2:$E$66,3,0)</f>
        <v>2800</v>
      </c>
      <c r="F250">
        <v>0.8</v>
      </c>
      <c r="G250" s="80">
        <f t="shared" si="7"/>
        <v>2240</v>
      </c>
      <c r="H250" s="80">
        <f>VLOOKUP(D250,'Bu Erta'!$C$2:$F$66,4,0)*F250</f>
        <v>2480</v>
      </c>
    </row>
    <row r="251" spans="1:8" x14ac:dyDescent="0.35">
      <c r="B251" t="s">
        <v>84</v>
      </c>
      <c r="D251" t="s">
        <v>31</v>
      </c>
      <c r="E251" s="80">
        <f>VLOOKUP(D251,'Bu Erta'!$C$2:$E$66,3,0)</f>
        <v>1000</v>
      </c>
      <c r="F251">
        <f>0.75+1.85</f>
        <v>2.6</v>
      </c>
      <c r="G251" s="80">
        <f t="shared" si="7"/>
        <v>2600</v>
      </c>
      <c r="H251" s="80">
        <f>VLOOKUP(D251,'Bu Erta'!$C$2:$F$66,4,0)*F251</f>
        <v>2860</v>
      </c>
    </row>
    <row r="252" spans="1:8" x14ac:dyDescent="0.35">
      <c r="A252" s="5">
        <v>41</v>
      </c>
      <c r="B252" t="s">
        <v>245</v>
      </c>
      <c r="C252" s="1">
        <v>4</v>
      </c>
      <c r="D252" t="s">
        <v>22</v>
      </c>
      <c r="E252" s="80">
        <f>VLOOKUP(D252,'Bu Erta'!$C$2:$E$66,3,0)</f>
        <v>2500</v>
      </c>
      <c r="F252">
        <v>1.3</v>
      </c>
      <c r="G252" s="80">
        <f t="shared" si="7"/>
        <v>3250</v>
      </c>
      <c r="H252" s="80">
        <f>VLOOKUP(D252,'Bu Erta'!$C$2:$F$66,4,0)*F252</f>
        <v>3900</v>
      </c>
    </row>
    <row r="253" spans="1:8" x14ac:dyDescent="0.35">
      <c r="B253" t="s">
        <v>245</v>
      </c>
      <c r="D253" t="s">
        <v>42</v>
      </c>
      <c r="E253" s="80">
        <f>VLOOKUP(D253,'Bu Erta'!$C$2:$E$66,3,0)</f>
        <v>1000</v>
      </c>
      <c r="F253">
        <f>0.4+0.1+0.6</f>
        <v>1.1000000000000001</v>
      </c>
      <c r="G253" s="80">
        <f t="shared" si="7"/>
        <v>1100</v>
      </c>
      <c r="H253" s="80">
        <f>VLOOKUP(D253,'Bu Erta'!$C$2:$F$66,4,0)*F253</f>
        <v>1320</v>
      </c>
    </row>
    <row r="254" spans="1:8" x14ac:dyDescent="0.35">
      <c r="B254" t="s">
        <v>245</v>
      </c>
      <c r="D254" t="s">
        <v>23</v>
      </c>
      <c r="E254" s="80">
        <f>VLOOKUP(D254,'Bu Erta'!$C$2:$E$66,3,0)</f>
        <v>300</v>
      </c>
      <c r="F254">
        <v>0.35</v>
      </c>
      <c r="G254" s="80">
        <f t="shared" si="7"/>
        <v>105</v>
      </c>
      <c r="H254" s="80">
        <f>VLOOKUP(D254,'Bu Erta'!$C$2:$F$66,4,0)*F254</f>
        <v>140</v>
      </c>
    </row>
    <row r="255" spans="1:8" x14ac:dyDescent="0.35">
      <c r="B255" t="s">
        <v>245</v>
      </c>
      <c r="D255" t="s">
        <v>19</v>
      </c>
      <c r="E255" s="80">
        <f>VLOOKUP(D255,'Bu Erta'!$C$2:$E$66,3,0)</f>
        <v>200</v>
      </c>
      <c r="F255">
        <v>0.55000000000000004</v>
      </c>
      <c r="G255" s="80">
        <f t="shared" si="7"/>
        <v>110.00000000000001</v>
      </c>
      <c r="H255" s="80">
        <f>VLOOKUP(D255,'Bu Erta'!$C$2:$F$66,4,0)*F255</f>
        <v>165</v>
      </c>
    </row>
    <row r="256" spans="1:8" x14ac:dyDescent="0.35">
      <c r="B256" t="s">
        <v>245</v>
      </c>
      <c r="D256" t="s">
        <v>7</v>
      </c>
      <c r="E256" s="80">
        <f>VLOOKUP(D256,'Bu Erta'!$C$2:$E$66,3,0)</f>
        <v>1400</v>
      </c>
      <c r="F256">
        <f>0.5+0.1</f>
        <v>0.6</v>
      </c>
      <c r="G256" s="80">
        <f t="shared" si="7"/>
        <v>840</v>
      </c>
      <c r="H256" s="80">
        <f>VLOOKUP(D256,'Bu Erta'!$C$2:$F$66,4,0)*F256</f>
        <v>960</v>
      </c>
    </row>
    <row r="257" spans="1:8" x14ac:dyDescent="0.35">
      <c r="B257" t="s">
        <v>245</v>
      </c>
      <c r="D257" t="s">
        <v>27</v>
      </c>
      <c r="E257" s="80">
        <f>VLOOKUP(D257,'Bu Erta'!$C$2:$E$66,3,0)</f>
        <v>2800</v>
      </c>
      <c r="F257">
        <v>0.15</v>
      </c>
      <c r="G257" s="80">
        <f t="shared" si="7"/>
        <v>420</v>
      </c>
      <c r="H257" s="80">
        <f>VLOOKUP(D257,'Bu Erta'!$C$2:$F$66,4,0)*F257</f>
        <v>465</v>
      </c>
    </row>
    <row r="258" spans="1:8" x14ac:dyDescent="0.35">
      <c r="B258" t="s">
        <v>245</v>
      </c>
      <c r="D258" t="s">
        <v>28</v>
      </c>
      <c r="E258" s="80">
        <f>VLOOKUP(D258,'Bu Erta'!$C$2:$E$66,3,0)</f>
        <v>1200</v>
      </c>
      <c r="F258">
        <v>6.8</v>
      </c>
      <c r="G258" s="80">
        <f t="shared" si="7"/>
        <v>8160</v>
      </c>
      <c r="H258" s="80">
        <f>VLOOKUP(D258,'Bu Erta'!$C$2:$F$66,4,0)*F258</f>
        <v>8840</v>
      </c>
    </row>
    <row r="259" spans="1:8" x14ac:dyDescent="0.35">
      <c r="A259" s="5">
        <v>42</v>
      </c>
      <c r="B259" t="s">
        <v>200</v>
      </c>
      <c r="C259" s="5" t="s">
        <v>201</v>
      </c>
      <c r="D259" t="s">
        <v>7</v>
      </c>
      <c r="E259" s="80">
        <f>VLOOKUP(D259,'Bu Erta'!$C$2:$E$66,3,0)</f>
        <v>1400</v>
      </c>
      <c r="F259">
        <v>3.7</v>
      </c>
      <c r="G259" s="80">
        <f t="shared" si="7"/>
        <v>5180</v>
      </c>
      <c r="H259" s="80">
        <f>VLOOKUP(D259,'Bu Erta'!$C$2:$F$66,4,0)*F259</f>
        <v>5920</v>
      </c>
    </row>
    <row r="260" spans="1:8" x14ac:dyDescent="0.35">
      <c r="A260" s="5">
        <v>43</v>
      </c>
      <c r="B260" t="s">
        <v>110</v>
      </c>
      <c r="C260" s="5">
        <v>5</v>
      </c>
      <c r="D260" t="s">
        <v>7</v>
      </c>
      <c r="E260" s="80">
        <f>VLOOKUP(D260,'Bu Erta'!$C$2:$E$66,3,0)</f>
        <v>1400</v>
      </c>
      <c r="F260">
        <v>1.95</v>
      </c>
      <c r="G260" s="80">
        <f t="shared" ref="G260:G263" si="8">E260*F260</f>
        <v>2730</v>
      </c>
      <c r="H260" s="80">
        <f>VLOOKUP(D260,'Bu Erta'!$C$2:$F$66,4,0)*F260</f>
        <v>3120</v>
      </c>
    </row>
    <row r="261" spans="1:8" x14ac:dyDescent="0.35">
      <c r="B261" t="s">
        <v>110</v>
      </c>
      <c r="C261" s="5"/>
      <c r="D261" t="s">
        <v>27</v>
      </c>
      <c r="E261" s="80">
        <f>VLOOKUP(D261,'Bu Erta'!$C$2:$E$66,3,0)</f>
        <v>2800</v>
      </c>
      <c r="F261">
        <v>0.4</v>
      </c>
      <c r="G261" s="80">
        <f t="shared" si="8"/>
        <v>1120</v>
      </c>
      <c r="H261" s="80">
        <f>VLOOKUP(D261,'Bu Erta'!$C$2:$F$66,4,0)*F261</f>
        <v>1240</v>
      </c>
    </row>
    <row r="262" spans="1:8" x14ac:dyDescent="0.35">
      <c r="B262" t="s">
        <v>110</v>
      </c>
      <c r="C262" s="5"/>
      <c r="D262" t="s">
        <v>19</v>
      </c>
      <c r="E262" s="80">
        <f>VLOOKUP(D262,'Bu Erta'!$C$2:$E$66,3,0)</f>
        <v>200</v>
      </c>
      <c r="F262">
        <v>5.75</v>
      </c>
      <c r="G262" s="80">
        <f t="shared" si="8"/>
        <v>1150</v>
      </c>
      <c r="H262" s="80">
        <f>VLOOKUP(D262,'Bu Erta'!$C$2:$F$66,4,0)*F262</f>
        <v>1725</v>
      </c>
    </row>
    <row r="263" spans="1:8" x14ac:dyDescent="0.35">
      <c r="A263" s="5">
        <v>43</v>
      </c>
      <c r="B263" t="s">
        <v>188</v>
      </c>
      <c r="C263" s="5">
        <v>7</v>
      </c>
      <c r="D263" t="s">
        <v>31</v>
      </c>
      <c r="E263" s="80">
        <f>VLOOKUP(D263,'Bu Erta'!$C$2:$E$66,3,0)</f>
        <v>1000</v>
      </c>
      <c r="F263">
        <v>1.1499999999999999</v>
      </c>
      <c r="G263" s="80">
        <f t="shared" si="8"/>
        <v>1150</v>
      </c>
      <c r="H263" s="80">
        <f>VLOOKUP(D263,'Bu Erta'!$C$2:$F$66,4,0)*F263</f>
        <v>1265</v>
      </c>
    </row>
    <row r="264" spans="1:8" x14ac:dyDescent="0.35">
      <c r="B264" t="s">
        <v>188</v>
      </c>
      <c r="D264" t="s">
        <v>6</v>
      </c>
      <c r="E264" s="80">
        <f>VLOOKUP(D264,'Bu Erta'!$C$2:$E$66,3,0)</f>
        <v>2000</v>
      </c>
      <c r="F264">
        <v>0.45</v>
      </c>
      <c r="G264" s="80">
        <f t="shared" si="7"/>
        <v>900</v>
      </c>
      <c r="H264" s="80">
        <f>VLOOKUP(D264,'Bu Erta'!$C$2:$F$66,4,0)*F264</f>
        <v>1125</v>
      </c>
    </row>
    <row r="265" spans="1:8" x14ac:dyDescent="0.35">
      <c r="B265" t="s">
        <v>188</v>
      </c>
      <c r="D265" t="s">
        <v>19</v>
      </c>
      <c r="E265" s="80">
        <f>VLOOKUP(D265,'Bu Erta'!$C$2:$E$66,3,0)</f>
        <v>200</v>
      </c>
      <c r="F265">
        <f>1.5+0.75</f>
        <v>2.25</v>
      </c>
      <c r="G265" s="80">
        <f t="shared" si="7"/>
        <v>450</v>
      </c>
      <c r="H265" s="80">
        <f>VLOOKUP(D265,'Bu Erta'!$C$2:$F$66,4,0)*F265</f>
        <v>675</v>
      </c>
    </row>
    <row r="266" spans="1:8" x14ac:dyDescent="0.35">
      <c r="E266" s="80"/>
      <c r="F266" s="92">
        <f>SUM(F3:F265)</f>
        <v>389.67000000000019</v>
      </c>
      <c r="G266" s="80">
        <f>SUM(G3:G265)</f>
        <v>507306.5</v>
      </c>
      <c r="H266" s="80">
        <f>SUM(H3:H265)</f>
        <v>586451.5</v>
      </c>
    </row>
    <row r="267" spans="1:8" x14ac:dyDescent="0.35">
      <c r="E267" s="80"/>
      <c r="G267" s="80"/>
      <c r="H267" s="80"/>
    </row>
    <row r="268" spans="1:8" x14ac:dyDescent="0.35">
      <c r="E268" s="80"/>
      <c r="G268" s="80"/>
      <c r="H268" s="80"/>
    </row>
    <row r="269" spans="1:8" x14ac:dyDescent="0.35">
      <c r="E269" s="80"/>
      <c r="G269" s="80"/>
      <c r="H269" s="80"/>
    </row>
    <row r="270" spans="1:8" x14ac:dyDescent="0.35">
      <c r="E270" s="80"/>
      <c r="G270" s="80"/>
      <c r="H270" s="80"/>
    </row>
    <row r="271" spans="1:8" x14ac:dyDescent="0.35">
      <c r="E271" s="80"/>
      <c r="G271" s="80"/>
      <c r="H271" s="80"/>
    </row>
    <row r="272" spans="1:8" x14ac:dyDescent="0.35">
      <c r="E272" s="80"/>
      <c r="G272" s="80"/>
      <c r="H272" s="80"/>
    </row>
    <row r="273" spans="5:8" x14ac:dyDescent="0.35">
      <c r="E273" s="80"/>
      <c r="G273" s="80"/>
      <c r="H273" s="80"/>
    </row>
    <row r="274" spans="5:8" x14ac:dyDescent="0.35">
      <c r="E274" s="80"/>
      <c r="G274" s="80"/>
      <c r="H274" s="80"/>
    </row>
    <row r="275" spans="5:8" x14ac:dyDescent="0.35">
      <c r="E275" s="80"/>
      <c r="G275" s="80"/>
      <c r="H275" s="80"/>
    </row>
    <row r="276" spans="5:8" x14ac:dyDescent="0.35">
      <c r="E276" s="80"/>
      <c r="G276" s="80"/>
      <c r="H276" s="80"/>
    </row>
    <row r="277" spans="5:8" x14ac:dyDescent="0.35">
      <c r="E277" s="80"/>
      <c r="G277" s="80"/>
      <c r="H277" s="8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28E8-8A38-4E21-A0A5-0DB2D98CAA83}">
  <dimension ref="A2:X421"/>
  <sheetViews>
    <sheetView topLeftCell="G45" zoomScale="70" zoomScaleNormal="70" workbookViewId="0">
      <selection activeCell="R68" sqref="R68"/>
    </sheetView>
  </sheetViews>
  <sheetFormatPr defaultRowHeight="14.5" x14ac:dyDescent="0.35"/>
  <cols>
    <col min="1" max="1" width="6.81640625" style="5" customWidth="1"/>
    <col min="2" max="2" width="14.26953125" customWidth="1"/>
    <col min="3" max="3" width="8.7265625" style="5"/>
    <col min="4" max="4" width="23.26953125" bestFit="1" customWidth="1"/>
    <col min="7" max="7" width="11.7265625" bestFit="1" customWidth="1"/>
    <col min="8" max="8" width="11.08984375" bestFit="1" customWidth="1"/>
    <col min="10" max="10" width="13.26953125" bestFit="1" customWidth="1"/>
    <col min="11" max="11" width="9.1796875" bestFit="1" customWidth="1"/>
    <col min="12" max="12" width="16.81640625" bestFit="1" customWidth="1"/>
    <col min="15" max="15" width="25.7265625" customWidth="1"/>
    <col min="16" max="16" width="11" customWidth="1"/>
    <col min="17" max="17" width="9.26953125" customWidth="1"/>
    <col min="18" max="18" width="11.6328125" bestFit="1" customWidth="1"/>
    <col min="21" max="21" width="23.26953125" bestFit="1" customWidth="1"/>
    <col min="22" max="22" width="8.6328125" bestFit="1" customWidth="1"/>
    <col min="23" max="23" width="9.6328125" customWidth="1"/>
    <col min="24" max="24" width="11.6328125" bestFit="1" customWidth="1"/>
  </cols>
  <sheetData>
    <row r="2" spans="1:24" x14ac:dyDescent="0.35">
      <c r="A2" s="56" t="s">
        <v>8</v>
      </c>
      <c r="B2" s="56" t="s">
        <v>2</v>
      </c>
      <c r="C2" s="56" t="s">
        <v>4</v>
      </c>
      <c r="D2" s="44" t="s">
        <v>128</v>
      </c>
      <c r="E2" s="90" t="s">
        <v>1</v>
      </c>
      <c r="F2" s="44" t="s">
        <v>0</v>
      </c>
      <c r="G2" s="90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301</v>
      </c>
      <c r="T2" s="40" t="s">
        <v>169</v>
      </c>
      <c r="W2" t="s">
        <v>301</v>
      </c>
    </row>
    <row r="3" spans="1:24" x14ac:dyDescent="0.35">
      <c r="A3" s="5">
        <v>1</v>
      </c>
      <c r="B3" t="s">
        <v>114</v>
      </c>
      <c r="C3" s="5">
        <v>4</v>
      </c>
      <c r="D3" t="s">
        <v>28</v>
      </c>
      <c r="E3" s="80">
        <f>VLOOKUP(D3,'Bu Erta'!$C$2:$E$66,3,0)</f>
        <v>1200</v>
      </c>
      <c r="F3">
        <f>9.15+4.6+8.8+8.3+7.15+4.6</f>
        <v>42.6</v>
      </c>
      <c r="G3" s="80">
        <f>E3*F3</f>
        <v>51120</v>
      </c>
      <c r="H3" s="80">
        <f>VLOOKUP(D3,'Bu Erta'!$C$2:$F$66,4,0)*F3</f>
        <v>55380</v>
      </c>
      <c r="J3" s="69" t="s">
        <v>198</v>
      </c>
      <c r="K3">
        <v>0</v>
      </c>
      <c r="L3" s="4">
        <v>1805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</row>
    <row r="4" spans="1:24" x14ac:dyDescent="0.35">
      <c r="B4" t="s">
        <v>114</v>
      </c>
      <c r="D4" t="s">
        <v>42</v>
      </c>
      <c r="E4" s="80">
        <f>VLOOKUP(D4,'Bu Erta'!$C$2:$E$66,3,0)</f>
        <v>1000</v>
      </c>
      <c r="F4">
        <f>0.5+0.5+4.2+0.5</f>
        <v>5.7</v>
      </c>
      <c r="G4" s="80">
        <f t="shared" ref="G4:G67" si="0">E4*F4</f>
        <v>5700</v>
      </c>
      <c r="H4" s="80">
        <f>VLOOKUP(D4,'Bu Erta'!$C$2:$F$66,4,0)*F4</f>
        <v>6840</v>
      </c>
      <c r="J4" s="69" t="s">
        <v>83</v>
      </c>
      <c r="K4">
        <v>1</v>
      </c>
      <c r="L4" s="4">
        <v>3680</v>
      </c>
      <c r="N4" s="44">
        <v>1</v>
      </c>
      <c r="O4" s="17" t="s">
        <v>13</v>
      </c>
      <c r="P4" s="52">
        <f>VLOOKUP(O4,'Bu Erta'!$C$2:$F$66,4,0)</f>
        <v>1500</v>
      </c>
      <c r="Q4" s="53">
        <f>SUMIF($D$3:$D$296,O4,$F$3:$F$296)</f>
        <v>0</v>
      </c>
      <c r="R4" s="52">
        <f>P4*Q4</f>
        <v>0</v>
      </c>
      <c r="T4" s="44">
        <v>1</v>
      </c>
      <c r="U4" s="17" t="s">
        <v>13</v>
      </c>
      <c r="V4" s="52"/>
      <c r="W4" s="53"/>
      <c r="X4" s="52">
        <f>V4*W4</f>
        <v>0</v>
      </c>
    </row>
    <row r="5" spans="1:24" x14ac:dyDescent="0.35">
      <c r="B5" t="s">
        <v>114</v>
      </c>
      <c r="D5" t="s">
        <v>46</v>
      </c>
      <c r="E5" s="80">
        <f>VLOOKUP(D5,'Bu Erta'!$C$2:$E$66,3,0)</f>
        <v>1400</v>
      </c>
      <c r="F5">
        <f>8.6+0.55</f>
        <v>9.15</v>
      </c>
      <c r="G5" s="80">
        <f t="shared" si="0"/>
        <v>12810</v>
      </c>
      <c r="H5" s="80">
        <f>VLOOKUP(D5,'Bu Erta'!$C$2:$F$66,4,0)*F5</f>
        <v>13725</v>
      </c>
      <c r="J5" s="69" t="s">
        <v>296</v>
      </c>
      <c r="K5">
        <v>1</v>
      </c>
      <c r="L5" s="4">
        <v>15870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ref="Q5:Q67" si="1">SUMIF($D$3:$D$296,O5,$F$3:$F$296)</f>
        <v>0</v>
      </c>
      <c r="R5" s="52">
        <f t="shared" ref="R5:R67" si="2">P5*Q5</f>
        <v>0</v>
      </c>
      <c r="T5" s="44">
        <v>2</v>
      </c>
      <c r="U5" s="17" t="s">
        <v>14</v>
      </c>
      <c r="V5" s="52"/>
      <c r="W5" s="53"/>
      <c r="X5" s="52">
        <f t="shared" ref="X5:X67" si="3">V5*W5</f>
        <v>0</v>
      </c>
    </row>
    <row r="6" spans="1:24" x14ac:dyDescent="0.35">
      <c r="B6" t="s">
        <v>114</v>
      </c>
      <c r="D6" t="s">
        <v>7</v>
      </c>
      <c r="E6" s="80">
        <f>VLOOKUP(D6,'Bu Erta'!$C$2:$E$66,3,0)</f>
        <v>1400</v>
      </c>
      <c r="F6">
        <f>2.25+2.4+0.05+0.15</f>
        <v>4.8500000000000005</v>
      </c>
      <c r="G6" s="80">
        <f t="shared" si="0"/>
        <v>6790.0000000000009</v>
      </c>
      <c r="H6" s="80">
        <f>VLOOKUP(D6,'Bu Erta'!$C$2:$F$66,4,0)*F6</f>
        <v>7760.0000000000009</v>
      </c>
      <c r="J6" s="69" t="s">
        <v>298</v>
      </c>
      <c r="K6">
        <v>1</v>
      </c>
      <c r="L6" s="4">
        <v>10075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44">
        <v>3</v>
      </c>
      <c r="U6" s="17" t="s">
        <v>15</v>
      </c>
      <c r="V6" s="52"/>
      <c r="W6" s="53"/>
      <c r="X6" s="52">
        <f t="shared" si="3"/>
        <v>0</v>
      </c>
    </row>
    <row r="7" spans="1:24" x14ac:dyDescent="0.35">
      <c r="B7" t="s">
        <v>114</v>
      </c>
      <c r="D7" t="s">
        <v>22</v>
      </c>
      <c r="E7" s="80">
        <f>VLOOKUP(D7,'Bu Erta'!$C$2:$E$66,3,0)</f>
        <v>2500</v>
      </c>
      <c r="F7">
        <v>2.4500000000000002</v>
      </c>
      <c r="G7" s="80">
        <f t="shared" si="0"/>
        <v>6125</v>
      </c>
      <c r="H7" s="80">
        <f>VLOOKUP(D7,'Bu Erta'!$C$2:$F$66,4,0)*F7</f>
        <v>7350.0000000000009</v>
      </c>
      <c r="J7" s="69" t="s">
        <v>138</v>
      </c>
      <c r="K7">
        <v>1</v>
      </c>
      <c r="L7" s="4">
        <v>24875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0</v>
      </c>
      <c r="R7" s="52">
        <f t="shared" si="2"/>
        <v>0</v>
      </c>
      <c r="T7" s="44">
        <v>4</v>
      </c>
      <c r="U7" s="17" t="s">
        <v>16</v>
      </c>
      <c r="V7" s="52"/>
      <c r="W7" s="53"/>
      <c r="X7" s="52">
        <f t="shared" si="3"/>
        <v>0</v>
      </c>
    </row>
    <row r="8" spans="1:24" x14ac:dyDescent="0.35">
      <c r="B8" t="s">
        <v>114</v>
      </c>
      <c r="D8" t="s">
        <v>19</v>
      </c>
      <c r="E8" s="80">
        <f>VLOOKUP(D8,'Bu Erta'!$C$2:$E$66,3,0)</f>
        <v>200</v>
      </c>
      <c r="F8">
        <v>0.65</v>
      </c>
      <c r="G8" s="80">
        <f t="shared" si="0"/>
        <v>130</v>
      </c>
      <c r="H8" s="80">
        <f>VLOOKUP(D8,'Bu Erta'!$C$2:$F$66,4,0)*F8</f>
        <v>195</v>
      </c>
      <c r="J8" s="69" t="s">
        <v>217</v>
      </c>
      <c r="K8">
        <v>1</v>
      </c>
      <c r="L8" s="4">
        <v>19550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0.59</v>
      </c>
      <c r="R8" s="52">
        <f t="shared" si="2"/>
        <v>5015</v>
      </c>
      <c r="T8" s="44">
        <v>5</v>
      </c>
      <c r="U8" s="17" t="s">
        <v>17</v>
      </c>
      <c r="V8" s="52"/>
      <c r="W8" s="53"/>
      <c r="X8" s="52">
        <f t="shared" si="3"/>
        <v>0</v>
      </c>
    </row>
    <row r="9" spans="1:24" x14ac:dyDescent="0.35">
      <c r="B9" t="s">
        <v>114</v>
      </c>
      <c r="D9" t="s">
        <v>31</v>
      </c>
      <c r="E9" s="80">
        <f>VLOOKUP(D9,'Bu Erta'!$C$2:$E$66,3,0)</f>
        <v>1000</v>
      </c>
      <c r="F9">
        <f>0.7+9.95+2.65</f>
        <v>13.299999999999999</v>
      </c>
      <c r="G9" s="80">
        <f t="shared" si="0"/>
        <v>13299.999999999998</v>
      </c>
      <c r="H9" s="80">
        <f>VLOOKUP(D9,'Bu Erta'!$C$2:$F$66,4,0)*F9</f>
        <v>14629.999999999998</v>
      </c>
      <c r="J9" s="69" t="s">
        <v>197</v>
      </c>
      <c r="K9">
        <v>1</v>
      </c>
      <c r="L9" s="4">
        <v>30517.5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44">
        <v>6</v>
      </c>
      <c r="U9" s="17" t="s">
        <v>18</v>
      </c>
      <c r="V9" s="52"/>
      <c r="W9" s="53"/>
      <c r="X9" s="52">
        <f t="shared" si="3"/>
        <v>0</v>
      </c>
    </row>
    <row r="10" spans="1:24" x14ac:dyDescent="0.35">
      <c r="B10" t="s">
        <v>114</v>
      </c>
      <c r="D10" t="s">
        <v>65</v>
      </c>
      <c r="E10" s="80">
        <f>VLOOKUP(D10,'Bu Erta'!$C$2:$E$66,3,0)</f>
        <v>150</v>
      </c>
      <c r="F10">
        <v>0.1</v>
      </c>
      <c r="G10" s="80">
        <f t="shared" si="0"/>
        <v>15</v>
      </c>
      <c r="H10" s="80">
        <f>VLOOKUP(D10,'Bu Erta'!$C$2:$F$66,4,0)*F10</f>
        <v>20</v>
      </c>
      <c r="J10" s="69" t="s">
        <v>216</v>
      </c>
      <c r="K10">
        <v>2</v>
      </c>
      <c r="L10" s="4">
        <v>21465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24.950000000000006</v>
      </c>
      <c r="R10" s="52">
        <f t="shared" si="2"/>
        <v>7485.0000000000018</v>
      </c>
      <c r="S10">
        <f>10.57+12.58+0.475+0.29</f>
        <v>23.914999999999999</v>
      </c>
      <c r="T10" s="44">
        <v>7</v>
      </c>
      <c r="U10" s="17" t="s">
        <v>19</v>
      </c>
      <c r="V10" s="52"/>
      <c r="W10" s="53"/>
      <c r="X10" s="52">
        <f t="shared" si="3"/>
        <v>0</v>
      </c>
    </row>
    <row r="11" spans="1:24" x14ac:dyDescent="0.35">
      <c r="B11" t="s">
        <v>114</v>
      </c>
      <c r="D11" t="s">
        <v>23</v>
      </c>
      <c r="E11" s="80">
        <f>VLOOKUP(D11,'Bu Erta'!$C$2:$E$66,3,0)</f>
        <v>300</v>
      </c>
      <c r="F11">
        <f>1.4+0.55</f>
        <v>1.95</v>
      </c>
      <c r="G11" s="80">
        <f t="shared" si="0"/>
        <v>585</v>
      </c>
      <c r="H11" s="80">
        <f>VLOOKUP(D11,'Bu Erta'!$C$2:$F$66,4,0)*F11</f>
        <v>780</v>
      </c>
      <c r="J11" s="69" t="s">
        <v>283</v>
      </c>
      <c r="K11">
        <v>2</v>
      </c>
      <c r="L11" s="4">
        <v>5332.5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44">
        <v>8</v>
      </c>
      <c r="U11" s="17" t="s">
        <v>20</v>
      </c>
      <c r="V11" s="52"/>
      <c r="W11" s="53"/>
      <c r="X11" s="52">
        <f t="shared" si="3"/>
        <v>0</v>
      </c>
    </row>
    <row r="12" spans="1:24" x14ac:dyDescent="0.35">
      <c r="B12" t="s">
        <v>114</v>
      </c>
      <c r="D12" t="s">
        <v>49</v>
      </c>
      <c r="E12" s="80">
        <f>VLOOKUP(D12,'Bu Erta'!$C$2:$E$66,3,0)</f>
        <v>800</v>
      </c>
      <c r="F12">
        <f>1.8+0.5</f>
        <v>2.2999999999999998</v>
      </c>
      <c r="G12" s="80">
        <f t="shared" si="0"/>
        <v>1839.9999999999998</v>
      </c>
      <c r="H12" s="80">
        <f>VLOOKUP(D12,'Bu Erta'!$C$2:$F$66,4,0)*F12</f>
        <v>2070</v>
      </c>
      <c r="J12" s="69" t="s">
        <v>115</v>
      </c>
      <c r="K12">
        <v>2</v>
      </c>
      <c r="L12" s="4">
        <v>16762.5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35.549999999999997</v>
      </c>
      <c r="R12" s="52">
        <f t="shared" si="2"/>
        <v>7109.9999999999991</v>
      </c>
      <c r="T12" s="44">
        <v>9</v>
      </c>
      <c r="U12" s="17" t="s">
        <v>21</v>
      </c>
      <c r="V12" s="52"/>
      <c r="W12" s="53"/>
      <c r="X12" s="52">
        <f t="shared" si="3"/>
        <v>0</v>
      </c>
    </row>
    <row r="13" spans="1:24" x14ac:dyDescent="0.35">
      <c r="B13" t="s">
        <v>114</v>
      </c>
      <c r="D13" t="s">
        <v>40</v>
      </c>
      <c r="E13" s="80">
        <f>VLOOKUP(D13,'Bu Erta'!$C$2:$E$66,3,0)</f>
        <v>1800</v>
      </c>
      <c r="F13">
        <v>4.0999999999999996</v>
      </c>
      <c r="G13" s="80">
        <f t="shared" si="0"/>
        <v>7379.9999999999991</v>
      </c>
      <c r="H13" s="80">
        <f>VLOOKUP(D13,'Bu Erta'!$C$2:$F$66,4,0)*F13</f>
        <v>8200</v>
      </c>
      <c r="J13" s="69" t="s">
        <v>108</v>
      </c>
      <c r="K13">
        <v>2</v>
      </c>
      <c r="L13" s="4">
        <v>18835</v>
      </c>
      <c r="N13" s="44">
        <v>10</v>
      </c>
      <c r="O13" s="17" t="s">
        <v>22</v>
      </c>
      <c r="P13" s="52">
        <f>VLOOKUP(O13,'Bu Erta'!$C$2:$F$66,4,0)</f>
        <v>3000</v>
      </c>
      <c r="Q13" s="53">
        <v>0</v>
      </c>
      <c r="R13" s="52">
        <f t="shared" si="2"/>
        <v>0</v>
      </c>
      <c r="T13" s="44">
        <v>10</v>
      </c>
      <c r="U13" s="17" t="s">
        <v>22</v>
      </c>
      <c r="V13" s="52">
        <v>4000</v>
      </c>
      <c r="W13">
        <v>28.5</v>
      </c>
      <c r="X13" s="52">
        <v>117000</v>
      </c>
    </row>
    <row r="14" spans="1:24" x14ac:dyDescent="0.35">
      <c r="A14" s="5">
        <v>2</v>
      </c>
      <c r="B14" t="s">
        <v>83</v>
      </c>
      <c r="C14" s="5">
        <v>1</v>
      </c>
      <c r="D14" t="s">
        <v>42</v>
      </c>
      <c r="E14" s="80">
        <f>VLOOKUP(D14,'Bu Erta'!$C$2:$E$66,3,0)</f>
        <v>1000</v>
      </c>
      <c r="F14">
        <v>1</v>
      </c>
      <c r="G14" s="80">
        <f t="shared" si="0"/>
        <v>1000</v>
      </c>
      <c r="H14" s="80">
        <f>VLOOKUP(D14,'Bu Erta'!$C$2:$F$66,4,0)*F14</f>
        <v>1200</v>
      </c>
      <c r="J14" s="69" t="s">
        <v>5</v>
      </c>
      <c r="K14">
        <v>2</v>
      </c>
      <c r="L14" s="4">
        <v>20250</v>
      </c>
      <c r="N14" s="44">
        <v>11</v>
      </c>
      <c r="O14" s="17" t="s">
        <v>23</v>
      </c>
      <c r="P14" s="52">
        <f>VLOOKUP(O14,'Bu Erta'!$C$2:$F$66,4,0)</f>
        <v>400</v>
      </c>
      <c r="Q14" s="53">
        <f t="shared" si="1"/>
        <v>28.040000000000003</v>
      </c>
      <c r="R14" s="52">
        <f t="shared" si="2"/>
        <v>11216.000000000002</v>
      </c>
      <c r="S14">
        <v>19.25</v>
      </c>
      <c r="T14" s="44">
        <v>11</v>
      </c>
      <c r="U14" s="17" t="s">
        <v>23</v>
      </c>
      <c r="V14" s="52"/>
      <c r="W14" s="53"/>
      <c r="X14" s="52">
        <f t="shared" si="3"/>
        <v>0</v>
      </c>
    </row>
    <row r="15" spans="1:24" x14ac:dyDescent="0.35">
      <c r="B15" t="s">
        <v>83</v>
      </c>
      <c r="D15" t="s">
        <v>27</v>
      </c>
      <c r="E15" s="80">
        <f>VLOOKUP(D15,'Bu Erta'!$C$2:$E$66,3,0)</f>
        <v>2800</v>
      </c>
      <c r="F15">
        <v>0.35</v>
      </c>
      <c r="G15" s="80">
        <f t="shared" si="0"/>
        <v>979.99999999999989</v>
      </c>
      <c r="H15" s="80">
        <f>VLOOKUP(D15,'Bu Erta'!$C$2:$F$66,4,0)*F15</f>
        <v>1085</v>
      </c>
      <c r="J15" s="69" t="s">
        <v>147</v>
      </c>
      <c r="K15">
        <v>3</v>
      </c>
      <c r="L15" s="4">
        <v>4770</v>
      </c>
      <c r="N15" s="44">
        <v>12</v>
      </c>
      <c r="O15" s="17" t="s">
        <v>25</v>
      </c>
      <c r="P15" s="52">
        <f>VLOOKUP(O15,'Bu Erta'!$C$2:$F$66,4,0)</f>
        <v>1700</v>
      </c>
      <c r="Q15" s="53">
        <v>0</v>
      </c>
      <c r="R15" s="52">
        <f t="shared" si="2"/>
        <v>0</v>
      </c>
      <c r="S15">
        <f>0.35+0.51+0.84</f>
        <v>1.7</v>
      </c>
      <c r="T15" s="44">
        <v>12</v>
      </c>
      <c r="U15" s="17" t="s">
        <v>25</v>
      </c>
      <c r="V15" s="52"/>
      <c r="W15" s="53"/>
      <c r="X15" s="52">
        <f t="shared" si="3"/>
        <v>0</v>
      </c>
    </row>
    <row r="16" spans="1:24" x14ac:dyDescent="0.35">
      <c r="B16" t="s">
        <v>83</v>
      </c>
      <c r="D16" t="s">
        <v>23</v>
      </c>
      <c r="E16" s="80">
        <f>VLOOKUP(D16,'Bu Erta'!$C$2:$E$66,3,0)</f>
        <v>300</v>
      </c>
      <c r="F16">
        <f>0.3+1.95+0.15</f>
        <v>2.4</v>
      </c>
      <c r="G16" s="80">
        <f t="shared" si="0"/>
        <v>720</v>
      </c>
      <c r="H16" s="80">
        <f>VLOOKUP(D16,'Bu Erta'!$C$2:$F$66,4,0)*F16</f>
        <v>960</v>
      </c>
      <c r="J16" s="69" t="s">
        <v>164</v>
      </c>
      <c r="K16">
        <v>3</v>
      </c>
      <c r="L16" s="4">
        <v>7012.5</v>
      </c>
      <c r="N16" s="44">
        <v>13</v>
      </c>
      <c r="O16" s="17" t="s">
        <v>24</v>
      </c>
      <c r="P16" s="52">
        <f>VLOOKUP(O16,'Bu Erta'!$C$2:$F$66,4,0)</f>
        <v>200</v>
      </c>
      <c r="Q16" s="53">
        <f t="shared" si="1"/>
        <v>18.049999999999997</v>
      </c>
      <c r="R16" s="52">
        <f t="shared" si="2"/>
        <v>3609.9999999999995</v>
      </c>
      <c r="S16">
        <v>15.71</v>
      </c>
      <c r="T16" s="44">
        <v>13</v>
      </c>
      <c r="U16" s="17" t="s">
        <v>24</v>
      </c>
      <c r="V16" s="52"/>
      <c r="W16" s="53"/>
      <c r="X16" s="52">
        <f t="shared" si="3"/>
        <v>0</v>
      </c>
    </row>
    <row r="17" spans="1:24" x14ac:dyDescent="0.35">
      <c r="B17" t="s">
        <v>83</v>
      </c>
      <c r="D17" t="s">
        <v>88</v>
      </c>
      <c r="E17" s="80">
        <f>VLOOKUP(D17,'Bu Erta'!$C$2:$E$66,3,0)</f>
        <v>300</v>
      </c>
      <c r="F17">
        <v>0.15</v>
      </c>
      <c r="G17" s="80">
        <f t="shared" si="0"/>
        <v>45</v>
      </c>
      <c r="H17" s="80">
        <f>VLOOKUP(D17,'Bu Erta'!$C$2:$F$66,4,0)*F17</f>
        <v>60</v>
      </c>
      <c r="J17" s="69" t="s">
        <v>259</v>
      </c>
      <c r="K17">
        <v>3</v>
      </c>
      <c r="L17" s="4">
        <v>6845</v>
      </c>
      <c r="N17" s="44">
        <v>14</v>
      </c>
      <c r="O17" s="17" t="s">
        <v>26</v>
      </c>
      <c r="P17" s="52">
        <f>VLOOKUP(O17,'Bu Erta'!$C$2:$F$66,4,0)</f>
        <v>1000</v>
      </c>
      <c r="Q17" s="53">
        <f t="shared" si="1"/>
        <v>0</v>
      </c>
      <c r="R17" s="52">
        <f t="shared" si="2"/>
        <v>0</v>
      </c>
      <c r="T17" s="44">
        <v>14</v>
      </c>
      <c r="U17" s="17" t="s">
        <v>26</v>
      </c>
      <c r="V17" s="52"/>
      <c r="W17" s="53"/>
      <c r="X17" s="52">
        <f t="shared" si="3"/>
        <v>0</v>
      </c>
    </row>
    <row r="18" spans="1:24" x14ac:dyDescent="0.35">
      <c r="B18" t="s">
        <v>83</v>
      </c>
      <c r="D18" t="s">
        <v>19</v>
      </c>
      <c r="E18" s="80">
        <f>VLOOKUP(D18,'Bu Erta'!$C$2:$E$66,3,0)</f>
        <v>200</v>
      </c>
      <c r="F18">
        <v>0.1</v>
      </c>
      <c r="G18" s="80">
        <f t="shared" si="0"/>
        <v>20</v>
      </c>
      <c r="H18" s="80">
        <f>VLOOKUP(D18,'Bu Erta'!$C$2:$F$66,4,0)*F18</f>
        <v>30</v>
      </c>
      <c r="J18" s="69" t="s">
        <v>178</v>
      </c>
      <c r="K18">
        <v>3</v>
      </c>
      <c r="L18" s="4">
        <v>4197.5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SUMIF($D$3:$D$296,O18,$F$3:$F$296)+5</f>
        <v>28.55</v>
      </c>
      <c r="R18" s="52">
        <f t="shared" si="2"/>
        <v>88505</v>
      </c>
      <c r="S18">
        <f>14.05+9.4+0.225</f>
        <v>23.675000000000004</v>
      </c>
      <c r="T18" s="44">
        <v>15</v>
      </c>
      <c r="U18" s="17" t="s">
        <v>27</v>
      </c>
      <c r="V18" s="52"/>
      <c r="W18" s="53"/>
      <c r="X18" s="52">
        <f t="shared" si="3"/>
        <v>0</v>
      </c>
    </row>
    <row r="19" spans="1:24" x14ac:dyDescent="0.35">
      <c r="B19" t="s">
        <v>83</v>
      </c>
      <c r="D19" t="s">
        <v>61</v>
      </c>
      <c r="E19" s="80">
        <f>VLOOKUP(D19,'Bu Erta'!$C$2:$E$66,3,0)</f>
        <v>800</v>
      </c>
      <c r="F19">
        <v>0.1</v>
      </c>
      <c r="G19" s="80">
        <f t="shared" si="0"/>
        <v>80</v>
      </c>
      <c r="H19" s="80">
        <f>VLOOKUP(D19,'Bu Erta'!$C$2:$F$66,4,0)*F19</f>
        <v>90</v>
      </c>
      <c r="J19" s="69" t="s">
        <v>242</v>
      </c>
      <c r="K19">
        <v>3</v>
      </c>
      <c r="L19" s="4">
        <v>2680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si="1"/>
        <v>82.8</v>
      </c>
      <c r="R19" s="52">
        <f t="shared" si="2"/>
        <v>107640</v>
      </c>
      <c r="S19" s="78">
        <f>S18-Q18</f>
        <v>-4.8749999999999964</v>
      </c>
      <c r="T19" s="44">
        <v>16</v>
      </c>
      <c r="U19" s="17" t="s">
        <v>28</v>
      </c>
      <c r="V19" s="52"/>
      <c r="W19" s="53"/>
      <c r="X19" s="52">
        <f t="shared" si="3"/>
        <v>0</v>
      </c>
    </row>
    <row r="20" spans="1:24" x14ac:dyDescent="0.35">
      <c r="B20" t="s">
        <v>83</v>
      </c>
      <c r="D20" t="s">
        <v>24</v>
      </c>
      <c r="E20" s="80">
        <f>VLOOKUP(D20,'Bu Erta'!$C$2:$E$66,3,0)</f>
        <v>150</v>
      </c>
      <c r="F20">
        <v>1.4</v>
      </c>
      <c r="G20" s="80">
        <f t="shared" si="0"/>
        <v>210</v>
      </c>
      <c r="H20" s="80">
        <f>VLOOKUP(D20,'Bu Erta'!$C$2:$F$66,4,0)*F20</f>
        <v>280</v>
      </c>
      <c r="J20" s="69" t="s">
        <v>76</v>
      </c>
      <c r="K20">
        <v>3</v>
      </c>
      <c r="L20" s="4">
        <v>13494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1"/>
        <v>3.1</v>
      </c>
      <c r="R20" s="52">
        <f t="shared" si="2"/>
        <v>18600</v>
      </c>
      <c r="T20" s="44">
        <v>17</v>
      </c>
      <c r="U20" s="17" t="s">
        <v>29</v>
      </c>
      <c r="V20" s="52"/>
      <c r="W20" s="53"/>
      <c r="X20" s="52">
        <f t="shared" si="3"/>
        <v>0</v>
      </c>
    </row>
    <row r="21" spans="1:24" x14ac:dyDescent="0.35">
      <c r="B21" t="s">
        <v>83</v>
      </c>
      <c r="D21" t="s">
        <v>41</v>
      </c>
      <c r="E21" s="80">
        <f>VLOOKUP(D21,'Bu Erta'!$C$2:$E$66,3,0)</f>
        <v>1500</v>
      </c>
      <c r="F21">
        <v>0.15</v>
      </c>
      <c r="G21" s="80">
        <f t="shared" si="0"/>
        <v>225</v>
      </c>
      <c r="H21" s="80">
        <f>VLOOKUP(D21,'Bu Erta'!$C$2:$F$66,4,0)*F21</f>
        <v>300</v>
      </c>
      <c r="J21" s="69" t="s">
        <v>90</v>
      </c>
      <c r="K21">
        <v>3</v>
      </c>
      <c r="L21" s="4">
        <v>2020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1"/>
        <v>0</v>
      </c>
      <c r="R21" s="52">
        <f t="shared" si="2"/>
        <v>0</v>
      </c>
      <c r="T21" s="44">
        <v>18</v>
      </c>
      <c r="U21" s="17" t="s">
        <v>30</v>
      </c>
      <c r="V21" s="52"/>
      <c r="W21" s="53"/>
      <c r="X21" s="52">
        <f t="shared" si="3"/>
        <v>0</v>
      </c>
    </row>
    <row r="22" spans="1:24" x14ac:dyDescent="0.35">
      <c r="B22" t="s">
        <v>83</v>
      </c>
      <c r="D22" t="s">
        <v>31</v>
      </c>
      <c r="E22" s="80">
        <f>VLOOKUP(D22,'Bu Erta'!$C$2:$E$66,3,0)</f>
        <v>1000</v>
      </c>
      <c r="F22">
        <v>0.4</v>
      </c>
      <c r="G22" s="80">
        <f t="shared" si="0"/>
        <v>400</v>
      </c>
      <c r="H22" s="80">
        <f>VLOOKUP(D22,'Bu Erta'!$C$2:$F$66,4,0)*F22</f>
        <v>440</v>
      </c>
      <c r="J22" s="69" t="s">
        <v>151</v>
      </c>
      <c r="K22">
        <v>4</v>
      </c>
      <c r="L22" s="4">
        <v>4230</v>
      </c>
      <c r="N22" s="44">
        <v>19</v>
      </c>
      <c r="O22" s="17" t="s">
        <v>7</v>
      </c>
      <c r="P22" s="52">
        <f>VLOOKUP(O22,'Bu Erta'!$C$2:$F$66,4,0)</f>
        <v>1600</v>
      </c>
      <c r="Q22" s="53">
        <f t="shared" si="1"/>
        <v>32.699999999999996</v>
      </c>
      <c r="R22" s="52">
        <f t="shared" si="2"/>
        <v>52319.999999999993</v>
      </c>
      <c r="T22" s="44">
        <v>19</v>
      </c>
      <c r="U22" s="17" t="s">
        <v>7</v>
      </c>
      <c r="V22" s="52"/>
      <c r="W22" s="53"/>
      <c r="X22" s="52">
        <v>165000</v>
      </c>
    </row>
    <row r="23" spans="1:24" x14ac:dyDescent="0.35">
      <c r="A23" s="5">
        <v>3</v>
      </c>
      <c r="B23" t="s">
        <v>241</v>
      </c>
      <c r="C23" s="5">
        <v>7</v>
      </c>
      <c r="D23" t="s">
        <v>88</v>
      </c>
      <c r="E23" s="80">
        <f>VLOOKUP(D23,'Bu Erta'!$C$2:$E$66,3,0)</f>
        <v>300</v>
      </c>
      <c r="F23">
        <v>0.1</v>
      </c>
      <c r="G23" s="80">
        <f t="shared" si="0"/>
        <v>30</v>
      </c>
      <c r="H23" s="80">
        <f>VLOOKUP(D23,'Bu Erta'!$C$2:$F$66,4,0)*F23</f>
        <v>40</v>
      </c>
      <c r="J23" s="69" t="s">
        <v>102</v>
      </c>
      <c r="K23">
        <v>4</v>
      </c>
      <c r="L23" s="4">
        <v>16940</v>
      </c>
      <c r="N23" s="44">
        <v>20</v>
      </c>
      <c r="O23" s="17" t="s">
        <v>31</v>
      </c>
      <c r="P23" s="52">
        <f>VLOOKUP(O23,'Bu Erta'!$C$2:$F$66,4,0)</f>
        <v>1100</v>
      </c>
      <c r="Q23" s="53">
        <f t="shared" si="1"/>
        <v>50.20000000000001</v>
      </c>
      <c r="R23" s="52">
        <f t="shared" si="2"/>
        <v>55220.000000000015</v>
      </c>
      <c r="T23" s="44">
        <v>20</v>
      </c>
      <c r="U23" s="17" t="s">
        <v>31</v>
      </c>
      <c r="V23" s="52"/>
      <c r="W23" s="53"/>
      <c r="X23" s="52">
        <f t="shared" si="3"/>
        <v>0</v>
      </c>
    </row>
    <row r="24" spans="1:24" x14ac:dyDescent="0.35">
      <c r="B24" t="s">
        <v>241</v>
      </c>
      <c r="D24" t="s">
        <v>19</v>
      </c>
      <c r="E24" s="80">
        <f>VLOOKUP(D24,'Bu Erta'!$C$2:$E$66,3,0)</f>
        <v>200</v>
      </c>
      <c r="F24">
        <v>0.6</v>
      </c>
      <c r="G24" s="80">
        <f t="shared" si="0"/>
        <v>120</v>
      </c>
      <c r="H24" s="80">
        <f>VLOOKUP(D24,'Bu Erta'!$C$2:$F$66,4,0)*F24</f>
        <v>180</v>
      </c>
      <c r="J24" s="69" t="s">
        <v>135</v>
      </c>
      <c r="K24">
        <v>4</v>
      </c>
      <c r="L24" s="4">
        <v>6632.5</v>
      </c>
      <c r="N24" s="44">
        <v>21</v>
      </c>
      <c r="O24" s="17" t="s">
        <v>32</v>
      </c>
      <c r="P24" s="52">
        <f>VLOOKUP(O24,'Bu Erta'!$C$2:$F$66,4,0)</f>
        <v>5000</v>
      </c>
      <c r="Q24" s="53">
        <f t="shared" si="1"/>
        <v>0</v>
      </c>
      <c r="R24" s="52">
        <f t="shared" si="2"/>
        <v>0</v>
      </c>
      <c r="T24" s="44">
        <v>21</v>
      </c>
      <c r="U24" s="17" t="s">
        <v>32</v>
      </c>
      <c r="V24" s="52"/>
      <c r="W24" s="53"/>
      <c r="X24" s="52">
        <f t="shared" si="3"/>
        <v>0</v>
      </c>
    </row>
    <row r="25" spans="1:24" x14ac:dyDescent="0.35">
      <c r="B25" t="s">
        <v>241</v>
      </c>
      <c r="D25" t="s">
        <v>25</v>
      </c>
      <c r="E25" s="80">
        <f>VLOOKUP(D25,'Bu Erta'!$C$2:$E$66,3,0)</f>
        <v>1600</v>
      </c>
      <c r="F25">
        <f>0.2+0.4</f>
        <v>0.60000000000000009</v>
      </c>
      <c r="G25" s="80">
        <f t="shared" si="0"/>
        <v>960.00000000000011</v>
      </c>
      <c r="H25" s="80">
        <f>VLOOKUP(D25,'Bu Erta'!$C$2:$F$66,4,0)*F25</f>
        <v>1020.0000000000001</v>
      </c>
      <c r="J25" s="69" t="s">
        <v>245</v>
      </c>
      <c r="K25">
        <v>4</v>
      </c>
      <c r="L25" s="4">
        <v>11660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1"/>
        <v>0</v>
      </c>
      <c r="R25" s="52">
        <f t="shared" si="2"/>
        <v>0</v>
      </c>
      <c r="T25" s="44">
        <v>22</v>
      </c>
      <c r="U25" s="17" t="s">
        <v>33</v>
      </c>
      <c r="V25" s="52"/>
      <c r="W25" s="53"/>
      <c r="X25" s="52">
        <f t="shared" si="3"/>
        <v>0</v>
      </c>
    </row>
    <row r="26" spans="1:24" x14ac:dyDescent="0.35">
      <c r="B26" t="s">
        <v>241</v>
      </c>
      <c r="D26" t="s">
        <v>46</v>
      </c>
      <c r="E26" s="80">
        <f>VLOOKUP(D26,'Bu Erta'!$C$2:$E$66,3,0)</f>
        <v>1400</v>
      </c>
      <c r="F26">
        <v>1.65</v>
      </c>
      <c r="G26" s="80">
        <f t="shared" si="0"/>
        <v>2310</v>
      </c>
      <c r="H26" s="80">
        <f>VLOOKUP(D26,'Bu Erta'!$C$2:$F$66,4,0)*F26</f>
        <v>2475</v>
      </c>
      <c r="J26" s="69" t="s">
        <v>144</v>
      </c>
      <c r="K26">
        <v>4</v>
      </c>
      <c r="L26" s="4">
        <v>1552.5</v>
      </c>
      <c r="N26" s="44">
        <v>23</v>
      </c>
      <c r="O26" s="17" t="s">
        <v>34</v>
      </c>
      <c r="P26" s="52">
        <f>VLOOKUP(O26,'Bu Erta'!$C$2:$F$66,4,0)</f>
        <v>3600</v>
      </c>
      <c r="Q26" s="53">
        <f>SUMIF($D$3:$D$296,O26,$F$3:$F$296)+5</f>
        <v>7</v>
      </c>
      <c r="R26" s="52">
        <f t="shared" si="2"/>
        <v>25200</v>
      </c>
      <c r="S26">
        <f>4.34+0.095</f>
        <v>4.4349999999999996</v>
      </c>
      <c r="T26" s="44">
        <v>23</v>
      </c>
      <c r="U26" s="17" t="s">
        <v>34</v>
      </c>
      <c r="V26" s="52"/>
      <c r="W26" s="53"/>
      <c r="X26" s="52">
        <f t="shared" si="3"/>
        <v>0</v>
      </c>
    </row>
    <row r="27" spans="1:24" x14ac:dyDescent="0.35">
      <c r="B27" t="s">
        <v>241</v>
      </c>
      <c r="D27" t="s">
        <v>23</v>
      </c>
      <c r="E27" s="80">
        <f>VLOOKUP(D27,'Bu Erta'!$C$2:$E$66,3,0)</f>
        <v>300</v>
      </c>
      <c r="F27">
        <v>1.1000000000000001</v>
      </c>
      <c r="G27" s="80">
        <f t="shared" si="0"/>
        <v>330</v>
      </c>
      <c r="H27" s="80">
        <f>VLOOKUP(D27,'Bu Erta'!$C$2:$F$66,4,0)*F27</f>
        <v>440.00000000000006</v>
      </c>
      <c r="J27" s="69" t="s">
        <v>89</v>
      </c>
      <c r="K27">
        <v>4</v>
      </c>
      <c r="L27" s="4">
        <v>2292.5</v>
      </c>
      <c r="N27" s="44">
        <v>24</v>
      </c>
      <c r="O27" s="17" t="s">
        <v>35</v>
      </c>
      <c r="P27" s="52">
        <f>VLOOKUP(O27,'Bu Erta'!$C$2:$F$66,4,0)</f>
        <v>2000</v>
      </c>
      <c r="Q27" s="53">
        <f t="shared" si="1"/>
        <v>0</v>
      </c>
      <c r="R27" s="52">
        <f t="shared" si="2"/>
        <v>0</v>
      </c>
      <c r="T27" s="44">
        <v>24</v>
      </c>
      <c r="U27" s="17" t="s">
        <v>35</v>
      </c>
      <c r="V27" s="52"/>
      <c r="W27" s="53"/>
      <c r="X27" s="52">
        <f t="shared" si="3"/>
        <v>0</v>
      </c>
    </row>
    <row r="28" spans="1:24" x14ac:dyDescent="0.35">
      <c r="B28" t="s">
        <v>241</v>
      </c>
      <c r="D28" t="s">
        <v>37</v>
      </c>
      <c r="E28" s="80">
        <f>VLOOKUP(D28,'Bu Erta'!$C$2:$E$66,3,0)</f>
        <v>1600</v>
      </c>
      <c r="F28">
        <v>0.25</v>
      </c>
      <c r="G28" s="80">
        <f t="shared" si="0"/>
        <v>400</v>
      </c>
      <c r="H28" s="80">
        <f>VLOOKUP(D28,'Bu Erta'!$C$2:$F$66,4,0)*F28</f>
        <v>500</v>
      </c>
      <c r="J28" s="69" t="s">
        <v>192</v>
      </c>
      <c r="K28">
        <v>4</v>
      </c>
      <c r="L28" s="4">
        <v>5280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1"/>
        <v>0.25</v>
      </c>
      <c r="R28" s="52">
        <f t="shared" si="2"/>
        <v>162.5</v>
      </c>
      <c r="T28" s="44">
        <v>25</v>
      </c>
      <c r="U28" s="17" t="s">
        <v>36</v>
      </c>
      <c r="V28" s="52"/>
      <c r="W28" s="53"/>
      <c r="X28" s="52">
        <f t="shared" si="3"/>
        <v>0</v>
      </c>
    </row>
    <row r="29" spans="1:24" x14ac:dyDescent="0.35">
      <c r="A29" s="5">
        <v>4</v>
      </c>
      <c r="B29" t="s">
        <v>111</v>
      </c>
      <c r="C29" s="5">
        <v>5</v>
      </c>
      <c r="D29" t="s">
        <v>88</v>
      </c>
      <c r="E29" s="80">
        <f>VLOOKUP(D29,'Bu Erta'!$C$2:$E$66,3,0)</f>
        <v>300</v>
      </c>
      <c r="F29">
        <f>0.25+0.3</f>
        <v>0.55000000000000004</v>
      </c>
      <c r="G29" s="80">
        <f t="shared" si="0"/>
        <v>165</v>
      </c>
      <c r="H29" s="80">
        <f>VLOOKUP(D29,'Bu Erta'!$C$2:$F$66,4,0)*F29</f>
        <v>220.00000000000003</v>
      </c>
      <c r="J29" s="69" t="s">
        <v>118</v>
      </c>
      <c r="K29">
        <v>4</v>
      </c>
      <c r="L29" s="4">
        <v>6267.5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1"/>
        <v>1.35</v>
      </c>
      <c r="R29" s="52">
        <f t="shared" si="2"/>
        <v>2700</v>
      </c>
      <c r="T29" s="44">
        <v>26</v>
      </c>
      <c r="U29" s="17" t="s">
        <v>37</v>
      </c>
      <c r="V29" s="52"/>
      <c r="W29" s="53"/>
      <c r="X29" s="52">
        <f t="shared" si="3"/>
        <v>0</v>
      </c>
    </row>
    <row r="30" spans="1:24" x14ac:dyDescent="0.35">
      <c r="B30" t="s">
        <v>111</v>
      </c>
      <c r="D30" t="s">
        <v>19</v>
      </c>
      <c r="E30" s="80">
        <f>VLOOKUP(D30,'Bu Erta'!$C$2:$E$66,3,0)</f>
        <v>200</v>
      </c>
      <c r="F30">
        <f>0.65+0.45</f>
        <v>1.1000000000000001</v>
      </c>
      <c r="G30" s="80">
        <f t="shared" si="0"/>
        <v>220.00000000000003</v>
      </c>
      <c r="H30" s="80">
        <f>VLOOKUP(D30,'Bu Erta'!$C$2:$F$66,4,0)*F30</f>
        <v>330</v>
      </c>
      <c r="J30" s="69" t="s">
        <v>132</v>
      </c>
      <c r="K30">
        <v>4</v>
      </c>
      <c r="L30" s="4">
        <v>6425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1"/>
        <v>0.45</v>
      </c>
      <c r="R30" s="52">
        <f t="shared" si="2"/>
        <v>720</v>
      </c>
      <c r="T30" s="44">
        <v>27</v>
      </c>
      <c r="U30" s="17" t="s">
        <v>38</v>
      </c>
      <c r="V30" s="52"/>
      <c r="W30" s="53"/>
      <c r="X30" s="52">
        <f t="shared" si="3"/>
        <v>0</v>
      </c>
    </row>
    <row r="31" spans="1:24" x14ac:dyDescent="0.35">
      <c r="B31" t="s">
        <v>111</v>
      </c>
      <c r="D31" t="s">
        <v>27</v>
      </c>
      <c r="E31" s="80">
        <f>VLOOKUP(D31,'Bu Erta'!$C$2:$E$66,3,0)</f>
        <v>2800</v>
      </c>
      <c r="F31">
        <f>0.45+0.6</f>
        <v>1.05</v>
      </c>
      <c r="G31" s="80">
        <f t="shared" si="0"/>
        <v>2940</v>
      </c>
      <c r="H31" s="80">
        <f>VLOOKUP(D31,'Bu Erta'!$C$2:$F$66,4,0)*F31</f>
        <v>3255</v>
      </c>
      <c r="J31" s="69" t="s">
        <v>182</v>
      </c>
      <c r="K31">
        <v>4</v>
      </c>
      <c r="L31" s="4">
        <v>4860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1"/>
        <v>0</v>
      </c>
      <c r="R31" s="52">
        <f t="shared" si="2"/>
        <v>0</v>
      </c>
      <c r="T31" s="44">
        <v>28</v>
      </c>
      <c r="U31" s="17" t="s">
        <v>39</v>
      </c>
      <c r="V31" s="52"/>
      <c r="W31" s="53"/>
      <c r="X31" s="52">
        <f t="shared" si="3"/>
        <v>0</v>
      </c>
    </row>
    <row r="32" spans="1:24" x14ac:dyDescent="0.35">
      <c r="B32" t="s">
        <v>111</v>
      </c>
      <c r="D32" t="s">
        <v>23</v>
      </c>
      <c r="E32" s="80">
        <f>VLOOKUP(D32,'Bu Erta'!$C$2:$E$66,3,0)</f>
        <v>300</v>
      </c>
      <c r="F32">
        <f>0.65+0.25+0.6+0.1</f>
        <v>1.6</v>
      </c>
      <c r="G32" s="80">
        <f t="shared" si="0"/>
        <v>480</v>
      </c>
      <c r="H32" s="80">
        <f>VLOOKUP(D32,'Bu Erta'!$C$2:$F$66,4,0)*F32</f>
        <v>640</v>
      </c>
      <c r="J32" s="69" t="s">
        <v>100</v>
      </c>
      <c r="K32">
        <v>4</v>
      </c>
      <c r="L32" s="4">
        <v>22192.5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1"/>
        <v>0</v>
      </c>
      <c r="R32" s="52">
        <f t="shared" si="2"/>
        <v>0</v>
      </c>
      <c r="T32" s="44">
        <v>29</v>
      </c>
      <c r="U32" s="17" t="s">
        <v>77</v>
      </c>
      <c r="V32" s="52"/>
      <c r="W32" s="53"/>
      <c r="X32" s="52">
        <f t="shared" si="3"/>
        <v>0</v>
      </c>
    </row>
    <row r="33" spans="1:24" x14ac:dyDescent="0.35">
      <c r="B33" t="s">
        <v>111</v>
      </c>
      <c r="D33" t="s">
        <v>7</v>
      </c>
      <c r="E33" s="80">
        <f>VLOOKUP(D33,'Bu Erta'!$C$2:$E$66,3,0)</f>
        <v>1400</v>
      </c>
      <c r="F33">
        <v>0.6</v>
      </c>
      <c r="G33" s="80">
        <f t="shared" si="0"/>
        <v>840</v>
      </c>
      <c r="H33" s="80">
        <f>VLOOKUP(D33,'Bu Erta'!$C$2:$F$66,4,0)*F33</f>
        <v>960</v>
      </c>
      <c r="J33" s="69" t="s">
        <v>136</v>
      </c>
      <c r="K33">
        <v>4</v>
      </c>
      <c r="L33" s="4">
        <v>6535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1"/>
        <v>6.25</v>
      </c>
      <c r="R33" s="52">
        <f t="shared" si="2"/>
        <v>12500</v>
      </c>
      <c r="T33" s="44">
        <v>30</v>
      </c>
      <c r="U33" s="17" t="s">
        <v>40</v>
      </c>
      <c r="V33" s="52"/>
      <c r="W33" s="53"/>
      <c r="X33" s="52">
        <f t="shared" si="3"/>
        <v>0</v>
      </c>
    </row>
    <row r="34" spans="1:24" x14ac:dyDescent="0.35">
      <c r="A34" s="5">
        <v>5</v>
      </c>
      <c r="B34" t="s">
        <v>108</v>
      </c>
      <c r="C34" s="1">
        <v>2</v>
      </c>
      <c r="D34" t="s">
        <v>23</v>
      </c>
      <c r="E34" s="80">
        <f>VLOOKUP(D34,'Bu Erta'!$C$2:$E$66,3,0)</f>
        <v>300</v>
      </c>
      <c r="F34">
        <f>0.75+0.55</f>
        <v>1.3</v>
      </c>
      <c r="G34" s="80">
        <f t="shared" si="0"/>
        <v>390</v>
      </c>
      <c r="H34" s="80">
        <f>VLOOKUP(D34,'Bu Erta'!$C$2:$F$66,4,0)*F34</f>
        <v>520</v>
      </c>
      <c r="J34" s="69" t="s">
        <v>114</v>
      </c>
      <c r="K34">
        <v>4</v>
      </c>
      <c r="L34" s="4">
        <v>105795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1"/>
        <v>10</v>
      </c>
      <c r="R34" s="52">
        <f t="shared" si="2"/>
        <v>20000</v>
      </c>
      <c r="S34">
        <f>4.155+1.195+4.235</f>
        <v>9.5850000000000009</v>
      </c>
      <c r="T34" s="44">
        <v>31</v>
      </c>
      <c r="U34" s="17" t="s">
        <v>41</v>
      </c>
      <c r="V34" s="52"/>
      <c r="W34" s="53"/>
      <c r="X34" s="52">
        <f t="shared" si="3"/>
        <v>0</v>
      </c>
    </row>
    <row r="35" spans="1:24" x14ac:dyDescent="0.35">
      <c r="B35" t="s">
        <v>108</v>
      </c>
      <c r="D35" t="s">
        <v>19</v>
      </c>
      <c r="E35" s="80">
        <f>VLOOKUP(D35,'Bu Erta'!$C$2:$E$66,3,0)</f>
        <v>200</v>
      </c>
      <c r="F35">
        <v>0.75</v>
      </c>
      <c r="G35" s="80">
        <f t="shared" si="0"/>
        <v>150</v>
      </c>
      <c r="H35" s="80">
        <f>VLOOKUP(D35,'Bu Erta'!$C$2:$F$66,4,0)*F35</f>
        <v>225</v>
      </c>
      <c r="J35" s="69" t="s">
        <v>152</v>
      </c>
      <c r="K35">
        <v>4</v>
      </c>
      <c r="L35" s="4">
        <v>970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1"/>
        <v>96.499999999999986</v>
      </c>
      <c r="R35" s="52">
        <f t="shared" si="2"/>
        <v>115799.99999999999</v>
      </c>
      <c r="T35" s="44">
        <v>32</v>
      </c>
      <c r="U35" s="17" t="s">
        <v>42</v>
      </c>
      <c r="V35" s="52"/>
      <c r="W35" s="53"/>
      <c r="X35" s="52">
        <f t="shared" si="3"/>
        <v>0</v>
      </c>
    </row>
    <row r="36" spans="1:24" x14ac:dyDescent="0.35">
      <c r="B36" t="s">
        <v>108</v>
      </c>
      <c r="D36" t="s">
        <v>25</v>
      </c>
      <c r="E36" s="80">
        <f>VLOOKUP(D36,'Bu Erta'!$C$2:$E$66,3,0)</f>
        <v>1600</v>
      </c>
      <c r="F36">
        <v>0.3</v>
      </c>
      <c r="G36" s="80">
        <f t="shared" si="0"/>
        <v>480</v>
      </c>
      <c r="H36" s="80">
        <f>VLOOKUP(D36,'Bu Erta'!$C$2:$F$66,4,0)*F36</f>
        <v>510</v>
      </c>
      <c r="J36" s="69" t="s">
        <v>105</v>
      </c>
      <c r="K36">
        <v>4</v>
      </c>
      <c r="L36" s="4">
        <v>8020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1"/>
        <v>0</v>
      </c>
      <c r="R36" s="52">
        <f t="shared" si="2"/>
        <v>0</v>
      </c>
      <c r="T36" s="44">
        <v>33</v>
      </c>
      <c r="U36" s="17" t="s">
        <v>43</v>
      </c>
      <c r="V36" s="52"/>
      <c r="W36" s="53"/>
      <c r="X36" s="52">
        <f t="shared" si="3"/>
        <v>0</v>
      </c>
    </row>
    <row r="37" spans="1:24" x14ac:dyDescent="0.35">
      <c r="B37" t="s">
        <v>108</v>
      </c>
      <c r="D37" t="s">
        <v>69</v>
      </c>
      <c r="E37" s="80">
        <f>VLOOKUP(D37,'Bu Erta'!$C$2:$E$66,3,0)</f>
        <v>2500</v>
      </c>
      <c r="F37">
        <v>0.1</v>
      </c>
      <c r="G37" s="80">
        <f t="shared" si="0"/>
        <v>250</v>
      </c>
      <c r="H37" s="80">
        <f>VLOOKUP(D37,'Bu Erta'!$C$2:$F$66,4,0)*F37</f>
        <v>300</v>
      </c>
      <c r="J37" s="69" t="s">
        <v>86</v>
      </c>
      <c r="K37">
        <v>4</v>
      </c>
      <c r="L37" s="4">
        <v>8625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1"/>
        <v>0</v>
      </c>
      <c r="R37" s="52">
        <f t="shared" si="2"/>
        <v>0</v>
      </c>
      <c r="T37" s="44">
        <v>34</v>
      </c>
      <c r="U37" s="17" t="s">
        <v>44</v>
      </c>
      <c r="V37" s="52"/>
      <c r="W37" s="53"/>
      <c r="X37" s="52">
        <f t="shared" si="3"/>
        <v>0</v>
      </c>
    </row>
    <row r="38" spans="1:24" x14ac:dyDescent="0.35">
      <c r="B38" t="s">
        <v>108</v>
      </c>
      <c r="D38" t="s">
        <v>88</v>
      </c>
      <c r="E38" s="80">
        <f>VLOOKUP(D38,'Bu Erta'!$C$2:$E$66,3,0)</f>
        <v>300</v>
      </c>
      <c r="F38">
        <v>0.25</v>
      </c>
      <c r="G38" s="80">
        <f t="shared" si="0"/>
        <v>75</v>
      </c>
      <c r="H38" s="80">
        <f>VLOOKUP(D38,'Bu Erta'!$C$2:$F$66,4,0)*F38</f>
        <v>100</v>
      </c>
      <c r="J38" s="69" t="s">
        <v>111</v>
      </c>
      <c r="K38">
        <v>5</v>
      </c>
      <c r="L38" s="4">
        <v>4645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1"/>
        <v>0.95000000000000007</v>
      </c>
      <c r="R38" s="52">
        <f t="shared" si="2"/>
        <v>760</v>
      </c>
      <c r="T38" s="44">
        <v>35</v>
      </c>
      <c r="U38" s="17" t="s">
        <v>45</v>
      </c>
      <c r="V38" s="52"/>
      <c r="W38" s="53"/>
      <c r="X38" s="52">
        <f t="shared" si="3"/>
        <v>0</v>
      </c>
    </row>
    <row r="39" spans="1:24" x14ac:dyDescent="0.35">
      <c r="B39" t="s">
        <v>108</v>
      </c>
      <c r="D39" t="s">
        <v>7</v>
      </c>
      <c r="E39" s="80">
        <f>VLOOKUP(D39,'Bu Erta'!$C$2:$E$66,3,0)</f>
        <v>1400</v>
      </c>
      <c r="F39">
        <f>0.25+0.2+0.15</f>
        <v>0.6</v>
      </c>
      <c r="G39" s="80">
        <f t="shared" si="0"/>
        <v>840</v>
      </c>
      <c r="H39" s="80">
        <f>VLOOKUP(D39,'Bu Erta'!$C$2:$F$66,4,0)*F39</f>
        <v>960</v>
      </c>
      <c r="J39" s="69" t="s">
        <v>189</v>
      </c>
      <c r="K39">
        <v>5</v>
      </c>
      <c r="L39" s="4">
        <v>9275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1"/>
        <v>22.8</v>
      </c>
      <c r="R39" s="52">
        <f t="shared" si="2"/>
        <v>34200</v>
      </c>
      <c r="T39" s="44">
        <v>36</v>
      </c>
      <c r="U39" s="17" t="s">
        <v>46</v>
      </c>
      <c r="V39" s="52"/>
      <c r="W39" s="53"/>
      <c r="X39" s="52">
        <f t="shared" si="3"/>
        <v>0</v>
      </c>
    </row>
    <row r="40" spans="1:24" x14ac:dyDescent="0.35">
      <c r="B40" t="s">
        <v>108</v>
      </c>
      <c r="D40" t="s">
        <v>42</v>
      </c>
      <c r="E40" s="80">
        <f>VLOOKUP(D40,'Bu Erta'!$C$2:$E$66,3,0)</f>
        <v>1000</v>
      </c>
      <c r="F40">
        <v>0.55000000000000004</v>
      </c>
      <c r="G40" s="80">
        <f t="shared" si="0"/>
        <v>550</v>
      </c>
      <c r="H40" s="80">
        <f>VLOOKUP(D40,'Bu Erta'!$C$2:$F$66,4,0)*F40</f>
        <v>660</v>
      </c>
      <c r="J40" s="69" t="s">
        <v>297</v>
      </c>
      <c r="K40">
        <v>5</v>
      </c>
      <c r="L40" s="4">
        <v>23122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1"/>
        <v>0</v>
      </c>
      <c r="R40" s="52">
        <f t="shared" si="2"/>
        <v>0</v>
      </c>
      <c r="T40" s="44">
        <v>37</v>
      </c>
      <c r="U40" s="17" t="s">
        <v>47</v>
      </c>
      <c r="V40" s="52"/>
      <c r="W40" s="53"/>
      <c r="X40" s="52">
        <f t="shared" si="3"/>
        <v>0</v>
      </c>
    </row>
    <row r="41" spans="1:24" x14ac:dyDescent="0.35">
      <c r="B41" t="s">
        <v>108</v>
      </c>
      <c r="D41" t="s">
        <v>31</v>
      </c>
      <c r="E41" s="80">
        <f>VLOOKUP(D41,'Bu Erta'!$C$2:$E$66,3,0)</f>
        <v>1000</v>
      </c>
      <c r="F41">
        <f>10.8+4.75+0.55</f>
        <v>16.100000000000001</v>
      </c>
      <c r="G41" s="80">
        <f t="shared" si="0"/>
        <v>16100.000000000002</v>
      </c>
      <c r="H41" s="80">
        <f>VLOOKUP(D41,'Bu Erta'!$C$2:$F$66,4,0)*F41</f>
        <v>17710</v>
      </c>
      <c r="J41" s="69" t="s">
        <v>149</v>
      </c>
      <c r="K41">
        <v>5</v>
      </c>
      <c r="L41" s="4">
        <v>22085</v>
      </c>
      <c r="N41" s="44">
        <v>38</v>
      </c>
      <c r="O41" s="17" t="s">
        <v>48</v>
      </c>
      <c r="P41" s="52">
        <f>VLOOKUP(O41,'Bu Erta'!$C$2:$F$66,4,0)</f>
        <v>15000</v>
      </c>
      <c r="Q41" s="53">
        <f t="shared" si="1"/>
        <v>0</v>
      </c>
      <c r="R41" s="52">
        <f t="shared" si="2"/>
        <v>0</v>
      </c>
      <c r="T41" s="44">
        <v>38</v>
      </c>
      <c r="U41" s="17" t="s">
        <v>48</v>
      </c>
      <c r="V41" s="52"/>
      <c r="W41" s="53"/>
      <c r="X41" s="52">
        <f t="shared" si="3"/>
        <v>0</v>
      </c>
    </row>
    <row r="42" spans="1:24" x14ac:dyDescent="0.35">
      <c r="A42" s="5">
        <v>6</v>
      </c>
      <c r="B42" t="s">
        <v>86</v>
      </c>
      <c r="C42" s="1">
        <v>4</v>
      </c>
      <c r="D42" t="s">
        <v>27</v>
      </c>
      <c r="E42" s="80">
        <f>VLOOKUP(D42,'Bu Erta'!$C$2:$E$66,3,0)</f>
        <v>2800</v>
      </c>
      <c r="F42">
        <v>0.25</v>
      </c>
      <c r="G42" s="80">
        <f t="shared" si="0"/>
        <v>700</v>
      </c>
      <c r="H42" s="80">
        <f>VLOOKUP(D42,'Bu Erta'!$C$2:$F$66,4,0)*F42</f>
        <v>775</v>
      </c>
      <c r="J42" s="69" t="s">
        <v>243</v>
      </c>
      <c r="K42">
        <v>5</v>
      </c>
      <c r="L42" s="4">
        <v>4800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1"/>
        <v>2.2999999999999998</v>
      </c>
      <c r="R42" s="52">
        <f t="shared" si="2"/>
        <v>2070</v>
      </c>
      <c r="T42" s="44">
        <v>39</v>
      </c>
      <c r="U42" s="17" t="s">
        <v>49</v>
      </c>
      <c r="V42" s="52"/>
      <c r="W42" s="53"/>
      <c r="X42" s="52">
        <f t="shared" si="3"/>
        <v>0</v>
      </c>
    </row>
    <row r="43" spans="1:24" x14ac:dyDescent="0.35">
      <c r="B43" t="s">
        <v>86</v>
      </c>
      <c r="D43" t="s">
        <v>25</v>
      </c>
      <c r="E43" s="80">
        <f>VLOOKUP(D43,'Bu Erta'!$C$2:$E$66,3,0)</f>
        <v>1600</v>
      </c>
      <c r="F43">
        <v>0.35</v>
      </c>
      <c r="G43" s="80">
        <f t="shared" si="0"/>
        <v>560</v>
      </c>
      <c r="H43" s="80">
        <f>VLOOKUP(D43,'Bu Erta'!$C$2:$F$66,4,0)*F43</f>
        <v>595</v>
      </c>
      <c r="J43" s="69" t="s">
        <v>299</v>
      </c>
      <c r="K43">
        <v>6</v>
      </c>
      <c r="L43" s="4">
        <v>13180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1"/>
        <v>0</v>
      </c>
      <c r="R43" s="52">
        <f t="shared" si="2"/>
        <v>0</v>
      </c>
      <c r="T43" s="44">
        <v>40</v>
      </c>
      <c r="U43" s="17" t="s">
        <v>50</v>
      </c>
      <c r="V43" s="52"/>
      <c r="W43" s="53"/>
      <c r="X43" s="52">
        <f t="shared" si="3"/>
        <v>0</v>
      </c>
    </row>
    <row r="44" spans="1:24" x14ac:dyDescent="0.35">
      <c r="B44" t="s">
        <v>86</v>
      </c>
      <c r="D44" t="s">
        <v>42</v>
      </c>
      <c r="E44" s="80">
        <f>VLOOKUP(D44,'Bu Erta'!$C$2:$E$66,3,0)</f>
        <v>1000</v>
      </c>
      <c r="F44">
        <v>0.15</v>
      </c>
      <c r="G44" s="80">
        <f t="shared" si="0"/>
        <v>150</v>
      </c>
      <c r="H44" s="80">
        <f>VLOOKUP(D44,'Bu Erta'!$C$2:$F$66,4,0)*F44</f>
        <v>180</v>
      </c>
      <c r="J44" s="69" t="s">
        <v>295</v>
      </c>
      <c r="K44">
        <v>6</v>
      </c>
      <c r="L44" s="4">
        <v>19280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1"/>
        <v>0</v>
      </c>
      <c r="R44" s="52">
        <f t="shared" si="2"/>
        <v>0</v>
      </c>
      <c r="T44" s="44">
        <v>41</v>
      </c>
      <c r="U44" s="17" t="s">
        <v>51</v>
      </c>
      <c r="V44" s="52"/>
      <c r="W44" s="53"/>
      <c r="X44" s="52">
        <f t="shared" si="3"/>
        <v>0</v>
      </c>
    </row>
    <row r="45" spans="1:24" x14ac:dyDescent="0.35">
      <c r="B45" t="s">
        <v>86</v>
      </c>
      <c r="D45" t="s">
        <v>69</v>
      </c>
      <c r="E45" s="80">
        <f>VLOOKUP(D45,'Bu Erta'!$C$2:$E$66,3,0)</f>
        <v>2500</v>
      </c>
      <c r="F45">
        <v>0.5</v>
      </c>
      <c r="G45" s="80">
        <f t="shared" si="0"/>
        <v>1250</v>
      </c>
      <c r="H45" s="80">
        <f>VLOOKUP(D45,'Bu Erta'!$C$2:$F$66,4,0)*F45</f>
        <v>1500</v>
      </c>
      <c r="J45" s="69" t="s">
        <v>183</v>
      </c>
      <c r="K45">
        <v>7</v>
      </c>
      <c r="L45" s="4">
        <v>5522.5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1"/>
        <v>0</v>
      </c>
      <c r="R45" s="52">
        <f t="shared" si="2"/>
        <v>0</v>
      </c>
      <c r="T45" s="44">
        <v>42</v>
      </c>
      <c r="U45" s="17" t="s">
        <v>52</v>
      </c>
      <c r="V45" s="52"/>
      <c r="W45" s="53"/>
      <c r="X45" s="52">
        <f t="shared" si="3"/>
        <v>0</v>
      </c>
    </row>
    <row r="46" spans="1:24" x14ac:dyDescent="0.35">
      <c r="B46" t="s">
        <v>86</v>
      </c>
      <c r="D46" t="s">
        <v>19</v>
      </c>
      <c r="E46" s="80">
        <f>VLOOKUP(D46,'Bu Erta'!$C$2:$E$66,3,0)</f>
        <v>200</v>
      </c>
      <c r="F46">
        <v>0.35</v>
      </c>
      <c r="G46" s="80">
        <f t="shared" si="0"/>
        <v>70</v>
      </c>
      <c r="H46" s="80">
        <f>VLOOKUP(D46,'Bu Erta'!$C$2:$F$66,4,0)*F46</f>
        <v>105</v>
      </c>
      <c r="J46" s="69" t="s">
        <v>188</v>
      </c>
      <c r="K46">
        <v>7</v>
      </c>
      <c r="L46" s="4">
        <v>6515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si="1"/>
        <v>0</v>
      </c>
      <c r="R46" s="52">
        <f t="shared" si="2"/>
        <v>0</v>
      </c>
      <c r="T46" s="44">
        <v>43</v>
      </c>
      <c r="U46" s="17" t="s">
        <v>53</v>
      </c>
      <c r="V46" s="52"/>
      <c r="W46" s="53"/>
      <c r="X46" s="52">
        <f t="shared" si="3"/>
        <v>0</v>
      </c>
    </row>
    <row r="47" spans="1:24" x14ac:dyDescent="0.35">
      <c r="B47" t="s">
        <v>86</v>
      </c>
      <c r="D47" t="s">
        <v>31</v>
      </c>
      <c r="E47" s="80">
        <f>VLOOKUP(D47,'Bu Erta'!$C$2:$E$66,3,0)</f>
        <v>1000</v>
      </c>
      <c r="F47">
        <v>0.7</v>
      </c>
      <c r="G47" s="80">
        <f t="shared" si="0"/>
        <v>700</v>
      </c>
      <c r="H47" s="80">
        <f>VLOOKUP(D47,'Bu Erta'!$C$2:$F$66,4,0)*F47</f>
        <v>770</v>
      </c>
      <c r="J47" s="69" t="s">
        <v>241</v>
      </c>
      <c r="K47">
        <v>7</v>
      </c>
      <c r="L47" s="4">
        <v>4150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1"/>
        <v>0</v>
      </c>
      <c r="R47" s="52">
        <f t="shared" si="2"/>
        <v>0</v>
      </c>
      <c r="T47" s="44">
        <v>44</v>
      </c>
      <c r="U47" s="17" t="s">
        <v>54</v>
      </c>
      <c r="V47" s="52"/>
      <c r="W47" s="53"/>
      <c r="X47" s="52">
        <f t="shared" si="3"/>
        <v>0</v>
      </c>
    </row>
    <row r="48" spans="1:24" x14ac:dyDescent="0.35">
      <c r="B48" t="s">
        <v>86</v>
      </c>
      <c r="D48" t="s">
        <v>24</v>
      </c>
      <c r="E48" s="80">
        <f>VLOOKUP(D48,'Bu Erta'!$C$2:$E$66,3,0)</f>
        <v>150</v>
      </c>
      <c r="F48">
        <v>0.1</v>
      </c>
      <c r="G48" s="80">
        <f t="shared" si="0"/>
        <v>15</v>
      </c>
      <c r="H48" s="80">
        <f>VLOOKUP(D48,'Bu Erta'!$C$2:$F$66,4,0)*F48</f>
        <v>20</v>
      </c>
      <c r="J48" s="69" t="s">
        <v>81</v>
      </c>
      <c r="K48">
        <v>159</v>
      </c>
      <c r="L48" s="4">
        <v>560888.5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1"/>
        <v>0</v>
      </c>
      <c r="R48" s="52">
        <f t="shared" si="2"/>
        <v>0</v>
      </c>
      <c r="T48" s="44">
        <v>45</v>
      </c>
      <c r="U48" s="17" t="s">
        <v>55</v>
      </c>
      <c r="V48" s="52"/>
      <c r="W48" s="53"/>
      <c r="X48" s="52">
        <f t="shared" si="3"/>
        <v>0</v>
      </c>
    </row>
    <row r="49" spans="1:24" x14ac:dyDescent="0.35">
      <c r="B49" t="s">
        <v>86</v>
      </c>
      <c r="D49" t="s">
        <v>7</v>
      </c>
      <c r="E49" s="80">
        <f>VLOOKUP(D49,'Bu Erta'!$C$2:$E$66,3,0)</f>
        <v>1400</v>
      </c>
      <c r="F49">
        <v>3.7</v>
      </c>
      <c r="G49" s="80">
        <f t="shared" si="0"/>
        <v>5180</v>
      </c>
      <c r="H49" s="80">
        <f>VLOOKUP(D49,'Bu Erta'!$C$2:$F$66,4,0)*F49</f>
        <v>5920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1"/>
        <v>6.5500000000000007</v>
      </c>
      <c r="R49" s="52">
        <f t="shared" si="2"/>
        <v>36025.000000000007</v>
      </c>
      <c r="T49" s="44">
        <v>46</v>
      </c>
      <c r="U49" s="17" t="s">
        <v>56</v>
      </c>
      <c r="V49" s="52"/>
      <c r="W49" s="53"/>
      <c r="X49" s="52">
        <f t="shared" si="3"/>
        <v>0</v>
      </c>
    </row>
    <row r="50" spans="1:24" x14ac:dyDescent="0.35">
      <c r="A50" s="5">
        <v>7</v>
      </c>
      <c r="B50" t="s">
        <v>295</v>
      </c>
      <c r="C50" s="5">
        <v>6</v>
      </c>
      <c r="D50" t="s">
        <v>42</v>
      </c>
      <c r="E50" s="80">
        <f>VLOOKUP(D50,'Bu Erta'!$C$2:$E$66,3,0)</f>
        <v>1000</v>
      </c>
      <c r="F50">
        <v>0.35</v>
      </c>
      <c r="G50" s="80">
        <f t="shared" si="0"/>
        <v>350</v>
      </c>
      <c r="H50" s="80">
        <f>VLOOKUP(D50,'Bu Erta'!$C$2:$F$66,4,0)*F50</f>
        <v>420</v>
      </c>
      <c r="N50" s="44">
        <v>47</v>
      </c>
      <c r="O50" s="17" t="s">
        <v>88</v>
      </c>
      <c r="P50" s="52">
        <f>VLOOKUP(O50,'Bu Erta'!$C$2:$F$66,4,0)</f>
        <v>400</v>
      </c>
      <c r="Q50" s="53">
        <v>11.45</v>
      </c>
      <c r="R50" s="96">
        <f t="shared" si="2"/>
        <v>4580</v>
      </c>
      <c r="S50">
        <v>11.45</v>
      </c>
      <c r="T50" s="44">
        <v>47</v>
      </c>
      <c r="U50" s="17" t="s">
        <v>88</v>
      </c>
      <c r="V50" s="52"/>
      <c r="W50" s="53"/>
      <c r="X50" s="52">
        <f t="shared" si="3"/>
        <v>0</v>
      </c>
    </row>
    <row r="51" spans="1:24" x14ac:dyDescent="0.35">
      <c r="B51" t="s">
        <v>295</v>
      </c>
      <c r="D51" t="s">
        <v>31</v>
      </c>
      <c r="E51" s="80">
        <f>VLOOKUP(D51,'Bu Erta'!$C$2:$E$66,3,0)</f>
        <v>1000</v>
      </c>
      <c r="F51">
        <f>2.15+1</f>
        <v>3.15</v>
      </c>
      <c r="G51" s="80">
        <f t="shared" si="0"/>
        <v>3150</v>
      </c>
      <c r="H51" s="80">
        <f>VLOOKUP(D51,'Bu Erta'!$C$2:$F$66,4,0)*F51</f>
        <v>3465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si="1"/>
        <v>0</v>
      </c>
      <c r="R51" s="52">
        <f t="shared" si="2"/>
        <v>0</v>
      </c>
      <c r="T51" s="44">
        <v>48</v>
      </c>
      <c r="U51" s="17" t="s">
        <v>57</v>
      </c>
      <c r="V51" s="52"/>
      <c r="W51" s="53"/>
      <c r="X51" s="52">
        <f t="shared" si="3"/>
        <v>0</v>
      </c>
    </row>
    <row r="52" spans="1:24" x14ac:dyDescent="0.35">
      <c r="B52" t="s">
        <v>295</v>
      </c>
      <c r="D52" t="s">
        <v>28</v>
      </c>
      <c r="E52" s="80">
        <f>VLOOKUP(D52,'Bu Erta'!$C$2:$E$66,3,0)</f>
        <v>1200</v>
      </c>
      <c r="F52">
        <v>13.15</v>
      </c>
      <c r="G52" s="80">
        <f t="shared" si="0"/>
        <v>15780</v>
      </c>
      <c r="H52" s="80">
        <f>VLOOKUP(D52,'Bu Erta'!$C$2:$F$66,4,0)*F52</f>
        <v>17095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1"/>
        <v>0</v>
      </c>
      <c r="R52" s="52">
        <f t="shared" si="2"/>
        <v>0</v>
      </c>
      <c r="T52" s="44">
        <v>49</v>
      </c>
      <c r="U52" s="17" t="s">
        <v>58</v>
      </c>
      <c r="V52" s="52"/>
      <c r="W52" s="53"/>
      <c r="X52" s="52">
        <f t="shared" si="3"/>
        <v>0</v>
      </c>
    </row>
    <row r="53" spans="1:24" x14ac:dyDescent="0.35">
      <c r="A53" s="5">
        <v>8</v>
      </c>
      <c r="B53" t="s">
        <v>149</v>
      </c>
      <c r="C53" s="1">
        <v>5</v>
      </c>
      <c r="D53" t="s">
        <v>27</v>
      </c>
      <c r="E53" s="80">
        <f>VLOOKUP(D53,'Bu Erta'!$C$2:$E$66,3,0)</f>
        <v>2800</v>
      </c>
      <c r="F53">
        <f>1.3+1.4</f>
        <v>2.7</v>
      </c>
      <c r="G53" s="80">
        <f t="shared" si="0"/>
        <v>7560.0000000000009</v>
      </c>
      <c r="H53" s="80">
        <f>VLOOKUP(D53,'Bu Erta'!$C$2:$F$66,4,0)*F53</f>
        <v>8370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1"/>
        <v>2.2000000000000002</v>
      </c>
      <c r="R53" s="52">
        <f t="shared" si="2"/>
        <v>5500</v>
      </c>
      <c r="T53" s="44">
        <v>50</v>
      </c>
      <c r="U53" s="17" t="s">
        <v>6</v>
      </c>
      <c r="V53" s="52"/>
      <c r="W53" s="53"/>
      <c r="X53" s="52">
        <f t="shared" si="3"/>
        <v>0</v>
      </c>
    </row>
    <row r="54" spans="1:24" x14ac:dyDescent="0.35">
      <c r="B54" t="s">
        <v>149</v>
      </c>
      <c r="D54" t="s">
        <v>29</v>
      </c>
      <c r="E54" s="80">
        <f>VLOOKUP(D54,'Bu Erta'!$C$2:$E$66,3,0)</f>
        <v>5000</v>
      </c>
      <c r="F54">
        <v>1.55</v>
      </c>
      <c r="G54" s="80">
        <f t="shared" si="0"/>
        <v>7750</v>
      </c>
      <c r="H54" s="80">
        <f>VLOOKUP(D54,'Bu Erta'!$C$2:$F$66,4,0)*F54</f>
        <v>9300</v>
      </c>
      <c r="J54" t="s">
        <v>228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1"/>
        <v>0</v>
      </c>
      <c r="R54" s="52">
        <f t="shared" si="2"/>
        <v>0</v>
      </c>
      <c r="T54" s="44">
        <v>51</v>
      </c>
      <c r="U54" s="17" t="s">
        <v>59</v>
      </c>
      <c r="V54" s="52"/>
      <c r="W54" s="53"/>
      <c r="X54" s="52">
        <f t="shared" si="3"/>
        <v>0</v>
      </c>
    </row>
    <row r="55" spans="1:24" x14ac:dyDescent="0.35">
      <c r="B55" t="s">
        <v>149</v>
      </c>
      <c r="D55" t="s">
        <v>42</v>
      </c>
      <c r="E55" s="80">
        <f>VLOOKUP(D55,'Bu Erta'!$C$2:$E$66,3,0)</f>
        <v>1000</v>
      </c>
      <c r="F55">
        <v>4.5</v>
      </c>
      <c r="G55" s="80">
        <f t="shared" si="0"/>
        <v>4500</v>
      </c>
      <c r="H55" s="80">
        <f>VLOOKUP(D55,'Bu Erta'!$C$2:$F$66,4,0)*F55</f>
        <v>5400</v>
      </c>
      <c r="J55" s="4">
        <f>R68+X68-GETPIVOTDATA("Sum of Total Harga",$J$2)</f>
        <v>354225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1"/>
        <v>0</v>
      </c>
      <c r="R55" s="52">
        <f t="shared" si="2"/>
        <v>0</v>
      </c>
      <c r="T55" s="44">
        <v>52</v>
      </c>
      <c r="U55" s="17" t="s">
        <v>60</v>
      </c>
      <c r="V55" s="52"/>
      <c r="W55" s="53"/>
      <c r="X55" s="52">
        <f t="shared" si="3"/>
        <v>0</v>
      </c>
    </row>
    <row r="56" spans="1:24" x14ac:dyDescent="0.35">
      <c r="B56" t="s">
        <v>149</v>
      </c>
      <c r="D56" t="s">
        <v>41</v>
      </c>
      <c r="E56" s="80">
        <f>VLOOKUP(D56,'Bu Erta'!$C$2:$E$66,3,0)</f>
        <v>1500</v>
      </c>
      <c r="F56">
        <v>0.15</v>
      </c>
      <c r="G56" s="80">
        <f t="shared" si="0"/>
        <v>225</v>
      </c>
      <c r="H56" s="80">
        <f>VLOOKUP(D56,'Bu Erta'!$C$2:$F$66,4,0)*F56</f>
        <v>300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1"/>
        <v>2.6999999999999997</v>
      </c>
      <c r="R56" s="52">
        <f t="shared" si="2"/>
        <v>2429.9999999999995</v>
      </c>
      <c r="S56">
        <f>0.505+2.06</f>
        <v>2.5649999999999999</v>
      </c>
      <c r="T56" s="44">
        <v>53</v>
      </c>
      <c r="U56" s="17" t="s">
        <v>61</v>
      </c>
      <c r="V56" s="52"/>
      <c r="W56" s="53"/>
      <c r="X56" s="52">
        <f t="shared" si="3"/>
        <v>0</v>
      </c>
    </row>
    <row r="57" spans="1:24" x14ac:dyDescent="0.35">
      <c r="B57" t="s">
        <v>149</v>
      </c>
      <c r="D57" t="s">
        <v>69</v>
      </c>
      <c r="E57" s="80">
        <f>VLOOKUP(D57,'Bu Erta'!$C$2:$E$66,3,0)</f>
        <v>2500</v>
      </c>
      <c r="F57">
        <v>0.2</v>
      </c>
      <c r="G57" s="80">
        <f t="shared" si="0"/>
        <v>500</v>
      </c>
      <c r="H57" s="80">
        <f>VLOOKUP(D57,'Bu Erta'!$C$2:$F$66,4,0)*F57</f>
        <v>600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1"/>
        <v>0.65</v>
      </c>
      <c r="R57" s="52">
        <f t="shared" si="2"/>
        <v>325</v>
      </c>
      <c r="T57" s="44">
        <v>54</v>
      </c>
      <c r="U57" s="17" t="s">
        <v>62</v>
      </c>
      <c r="V57" s="52"/>
      <c r="W57" s="53"/>
      <c r="X57" s="52">
        <f t="shared" si="3"/>
        <v>0</v>
      </c>
    </row>
    <row r="58" spans="1:24" x14ac:dyDescent="0.35">
      <c r="B58" t="s">
        <v>149</v>
      </c>
      <c r="D58" t="s">
        <v>31</v>
      </c>
      <c r="E58" s="80">
        <f>VLOOKUP(D58,'Bu Erta'!$C$2:$E$66,3,0)</f>
        <v>1000</v>
      </c>
      <c r="F58">
        <v>1.55</v>
      </c>
      <c r="G58" s="80">
        <f t="shared" si="0"/>
        <v>1550</v>
      </c>
      <c r="H58" s="80">
        <f>VLOOKUP(D58,'Bu Erta'!$C$2:$F$66,4,0)*F58</f>
        <v>1705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1"/>
        <v>0</v>
      </c>
      <c r="R58" s="52">
        <f t="shared" si="2"/>
        <v>0</v>
      </c>
      <c r="T58" s="44">
        <v>55</v>
      </c>
      <c r="U58" s="17" t="s">
        <v>63</v>
      </c>
      <c r="V58" s="52"/>
      <c r="W58" s="53"/>
      <c r="X58" s="52">
        <f t="shared" si="3"/>
        <v>0</v>
      </c>
    </row>
    <row r="59" spans="1:24" x14ac:dyDescent="0.35">
      <c r="A59" s="5">
        <v>9</v>
      </c>
      <c r="B59" t="s">
        <v>197</v>
      </c>
      <c r="C59" s="5">
        <v>1</v>
      </c>
      <c r="D59" t="s">
        <v>65</v>
      </c>
      <c r="E59" s="80">
        <f>VLOOKUP(D59,'Bu Erta'!$C$2:$E$66,3,0)</f>
        <v>150</v>
      </c>
      <c r="F59">
        <v>0.6</v>
      </c>
      <c r="G59" s="80">
        <f t="shared" si="0"/>
        <v>90</v>
      </c>
      <c r="H59" s="80">
        <f>VLOOKUP(D59,'Bu Erta'!$C$2:$F$66,4,0)*F59</f>
        <v>120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1"/>
        <v>0</v>
      </c>
      <c r="R59" s="52">
        <f t="shared" si="2"/>
        <v>0</v>
      </c>
      <c r="T59" s="44">
        <v>56</v>
      </c>
      <c r="U59" s="17" t="s">
        <v>64</v>
      </c>
      <c r="V59" s="52"/>
      <c r="W59" s="53"/>
      <c r="X59" s="52">
        <f t="shared" si="3"/>
        <v>0</v>
      </c>
    </row>
    <row r="60" spans="1:24" x14ac:dyDescent="0.35">
      <c r="B60" t="s">
        <v>197</v>
      </c>
      <c r="D60" t="s">
        <v>19</v>
      </c>
      <c r="E60" s="80">
        <f>VLOOKUP(D60,'Bu Erta'!$C$2:$E$66,3,0)</f>
        <v>200</v>
      </c>
      <c r="F60">
        <v>0.9</v>
      </c>
      <c r="G60" s="80">
        <f t="shared" si="0"/>
        <v>180</v>
      </c>
      <c r="H60" s="80">
        <f>VLOOKUP(D60,'Bu Erta'!$C$2:$F$66,4,0)*F60</f>
        <v>270</v>
      </c>
      <c r="N60" s="44">
        <v>57</v>
      </c>
      <c r="O60" s="17" t="s">
        <v>65</v>
      </c>
      <c r="P60" s="52">
        <f>VLOOKUP(O60,'Bu Erta'!$C$2:$F$66,4,0)</f>
        <v>200</v>
      </c>
      <c r="Q60" s="53">
        <f t="shared" si="1"/>
        <v>1.3599999999999999</v>
      </c>
      <c r="R60" s="96">
        <f t="shared" si="2"/>
        <v>272</v>
      </c>
      <c r="T60" s="44">
        <v>57</v>
      </c>
      <c r="U60" s="17" t="s">
        <v>65</v>
      </c>
      <c r="V60" s="52"/>
      <c r="W60" s="53"/>
      <c r="X60" s="52">
        <f t="shared" si="3"/>
        <v>0</v>
      </c>
    </row>
    <row r="61" spans="1:24" x14ac:dyDescent="0.35">
      <c r="B61" t="s">
        <v>197</v>
      </c>
      <c r="D61" t="s">
        <v>7</v>
      </c>
      <c r="E61" s="80">
        <f>VLOOKUP(D61,'Bu Erta'!$C$2:$E$66,3,0)</f>
        <v>1400</v>
      </c>
      <c r="F61">
        <v>1.25</v>
      </c>
      <c r="G61" s="80">
        <f t="shared" si="0"/>
        <v>1750</v>
      </c>
      <c r="H61" s="80">
        <f>VLOOKUP(D61,'Bu Erta'!$C$2:$F$66,4,0)*F61</f>
        <v>2000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1"/>
        <v>0</v>
      </c>
      <c r="R61" s="52">
        <f t="shared" si="2"/>
        <v>0</v>
      </c>
      <c r="T61" s="44">
        <v>58</v>
      </c>
      <c r="U61" s="17" t="s">
        <v>66</v>
      </c>
      <c r="V61" s="52"/>
      <c r="W61" s="53"/>
      <c r="X61" s="52">
        <f t="shared" si="3"/>
        <v>0</v>
      </c>
    </row>
    <row r="62" spans="1:24" x14ac:dyDescent="0.35">
      <c r="B62" t="s">
        <v>197</v>
      </c>
      <c r="D62" t="s">
        <v>23</v>
      </c>
      <c r="E62" s="80">
        <f>VLOOKUP(D62,'Bu Erta'!$C$2:$E$66,3,0)</f>
        <v>300</v>
      </c>
      <c r="F62">
        <v>0.5</v>
      </c>
      <c r="G62" s="80">
        <f t="shared" si="0"/>
        <v>150</v>
      </c>
      <c r="H62" s="80">
        <f>VLOOKUP(D62,'Bu Erta'!$C$2:$F$66,4,0)*F62</f>
        <v>200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1"/>
        <v>3.25</v>
      </c>
      <c r="R62" s="52">
        <f t="shared" si="2"/>
        <v>9750</v>
      </c>
      <c r="T62" s="44">
        <v>59</v>
      </c>
      <c r="U62" s="17" t="s">
        <v>67</v>
      </c>
      <c r="V62" s="52"/>
      <c r="W62" s="53"/>
      <c r="X62" s="52">
        <f t="shared" si="3"/>
        <v>0</v>
      </c>
    </row>
    <row r="63" spans="1:24" x14ac:dyDescent="0.35">
      <c r="B63" t="s">
        <v>197</v>
      </c>
      <c r="D63" t="s">
        <v>6</v>
      </c>
      <c r="E63" s="80">
        <f>VLOOKUP(D63,'Bu Erta'!$C$2:$E$66,3,0)</f>
        <v>2000</v>
      </c>
      <c r="F63">
        <v>0.45</v>
      </c>
      <c r="G63" s="80">
        <f t="shared" si="0"/>
        <v>900</v>
      </c>
      <c r="H63" s="80">
        <f>VLOOKUP(D63,'Bu Erta'!$C$2:$F$66,4,0)*F63</f>
        <v>1125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1"/>
        <v>1.65</v>
      </c>
      <c r="R63" s="96">
        <f t="shared" si="2"/>
        <v>330</v>
      </c>
      <c r="T63" s="44">
        <v>60</v>
      </c>
      <c r="U63" s="17" t="s">
        <v>68</v>
      </c>
      <c r="V63" s="52"/>
      <c r="W63" s="53"/>
      <c r="X63" s="52">
        <f t="shared" si="3"/>
        <v>0</v>
      </c>
    </row>
    <row r="64" spans="1:24" x14ac:dyDescent="0.35">
      <c r="B64" t="s">
        <v>197</v>
      </c>
      <c r="D64" t="s">
        <v>31</v>
      </c>
      <c r="E64" s="80">
        <f>VLOOKUP(D64,'Bu Erta'!$C$2:$E$66,3,0)</f>
        <v>1000</v>
      </c>
      <c r="F64">
        <v>0.7</v>
      </c>
      <c r="G64" s="80">
        <f t="shared" si="0"/>
        <v>700</v>
      </c>
      <c r="H64" s="80">
        <f>VLOOKUP(D64,'Bu Erta'!$C$2:$F$66,4,0)*F64</f>
        <v>770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1"/>
        <v>2.75</v>
      </c>
      <c r="R64" s="52">
        <f t="shared" si="2"/>
        <v>8250</v>
      </c>
      <c r="T64" s="44">
        <v>61</v>
      </c>
      <c r="U64" s="17" t="s">
        <v>69</v>
      </c>
      <c r="V64" s="52"/>
      <c r="W64" s="53"/>
      <c r="X64" s="52">
        <f t="shared" si="3"/>
        <v>0</v>
      </c>
    </row>
    <row r="65" spans="1:24" x14ac:dyDescent="0.35">
      <c r="B65" t="s">
        <v>197</v>
      </c>
      <c r="D65" t="s">
        <v>25</v>
      </c>
      <c r="E65" s="80">
        <f>VLOOKUP(D65,'Bu Erta'!$C$2:$E$66,3,0)</f>
        <v>1600</v>
      </c>
      <c r="F65">
        <v>1.65</v>
      </c>
      <c r="G65" s="80">
        <f t="shared" si="0"/>
        <v>2640</v>
      </c>
      <c r="H65" s="80">
        <f>VLOOKUP(D65,'Bu Erta'!$C$2:$F$66,4,0)*F65</f>
        <v>2805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1"/>
        <v>0</v>
      </c>
      <c r="R65" s="52">
        <f t="shared" si="2"/>
        <v>0</v>
      </c>
      <c r="T65" s="44">
        <v>62</v>
      </c>
      <c r="U65" s="17" t="s">
        <v>70</v>
      </c>
      <c r="V65" s="52"/>
      <c r="W65" s="53"/>
      <c r="X65" s="52">
        <f t="shared" si="3"/>
        <v>0</v>
      </c>
    </row>
    <row r="66" spans="1:24" x14ac:dyDescent="0.35">
      <c r="B66" t="s">
        <v>197</v>
      </c>
      <c r="D66" t="s">
        <v>88</v>
      </c>
      <c r="E66" s="80">
        <f>VLOOKUP(D66,'Bu Erta'!$C$2:$E$66,3,0)</f>
        <v>300</v>
      </c>
      <c r="F66">
        <v>0.4</v>
      </c>
      <c r="G66" s="80">
        <f t="shared" si="0"/>
        <v>120</v>
      </c>
      <c r="H66" s="80">
        <f>VLOOKUP(D66,'Bu Erta'!$C$2:$F$66,4,0)*F66</f>
        <v>160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1"/>
        <v>0</v>
      </c>
      <c r="R66" s="52">
        <f t="shared" si="2"/>
        <v>0</v>
      </c>
      <c r="T66" s="44">
        <v>63</v>
      </c>
      <c r="U66" s="17" t="s">
        <v>71</v>
      </c>
      <c r="V66" s="52"/>
      <c r="W66" s="53"/>
      <c r="X66" s="52">
        <f t="shared" si="3"/>
        <v>0</v>
      </c>
    </row>
    <row r="67" spans="1:24" x14ac:dyDescent="0.35">
      <c r="B67" t="s">
        <v>197</v>
      </c>
      <c r="D67" t="s">
        <v>61</v>
      </c>
      <c r="E67" s="80">
        <f>VLOOKUP(D67,'Bu Erta'!$C$2:$E$66,3,0)</f>
        <v>800</v>
      </c>
      <c r="F67">
        <v>0.15</v>
      </c>
      <c r="G67" s="80">
        <f t="shared" si="0"/>
        <v>120</v>
      </c>
      <c r="H67" s="80">
        <f>VLOOKUP(D67,'Bu Erta'!$C$2:$F$66,4,0)*F67</f>
        <v>135</v>
      </c>
      <c r="N67" s="44">
        <v>64</v>
      </c>
      <c r="O67" s="17" t="s">
        <v>72</v>
      </c>
      <c r="P67" s="52">
        <f>VLOOKUP(O67,'Bu Erta'!$C$2:$F$66,4,0)</f>
        <v>15000</v>
      </c>
      <c r="Q67" s="53">
        <f t="shared" si="1"/>
        <v>0</v>
      </c>
      <c r="R67" s="52">
        <f t="shared" si="2"/>
        <v>0</v>
      </c>
      <c r="T67" s="44">
        <v>64</v>
      </c>
      <c r="U67" s="17" t="s">
        <v>72</v>
      </c>
      <c r="V67" s="52"/>
      <c r="W67" s="53"/>
      <c r="X67" s="52">
        <f t="shared" si="3"/>
        <v>0</v>
      </c>
    </row>
    <row r="68" spans="1:24" x14ac:dyDescent="0.35">
      <c r="B68" t="s">
        <v>197</v>
      </c>
      <c r="D68" t="s">
        <v>24</v>
      </c>
      <c r="E68" s="80">
        <f>VLOOKUP(D68,'Bu Erta'!$C$2:$E$66,3,0)</f>
        <v>150</v>
      </c>
      <c r="F68">
        <v>0.65</v>
      </c>
      <c r="G68" s="80">
        <f t="shared" ref="G68:G131" si="4">E68*F68</f>
        <v>97.5</v>
      </c>
      <c r="H68" s="80">
        <f>VLOOKUP(D68,'Bu Erta'!$C$2:$F$66,4,0)*F68</f>
        <v>130</v>
      </c>
      <c r="N68" s="17"/>
      <c r="O68" s="17"/>
      <c r="P68" s="54" t="s">
        <v>130</v>
      </c>
      <c r="Q68" s="54">
        <f>SUM(Q4:Q67)</f>
        <v>484.94</v>
      </c>
      <c r="R68" s="87">
        <f>SUM(R4:R67)-R50-R60-R63</f>
        <v>633113.5</v>
      </c>
      <c r="T68" s="17"/>
      <c r="U68" s="17"/>
      <c r="V68" s="54" t="s">
        <v>130</v>
      </c>
      <c r="W68" s="54">
        <f>SUM(W4:W67)</f>
        <v>28.5</v>
      </c>
      <c r="X68" s="87">
        <f>SUM(X4:X67)</f>
        <v>282000</v>
      </c>
    </row>
    <row r="69" spans="1:24" x14ac:dyDescent="0.35">
      <c r="B69" t="s">
        <v>197</v>
      </c>
      <c r="D69" t="s">
        <v>41</v>
      </c>
      <c r="E69" s="80">
        <f>VLOOKUP(D69,'Bu Erta'!$C$2:$E$66,3,0)</f>
        <v>1500</v>
      </c>
      <c r="F69">
        <v>0.65</v>
      </c>
      <c r="G69" s="80">
        <f t="shared" si="4"/>
        <v>975</v>
      </c>
      <c r="H69" s="80">
        <f>VLOOKUP(D69,'Bu Erta'!$C$2:$F$66,4,0)*F69</f>
        <v>1300</v>
      </c>
    </row>
    <row r="70" spans="1:24" x14ac:dyDescent="0.35">
      <c r="B70" t="s">
        <v>197</v>
      </c>
      <c r="D70" t="s">
        <v>29</v>
      </c>
      <c r="E70" s="80">
        <f>VLOOKUP(D70,'Bu Erta'!$C$2:$E$66,3,0)</f>
        <v>5000</v>
      </c>
      <c r="F70">
        <v>1.55</v>
      </c>
      <c r="G70" s="80">
        <f t="shared" si="4"/>
        <v>7750</v>
      </c>
      <c r="H70" s="80">
        <f>VLOOKUP(D70,'Bu Erta'!$C$2:$F$66,4,0)*F70</f>
        <v>9300</v>
      </c>
    </row>
    <row r="71" spans="1:24" x14ac:dyDescent="0.35">
      <c r="B71" t="s">
        <v>197</v>
      </c>
      <c r="D71" t="s">
        <v>22</v>
      </c>
      <c r="E71" s="80">
        <f>VLOOKUP(D71,'Bu Erta'!$C$2:$E$66,3,0)</f>
        <v>2500</v>
      </c>
      <c r="F71">
        <f>3+1+0.45</f>
        <v>4.45</v>
      </c>
      <c r="G71" s="80">
        <f t="shared" si="4"/>
        <v>11125</v>
      </c>
      <c r="H71" s="80">
        <f>VLOOKUP(D71,'Bu Erta'!$C$2:$F$66,4,0)*F71</f>
        <v>13350</v>
      </c>
    </row>
    <row r="72" spans="1:24" x14ac:dyDescent="0.35">
      <c r="B72" t="s">
        <v>197</v>
      </c>
      <c r="D72" t="s">
        <v>17</v>
      </c>
      <c r="E72" s="80">
        <f>VLOOKUP(D72,'Bu Erta'!$C$2:$E$66,3,0)</f>
        <v>8000</v>
      </c>
      <c r="F72">
        <f>0.35+0.14</f>
        <v>0.49</v>
      </c>
      <c r="G72" s="80">
        <f t="shared" si="4"/>
        <v>3920</v>
      </c>
      <c r="H72" s="80">
        <f>VLOOKUP(D72,'Bu Erta'!$C$2:$F$66,4,0)*F72</f>
        <v>4165</v>
      </c>
    </row>
    <row r="73" spans="1:24" x14ac:dyDescent="0.35">
      <c r="A73" s="5">
        <v>10</v>
      </c>
      <c r="B73" t="s">
        <v>118</v>
      </c>
      <c r="C73" s="1">
        <v>4</v>
      </c>
      <c r="D73" t="s">
        <v>7</v>
      </c>
      <c r="E73" s="80">
        <f>VLOOKUP(D73,'Bu Erta'!$C$2:$E$66,3,0)</f>
        <v>1400</v>
      </c>
      <c r="F73">
        <f>2+0.6</f>
        <v>2.6</v>
      </c>
      <c r="G73" s="80">
        <f t="shared" si="4"/>
        <v>3640</v>
      </c>
      <c r="H73" s="80">
        <f>VLOOKUP(D73,'Bu Erta'!$C$2:$F$66,4,0)*F73</f>
        <v>4160</v>
      </c>
    </row>
    <row r="74" spans="1:24" x14ac:dyDescent="0.35">
      <c r="B74" t="s">
        <v>118</v>
      </c>
      <c r="D74" t="s">
        <v>24</v>
      </c>
      <c r="E74" s="80">
        <f>VLOOKUP(D74,'Bu Erta'!$C$2:$E$66,3,0)</f>
        <v>150</v>
      </c>
      <c r="F74">
        <v>2.0499999999999998</v>
      </c>
      <c r="G74" s="80">
        <f t="shared" si="4"/>
        <v>307.5</v>
      </c>
      <c r="H74" s="80">
        <f>VLOOKUP(D74,'Bu Erta'!$C$2:$F$66,4,0)*F74</f>
        <v>409.99999999999994</v>
      </c>
    </row>
    <row r="75" spans="1:24" x14ac:dyDescent="0.35">
      <c r="B75" t="s">
        <v>118</v>
      </c>
      <c r="D75" t="s">
        <v>61</v>
      </c>
      <c r="E75" s="80">
        <f>VLOOKUP(D75,'Bu Erta'!$C$2:$E$66,3,0)</f>
        <v>800</v>
      </c>
      <c r="F75">
        <v>0.45</v>
      </c>
      <c r="G75" s="80">
        <f t="shared" si="4"/>
        <v>360</v>
      </c>
      <c r="H75" s="80">
        <f>VLOOKUP(D75,'Bu Erta'!$C$2:$F$66,4,0)*F75</f>
        <v>405</v>
      </c>
    </row>
    <row r="76" spans="1:24" x14ac:dyDescent="0.35">
      <c r="B76" t="s">
        <v>118</v>
      </c>
      <c r="D76" t="s">
        <v>31</v>
      </c>
      <c r="E76" s="80">
        <f>VLOOKUP(D76,'Bu Erta'!$C$2:$E$66,3,0)</f>
        <v>1000</v>
      </c>
      <c r="F76">
        <v>1</v>
      </c>
      <c r="G76" s="80">
        <f t="shared" si="4"/>
        <v>1000</v>
      </c>
      <c r="H76" s="80">
        <f>VLOOKUP(D76,'Bu Erta'!$C$2:$F$66,4,0)*F76</f>
        <v>1100</v>
      </c>
    </row>
    <row r="77" spans="1:24" x14ac:dyDescent="0.35">
      <c r="B77" t="s">
        <v>118</v>
      </c>
      <c r="D77" t="s">
        <v>25</v>
      </c>
      <c r="E77" s="80">
        <f>VLOOKUP(D77,'Bu Erta'!$C$2:$E$66,3,0)</f>
        <v>1600</v>
      </c>
      <c r="F77">
        <v>0.6</v>
      </c>
      <c r="G77" s="80">
        <f t="shared" si="4"/>
        <v>960</v>
      </c>
      <c r="H77" s="80">
        <f>VLOOKUP(D77,'Bu Erta'!$C$2:$F$66,4,0)*F77</f>
        <v>1020</v>
      </c>
    </row>
    <row r="78" spans="1:24" x14ac:dyDescent="0.35">
      <c r="A78" s="5">
        <v>11</v>
      </c>
      <c r="B78" t="s">
        <v>76</v>
      </c>
      <c r="C78" s="1">
        <v>3</v>
      </c>
      <c r="D78" t="s">
        <v>69</v>
      </c>
      <c r="E78" s="80">
        <f>VLOOKUP(D78,'Bu Erta'!$C$2:$E$66,3,0)</f>
        <v>2500</v>
      </c>
      <c r="F78">
        <v>0.3</v>
      </c>
      <c r="G78" s="80">
        <f t="shared" si="4"/>
        <v>750</v>
      </c>
      <c r="H78" s="80">
        <f>VLOOKUP(D78,'Bu Erta'!$C$2:$F$66,4,0)*F78</f>
        <v>900</v>
      </c>
    </row>
    <row r="79" spans="1:24" x14ac:dyDescent="0.35">
      <c r="B79" t="s">
        <v>76</v>
      </c>
      <c r="D79" t="s">
        <v>7</v>
      </c>
      <c r="E79" s="80">
        <f>VLOOKUP(D79,'Bu Erta'!$C$2:$E$66,3,0)</f>
        <v>1400</v>
      </c>
      <c r="F79">
        <v>0.25</v>
      </c>
      <c r="G79" s="80">
        <f t="shared" si="4"/>
        <v>350</v>
      </c>
      <c r="H79" s="80">
        <f>VLOOKUP(D79,'Bu Erta'!$C$2:$F$66,4,0)*F79</f>
        <v>400</v>
      </c>
    </row>
    <row r="80" spans="1:24" x14ac:dyDescent="0.35">
      <c r="B80" t="s">
        <v>76</v>
      </c>
      <c r="D80" t="s">
        <v>65</v>
      </c>
      <c r="E80" s="80">
        <f>VLOOKUP(D80,'Bu Erta'!$C$2:$E$66,3,0)</f>
        <v>150</v>
      </c>
      <c r="F80">
        <v>0.16</v>
      </c>
      <c r="G80" s="80">
        <f t="shared" si="4"/>
        <v>24</v>
      </c>
      <c r="H80" s="80">
        <f>VLOOKUP(D80,'Bu Erta'!$C$2:$F$66,4,0)*F80</f>
        <v>32</v>
      </c>
    </row>
    <row r="81" spans="1:8" x14ac:dyDescent="0.35">
      <c r="B81" t="s">
        <v>76</v>
      </c>
      <c r="D81" t="s">
        <v>22</v>
      </c>
      <c r="E81" s="80">
        <f>VLOOKUP(D81,'Bu Erta'!$C$2:$E$66,3,0)</f>
        <v>2500</v>
      </c>
      <c r="F81">
        <v>0.8</v>
      </c>
      <c r="G81" s="80">
        <f t="shared" si="4"/>
        <v>2000</v>
      </c>
      <c r="H81" s="80">
        <f>VLOOKUP(D81,'Bu Erta'!$C$2:$F$66,4,0)*F81</f>
        <v>2400</v>
      </c>
    </row>
    <row r="82" spans="1:8" x14ac:dyDescent="0.35">
      <c r="B82" t="s">
        <v>76</v>
      </c>
      <c r="D82" t="s">
        <v>27</v>
      </c>
      <c r="E82" s="80">
        <f>VLOOKUP(D82,'Bu Erta'!$C$2:$E$66,3,0)</f>
        <v>2800</v>
      </c>
      <c r="F82">
        <v>0.8</v>
      </c>
      <c r="G82" s="80">
        <f t="shared" si="4"/>
        <v>2240</v>
      </c>
      <c r="H82" s="80">
        <f>VLOOKUP(D82,'Bu Erta'!$C$2:$F$66,4,0)*F82</f>
        <v>2480</v>
      </c>
    </row>
    <row r="83" spans="1:8" x14ac:dyDescent="0.35">
      <c r="B83" t="s">
        <v>76</v>
      </c>
      <c r="D83" t="s">
        <v>61</v>
      </c>
      <c r="E83" s="80">
        <f>VLOOKUP(D83,'Bu Erta'!$C$2:$E$66,3,0)</f>
        <v>800</v>
      </c>
      <c r="F83">
        <f>0.85+0.25</f>
        <v>1.1000000000000001</v>
      </c>
      <c r="G83" s="80">
        <f t="shared" si="4"/>
        <v>880.00000000000011</v>
      </c>
      <c r="H83" s="80">
        <f>VLOOKUP(D83,'Bu Erta'!$C$2:$F$66,4,0)*F83</f>
        <v>990.00000000000011</v>
      </c>
    </row>
    <row r="84" spans="1:8" x14ac:dyDescent="0.35">
      <c r="B84" t="s">
        <v>76</v>
      </c>
      <c r="D84" t="s">
        <v>19</v>
      </c>
      <c r="E84" s="80">
        <f>VLOOKUP(D84,'Bu Erta'!$C$2:$E$66,3,0)</f>
        <v>200</v>
      </c>
      <c r="F84">
        <v>0.8</v>
      </c>
      <c r="G84" s="80">
        <f t="shared" si="4"/>
        <v>160</v>
      </c>
      <c r="H84" s="80">
        <f>VLOOKUP(D84,'Bu Erta'!$C$2:$F$66,4,0)*F84</f>
        <v>240</v>
      </c>
    </row>
    <row r="85" spans="1:8" x14ac:dyDescent="0.35">
      <c r="B85" t="s">
        <v>76</v>
      </c>
      <c r="D85" t="s">
        <v>88</v>
      </c>
      <c r="E85" s="80">
        <f>VLOOKUP(D85,'Bu Erta'!$C$2:$E$66,3,0)</f>
        <v>300</v>
      </c>
      <c r="F85">
        <v>0.35</v>
      </c>
      <c r="G85" s="80">
        <f t="shared" si="4"/>
        <v>105</v>
      </c>
      <c r="H85" s="80">
        <f>VLOOKUP(D85,'Bu Erta'!$C$2:$F$66,4,0)*F85</f>
        <v>140</v>
      </c>
    </row>
    <row r="86" spans="1:8" x14ac:dyDescent="0.35">
      <c r="B86" t="s">
        <v>76</v>
      </c>
      <c r="D86" t="s">
        <v>24</v>
      </c>
      <c r="E86" s="80">
        <f>VLOOKUP(D86,'Bu Erta'!$C$2:$E$66,3,0)</f>
        <v>150</v>
      </c>
      <c r="F86">
        <v>1</v>
      </c>
      <c r="G86" s="80">
        <f t="shared" si="4"/>
        <v>150</v>
      </c>
      <c r="H86" s="80">
        <f>VLOOKUP(D86,'Bu Erta'!$C$2:$F$66,4,0)*F86</f>
        <v>200</v>
      </c>
    </row>
    <row r="87" spans="1:8" x14ac:dyDescent="0.35">
      <c r="B87" t="s">
        <v>76</v>
      </c>
      <c r="D87" t="s">
        <v>23</v>
      </c>
      <c r="E87" s="80">
        <f>VLOOKUP(D87,'Bu Erta'!$C$2:$E$66,3,0)</f>
        <v>300</v>
      </c>
      <c r="F87">
        <v>0.95</v>
      </c>
      <c r="G87" s="80">
        <f t="shared" si="4"/>
        <v>285</v>
      </c>
      <c r="H87" s="80">
        <f>VLOOKUP(D87,'Bu Erta'!$C$2:$F$66,4,0)*F87</f>
        <v>380</v>
      </c>
    </row>
    <row r="88" spans="1:8" x14ac:dyDescent="0.35">
      <c r="B88" t="s">
        <v>76</v>
      </c>
      <c r="D88" t="s">
        <v>42</v>
      </c>
      <c r="E88" s="80">
        <f>VLOOKUP(D88,'Bu Erta'!$C$2:$E$66,3,0)</f>
        <v>1000</v>
      </c>
      <c r="F88">
        <f>0.8+1.4+4.35</f>
        <v>6.55</v>
      </c>
      <c r="G88" s="80">
        <f t="shared" si="4"/>
        <v>6550</v>
      </c>
      <c r="H88" s="80">
        <f>VLOOKUP(D88,'Bu Erta'!$C$2:$F$66,4,0)*F88</f>
        <v>7860</v>
      </c>
    </row>
    <row r="89" spans="1:8" x14ac:dyDescent="0.35">
      <c r="A89" s="5">
        <v>12</v>
      </c>
      <c r="B89" t="s">
        <v>183</v>
      </c>
      <c r="C89" s="1">
        <v>7</v>
      </c>
      <c r="D89" t="s">
        <v>27</v>
      </c>
      <c r="E89" s="80">
        <f>VLOOKUP(D89,'Bu Erta'!$C$2:$E$66,3,0)</f>
        <v>2800</v>
      </c>
      <c r="F89">
        <v>0.55000000000000004</v>
      </c>
      <c r="G89" s="80">
        <f t="shared" si="4"/>
        <v>1540.0000000000002</v>
      </c>
      <c r="H89" s="80">
        <f>VLOOKUP(D89,'Bu Erta'!$C$2:$F$66,4,0)*F89</f>
        <v>1705.0000000000002</v>
      </c>
    </row>
    <row r="90" spans="1:8" x14ac:dyDescent="0.35">
      <c r="B90" t="s">
        <v>183</v>
      </c>
      <c r="D90" t="s">
        <v>19</v>
      </c>
      <c r="E90" s="80">
        <f>VLOOKUP(D90,'Bu Erta'!$C$2:$E$66,3,0)</f>
        <v>200</v>
      </c>
      <c r="F90">
        <v>0.35</v>
      </c>
      <c r="G90" s="80">
        <f t="shared" si="4"/>
        <v>70</v>
      </c>
      <c r="H90" s="80">
        <f>VLOOKUP(D90,'Bu Erta'!$C$2:$F$66,4,0)*F90</f>
        <v>105</v>
      </c>
    </row>
    <row r="91" spans="1:8" x14ac:dyDescent="0.35">
      <c r="B91" t="s">
        <v>183</v>
      </c>
      <c r="D91" t="s">
        <v>88</v>
      </c>
      <c r="E91" s="80">
        <f>VLOOKUP(D91,'Bu Erta'!$C$2:$E$66,3,0)</f>
        <v>300</v>
      </c>
      <c r="F91">
        <v>0.1</v>
      </c>
      <c r="G91" s="80">
        <f t="shared" si="4"/>
        <v>30</v>
      </c>
      <c r="H91" s="80">
        <f>VLOOKUP(D91,'Bu Erta'!$C$2:$F$66,4,0)*F91</f>
        <v>40</v>
      </c>
    </row>
    <row r="92" spans="1:8" x14ac:dyDescent="0.35">
      <c r="B92" t="s">
        <v>183</v>
      </c>
      <c r="D92" t="s">
        <v>7</v>
      </c>
      <c r="E92" s="80">
        <f>VLOOKUP(D92,'Bu Erta'!$C$2:$E$66,3,0)</f>
        <v>1400</v>
      </c>
      <c r="F92">
        <v>0.95</v>
      </c>
      <c r="G92" s="80">
        <f t="shared" si="4"/>
        <v>1330</v>
      </c>
      <c r="H92" s="80">
        <f>VLOOKUP(D92,'Bu Erta'!$C$2:$F$66,4,0)*F92</f>
        <v>1520</v>
      </c>
    </row>
    <row r="93" spans="1:8" x14ac:dyDescent="0.35">
      <c r="B93" t="s">
        <v>183</v>
      </c>
      <c r="D93" t="s">
        <v>61</v>
      </c>
      <c r="E93" s="80">
        <f>VLOOKUP(D93,'Bu Erta'!$C$2:$E$66,3,0)</f>
        <v>800</v>
      </c>
      <c r="F93">
        <v>0.25</v>
      </c>
      <c r="G93" s="80">
        <f t="shared" si="4"/>
        <v>200</v>
      </c>
      <c r="H93" s="80">
        <f>VLOOKUP(D93,'Bu Erta'!$C$2:$F$66,4,0)*F93</f>
        <v>225</v>
      </c>
    </row>
    <row r="94" spans="1:8" x14ac:dyDescent="0.35">
      <c r="B94" t="s">
        <v>183</v>
      </c>
      <c r="D94" t="s">
        <v>23</v>
      </c>
      <c r="E94" s="80">
        <f>VLOOKUP(D94,'Bu Erta'!$C$2:$E$66,3,0)</f>
        <v>300</v>
      </c>
      <c r="F94">
        <v>0.4</v>
      </c>
      <c r="G94" s="80">
        <f t="shared" si="4"/>
        <v>120</v>
      </c>
      <c r="H94" s="80">
        <f>VLOOKUP(D94,'Bu Erta'!$C$2:$F$66,4,0)*F94</f>
        <v>160</v>
      </c>
    </row>
    <row r="95" spans="1:8" x14ac:dyDescent="0.35">
      <c r="B95" t="s">
        <v>183</v>
      </c>
      <c r="D95" t="s">
        <v>41</v>
      </c>
      <c r="E95" s="80">
        <f>VLOOKUP(D95,'Bu Erta'!$C$2:$E$66,3,0)</f>
        <v>1500</v>
      </c>
      <c r="F95">
        <v>0.3</v>
      </c>
      <c r="G95" s="80">
        <f t="shared" si="4"/>
        <v>450</v>
      </c>
      <c r="H95" s="80">
        <f>VLOOKUP(D95,'Bu Erta'!$C$2:$F$66,4,0)*F95</f>
        <v>600</v>
      </c>
    </row>
    <row r="96" spans="1:8" x14ac:dyDescent="0.35">
      <c r="B96" t="s">
        <v>183</v>
      </c>
      <c r="D96" t="s">
        <v>67</v>
      </c>
      <c r="E96" s="80">
        <f>VLOOKUP(D96,'Bu Erta'!$C$2:$E$66,3,0)</f>
        <v>2700</v>
      </c>
      <c r="F96">
        <v>0.1</v>
      </c>
      <c r="G96" s="80">
        <f t="shared" si="4"/>
        <v>270</v>
      </c>
      <c r="H96" s="80">
        <f>VLOOKUP(D96,'Bu Erta'!$C$2:$F$66,4,0)*F96</f>
        <v>300</v>
      </c>
    </row>
    <row r="97" spans="1:8" x14ac:dyDescent="0.35">
      <c r="B97" t="s">
        <v>183</v>
      </c>
      <c r="D97" t="s">
        <v>24</v>
      </c>
      <c r="E97" s="80">
        <f>VLOOKUP(D97,'Bu Erta'!$C$2:$E$66,3,0)</f>
        <v>150</v>
      </c>
      <c r="F97">
        <v>0.35</v>
      </c>
      <c r="G97" s="80">
        <f t="shared" si="4"/>
        <v>52.5</v>
      </c>
      <c r="H97" s="80">
        <f>VLOOKUP(D97,'Bu Erta'!$C$2:$F$66,4,0)*F97</f>
        <v>70</v>
      </c>
    </row>
    <row r="98" spans="1:8" x14ac:dyDescent="0.35">
      <c r="B98" t="s">
        <v>183</v>
      </c>
      <c r="D98" t="s">
        <v>42</v>
      </c>
      <c r="E98" s="80">
        <f>VLOOKUP(D98,'Bu Erta'!$C$2:$E$66,3,0)</f>
        <v>1000</v>
      </c>
      <c r="F98">
        <v>0.65</v>
      </c>
      <c r="G98" s="80">
        <f t="shared" si="4"/>
        <v>650</v>
      </c>
      <c r="H98" s="80">
        <f>VLOOKUP(D98,'Bu Erta'!$C$2:$F$66,4,0)*F98</f>
        <v>780</v>
      </c>
    </row>
    <row r="99" spans="1:8" x14ac:dyDescent="0.35">
      <c r="B99" t="s">
        <v>183</v>
      </c>
      <c r="D99" t="s">
        <v>40</v>
      </c>
      <c r="E99" s="80">
        <f>VLOOKUP(D99,'Bu Erta'!$C$2:$E$66,3,0)</f>
        <v>1800</v>
      </c>
      <c r="F99">
        <v>0.45</v>
      </c>
      <c r="G99" s="80">
        <f t="shared" si="4"/>
        <v>810</v>
      </c>
      <c r="H99" s="80">
        <f>VLOOKUP(D99,'Bu Erta'!$C$2:$F$66,4,0)*F99</f>
        <v>900</v>
      </c>
    </row>
    <row r="100" spans="1:8" x14ac:dyDescent="0.35">
      <c r="A100" s="5">
        <v>13</v>
      </c>
      <c r="B100" t="s">
        <v>115</v>
      </c>
      <c r="C100" s="1">
        <v>2</v>
      </c>
      <c r="D100" t="s">
        <v>25</v>
      </c>
      <c r="E100" s="80">
        <f>VLOOKUP(D100,'Bu Erta'!$C$2:$E$66,3,0)</f>
        <v>1600</v>
      </c>
      <c r="F100">
        <f>0.3+0.3+0.1+0.1</f>
        <v>0.79999999999999993</v>
      </c>
      <c r="G100" s="80">
        <f t="shared" si="4"/>
        <v>1280</v>
      </c>
      <c r="H100" s="80">
        <f>VLOOKUP(D100,'Bu Erta'!$C$2:$F$66,4,0)*F100</f>
        <v>1360</v>
      </c>
    </row>
    <row r="101" spans="1:8" x14ac:dyDescent="0.35">
      <c r="B101" t="s">
        <v>115</v>
      </c>
      <c r="D101" t="s">
        <v>7</v>
      </c>
      <c r="E101" s="80">
        <f>VLOOKUP(D101,'Bu Erta'!$C$2:$E$66,3,0)</f>
        <v>1400</v>
      </c>
      <c r="F101">
        <v>0.8</v>
      </c>
      <c r="G101" s="80">
        <f t="shared" si="4"/>
        <v>1120</v>
      </c>
      <c r="H101" s="80">
        <f>VLOOKUP(D101,'Bu Erta'!$C$2:$F$66,4,0)*F101</f>
        <v>1280</v>
      </c>
    </row>
    <row r="102" spans="1:8" x14ac:dyDescent="0.35">
      <c r="B102" t="s">
        <v>115</v>
      </c>
      <c r="D102" t="s">
        <v>41</v>
      </c>
      <c r="E102" s="80">
        <f>VLOOKUP(D102,'Bu Erta'!$C$2:$E$66,3,0)</f>
        <v>1500</v>
      </c>
      <c r="F102">
        <v>0.65</v>
      </c>
      <c r="G102" s="80">
        <f t="shared" si="4"/>
        <v>975</v>
      </c>
      <c r="H102" s="80">
        <f>VLOOKUP(D102,'Bu Erta'!$C$2:$F$66,4,0)*F102</f>
        <v>1300</v>
      </c>
    </row>
    <row r="103" spans="1:8" x14ac:dyDescent="0.35">
      <c r="B103" t="s">
        <v>115</v>
      </c>
      <c r="D103" t="s">
        <v>27</v>
      </c>
      <c r="E103" s="80">
        <f>VLOOKUP(D103,'Bu Erta'!$C$2:$E$66,3,0)</f>
        <v>2800</v>
      </c>
      <c r="F103">
        <f>0.65+0.25+0.25+0.3+0.1+0.25+0.25</f>
        <v>2.0499999999999998</v>
      </c>
      <c r="G103" s="80">
        <f t="shared" si="4"/>
        <v>5739.9999999999991</v>
      </c>
      <c r="H103" s="80">
        <f>VLOOKUP(D103,'Bu Erta'!$C$2:$F$66,4,0)*F103</f>
        <v>6354.9999999999991</v>
      </c>
    </row>
    <row r="104" spans="1:8" x14ac:dyDescent="0.35">
      <c r="B104" t="s">
        <v>115</v>
      </c>
      <c r="D104" t="s">
        <v>42</v>
      </c>
      <c r="E104" s="80">
        <f>VLOOKUP(D104,'Bu Erta'!$C$2:$E$66,3,0)</f>
        <v>1000</v>
      </c>
      <c r="F104">
        <v>0.2</v>
      </c>
      <c r="G104" s="80">
        <f t="shared" si="4"/>
        <v>200</v>
      </c>
      <c r="H104" s="80">
        <f>VLOOKUP(D104,'Bu Erta'!$C$2:$F$66,4,0)*F104</f>
        <v>240</v>
      </c>
    </row>
    <row r="105" spans="1:8" x14ac:dyDescent="0.35">
      <c r="B105" t="s">
        <v>115</v>
      </c>
      <c r="D105" t="s">
        <v>24</v>
      </c>
      <c r="E105" s="80">
        <f>VLOOKUP(D105,'Bu Erta'!$C$2:$E$66,3,0)</f>
        <v>150</v>
      </c>
      <c r="F105">
        <v>0.55000000000000004</v>
      </c>
      <c r="G105" s="80">
        <f t="shared" si="4"/>
        <v>82.5</v>
      </c>
      <c r="H105" s="80">
        <f>VLOOKUP(D105,'Bu Erta'!$C$2:$F$66,4,0)*F105</f>
        <v>110.00000000000001</v>
      </c>
    </row>
    <row r="106" spans="1:8" x14ac:dyDescent="0.35">
      <c r="B106" t="s">
        <v>115</v>
      </c>
      <c r="D106" t="s">
        <v>31</v>
      </c>
      <c r="E106" s="80">
        <f>VLOOKUP(D106,'Bu Erta'!$C$2:$E$66,3,0)</f>
        <v>1000</v>
      </c>
      <c r="F106">
        <v>0.5</v>
      </c>
      <c r="G106" s="80">
        <f t="shared" si="4"/>
        <v>500</v>
      </c>
      <c r="H106" s="80">
        <f>VLOOKUP(D106,'Bu Erta'!$C$2:$F$66,4,0)*F106</f>
        <v>550</v>
      </c>
    </row>
    <row r="107" spans="1:8" x14ac:dyDescent="0.35">
      <c r="B107" t="s">
        <v>115</v>
      </c>
      <c r="D107" t="s">
        <v>23</v>
      </c>
      <c r="E107" s="80">
        <f>VLOOKUP(D107,'Bu Erta'!$C$2:$E$66,3,0)</f>
        <v>300</v>
      </c>
      <c r="F107">
        <v>0.55000000000000004</v>
      </c>
      <c r="G107" s="80">
        <f t="shared" si="4"/>
        <v>165</v>
      </c>
      <c r="H107" s="80">
        <f>VLOOKUP(D107,'Bu Erta'!$C$2:$F$66,4,0)*F107</f>
        <v>220.00000000000003</v>
      </c>
    </row>
    <row r="108" spans="1:8" x14ac:dyDescent="0.35">
      <c r="B108" t="s">
        <v>115</v>
      </c>
      <c r="D108" t="s">
        <v>88</v>
      </c>
      <c r="E108" s="80">
        <f>VLOOKUP(D108,'Bu Erta'!$C$2:$E$66,3,0)</f>
        <v>300</v>
      </c>
      <c r="F108">
        <v>0.4</v>
      </c>
      <c r="G108" s="80">
        <f t="shared" si="4"/>
        <v>120</v>
      </c>
      <c r="H108" s="80">
        <f>VLOOKUP(D108,'Bu Erta'!$C$2:$F$66,4,0)*F108</f>
        <v>160</v>
      </c>
    </row>
    <row r="109" spans="1:8" x14ac:dyDescent="0.35">
      <c r="B109" t="s">
        <v>115</v>
      </c>
      <c r="D109" t="s">
        <v>42</v>
      </c>
      <c r="E109" s="80">
        <f>VLOOKUP(D109,'Bu Erta'!$C$2:$E$66,3,0)</f>
        <v>1000</v>
      </c>
      <c r="F109">
        <f>3.45+1.05+1.05+1</f>
        <v>6.55</v>
      </c>
      <c r="G109" s="80">
        <f t="shared" si="4"/>
        <v>6550</v>
      </c>
      <c r="H109" s="80">
        <f>VLOOKUP(D109,'Bu Erta'!$C$2:$F$66,4,0)*F109</f>
        <v>7860</v>
      </c>
    </row>
    <row r="110" spans="1:8" x14ac:dyDescent="0.35">
      <c r="B110" t="s">
        <v>115</v>
      </c>
      <c r="D110" t="s">
        <v>65</v>
      </c>
      <c r="E110" s="80">
        <f>VLOOKUP(D110,'Bu Erta'!$C$2:$E$66,3,0)</f>
        <v>150</v>
      </c>
      <c r="F110">
        <v>0.2</v>
      </c>
      <c r="G110" s="80">
        <f t="shared" si="4"/>
        <v>30</v>
      </c>
      <c r="H110" s="80">
        <f>VLOOKUP(D110,'Bu Erta'!$C$2:$F$66,4,0)*F110</f>
        <v>40</v>
      </c>
    </row>
    <row r="111" spans="1:8" x14ac:dyDescent="0.35">
      <c r="A111" s="5">
        <v>14</v>
      </c>
      <c r="B111" t="s">
        <v>178</v>
      </c>
      <c r="C111" s="1">
        <v>3</v>
      </c>
      <c r="D111" t="s">
        <v>19</v>
      </c>
      <c r="E111" s="80">
        <f>VLOOKUP(D111,'Bu Erta'!$C$2:$E$66,3,0)</f>
        <v>200</v>
      </c>
      <c r="F111">
        <f>1.3+0.7</f>
        <v>2</v>
      </c>
      <c r="G111" s="80">
        <f t="shared" si="4"/>
        <v>400</v>
      </c>
      <c r="H111" s="80">
        <f>VLOOKUP(D111,'Bu Erta'!$C$2:$F$66,4,0)*F111</f>
        <v>600</v>
      </c>
    </row>
    <row r="112" spans="1:8" x14ac:dyDescent="0.35">
      <c r="B112" t="s">
        <v>178</v>
      </c>
      <c r="D112" t="s">
        <v>88</v>
      </c>
      <c r="E112" s="80">
        <f>VLOOKUP(D112,'Bu Erta'!$C$2:$E$66,3,0)</f>
        <v>300</v>
      </c>
      <c r="F112">
        <v>0.65</v>
      </c>
      <c r="G112" s="80">
        <f t="shared" si="4"/>
        <v>195</v>
      </c>
      <c r="H112" s="80">
        <f>VLOOKUP(D112,'Bu Erta'!$C$2:$F$66,4,0)*F112</f>
        <v>260</v>
      </c>
    </row>
    <row r="113" spans="1:8" x14ac:dyDescent="0.35">
      <c r="B113" t="s">
        <v>178</v>
      </c>
      <c r="D113" t="s">
        <v>7</v>
      </c>
      <c r="E113" s="80">
        <f>VLOOKUP(D113,'Bu Erta'!$C$2:$E$66,3,0)</f>
        <v>1400</v>
      </c>
      <c r="F113">
        <f>0.45+0.45+0.1</f>
        <v>1</v>
      </c>
      <c r="G113" s="80">
        <f t="shared" si="4"/>
        <v>1400</v>
      </c>
      <c r="H113" s="80">
        <f>VLOOKUP(D113,'Bu Erta'!$C$2:$F$66,4,0)*F113</f>
        <v>1600</v>
      </c>
    </row>
    <row r="114" spans="1:8" x14ac:dyDescent="0.35">
      <c r="B114" t="s">
        <v>178</v>
      </c>
      <c r="D114" t="s">
        <v>23</v>
      </c>
      <c r="E114" s="80">
        <f>VLOOKUP(D114,'Bu Erta'!$C$2:$E$66,3,0)</f>
        <v>300</v>
      </c>
      <c r="F114">
        <v>1.1499999999999999</v>
      </c>
      <c r="G114" s="80">
        <f t="shared" si="4"/>
        <v>345</v>
      </c>
      <c r="H114" s="80">
        <f>VLOOKUP(D114,'Bu Erta'!$C$2:$F$66,4,0)*F114</f>
        <v>459.99999999999994</v>
      </c>
    </row>
    <row r="115" spans="1:8" x14ac:dyDescent="0.35">
      <c r="B115" t="s">
        <v>178</v>
      </c>
      <c r="D115" t="s">
        <v>41</v>
      </c>
      <c r="E115" s="80">
        <f>VLOOKUP(D115,'Bu Erta'!$C$2:$E$66,3,0)</f>
        <v>1500</v>
      </c>
      <c r="F115">
        <v>0.15</v>
      </c>
      <c r="G115" s="80">
        <f t="shared" si="4"/>
        <v>225</v>
      </c>
      <c r="H115" s="80">
        <f>VLOOKUP(D115,'Bu Erta'!$C$2:$F$66,4,0)*F115</f>
        <v>300</v>
      </c>
    </row>
    <row r="116" spans="1:8" x14ac:dyDescent="0.35">
      <c r="B116" t="s">
        <v>178</v>
      </c>
      <c r="D116" t="s">
        <v>62</v>
      </c>
      <c r="E116" s="80">
        <f>VLOOKUP(D116,'Bu Erta'!$C$2:$E$66,3,0)</f>
        <v>400</v>
      </c>
      <c r="F116">
        <v>0.15</v>
      </c>
      <c r="G116" s="80">
        <f t="shared" si="4"/>
        <v>60</v>
      </c>
      <c r="H116" s="80">
        <f>VLOOKUP(D116,'Bu Erta'!$C$2:$F$66,4,0)*F116</f>
        <v>75</v>
      </c>
    </row>
    <row r="117" spans="1:8" x14ac:dyDescent="0.35">
      <c r="B117" t="s">
        <v>178</v>
      </c>
      <c r="D117" t="s">
        <v>65</v>
      </c>
      <c r="E117" s="80">
        <f>VLOOKUP(D117,'Bu Erta'!$C$2:$E$66,3,0)</f>
        <v>150</v>
      </c>
      <c r="F117">
        <v>0.15</v>
      </c>
      <c r="G117" s="80">
        <f t="shared" si="4"/>
        <v>22.5</v>
      </c>
      <c r="H117" s="80">
        <f>VLOOKUP(D117,'Bu Erta'!$C$2:$F$66,4,0)*F117</f>
        <v>30</v>
      </c>
    </row>
    <row r="118" spans="1:8" x14ac:dyDescent="0.35">
      <c r="B118" t="s">
        <v>178</v>
      </c>
      <c r="D118" t="s">
        <v>42</v>
      </c>
      <c r="E118" s="80">
        <f>VLOOKUP(D118,'Bu Erta'!$C$2:$E$66,3,0)</f>
        <v>1000</v>
      </c>
      <c r="F118">
        <v>0.1</v>
      </c>
      <c r="G118" s="80">
        <f t="shared" si="4"/>
        <v>100</v>
      </c>
      <c r="H118" s="80">
        <f>VLOOKUP(D118,'Bu Erta'!$C$2:$F$66,4,0)*F118</f>
        <v>120</v>
      </c>
    </row>
    <row r="119" spans="1:8" x14ac:dyDescent="0.35">
      <c r="B119" t="s">
        <v>178</v>
      </c>
      <c r="D119" t="s">
        <v>31</v>
      </c>
      <c r="E119" s="80">
        <f>VLOOKUP(D119,'Bu Erta'!$C$2:$E$66,3,0)</f>
        <v>1000</v>
      </c>
      <c r="F119">
        <v>1.45</v>
      </c>
      <c r="G119" s="80">
        <f t="shared" si="4"/>
        <v>1450</v>
      </c>
      <c r="H119" s="80">
        <f>VLOOKUP(D119,'Bu Erta'!$C$2:$F$66,4,0)*F119</f>
        <v>1595</v>
      </c>
    </row>
    <row r="120" spans="1:8" x14ac:dyDescent="0.35">
      <c r="A120" s="5">
        <v>15</v>
      </c>
      <c r="B120" t="s">
        <v>105</v>
      </c>
      <c r="C120" s="5">
        <v>4</v>
      </c>
      <c r="D120" t="s">
        <v>27</v>
      </c>
      <c r="E120" s="80">
        <f>VLOOKUP(D120,'Bu Erta'!$C$2:$E$66,3,0)</f>
        <v>2800</v>
      </c>
      <c r="F120">
        <v>1.7</v>
      </c>
      <c r="G120" s="80">
        <f t="shared" si="4"/>
        <v>4760</v>
      </c>
      <c r="H120" s="80">
        <f>VLOOKUP(D120,'Bu Erta'!$C$2:$F$66,4,0)*F120</f>
        <v>5270</v>
      </c>
    </row>
    <row r="121" spans="1:8" x14ac:dyDescent="0.35">
      <c r="B121" t="s">
        <v>105</v>
      </c>
      <c r="D121" t="s">
        <v>69</v>
      </c>
      <c r="E121" s="80">
        <f>VLOOKUP(D121,'Bu Erta'!$C$2:$E$66,3,0)</f>
        <v>2500</v>
      </c>
      <c r="F121">
        <v>0.2</v>
      </c>
      <c r="G121" s="80">
        <f t="shared" si="4"/>
        <v>500</v>
      </c>
      <c r="H121" s="80">
        <f>VLOOKUP(D121,'Bu Erta'!$C$2:$F$66,4,0)*F121</f>
        <v>600</v>
      </c>
    </row>
    <row r="122" spans="1:8" x14ac:dyDescent="0.35">
      <c r="B122" t="s">
        <v>105</v>
      </c>
      <c r="D122" t="s">
        <v>7</v>
      </c>
      <c r="E122" s="80">
        <f>VLOOKUP(D122,'Bu Erta'!$C$2:$E$66,3,0)</f>
        <v>1400</v>
      </c>
      <c r="F122">
        <f>0.1+0.45+0.4+0.1</f>
        <v>1.05</v>
      </c>
      <c r="G122" s="80">
        <f t="shared" si="4"/>
        <v>1470</v>
      </c>
      <c r="H122" s="80">
        <f>VLOOKUP(D122,'Bu Erta'!$C$2:$F$66,4,0)*F122</f>
        <v>1680</v>
      </c>
    </row>
    <row r="123" spans="1:8" x14ac:dyDescent="0.35">
      <c r="B123" t="s">
        <v>105</v>
      </c>
      <c r="D123" t="s">
        <v>19</v>
      </c>
      <c r="E123" s="80">
        <f>VLOOKUP(D123,'Bu Erta'!$C$2:$E$66,3,0)</f>
        <v>200</v>
      </c>
      <c r="F123">
        <f>0.55+0.35</f>
        <v>0.9</v>
      </c>
      <c r="G123" s="80">
        <f t="shared" si="4"/>
        <v>180</v>
      </c>
      <c r="H123" s="80">
        <f>VLOOKUP(D123,'Bu Erta'!$C$2:$F$66,4,0)*F123</f>
        <v>270</v>
      </c>
    </row>
    <row r="124" spans="1:8" x14ac:dyDescent="0.35">
      <c r="B124" t="s">
        <v>105</v>
      </c>
      <c r="D124" t="s">
        <v>42</v>
      </c>
      <c r="E124" s="80">
        <f>VLOOKUP(D124,'Bu Erta'!$C$2:$E$66,3,0)</f>
        <v>1000</v>
      </c>
      <c r="F124">
        <v>0.75</v>
      </c>
      <c r="G124" s="80">
        <f t="shared" si="4"/>
        <v>750</v>
      </c>
      <c r="H124" s="80">
        <f>VLOOKUP(D124,'Bu Erta'!$C$2:$F$66,4,0)*F124</f>
        <v>900</v>
      </c>
    </row>
    <row r="125" spans="1:8" x14ac:dyDescent="0.35">
      <c r="B125" t="s">
        <v>105</v>
      </c>
      <c r="D125" t="s">
        <v>23</v>
      </c>
      <c r="E125" s="80">
        <f>VLOOKUP(D125,'Bu Erta'!$C$2:$E$66,3,0)</f>
        <v>300</v>
      </c>
      <c r="F125">
        <v>1.05</v>
      </c>
      <c r="G125" s="80">
        <f t="shared" si="4"/>
        <v>315</v>
      </c>
      <c r="H125" s="80">
        <f>VLOOKUP(D125,'Bu Erta'!$C$2:$F$66,4,0)*F125</f>
        <v>420</v>
      </c>
    </row>
    <row r="126" spans="1:8" x14ac:dyDescent="0.35">
      <c r="B126" t="s">
        <v>105</v>
      </c>
      <c r="D126" t="s">
        <v>88</v>
      </c>
      <c r="E126" s="80">
        <f>VLOOKUP(D126,'Bu Erta'!$C$2:$E$66,3,0)</f>
        <v>300</v>
      </c>
      <c r="F126">
        <v>0.15</v>
      </c>
      <c r="G126" s="80">
        <f t="shared" si="4"/>
        <v>45</v>
      </c>
      <c r="H126" s="80">
        <f>VLOOKUP(D126,'Bu Erta'!$C$2:$F$66,4,0)*F126</f>
        <v>60</v>
      </c>
    </row>
    <row r="127" spans="1:8" x14ac:dyDescent="0.35">
      <c r="A127" s="5">
        <v>16</v>
      </c>
      <c r="B127" t="s">
        <v>138</v>
      </c>
      <c r="C127" s="1">
        <v>1</v>
      </c>
      <c r="D127" t="s">
        <v>42</v>
      </c>
      <c r="E127" s="80">
        <f>VLOOKUP(D127,'Bu Erta'!$C$2:$E$66,3,0)</f>
        <v>1000</v>
      </c>
      <c r="F127">
        <v>8.3000000000000007</v>
      </c>
      <c r="G127" s="80">
        <f t="shared" si="4"/>
        <v>8300</v>
      </c>
      <c r="H127" s="80">
        <f>VLOOKUP(D127,'Bu Erta'!$C$2:$F$66,4,0)*F127</f>
        <v>9960</v>
      </c>
    </row>
    <row r="128" spans="1:8" x14ac:dyDescent="0.35">
      <c r="B128" t="s">
        <v>138</v>
      </c>
      <c r="D128" t="s">
        <v>28</v>
      </c>
      <c r="E128" s="80">
        <f>VLOOKUP(D128,'Bu Erta'!$C$2:$E$66,3,0)</f>
        <v>1200</v>
      </c>
      <c r="F128">
        <v>8.9</v>
      </c>
      <c r="G128" s="80">
        <f t="shared" si="4"/>
        <v>10680</v>
      </c>
      <c r="H128" s="80">
        <f>VLOOKUP(D128,'Bu Erta'!$C$2:$F$66,4,0)*F128</f>
        <v>11570</v>
      </c>
    </row>
    <row r="129" spans="1:8" x14ac:dyDescent="0.35">
      <c r="B129" t="s">
        <v>138</v>
      </c>
      <c r="D129" t="s">
        <v>23</v>
      </c>
      <c r="E129" s="80">
        <f>VLOOKUP(D129,'Bu Erta'!$C$2:$E$66,3,0)</f>
        <v>300</v>
      </c>
      <c r="F129">
        <v>2.0499999999999998</v>
      </c>
      <c r="G129" s="80">
        <f t="shared" si="4"/>
        <v>615</v>
      </c>
      <c r="H129" s="80">
        <f>VLOOKUP(D129,'Bu Erta'!$C$2:$F$66,4,0)*F129</f>
        <v>819.99999999999989</v>
      </c>
    </row>
    <row r="130" spans="1:8" x14ac:dyDescent="0.35">
      <c r="B130" t="s">
        <v>138</v>
      </c>
      <c r="D130" t="s">
        <v>88</v>
      </c>
      <c r="E130" s="80">
        <f>VLOOKUP(D130,'Bu Erta'!$C$2:$E$66,3,0)</f>
        <v>300</v>
      </c>
      <c r="F130">
        <f>0.75+0.2</f>
        <v>0.95</v>
      </c>
      <c r="G130" s="80">
        <f t="shared" si="4"/>
        <v>285</v>
      </c>
      <c r="H130" s="80">
        <f>VLOOKUP(D130,'Bu Erta'!$C$2:$F$66,4,0)*F130</f>
        <v>380</v>
      </c>
    </row>
    <row r="131" spans="1:8" x14ac:dyDescent="0.35">
      <c r="B131" t="s">
        <v>138</v>
      </c>
      <c r="D131" t="s">
        <v>19</v>
      </c>
      <c r="E131" s="80">
        <f>VLOOKUP(D131,'Bu Erta'!$C$2:$E$66,3,0)</f>
        <v>200</v>
      </c>
      <c r="F131">
        <v>4.3499999999999996</v>
      </c>
      <c r="G131" s="80">
        <f t="shared" si="4"/>
        <v>869.99999999999989</v>
      </c>
      <c r="H131" s="80">
        <f>VLOOKUP(D131,'Bu Erta'!$C$2:$F$66,4,0)*F131</f>
        <v>1305</v>
      </c>
    </row>
    <row r="132" spans="1:8" x14ac:dyDescent="0.35">
      <c r="B132" t="s">
        <v>138</v>
      </c>
      <c r="D132" t="s">
        <v>41</v>
      </c>
      <c r="E132" s="80">
        <f>VLOOKUP(D132,'Bu Erta'!$C$2:$E$66,3,0)</f>
        <v>1500</v>
      </c>
      <c r="F132">
        <f>1.2+1.55</f>
        <v>2.75</v>
      </c>
      <c r="G132" s="80">
        <f t="shared" ref="G132:G195" si="5">E132*F132</f>
        <v>4125</v>
      </c>
      <c r="H132" s="80">
        <f>VLOOKUP(D132,'Bu Erta'!$C$2:$F$66,4,0)*F132</f>
        <v>5500</v>
      </c>
    </row>
    <row r="133" spans="1:8" x14ac:dyDescent="0.35">
      <c r="A133" s="5">
        <v>17</v>
      </c>
      <c r="B133" t="s">
        <v>296</v>
      </c>
      <c r="C133" s="5">
        <v>1</v>
      </c>
      <c r="D133" t="s">
        <v>24</v>
      </c>
      <c r="E133" s="80">
        <f>VLOOKUP(D133,'Bu Erta'!$C$2:$E$66,3,0)</f>
        <v>150</v>
      </c>
      <c r="F133">
        <v>5.8</v>
      </c>
      <c r="G133" s="80">
        <f t="shared" si="5"/>
        <v>870</v>
      </c>
      <c r="H133" s="80">
        <f>VLOOKUP(D133,'Bu Erta'!$C$2:$F$66,4,0)*F133</f>
        <v>1160</v>
      </c>
    </row>
    <row r="134" spans="1:8" x14ac:dyDescent="0.35">
      <c r="B134" t="s">
        <v>296</v>
      </c>
      <c r="D134" t="s">
        <v>56</v>
      </c>
      <c r="E134" s="80">
        <f>VLOOKUP(D134,'Bu Erta'!$C$2:$E$66,3,0)</f>
        <v>4000</v>
      </c>
      <c r="F134">
        <v>3.75</v>
      </c>
      <c r="G134" s="80">
        <f t="shared" si="5"/>
        <v>15000</v>
      </c>
      <c r="H134" s="80">
        <f>VLOOKUP(D134,'Bu Erta'!$C$2:$F$66,4,0)*F134</f>
        <v>20625</v>
      </c>
    </row>
    <row r="135" spans="1:8" x14ac:dyDescent="0.35">
      <c r="A135" s="5">
        <v>18</v>
      </c>
      <c r="B135" t="s">
        <v>102</v>
      </c>
      <c r="C135" s="1">
        <v>4</v>
      </c>
      <c r="D135" t="s">
        <v>7</v>
      </c>
      <c r="E135" s="80">
        <f>VLOOKUP(D135,'Bu Erta'!$C$2:$E$66,3,0)</f>
        <v>1400</v>
      </c>
      <c r="F135">
        <f>1.4+1.4+0.9+0.7</f>
        <v>4.3999999999999995</v>
      </c>
      <c r="G135" s="80">
        <f t="shared" si="5"/>
        <v>6159.9999999999991</v>
      </c>
      <c r="H135" s="80">
        <f>VLOOKUP(D135,'Bu Erta'!$C$2:$F$66,4,0)*F135</f>
        <v>7039.9999999999991</v>
      </c>
    </row>
    <row r="136" spans="1:8" x14ac:dyDescent="0.35">
      <c r="B136" t="s">
        <v>102</v>
      </c>
      <c r="D136" t="s">
        <v>27</v>
      </c>
      <c r="E136" s="80">
        <f>VLOOKUP(D136,'Bu Erta'!$C$2:$E$66,3,0)</f>
        <v>2800</v>
      </c>
      <c r="F136">
        <v>1.1499999999999999</v>
      </c>
      <c r="G136" s="80">
        <f t="shared" si="5"/>
        <v>3219.9999999999995</v>
      </c>
      <c r="H136" s="80">
        <f>VLOOKUP(D136,'Bu Erta'!$C$2:$F$66,4,0)*F136</f>
        <v>3564.9999999999995</v>
      </c>
    </row>
    <row r="137" spans="1:8" x14ac:dyDescent="0.35">
      <c r="B137" t="s">
        <v>102</v>
      </c>
      <c r="D137" t="s">
        <v>22</v>
      </c>
      <c r="E137" s="80">
        <f>VLOOKUP(D137,'Bu Erta'!$C$2:$E$66,3,0)</f>
        <v>2500</v>
      </c>
      <c r="F137">
        <v>0.55000000000000004</v>
      </c>
      <c r="G137" s="80">
        <f t="shared" si="5"/>
        <v>1375</v>
      </c>
      <c r="H137" s="80">
        <f>VLOOKUP(D137,'Bu Erta'!$C$2:$F$66,4,0)*F137</f>
        <v>1650.0000000000002</v>
      </c>
    </row>
    <row r="138" spans="1:8" x14ac:dyDescent="0.35">
      <c r="B138" t="s">
        <v>102</v>
      </c>
      <c r="D138" t="s">
        <v>69</v>
      </c>
      <c r="E138" s="80">
        <f>VLOOKUP(D138,'Bu Erta'!$C$2:$E$66,3,0)</f>
        <v>2500</v>
      </c>
      <c r="F138">
        <v>0.2</v>
      </c>
      <c r="G138" s="80">
        <f t="shared" si="5"/>
        <v>500</v>
      </c>
      <c r="H138" s="80">
        <f>VLOOKUP(D138,'Bu Erta'!$C$2:$F$66,4,0)*F138</f>
        <v>600</v>
      </c>
    </row>
    <row r="139" spans="1:8" x14ac:dyDescent="0.35">
      <c r="B139" t="s">
        <v>102</v>
      </c>
      <c r="D139" t="s">
        <v>19</v>
      </c>
      <c r="E139" s="80">
        <f>VLOOKUP(D139,'Bu Erta'!$C$2:$E$66,3,0)</f>
        <v>200</v>
      </c>
      <c r="F139">
        <v>0.7</v>
      </c>
      <c r="G139" s="80">
        <f t="shared" si="5"/>
        <v>140</v>
      </c>
      <c r="H139" s="80">
        <f>VLOOKUP(D139,'Bu Erta'!$C$2:$F$66,4,0)*F139</f>
        <v>210</v>
      </c>
    </row>
    <row r="140" spans="1:8" x14ac:dyDescent="0.35">
      <c r="B140" t="s">
        <v>102</v>
      </c>
      <c r="D140" t="s">
        <v>88</v>
      </c>
      <c r="E140" s="80">
        <f>VLOOKUP(D140,'Bu Erta'!$C$2:$E$66,3,0)</f>
        <v>300</v>
      </c>
      <c r="F140">
        <v>0.3</v>
      </c>
      <c r="G140" s="80">
        <f t="shared" si="5"/>
        <v>90</v>
      </c>
      <c r="H140" s="80">
        <f>VLOOKUP(D140,'Bu Erta'!$C$2:$F$66,4,0)*F140</f>
        <v>120</v>
      </c>
    </row>
    <row r="141" spans="1:8" x14ac:dyDescent="0.35">
      <c r="B141" t="s">
        <v>102</v>
      </c>
      <c r="D141" t="s">
        <v>24</v>
      </c>
      <c r="E141" s="80">
        <f>VLOOKUP(D141,'Bu Erta'!$C$2:$E$66,3,0)</f>
        <v>150</v>
      </c>
      <c r="F141">
        <v>0.7</v>
      </c>
      <c r="G141" s="80">
        <f t="shared" si="5"/>
        <v>105</v>
      </c>
      <c r="H141" s="80">
        <f>VLOOKUP(D141,'Bu Erta'!$C$2:$F$66,4,0)*F141</f>
        <v>140</v>
      </c>
    </row>
    <row r="142" spans="1:8" x14ac:dyDescent="0.35">
      <c r="B142" t="s">
        <v>102</v>
      </c>
      <c r="D142" t="s">
        <v>40</v>
      </c>
      <c r="E142" s="80">
        <f>VLOOKUP(D142,'Bu Erta'!$C$2:$E$66,3,0)</f>
        <v>1800</v>
      </c>
      <c r="F142">
        <v>0.25</v>
      </c>
      <c r="G142" s="80">
        <f t="shared" si="5"/>
        <v>450</v>
      </c>
      <c r="H142" s="80">
        <f>VLOOKUP(D142,'Bu Erta'!$C$2:$F$66,4,0)*F142</f>
        <v>500</v>
      </c>
    </row>
    <row r="143" spans="1:8" x14ac:dyDescent="0.35">
      <c r="B143" t="s">
        <v>102</v>
      </c>
      <c r="D143" t="s">
        <v>42</v>
      </c>
      <c r="E143" s="80">
        <f>VLOOKUP(D143,'Bu Erta'!$C$2:$E$66,3,0)</f>
        <v>1000</v>
      </c>
      <c r="F143">
        <v>4.9000000000000004</v>
      </c>
      <c r="G143" s="80">
        <f t="shared" si="5"/>
        <v>4900</v>
      </c>
      <c r="H143" s="80">
        <f>VLOOKUP(D143,'Bu Erta'!$C$2:$F$66,4,0)*F143</f>
        <v>5880</v>
      </c>
    </row>
    <row r="144" spans="1:8" x14ac:dyDescent="0.35">
      <c r="A144" s="5">
        <v>19</v>
      </c>
      <c r="B144" t="s">
        <v>242</v>
      </c>
      <c r="C144" s="5">
        <v>3</v>
      </c>
      <c r="D144" t="s">
        <v>19</v>
      </c>
      <c r="E144" s="80">
        <f>VLOOKUP(D144,'Bu Erta'!$C$2:$E$66,3,0)</f>
        <v>200</v>
      </c>
      <c r="F144">
        <f>0.8+0.35</f>
        <v>1.1499999999999999</v>
      </c>
      <c r="G144" s="80">
        <f t="shared" si="5"/>
        <v>229.99999999999997</v>
      </c>
      <c r="H144" s="80">
        <f>VLOOKUP(D144,'Bu Erta'!$C$2:$F$66,4,0)*F144</f>
        <v>345</v>
      </c>
    </row>
    <row r="145" spans="1:8" x14ac:dyDescent="0.35">
      <c r="B145" t="s">
        <v>242</v>
      </c>
      <c r="D145" t="s">
        <v>6</v>
      </c>
      <c r="E145" s="80">
        <f>VLOOKUP(D145,'Bu Erta'!$C$2:$E$66,3,0)</f>
        <v>2000</v>
      </c>
      <c r="F145">
        <v>0.9</v>
      </c>
      <c r="G145" s="80">
        <f t="shared" si="5"/>
        <v>1800</v>
      </c>
      <c r="H145" s="80">
        <f>VLOOKUP(D145,'Bu Erta'!$C$2:$F$66,4,0)*F145</f>
        <v>2250</v>
      </c>
    </row>
    <row r="146" spans="1:8" x14ac:dyDescent="0.35">
      <c r="B146" t="s">
        <v>242</v>
      </c>
      <c r="D146" t="s">
        <v>31</v>
      </c>
      <c r="E146" s="80">
        <f>VLOOKUP(D146,'Bu Erta'!$C$2:$E$66,3,0)</f>
        <v>1000</v>
      </c>
      <c r="F146">
        <v>0.5</v>
      </c>
      <c r="G146" s="80">
        <f t="shared" si="5"/>
        <v>500</v>
      </c>
      <c r="H146" s="80">
        <f>VLOOKUP(D146,'Bu Erta'!$C$2:$F$66,4,0)*F146</f>
        <v>550</v>
      </c>
    </row>
    <row r="147" spans="1:8" x14ac:dyDescent="0.35">
      <c r="B147" t="s">
        <v>242</v>
      </c>
      <c r="D147" t="s">
        <v>88</v>
      </c>
      <c r="E147" s="80">
        <f>VLOOKUP(D147,'Bu Erta'!$C$2:$E$66,3,0)</f>
        <v>300</v>
      </c>
      <c r="F147">
        <v>0.5</v>
      </c>
      <c r="G147" s="80">
        <f t="shared" si="5"/>
        <v>150</v>
      </c>
      <c r="H147" s="80">
        <f>VLOOKUP(D147,'Bu Erta'!$C$2:$F$66,4,0)*F147</f>
        <v>200</v>
      </c>
    </row>
    <row r="148" spans="1:8" x14ac:dyDescent="0.35">
      <c r="A148" s="5">
        <v>20</v>
      </c>
      <c r="B148" t="s">
        <v>297</v>
      </c>
      <c r="C148" s="5">
        <v>5</v>
      </c>
      <c r="D148" t="s">
        <v>27</v>
      </c>
      <c r="E148" s="80">
        <f>VLOOKUP(D148,'Bu Erta'!$C$2:$E$66,3,0)</f>
        <v>2800</v>
      </c>
      <c r="F148">
        <f>1.3+0.8</f>
        <v>2.1</v>
      </c>
      <c r="G148" s="80">
        <f t="shared" si="5"/>
        <v>5880</v>
      </c>
      <c r="H148" s="80">
        <f>VLOOKUP(D148,'Bu Erta'!$C$2:$F$66,4,0)*F148</f>
        <v>6510</v>
      </c>
    </row>
    <row r="149" spans="1:8" x14ac:dyDescent="0.35">
      <c r="B149" t="s">
        <v>297</v>
      </c>
      <c r="D149" t="s">
        <v>7</v>
      </c>
      <c r="E149" s="80">
        <f>VLOOKUP(D149,'Bu Erta'!$C$2:$E$66,3,0)</f>
        <v>1400</v>
      </c>
      <c r="F149">
        <v>0.9</v>
      </c>
      <c r="G149" s="80">
        <f t="shared" si="5"/>
        <v>1260</v>
      </c>
      <c r="H149" s="80">
        <f>VLOOKUP(D149,'Bu Erta'!$C$2:$F$66,4,0)*F149</f>
        <v>1440</v>
      </c>
    </row>
    <row r="150" spans="1:8" x14ac:dyDescent="0.35">
      <c r="B150" t="s">
        <v>297</v>
      </c>
      <c r="D150" t="s">
        <v>41</v>
      </c>
      <c r="E150" s="80">
        <f>VLOOKUP(D150,'Bu Erta'!$C$2:$E$66,3,0)</f>
        <v>1500</v>
      </c>
      <c r="F150">
        <v>0.1</v>
      </c>
      <c r="G150" s="80">
        <f t="shared" si="5"/>
        <v>150</v>
      </c>
      <c r="H150" s="80">
        <f>VLOOKUP(D150,'Bu Erta'!$C$2:$F$66,4,0)*F150</f>
        <v>200</v>
      </c>
    </row>
    <row r="151" spans="1:8" x14ac:dyDescent="0.35">
      <c r="B151" t="s">
        <v>297</v>
      </c>
      <c r="D151" t="s">
        <v>69</v>
      </c>
      <c r="E151" s="80">
        <f>VLOOKUP(D151,'Bu Erta'!$C$2:$E$66,3,0)</f>
        <v>2500</v>
      </c>
      <c r="F151">
        <v>0.3</v>
      </c>
      <c r="G151" s="80">
        <f t="shared" si="5"/>
        <v>750</v>
      </c>
      <c r="H151" s="80">
        <f>VLOOKUP(D151,'Bu Erta'!$C$2:$F$66,4,0)*F151</f>
        <v>900</v>
      </c>
    </row>
    <row r="152" spans="1:8" x14ac:dyDescent="0.35">
      <c r="B152" t="s">
        <v>297</v>
      </c>
      <c r="D152" t="s">
        <v>56</v>
      </c>
      <c r="E152" s="80">
        <f>VLOOKUP(D152,'Bu Erta'!$C$2:$E$66,3,0)</f>
        <v>4000</v>
      </c>
      <c r="F152">
        <v>1.7</v>
      </c>
      <c r="G152" s="80">
        <f t="shared" si="5"/>
        <v>6800</v>
      </c>
      <c r="H152" s="80">
        <f>VLOOKUP(D152,'Bu Erta'!$C$2:$F$66,4,0)*F152</f>
        <v>9350</v>
      </c>
    </row>
    <row r="153" spans="1:8" x14ac:dyDescent="0.35">
      <c r="B153" t="s">
        <v>297</v>
      </c>
      <c r="D153" t="s">
        <v>46</v>
      </c>
      <c r="E153" s="80">
        <f>VLOOKUP(D153,'Bu Erta'!$C$2:$E$66,3,0)</f>
        <v>1400</v>
      </c>
      <c r="F153">
        <v>4.4000000000000004</v>
      </c>
      <c r="G153" s="80">
        <f t="shared" si="5"/>
        <v>6160.0000000000009</v>
      </c>
      <c r="H153" s="80">
        <f>VLOOKUP(D153,'Bu Erta'!$C$2:$F$66,4,0)*F153</f>
        <v>6600.0000000000009</v>
      </c>
    </row>
    <row r="154" spans="1:8" x14ac:dyDescent="0.35">
      <c r="B154" t="s">
        <v>297</v>
      </c>
      <c r="D154" t="s">
        <v>42</v>
      </c>
      <c r="E154" s="80">
        <f>VLOOKUP(D154,'Bu Erta'!$C$2:$E$66,3,0)</f>
        <v>1000</v>
      </c>
      <c r="F154">
        <v>2</v>
      </c>
      <c r="G154" s="80">
        <f t="shared" si="5"/>
        <v>2000</v>
      </c>
      <c r="H154" s="80">
        <f>VLOOKUP(D154,'Bu Erta'!$C$2:$F$66,4,0)*F154</f>
        <v>2400</v>
      </c>
    </row>
    <row r="155" spans="1:8" x14ac:dyDescent="0.35">
      <c r="B155" t="s">
        <v>297</v>
      </c>
      <c r="D155" t="s">
        <v>23</v>
      </c>
      <c r="E155" s="80">
        <f>VLOOKUP(D155,'Bu Erta'!$C$2:$E$66,3,0)</f>
        <v>300</v>
      </c>
      <c r="F155">
        <v>0.14000000000000001</v>
      </c>
      <c r="G155" s="80">
        <f t="shared" si="5"/>
        <v>42.000000000000007</v>
      </c>
      <c r="H155" s="80">
        <f>VLOOKUP(D155,'Bu Erta'!$C$2:$F$66,4,0)*F155</f>
        <v>56.000000000000007</v>
      </c>
    </row>
    <row r="156" spans="1:8" x14ac:dyDescent="0.35">
      <c r="B156" t="s">
        <v>297</v>
      </c>
      <c r="D156" t="s">
        <v>19</v>
      </c>
      <c r="E156" s="80">
        <f>VLOOKUP(D156,'Bu Erta'!$C$2:$E$66,3,0)</f>
        <v>200</v>
      </c>
      <c r="F156">
        <v>0.4</v>
      </c>
      <c r="G156" s="80">
        <f t="shared" si="5"/>
        <v>80</v>
      </c>
      <c r="H156" s="80">
        <f>VLOOKUP(D156,'Bu Erta'!$C$2:$F$66,4,0)*F156</f>
        <v>120</v>
      </c>
    </row>
    <row r="157" spans="1:8" x14ac:dyDescent="0.35">
      <c r="A157" s="5">
        <v>21</v>
      </c>
      <c r="B157" t="s">
        <v>298</v>
      </c>
      <c r="C157" s="5">
        <v>1</v>
      </c>
      <c r="D157" t="s">
        <v>31</v>
      </c>
      <c r="E157" s="80">
        <f>VLOOKUP(D157,'Bu Erta'!$C$2:$E$66,3,0)</f>
        <v>1000</v>
      </c>
      <c r="F157">
        <v>4.8499999999999996</v>
      </c>
      <c r="G157" s="80">
        <f t="shared" si="5"/>
        <v>4850</v>
      </c>
      <c r="H157" s="80">
        <f>VLOOKUP(D157,'Bu Erta'!$C$2:$F$66,4,0)*F157</f>
        <v>5335</v>
      </c>
    </row>
    <row r="158" spans="1:8" x14ac:dyDescent="0.35">
      <c r="B158" t="s">
        <v>298</v>
      </c>
      <c r="D158" t="s">
        <v>23</v>
      </c>
      <c r="E158" s="80">
        <f>VLOOKUP(D158,'Bu Erta'!$C$2:$E$66,3,0)</f>
        <v>300</v>
      </c>
      <c r="F158">
        <v>0.75</v>
      </c>
      <c r="G158" s="80">
        <f t="shared" si="5"/>
        <v>225</v>
      </c>
      <c r="H158" s="80">
        <f>VLOOKUP(D158,'Bu Erta'!$C$2:$F$66,4,0)*F158</f>
        <v>300</v>
      </c>
    </row>
    <row r="159" spans="1:8" x14ac:dyDescent="0.35">
      <c r="B159" t="s">
        <v>298</v>
      </c>
      <c r="D159" t="s">
        <v>42</v>
      </c>
      <c r="E159" s="80">
        <f>VLOOKUP(D159,'Bu Erta'!$C$2:$E$66,3,0)</f>
        <v>1000</v>
      </c>
      <c r="F159">
        <v>5</v>
      </c>
      <c r="G159" s="80">
        <f t="shared" si="5"/>
        <v>5000</v>
      </c>
      <c r="H159" s="80">
        <f>VLOOKUP(D159,'Bu Erta'!$C$2:$F$66,4,0)*F159</f>
        <v>6000</v>
      </c>
    </row>
    <row r="160" spans="1:8" x14ac:dyDescent="0.35">
      <c r="A160" s="5">
        <v>22</v>
      </c>
      <c r="B160" t="s">
        <v>217</v>
      </c>
      <c r="C160" s="5">
        <v>1</v>
      </c>
      <c r="D160" t="s">
        <v>42</v>
      </c>
      <c r="E160" s="80">
        <f>VLOOKUP(D160,'Bu Erta'!$C$2:$E$66,3,0)</f>
        <v>1000</v>
      </c>
      <c r="F160">
        <f>5.7+8.25</f>
        <v>13.95</v>
      </c>
      <c r="G160" s="80">
        <f t="shared" si="5"/>
        <v>13950</v>
      </c>
      <c r="H160" s="80">
        <f>VLOOKUP(D160,'Bu Erta'!$C$2:$F$66,4,0)*F160</f>
        <v>16740</v>
      </c>
    </row>
    <row r="161" spans="1:8" x14ac:dyDescent="0.35">
      <c r="B161" t="s">
        <v>217</v>
      </c>
      <c r="D161" t="s">
        <v>88</v>
      </c>
      <c r="E161" s="80">
        <f>VLOOKUP(D161,'Bu Erta'!$C$2:$E$66,3,0)</f>
        <v>300</v>
      </c>
      <c r="F161">
        <v>1.65</v>
      </c>
      <c r="G161" s="80">
        <f t="shared" si="5"/>
        <v>495</v>
      </c>
      <c r="H161" s="80">
        <f>VLOOKUP(D161,'Bu Erta'!$C$2:$F$66,4,0)*F161</f>
        <v>660</v>
      </c>
    </row>
    <row r="162" spans="1:8" x14ac:dyDescent="0.35">
      <c r="B162" t="s">
        <v>217</v>
      </c>
      <c r="D162" t="s">
        <v>19</v>
      </c>
      <c r="E162" s="80">
        <f>VLOOKUP(D162,'Bu Erta'!$C$2:$E$66,3,0)</f>
        <v>200</v>
      </c>
      <c r="F162">
        <f>2.05+1.45</f>
        <v>3.5</v>
      </c>
      <c r="G162" s="80">
        <f t="shared" si="5"/>
        <v>700</v>
      </c>
      <c r="H162" s="80">
        <f>VLOOKUP(D162,'Bu Erta'!$C$2:$F$66,4,0)*F162</f>
        <v>1050</v>
      </c>
    </row>
    <row r="163" spans="1:8" x14ac:dyDescent="0.35">
      <c r="B163" t="s">
        <v>217</v>
      </c>
      <c r="D163" t="s">
        <v>23</v>
      </c>
      <c r="E163" s="80">
        <f>VLOOKUP(D163,'Bu Erta'!$C$2:$E$66,3,0)</f>
        <v>300</v>
      </c>
      <c r="F163">
        <v>6.85</v>
      </c>
      <c r="G163" s="80">
        <f t="shared" si="5"/>
        <v>2055</v>
      </c>
      <c r="H163" s="80">
        <f>VLOOKUP(D163,'Bu Erta'!$C$2:$F$66,4,0)*F163</f>
        <v>2740</v>
      </c>
    </row>
    <row r="164" spans="1:8" x14ac:dyDescent="0.35">
      <c r="B164" t="s">
        <v>217</v>
      </c>
      <c r="D164" t="s">
        <v>41</v>
      </c>
      <c r="E164" s="80">
        <f>VLOOKUP(D164,'Bu Erta'!$C$2:$E$66,3,0)</f>
        <v>1500</v>
      </c>
      <c r="F164">
        <v>0.8</v>
      </c>
      <c r="G164" s="80">
        <f t="shared" si="5"/>
        <v>1200</v>
      </c>
      <c r="H164" s="80">
        <f>VLOOKUP(D164,'Bu Erta'!$C$2:$F$66,4,0)*F164</f>
        <v>1600</v>
      </c>
    </row>
    <row r="165" spans="1:8" x14ac:dyDescent="0.35">
      <c r="B165" t="s">
        <v>217</v>
      </c>
      <c r="D165" t="s">
        <v>31</v>
      </c>
      <c r="E165" s="80">
        <f>VLOOKUP(D165,'Bu Erta'!$C$2:$E$66,3,0)</f>
        <v>1000</v>
      </c>
      <c r="F165">
        <v>1.1499999999999999</v>
      </c>
      <c r="G165" s="80">
        <f t="shared" si="5"/>
        <v>1150</v>
      </c>
      <c r="H165" s="80">
        <f>VLOOKUP(D165,'Bu Erta'!$C$2:$F$66,4,0)*F165</f>
        <v>1265</v>
      </c>
    </row>
    <row r="166" spans="1:8" x14ac:dyDescent="0.35">
      <c r="A166" s="5">
        <v>23</v>
      </c>
      <c r="B166" t="s">
        <v>216</v>
      </c>
      <c r="C166" s="5">
        <v>2</v>
      </c>
      <c r="D166" t="s">
        <v>28</v>
      </c>
      <c r="E166" s="80">
        <f>VLOOKUP(D166,'Bu Erta'!$C$2:$E$66,3,0)</f>
        <v>1200</v>
      </c>
      <c r="F166">
        <v>14.85</v>
      </c>
      <c r="G166" s="80">
        <f t="shared" si="5"/>
        <v>17820</v>
      </c>
      <c r="H166" s="80">
        <f>VLOOKUP(D166,'Bu Erta'!$C$2:$F$66,4,0)*F166</f>
        <v>19305</v>
      </c>
    </row>
    <row r="167" spans="1:8" x14ac:dyDescent="0.35">
      <c r="B167" t="s">
        <v>216</v>
      </c>
      <c r="D167" t="s">
        <v>41</v>
      </c>
      <c r="E167" s="80">
        <f>VLOOKUP(D167,'Bu Erta'!$C$2:$E$66,3,0)</f>
        <v>1500</v>
      </c>
      <c r="F167">
        <v>0.8</v>
      </c>
      <c r="G167" s="80">
        <f t="shared" si="5"/>
        <v>1200</v>
      </c>
      <c r="H167" s="80">
        <f>VLOOKUP(D167,'Bu Erta'!$C$2:$F$66,4,0)*F167</f>
        <v>1600</v>
      </c>
    </row>
    <row r="168" spans="1:8" x14ac:dyDescent="0.35">
      <c r="B168" t="s">
        <v>216</v>
      </c>
      <c r="D168" t="s">
        <v>69</v>
      </c>
      <c r="E168" s="80">
        <f>VLOOKUP(D168,'Bu Erta'!$C$2:$E$66,3,0)</f>
        <v>2500</v>
      </c>
      <c r="F168">
        <v>0.25</v>
      </c>
      <c r="G168" s="80">
        <f t="shared" si="5"/>
        <v>625</v>
      </c>
      <c r="H168" s="80">
        <f>VLOOKUP(D168,'Bu Erta'!$C$2:$F$66,4,0)*F168</f>
        <v>750</v>
      </c>
    </row>
    <row r="169" spans="1:8" x14ac:dyDescent="0.35">
      <c r="B169" t="s">
        <v>216</v>
      </c>
      <c r="D169" t="s">
        <v>7</v>
      </c>
      <c r="E169" s="80">
        <f>VLOOKUP(D169,'Bu Erta'!$C$2:$E$66,3,0)</f>
        <v>1400</v>
      </c>
      <c r="F169">
        <v>0.1</v>
      </c>
      <c r="G169" s="80">
        <f t="shared" si="5"/>
        <v>140</v>
      </c>
      <c r="H169" s="80">
        <f>VLOOKUP(D169,'Bu Erta'!$C$2:$F$66,4,0)*F169</f>
        <v>160</v>
      </c>
    </row>
    <row r="170" spans="1:8" x14ac:dyDescent="0.35">
      <c r="B170" t="s">
        <v>216</v>
      </c>
      <c r="D170" t="s">
        <v>27</v>
      </c>
      <c r="E170" s="80">
        <f>VLOOKUP(D170,'Bu Erta'!$C$2:$E$66,3,0)</f>
        <v>2800</v>
      </c>
      <c r="F170">
        <v>0.6</v>
      </c>
      <c r="G170" s="80">
        <f t="shared" si="5"/>
        <v>1680</v>
      </c>
      <c r="H170" s="80">
        <f>VLOOKUP(D170,'Bu Erta'!$C$2:$F$66,4,0)*F170</f>
        <v>1860</v>
      </c>
    </row>
    <row r="171" spans="1:8" x14ac:dyDescent="0.35">
      <c r="A171" s="5">
        <v>24</v>
      </c>
      <c r="B171" t="s">
        <v>243</v>
      </c>
      <c r="C171" s="5">
        <v>5</v>
      </c>
      <c r="D171" t="s">
        <v>27</v>
      </c>
      <c r="E171" s="80">
        <f>VLOOKUP(D171,'Bu Erta'!$C$2:$E$66,3,0)</f>
        <v>2800</v>
      </c>
      <c r="F171">
        <f>0.85+0.65</f>
        <v>1.5</v>
      </c>
      <c r="G171" s="80">
        <f t="shared" si="5"/>
        <v>4200</v>
      </c>
      <c r="H171" s="80">
        <f>VLOOKUP(D171,'Bu Erta'!$C$2:$F$66,4,0)*F171</f>
        <v>4650</v>
      </c>
    </row>
    <row r="172" spans="1:8" x14ac:dyDescent="0.35">
      <c r="B172" t="s">
        <v>243</v>
      </c>
      <c r="D172" t="s">
        <v>41</v>
      </c>
      <c r="E172" s="80">
        <f>VLOOKUP(D172,'Bu Erta'!$C$2:$E$66,3,0)</f>
        <v>1500</v>
      </c>
      <c r="F172">
        <v>0.4</v>
      </c>
      <c r="G172" s="80">
        <f t="shared" si="5"/>
        <v>600</v>
      </c>
      <c r="H172" s="80">
        <f>VLOOKUP(D172,'Bu Erta'!$C$2:$F$66,4,0)*F172</f>
        <v>800</v>
      </c>
    </row>
    <row r="173" spans="1:8" x14ac:dyDescent="0.35">
      <c r="A173" s="5">
        <v>25</v>
      </c>
      <c r="B173" t="s">
        <v>100</v>
      </c>
      <c r="C173" s="5">
        <v>4</v>
      </c>
      <c r="D173" t="s">
        <v>46</v>
      </c>
      <c r="E173" s="80">
        <f>VLOOKUP(D173,'Bu Erta'!$C$2:$E$66,3,0)</f>
        <v>1400</v>
      </c>
      <c r="F173">
        <v>7.45</v>
      </c>
      <c r="G173" s="80">
        <f t="shared" si="5"/>
        <v>10430</v>
      </c>
      <c r="H173" s="80">
        <f>VLOOKUP(D173,'Bu Erta'!$C$2:$F$66,4,0)*F173</f>
        <v>11175</v>
      </c>
    </row>
    <row r="174" spans="1:8" x14ac:dyDescent="0.35">
      <c r="B174" t="s">
        <v>100</v>
      </c>
      <c r="D174" t="s">
        <v>28</v>
      </c>
      <c r="E174" s="80">
        <f>VLOOKUP(D174,'Bu Erta'!$C$2:$E$66,3,0)</f>
        <v>1200</v>
      </c>
      <c r="F174">
        <v>2.75</v>
      </c>
      <c r="G174" s="80">
        <f t="shared" si="5"/>
        <v>3300</v>
      </c>
      <c r="H174" s="80">
        <f>VLOOKUP(D174,'Bu Erta'!$C$2:$F$66,4,0)*F174</f>
        <v>3575</v>
      </c>
    </row>
    <row r="175" spans="1:8" x14ac:dyDescent="0.35">
      <c r="B175" t="s">
        <v>100</v>
      </c>
      <c r="D175" t="s">
        <v>7</v>
      </c>
      <c r="E175" s="80">
        <f>VLOOKUP(D175,'Bu Erta'!$C$2:$E$66,3,0)</f>
        <v>1400</v>
      </c>
      <c r="F175">
        <f>2+0.2</f>
        <v>2.2000000000000002</v>
      </c>
      <c r="G175" s="80">
        <f t="shared" si="5"/>
        <v>3080.0000000000005</v>
      </c>
      <c r="H175" s="80">
        <f>VLOOKUP(D175,'Bu Erta'!$C$2:$F$66,4,0)*F175</f>
        <v>3520.0000000000005</v>
      </c>
    </row>
    <row r="176" spans="1:8" x14ac:dyDescent="0.35">
      <c r="B176" t="s">
        <v>100</v>
      </c>
      <c r="D176" t="s">
        <v>41</v>
      </c>
      <c r="E176" s="80">
        <f>VLOOKUP(D176,'Bu Erta'!$C$2:$E$66,3,0)</f>
        <v>1500</v>
      </c>
      <c r="F176">
        <v>0.5</v>
      </c>
      <c r="G176" s="80">
        <f t="shared" si="5"/>
        <v>750</v>
      </c>
      <c r="H176" s="80">
        <f>VLOOKUP(D176,'Bu Erta'!$C$2:$F$66,4,0)*F176</f>
        <v>1000</v>
      </c>
    </row>
    <row r="177" spans="1:8" x14ac:dyDescent="0.35">
      <c r="B177" t="s">
        <v>100</v>
      </c>
      <c r="D177" t="s">
        <v>24</v>
      </c>
      <c r="E177" s="80">
        <f>VLOOKUP(D177,'Bu Erta'!$C$2:$E$66,3,0)</f>
        <v>150</v>
      </c>
      <c r="F177">
        <v>0.45</v>
      </c>
      <c r="G177" s="80">
        <f t="shared" si="5"/>
        <v>67.5</v>
      </c>
      <c r="H177" s="80">
        <f>VLOOKUP(D177,'Bu Erta'!$C$2:$F$66,4,0)*F177</f>
        <v>90</v>
      </c>
    </row>
    <row r="178" spans="1:8" x14ac:dyDescent="0.35">
      <c r="B178" t="s">
        <v>100</v>
      </c>
      <c r="D178" t="s">
        <v>69</v>
      </c>
      <c r="E178" s="80">
        <f>VLOOKUP(D178,'Bu Erta'!$C$2:$E$66,3,0)</f>
        <v>2500</v>
      </c>
      <c r="F178">
        <v>0.35</v>
      </c>
      <c r="G178" s="80">
        <f t="shared" si="5"/>
        <v>875</v>
      </c>
      <c r="H178" s="80">
        <f>VLOOKUP(D178,'Bu Erta'!$C$2:$F$66,4,0)*F178</f>
        <v>1050</v>
      </c>
    </row>
    <row r="179" spans="1:8" x14ac:dyDescent="0.35">
      <c r="B179" t="s">
        <v>100</v>
      </c>
      <c r="D179" t="s">
        <v>27</v>
      </c>
      <c r="E179" s="80">
        <f>VLOOKUP(D179,'Bu Erta'!$C$2:$E$66,3,0)</f>
        <v>2800</v>
      </c>
      <c r="F179">
        <v>0.3</v>
      </c>
      <c r="G179" s="80">
        <f t="shared" si="5"/>
        <v>840</v>
      </c>
      <c r="H179" s="80">
        <f>VLOOKUP(D179,'Bu Erta'!$C$2:$F$66,4,0)*F179</f>
        <v>930</v>
      </c>
    </row>
    <row r="180" spans="1:8" x14ac:dyDescent="0.35">
      <c r="B180" t="s">
        <v>100</v>
      </c>
      <c r="D180" t="s">
        <v>23</v>
      </c>
      <c r="E180" s="80">
        <f>VLOOKUP(D180,'Bu Erta'!$C$2:$E$66,3,0)</f>
        <v>300</v>
      </c>
      <c r="F180">
        <v>0.5</v>
      </c>
      <c r="G180" s="80">
        <f t="shared" si="5"/>
        <v>150</v>
      </c>
      <c r="H180" s="80">
        <f>VLOOKUP(D180,'Bu Erta'!$C$2:$F$66,4,0)*F180</f>
        <v>200</v>
      </c>
    </row>
    <row r="181" spans="1:8" x14ac:dyDescent="0.35">
      <c r="B181" t="s">
        <v>100</v>
      </c>
      <c r="D181" t="s">
        <v>19</v>
      </c>
      <c r="E181" s="80">
        <f>VLOOKUP(D181,'Bu Erta'!$C$2:$E$66,3,0)</f>
        <v>200</v>
      </c>
      <c r="F181">
        <v>0.3</v>
      </c>
      <c r="G181" s="80">
        <f t="shared" si="5"/>
        <v>60</v>
      </c>
      <c r="H181" s="80">
        <f>VLOOKUP(D181,'Bu Erta'!$C$2:$F$66,4,0)*F181</f>
        <v>90</v>
      </c>
    </row>
    <row r="182" spans="1:8" x14ac:dyDescent="0.35">
      <c r="B182" t="s">
        <v>100</v>
      </c>
      <c r="D182" t="s">
        <v>17</v>
      </c>
      <c r="E182" s="80">
        <f>VLOOKUP(D182,'Bu Erta'!$C$2:$E$66,3,0)</f>
        <v>8000</v>
      </c>
      <c r="F182">
        <v>0.1</v>
      </c>
      <c r="G182" s="80">
        <f t="shared" si="5"/>
        <v>800</v>
      </c>
      <c r="H182" s="80">
        <f>VLOOKUP(D182,'Bu Erta'!$C$2:$F$66,4,0)*F182</f>
        <v>850</v>
      </c>
    </row>
    <row r="183" spans="1:8" x14ac:dyDescent="0.35">
      <c r="B183" t="s">
        <v>100</v>
      </c>
      <c r="D183" t="s">
        <v>40</v>
      </c>
      <c r="E183" s="80">
        <f>VLOOKUP(D183,'Bu Erta'!$C$2:$E$66,3,0)</f>
        <v>1800</v>
      </c>
      <c r="F183">
        <v>0.25</v>
      </c>
      <c r="G183" s="80">
        <f t="shared" si="5"/>
        <v>450</v>
      </c>
      <c r="H183" s="80">
        <f>VLOOKUP(D183,'Bu Erta'!$C$2:$F$66,4,0)*F183</f>
        <v>500</v>
      </c>
    </row>
    <row r="184" spans="1:8" x14ac:dyDescent="0.35">
      <c r="B184" t="s">
        <v>100</v>
      </c>
      <c r="D184" t="s">
        <v>38</v>
      </c>
      <c r="E184" s="80">
        <f>VLOOKUP(D184,'Bu Erta'!$C$2:$E$66,3,0)</f>
        <v>1400</v>
      </c>
      <c r="F184">
        <v>0.45</v>
      </c>
      <c r="G184" s="80">
        <f t="shared" si="5"/>
        <v>630</v>
      </c>
      <c r="H184" s="80">
        <f>VLOOKUP(D184,'Bu Erta'!$C$2:$F$66,4,0)*F184</f>
        <v>720</v>
      </c>
    </row>
    <row r="185" spans="1:8" x14ac:dyDescent="0.35">
      <c r="B185" t="s">
        <v>100</v>
      </c>
      <c r="D185" t="s">
        <v>62</v>
      </c>
      <c r="E185" s="80">
        <f>VLOOKUP(D185,'Bu Erta'!$C$2:$E$66,3,0)</f>
        <v>400</v>
      </c>
      <c r="F185">
        <v>0.5</v>
      </c>
      <c r="G185" s="80">
        <f t="shared" si="5"/>
        <v>200</v>
      </c>
      <c r="H185" s="80">
        <f>VLOOKUP(D185,'Bu Erta'!$C$2:$F$66,4,0)*F185</f>
        <v>250</v>
      </c>
    </row>
    <row r="186" spans="1:8" x14ac:dyDescent="0.35">
      <c r="B186" t="s">
        <v>100</v>
      </c>
      <c r="D186" t="s">
        <v>45</v>
      </c>
      <c r="E186" s="80">
        <f>VLOOKUP(D186,'Bu Erta'!$C$2:$E$66,3,0)</f>
        <v>700</v>
      </c>
      <c r="F186">
        <v>0.8</v>
      </c>
      <c r="G186" s="80">
        <f t="shared" si="5"/>
        <v>560</v>
      </c>
      <c r="H186" s="80">
        <f>VLOOKUP(D186,'Bu Erta'!$C$2:$F$66,4,0)*F186</f>
        <v>640</v>
      </c>
    </row>
    <row r="187" spans="1:8" x14ac:dyDescent="0.35">
      <c r="A187" s="5">
        <v>26</v>
      </c>
      <c r="B187" t="s">
        <v>283</v>
      </c>
      <c r="C187" s="5">
        <v>2</v>
      </c>
      <c r="D187" t="s">
        <v>21</v>
      </c>
      <c r="E187" s="80">
        <f>VLOOKUP(D187,'Bu Erta'!$C$2:$E$66,3,0)</f>
        <v>150</v>
      </c>
      <c r="F187">
        <f>16.95+18.6</f>
        <v>35.549999999999997</v>
      </c>
      <c r="G187" s="80">
        <f t="shared" si="5"/>
        <v>5332.5</v>
      </c>
      <c r="H187" s="80">
        <f>VLOOKUP(D187,'Bu Erta'!$C$2:$F$66,4,0)*F187</f>
        <v>7109.9999999999991</v>
      </c>
    </row>
    <row r="188" spans="1:8" x14ac:dyDescent="0.35">
      <c r="A188" s="5">
        <v>27</v>
      </c>
      <c r="B188" t="s">
        <v>147</v>
      </c>
      <c r="C188" s="1">
        <v>3</v>
      </c>
      <c r="D188" t="s">
        <v>34</v>
      </c>
      <c r="E188" s="80">
        <f>VLOOKUP(D188,'Bu Erta'!$C$2:$E$66,3,0)</f>
        <v>3500</v>
      </c>
      <c r="F188">
        <v>0.9</v>
      </c>
      <c r="G188" s="80">
        <f t="shared" si="5"/>
        <v>3150</v>
      </c>
      <c r="H188" s="80">
        <f>VLOOKUP(D188,'Bu Erta'!$C$2:$F$66,4,0)*F188</f>
        <v>3240</v>
      </c>
    </row>
    <row r="189" spans="1:8" x14ac:dyDescent="0.35">
      <c r="B189" t="s">
        <v>147</v>
      </c>
      <c r="D189" t="s">
        <v>19</v>
      </c>
      <c r="E189" s="80">
        <f>VLOOKUP(D189,'Bu Erta'!$C$2:$E$66,3,0)</f>
        <v>200</v>
      </c>
      <c r="F189">
        <v>0.1</v>
      </c>
      <c r="G189" s="80">
        <f t="shared" si="5"/>
        <v>20</v>
      </c>
      <c r="H189" s="80">
        <f>VLOOKUP(D189,'Bu Erta'!$C$2:$F$66,4,0)*F189</f>
        <v>30</v>
      </c>
    </row>
    <row r="190" spans="1:8" x14ac:dyDescent="0.35">
      <c r="B190" t="s">
        <v>147</v>
      </c>
      <c r="D190" t="s">
        <v>88</v>
      </c>
      <c r="E190" s="80">
        <f>VLOOKUP(D190,'Bu Erta'!$C$2:$E$66,3,0)</f>
        <v>300</v>
      </c>
      <c r="F190">
        <v>0.3</v>
      </c>
      <c r="G190" s="80">
        <f t="shared" si="5"/>
        <v>90</v>
      </c>
      <c r="H190" s="80">
        <f>VLOOKUP(D190,'Bu Erta'!$C$2:$F$66,4,0)*F190</f>
        <v>120</v>
      </c>
    </row>
    <row r="191" spans="1:8" x14ac:dyDescent="0.35">
      <c r="B191" t="s">
        <v>147</v>
      </c>
      <c r="D191" t="s">
        <v>7</v>
      </c>
      <c r="E191" s="80">
        <f>VLOOKUP(D191,'Bu Erta'!$C$2:$E$66,3,0)</f>
        <v>1400</v>
      </c>
      <c r="F191">
        <v>0.45</v>
      </c>
      <c r="G191" s="80">
        <f t="shared" si="5"/>
        <v>630</v>
      </c>
      <c r="H191" s="80">
        <f>VLOOKUP(D191,'Bu Erta'!$C$2:$F$66,4,0)*F191</f>
        <v>720</v>
      </c>
    </row>
    <row r="192" spans="1:8" x14ac:dyDescent="0.35">
      <c r="B192" t="s">
        <v>147</v>
      </c>
      <c r="D192" t="s">
        <v>24</v>
      </c>
      <c r="E192" s="80">
        <f>VLOOKUP(D192,'Bu Erta'!$C$2:$E$66,3,0)</f>
        <v>150</v>
      </c>
      <c r="F192">
        <v>0.2</v>
      </c>
      <c r="G192" s="80">
        <f t="shared" si="5"/>
        <v>30</v>
      </c>
      <c r="H192" s="80">
        <f>VLOOKUP(D192,'Bu Erta'!$C$2:$F$66,4,0)*F192</f>
        <v>40</v>
      </c>
    </row>
    <row r="193" spans="1:8" x14ac:dyDescent="0.35">
      <c r="B193" t="s">
        <v>147</v>
      </c>
      <c r="D193" t="s">
        <v>41</v>
      </c>
      <c r="E193" s="80">
        <f>VLOOKUP(D193,'Bu Erta'!$C$2:$E$66,3,0)</f>
        <v>1500</v>
      </c>
      <c r="F193">
        <v>0.1</v>
      </c>
      <c r="G193" s="80">
        <f t="shared" si="5"/>
        <v>150</v>
      </c>
      <c r="H193" s="80">
        <f>VLOOKUP(D193,'Bu Erta'!$C$2:$F$66,4,0)*F193</f>
        <v>200</v>
      </c>
    </row>
    <row r="194" spans="1:8" x14ac:dyDescent="0.35">
      <c r="B194" t="s">
        <v>147</v>
      </c>
      <c r="D194" t="s">
        <v>42</v>
      </c>
      <c r="E194" s="80">
        <f>VLOOKUP(D194,'Bu Erta'!$C$2:$E$66,3,0)</f>
        <v>1000</v>
      </c>
      <c r="F194">
        <v>0.7</v>
      </c>
      <c r="G194" s="80">
        <f t="shared" si="5"/>
        <v>700</v>
      </c>
      <c r="H194" s="80">
        <f>VLOOKUP(D194,'Bu Erta'!$C$2:$F$66,4,0)*F194</f>
        <v>840</v>
      </c>
    </row>
    <row r="195" spans="1:8" x14ac:dyDescent="0.35">
      <c r="A195" s="5">
        <v>28</v>
      </c>
      <c r="B195" t="s">
        <v>90</v>
      </c>
      <c r="C195" s="1">
        <v>3</v>
      </c>
      <c r="D195" t="s">
        <v>7</v>
      </c>
      <c r="E195" s="80">
        <f>VLOOKUP(D195,'Bu Erta'!$C$2:$E$66,3,0)</f>
        <v>1400</v>
      </c>
      <c r="F195">
        <v>0.3</v>
      </c>
      <c r="G195" s="80">
        <f t="shared" si="5"/>
        <v>420</v>
      </c>
      <c r="H195" s="80">
        <f>VLOOKUP(D195,'Bu Erta'!$C$2:$F$66,4,0)*F195</f>
        <v>480</v>
      </c>
    </row>
    <row r="196" spans="1:8" x14ac:dyDescent="0.35">
      <c r="B196" t="s">
        <v>90</v>
      </c>
      <c r="D196" t="s">
        <v>41</v>
      </c>
      <c r="E196" s="80">
        <f>VLOOKUP(D196,'Bu Erta'!$C$2:$E$66,3,0)</f>
        <v>1500</v>
      </c>
      <c r="F196">
        <v>0.4</v>
      </c>
      <c r="G196" s="80">
        <f t="shared" ref="G196:G259" si="6">E196*F196</f>
        <v>600</v>
      </c>
      <c r="H196" s="80">
        <f>VLOOKUP(D196,'Bu Erta'!$C$2:$F$66,4,0)*F196</f>
        <v>800</v>
      </c>
    </row>
    <row r="197" spans="1:8" x14ac:dyDescent="0.35">
      <c r="B197" t="s">
        <v>90</v>
      </c>
      <c r="D197" t="s">
        <v>42</v>
      </c>
      <c r="E197" s="80">
        <f>VLOOKUP(D197,'Bu Erta'!$C$2:$E$66,3,0)</f>
        <v>1000</v>
      </c>
      <c r="F197">
        <v>0.4</v>
      </c>
      <c r="G197" s="80">
        <f t="shared" si="6"/>
        <v>400</v>
      </c>
      <c r="H197" s="80">
        <f>VLOOKUP(D197,'Bu Erta'!$C$2:$F$66,4,0)*F197</f>
        <v>480</v>
      </c>
    </row>
    <row r="198" spans="1:8" x14ac:dyDescent="0.35">
      <c r="B198" t="s">
        <v>90</v>
      </c>
      <c r="D198" t="s">
        <v>31</v>
      </c>
      <c r="E198" s="80">
        <f>VLOOKUP(D198,'Bu Erta'!$C$2:$E$66,3,0)</f>
        <v>1000</v>
      </c>
      <c r="F198">
        <v>0.6</v>
      </c>
      <c r="G198" s="80">
        <f t="shared" si="6"/>
        <v>600</v>
      </c>
      <c r="H198" s="80">
        <f>VLOOKUP(D198,'Bu Erta'!$C$2:$F$66,4,0)*F198</f>
        <v>660</v>
      </c>
    </row>
    <row r="199" spans="1:8" x14ac:dyDescent="0.35">
      <c r="A199" s="5">
        <v>29</v>
      </c>
      <c r="B199" t="s">
        <v>136</v>
      </c>
      <c r="C199" s="1">
        <v>4</v>
      </c>
      <c r="D199" t="s">
        <v>27</v>
      </c>
      <c r="E199" s="80">
        <f>VLOOKUP(D199,'Bu Erta'!$C$2:$E$66,3,0)</f>
        <v>2800</v>
      </c>
      <c r="F199">
        <v>0.7</v>
      </c>
      <c r="G199" s="80">
        <f t="shared" si="6"/>
        <v>1959.9999999999998</v>
      </c>
      <c r="H199" s="80">
        <f>VLOOKUP(D199,'Bu Erta'!$C$2:$F$66,4,0)*F199</f>
        <v>2170</v>
      </c>
    </row>
    <row r="200" spans="1:8" x14ac:dyDescent="0.35">
      <c r="B200" t="s">
        <v>136</v>
      </c>
      <c r="D200" t="s">
        <v>42</v>
      </c>
      <c r="E200" s="80">
        <f>VLOOKUP(D200,'Bu Erta'!$C$2:$E$66,3,0)</f>
        <v>1000</v>
      </c>
      <c r="F200">
        <v>1.1499999999999999</v>
      </c>
      <c r="G200" s="80">
        <f t="shared" si="6"/>
        <v>1150</v>
      </c>
      <c r="H200" s="80">
        <f>VLOOKUP(D200,'Bu Erta'!$C$2:$F$66,4,0)*F200</f>
        <v>1380</v>
      </c>
    </row>
    <row r="201" spans="1:8" x14ac:dyDescent="0.35">
      <c r="B201" t="s">
        <v>136</v>
      </c>
      <c r="D201" t="s">
        <v>23</v>
      </c>
      <c r="E201" s="80">
        <f>VLOOKUP(D201,'Bu Erta'!$C$2:$E$66,3,0)</f>
        <v>300</v>
      </c>
      <c r="F201">
        <v>0.6</v>
      </c>
      <c r="G201" s="80">
        <f t="shared" si="6"/>
        <v>180</v>
      </c>
      <c r="H201" s="80">
        <f>VLOOKUP(D201,'Bu Erta'!$C$2:$F$66,4,0)*F201</f>
        <v>240</v>
      </c>
    </row>
    <row r="202" spans="1:8" x14ac:dyDescent="0.35">
      <c r="B202" t="s">
        <v>136</v>
      </c>
      <c r="D202" t="s">
        <v>36</v>
      </c>
      <c r="E202" s="80">
        <f>VLOOKUP(D202,'Bu Erta'!$C$2:$E$66,3,0)</f>
        <v>600</v>
      </c>
      <c r="F202">
        <v>0.15</v>
      </c>
      <c r="G202" s="80">
        <f t="shared" si="6"/>
        <v>90</v>
      </c>
      <c r="H202" s="80">
        <f>VLOOKUP(D202,'Bu Erta'!$C$2:$F$66,4,0)*F202</f>
        <v>97.5</v>
      </c>
    </row>
    <row r="203" spans="1:8" x14ac:dyDescent="0.35">
      <c r="B203" t="s">
        <v>136</v>
      </c>
      <c r="D203" t="s">
        <v>7</v>
      </c>
      <c r="E203" s="80">
        <f>VLOOKUP(D203,'Bu Erta'!$C$2:$E$66,3,0)</f>
        <v>1400</v>
      </c>
      <c r="F203">
        <v>0.25</v>
      </c>
      <c r="G203" s="80">
        <f t="shared" si="6"/>
        <v>350</v>
      </c>
      <c r="H203" s="80">
        <f>VLOOKUP(D203,'Bu Erta'!$C$2:$F$66,4,0)*F203</f>
        <v>400</v>
      </c>
    </row>
    <row r="204" spans="1:8" x14ac:dyDescent="0.35">
      <c r="B204" t="s">
        <v>136</v>
      </c>
      <c r="D204" t="s">
        <v>34</v>
      </c>
      <c r="E204" s="80">
        <f>VLOOKUP(D204,'Bu Erta'!$C$2:$E$66,3,0)</f>
        <v>3500</v>
      </c>
      <c r="F204">
        <v>0.7</v>
      </c>
      <c r="G204" s="80">
        <f t="shared" si="6"/>
        <v>2450</v>
      </c>
      <c r="H204" s="80">
        <f>VLOOKUP(D204,'Bu Erta'!$C$2:$F$66,4,0)*F204</f>
        <v>2520</v>
      </c>
    </row>
    <row r="205" spans="1:8" x14ac:dyDescent="0.35">
      <c r="B205" t="s">
        <v>136</v>
      </c>
      <c r="D205" t="s">
        <v>19</v>
      </c>
      <c r="E205" s="80">
        <f>VLOOKUP(D205,'Bu Erta'!$C$2:$E$66,3,0)</f>
        <v>200</v>
      </c>
      <c r="F205">
        <v>0.35</v>
      </c>
      <c r="G205" s="80">
        <f t="shared" si="6"/>
        <v>70</v>
      </c>
      <c r="H205" s="80">
        <f>VLOOKUP(D205,'Bu Erta'!$C$2:$F$66,4,0)*F205</f>
        <v>105</v>
      </c>
    </row>
    <row r="206" spans="1:8" x14ac:dyDescent="0.35">
      <c r="B206" t="s">
        <v>136</v>
      </c>
      <c r="D206" t="s">
        <v>88</v>
      </c>
      <c r="E206" s="80">
        <f>VLOOKUP(D206,'Bu Erta'!$C$2:$E$66,3,0)</f>
        <v>300</v>
      </c>
      <c r="F206">
        <v>0.35</v>
      </c>
      <c r="G206" s="80">
        <f t="shared" si="6"/>
        <v>105</v>
      </c>
      <c r="H206" s="80">
        <f>VLOOKUP(D206,'Bu Erta'!$C$2:$F$66,4,0)*F206</f>
        <v>140</v>
      </c>
    </row>
    <row r="207" spans="1:8" x14ac:dyDescent="0.35">
      <c r="B207" t="s">
        <v>136</v>
      </c>
      <c r="D207" t="s">
        <v>24</v>
      </c>
      <c r="E207" s="80">
        <f>VLOOKUP(D207,'Bu Erta'!$C$2:$E$66,3,0)</f>
        <v>150</v>
      </c>
      <c r="F207">
        <v>1.2</v>
      </c>
      <c r="G207" s="80">
        <f t="shared" si="6"/>
        <v>180</v>
      </c>
      <c r="H207" s="80">
        <f>VLOOKUP(D207,'Bu Erta'!$C$2:$F$66,4,0)*F207</f>
        <v>240</v>
      </c>
    </row>
    <row r="208" spans="1:8" x14ac:dyDescent="0.35">
      <c r="A208" s="5">
        <v>30</v>
      </c>
      <c r="B208" t="s">
        <v>299</v>
      </c>
      <c r="C208" s="5">
        <v>6</v>
      </c>
      <c r="D208" t="s">
        <v>42</v>
      </c>
      <c r="E208" s="80">
        <f>VLOOKUP(D208,'Bu Erta'!$C$2:$E$66,3,0)</f>
        <v>1000</v>
      </c>
      <c r="F208">
        <f>1.75+3.35</f>
        <v>5.0999999999999996</v>
      </c>
      <c r="G208" s="80">
        <f t="shared" si="6"/>
        <v>5100</v>
      </c>
      <c r="H208" s="80">
        <f>VLOOKUP(D208,'Bu Erta'!$C$2:$F$66,4,0)*F208</f>
        <v>6120</v>
      </c>
    </row>
    <row r="209" spans="1:8" x14ac:dyDescent="0.35">
      <c r="B209" t="s">
        <v>299</v>
      </c>
      <c r="D209" t="s">
        <v>25</v>
      </c>
      <c r="E209" s="80">
        <f>VLOOKUP(D209,'Bu Erta'!$C$2:$E$66,3,0)</f>
        <v>1600</v>
      </c>
      <c r="F209">
        <f>0.2+1.45+0.55+0.2+0.25+0.2</f>
        <v>2.8500000000000005</v>
      </c>
      <c r="G209" s="80">
        <f t="shared" si="6"/>
        <v>4560.0000000000009</v>
      </c>
      <c r="H209" s="80">
        <f>VLOOKUP(D209,'Bu Erta'!$C$2:$F$66,4,0)*F209</f>
        <v>4845.0000000000009</v>
      </c>
    </row>
    <row r="210" spans="1:8" x14ac:dyDescent="0.35">
      <c r="B210" t="s">
        <v>299</v>
      </c>
      <c r="D210" t="s">
        <v>7</v>
      </c>
      <c r="E210" s="80">
        <f>VLOOKUP(D210,'Bu Erta'!$C$2:$E$66,3,0)</f>
        <v>1400</v>
      </c>
      <c r="F210">
        <v>1.05</v>
      </c>
      <c r="G210" s="80">
        <f t="shared" si="6"/>
        <v>1470</v>
      </c>
      <c r="H210" s="80">
        <f>VLOOKUP(D210,'Bu Erta'!$C$2:$F$66,4,0)*F210</f>
        <v>1680</v>
      </c>
    </row>
    <row r="211" spans="1:8" x14ac:dyDescent="0.35">
      <c r="B211" t="s">
        <v>299</v>
      </c>
      <c r="D211" t="s">
        <v>6</v>
      </c>
      <c r="E211" s="80">
        <f>VLOOKUP(D211,'Bu Erta'!$C$2:$E$66,3,0)</f>
        <v>2000</v>
      </c>
      <c r="F211">
        <v>0.15</v>
      </c>
      <c r="G211" s="80">
        <f t="shared" si="6"/>
        <v>300</v>
      </c>
      <c r="H211" s="80">
        <f>VLOOKUP(D211,'Bu Erta'!$C$2:$F$66,4,0)*F211</f>
        <v>375</v>
      </c>
    </row>
    <row r="212" spans="1:8" x14ac:dyDescent="0.35">
      <c r="B212" t="s">
        <v>299</v>
      </c>
      <c r="D212" t="s">
        <v>31</v>
      </c>
      <c r="E212" s="80">
        <f>VLOOKUP(D212,'Bu Erta'!$C$2:$E$66,3,0)</f>
        <v>1000</v>
      </c>
      <c r="F212">
        <f>1.1+0.65</f>
        <v>1.75</v>
      </c>
      <c r="G212" s="80">
        <f t="shared" si="6"/>
        <v>1750</v>
      </c>
      <c r="H212" s="80">
        <f>VLOOKUP(D212,'Bu Erta'!$C$2:$F$66,4,0)*F212</f>
        <v>1925</v>
      </c>
    </row>
    <row r="213" spans="1:8" x14ac:dyDescent="0.35">
      <c r="A213" s="5">
        <v>31</v>
      </c>
      <c r="B213" t="s">
        <v>259</v>
      </c>
      <c r="C213" s="5">
        <v>3</v>
      </c>
      <c r="D213" t="s">
        <v>42</v>
      </c>
      <c r="E213" s="80">
        <f>VLOOKUP(D213,'Bu Erta'!$C$2:$E$66,3,0)</f>
        <v>1000</v>
      </c>
      <c r="F213">
        <v>1.45</v>
      </c>
      <c r="G213" s="80">
        <f t="shared" si="6"/>
        <v>1450</v>
      </c>
      <c r="H213" s="80">
        <f>VLOOKUP(D213,'Bu Erta'!$C$2:$F$66,4,0)*F213</f>
        <v>1740</v>
      </c>
    </row>
    <row r="214" spans="1:8" x14ac:dyDescent="0.35">
      <c r="B214" t="s">
        <v>259</v>
      </c>
      <c r="D214" t="s">
        <v>19</v>
      </c>
      <c r="E214" s="80">
        <f>VLOOKUP(D214,'Bu Erta'!$C$2:$E$66,3,0)</f>
        <v>200</v>
      </c>
      <c r="F214">
        <v>0.8</v>
      </c>
      <c r="G214" s="80">
        <f t="shared" si="6"/>
        <v>160</v>
      </c>
      <c r="H214" s="80">
        <f>VLOOKUP(D214,'Bu Erta'!$C$2:$F$66,4,0)*F214</f>
        <v>240</v>
      </c>
    </row>
    <row r="215" spans="1:8" x14ac:dyDescent="0.35">
      <c r="B215" t="s">
        <v>259</v>
      </c>
      <c r="D215" t="s">
        <v>88</v>
      </c>
      <c r="E215" s="80">
        <f>VLOOKUP(D215,'Bu Erta'!$C$2:$E$66,3,0)</f>
        <v>300</v>
      </c>
      <c r="F215">
        <v>0.15</v>
      </c>
      <c r="G215" s="80">
        <f t="shared" si="6"/>
        <v>45</v>
      </c>
      <c r="H215" s="80">
        <f>VLOOKUP(D215,'Bu Erta'!$C$2:$F$66,4,0)*F215</f>
        <v>60</v>
      </c>
    </row>
    <row r="216" spans="1:8" x14ac:dyDescent="0.35">
      <c r="B216" t="s">
        <v>259</v>
      </c>
      <c r="D216" t="s">
        <v>69</v>
      </c>
      <c r="E216" s="80">
        <f>VLOOKUP(D216,'Bu Erta'!$C$2:$E$66,3,0)</f>
        <v>2500</v>
      </c>
      <c r="F216">
        <v>0.1</v>
      </c>
      <c r="G216" s="80">
        <f t="shared" si="6"/>
        <v>250</v>
      </c>
      <c r="H216" s="80">
        <f>VLOOKUP(D216,'Bu Erta'!$C$2:$F$66,4,0)*F216</f>
        <v>300</v>
      </c>
    </row>
    <row r="217" spans="1:8" x14ac:dyDescent="0.35">
      <c r="B217" t="s">
        <v>259</v>
      </c>
      <c r="D217" t="s">
        <v>41</v>
      </c>
      <c r="E217" s="80">
        <f>VLOOKUP(D217,'Bu Erta'!$C$2:$E$66,3,0)</f>
        <v>1500</v>
      </c>
      <c r="F217">
        <v>1.1000000000000001</v>
      </c>
      <c r="G217" s="80">
        <f t="shared" si="6"/>
        <v>1650.0000000000002</v>
      </c>
      <c r="H217" s="80">
        <f>VLOOKUP(D217,'Bu Erta'!$C$2:$F$66,4,0)*F217</f>
        <v>2200</v>
      </c>
    </row>
    <row r="218" spans="1:8" x14ac:dyDescent="0.35">
      <c r="B218" t="s">
        <v>259</v>
      </c>
      <c r="D218" t="s">
        <v>27</v>
      </c>
      <c r="E218" s="80">
        <f>VLOOKUP(D218,'Bu Erta'!$C$2:$E$66,3,0)</f>
        <v>2800</v>
      </c>
      <c r="F218">
        <v>0.8</v>
      </c>
      <c r="G218" s="80">
        <f t="shared" si="6"/>
        <v>2240</v>
      </c>
      <c r="H218" s="80">
        <f>VLOOKUP(D218,'Bu Erta'!$C$2:$F$66,4,0)*F218</f>
        <v>2480</v>
      </c>
    </row>
    <row r="219" spans="1:8" x14ac:dyDescent="0.35">
      <c r="B219" t="s">
        <v>259</v>
      </c>
      <c r="D219" t="s">
        <v>7</v>
      </c>
      <c r="E219" s="80">
        <f>VLOOKUP(D219,'Bu Erta'!$C$2:$E$66,3,0)</f>
        <v>1400</v>
      </c>
      <c r="F219">
        <v>0.75</v>
      </c>
      <c r="G219" s="80">
        <f t="shared" si="6"/>
        <v>1050</v>
      </c>
      <c r="H219" s="80">
        <f>VLOOKUP(D219,'Bu Erta'!$C$2:$F$66,4,0)*F219</f>
        <v>1200</v>
      </c>
    </row>
    <row r="220" spans="1:8" x14ac:dyDescent="0.35">
      <c r="A220" s="5">
        <v>32</v>
      </c>
      <c r="B220" t="s">
        <v>144</v>
      </c>
      <c r="C220" s="1">
        <v>4</v>
      </c>
      <c r="D220" t="s">
        <v>88</v>
      </c>
      <c r="E220" s="80">
        <f>VLOOKUP(D220,'Bu Erta'!$C$2:$E$66,3,0)</f>
        <v>300</v>
      </c>
      <c r="F220">
        <v>1.25</v>
      </c>
      <c r="G220" s="80">
        <f t="shared" si="6"/>
        <v>375</v>
      </c>
      <c r="H220" s="80">
        <f>VLOOKUP(D220,'Bu Erta'!$C$2:$F$66,4,0)*F220</f>
        <v>500</v>
      </c>
    </row>
    <row r="221" spans="1:8" x14ac:dyDescent="0.35">
      <c r="B221" t="s">
        <v>144</v>
      </c>
      <c r="D221" t="s">
        <v>24</v>
      </c>
      <c r="E221" s="80">
        <f>VLOOKUP(D221,'Bu Erta'!$C$2:$E$66,3,0)</f>
        <v>150</v>
      </c>
      <c r="F221">
        <v>1.75</v>
      </c>
      <c r="G221" s="80">
        <f t="shared" si="6"/>
        <v>262.5</v>
      </c>
      <c r="H221" s="80">
        <f>VLOOKUP(D221,'Bu Erta'!$C$2:$F$66,4,0)*F221</f>
        <v>350</v>
      </c>
    </row>
    <row r="222" spans="1:8" x14ac:dyDescent="0.35">
      <c r="B222" t="s">
        <v>144</v>
      </c>
      <c r="D222" t="s">
        <v>40</v>
      </c>
      <c r="E222" s="80">
        <f>VLOOKUP(D222,'Bu Erta'!$C$2:$E$66,3,0)</f>
        <v>1800</v>
      </c>
      <c r="F222">
        <v>0.3</v>
      </c>
      <c r="G222" s="80">
        <f t="shared" si="6"/>
        <v>540</v>
      </c>
      <c r="H222" s="80">
        <f>VLOOKUP(D222,'Bu Erta'!$C$2:$F$66,4,0)*F222</f>
        <v>600</v>
      </c>
    </row>
    <row r="223" spans="1:8" x14ac:dyDescent="0.35">
      <c r="B223" t="s">
        <v>144</v>
      </c>
      <c r="D223" t="s">
        <v>41</v>
      </c>
      <c r="E223" s="80">
        <f>VLOOKUP(D223,'Bu Erta'!$C$2:$E$66,3,0)</f>
        <v>1500</v>
      </c>
      <c r="F223">
        <v>0.25</v>
      </c>
      <c r="G223" s="80">
        <f t="shared" si="6"/>
        <v>375</v>
      </c>
      <c r="H223" s="80">
        <f>VLOOKUP(D223,'Bu Erta'!$C$2:$F$66,4,0)*F223</f>
        <v>500</v>
      </c>
    </row>
    <row r="224" spans="1:8" x14ac:dyDescent="0.35">
      <c r="A224" s="5">
        <v>33</v>
      </c>
      <c r="B224" t="s">
        <v>89</v>
      </c>
      <c r="C224" s="1">
        <v>4</v>
      </c>
      <c r="D224" t="s">
        <v>19</v>
      </c>
      <c r="E224" s="80">
        <f>VLOOKUP(D224,'Bu Erta'!$C$2:$E$66,3,0)</f>
        <v>200</v>
      </c>
      <c r="F224">
        <v>0.7</v>
      </c>
      <c r="G224" s="80">
        <f t="shared" si="6"/>
        <v>140</v>
      </c>
      <c r="H224" s="80">
        <f>VLOOKUP(D224,'Bu Erta'!$C$2:$F$66,4,0)*F224</f>
        <v>210</v>
      </c>
    </row>
    <row r="225" spans="1:8" x14ac:dyDescent="0.35">
      <c r="B225" t="s">
        <v>89</v>
      </c>
      <c r="D225" t="s">
        <v>27</v>
      </c>
      <c r="E225" s="80">
        <f>VLOOKUP(D225,'Bu Erta'!$C$2:$E$66,3,0)</f>
        <v>2800</v>
      </c>
      <c r="F225">
        <v>0.6</v>
      </c>
      <c r="G225" s="80">
        <f t="shared" si="6"/>
        <v>1680</v>
      </c>
      <c r="H225" s="80">
        <f>VLOOKUP(D225,'Bu Erta'!$C$2:$F$66,4,0)*F225</f>
        <v>1860</v>
      </c>
    </row>
    <row r="226" spans="1:8" x14ac:dyDescent="0.35">
      <c r="B226" t="s">
        <v>89</v>
      </c>
      <c r="D226" t="s">
        <v>37</v>
      </c>
      <c r="E226" s="80">
        <f>VLOOKUP(D226,'Bu Erta'!$C$2:$E$66,3,0)</f>
        <v>1600</v>
      </c>
      <c r="F226">
        <v>0.15</v>
      </c>
      <c r="G226" s="80">
        <f t="shared" si="6"/>
        <v>240</v>
      </c>
      <c r="H226" s="80">
        <f>VLOOKUP(D226,'Bu Erta'!$C$2:$F$66,4,0)*F226</f>
        <v>300</v>
      </c>
    </row>
    <row r="227" spans="1:8" x14ac:dyDescent="0.35">
      <c r="B227" t="s">
        <v>89</v>
      </c>
      <c r="D227" t="s">
        <v>65</v>
      </c>
      <c r="E227" s="80">
        <f>VLOOKUP(D227,'Bu Erta'!$C$2:$E$66,3,0)</f>
        <v>150</v>
      </c>
      <c r="F227">
        <v>0.15</v>
      </c>
      <c r="G227" s="80">
        <f t="shared" si="6"/>
        <v>22.5</v>
      </c>
      <c r="H227" s="80">
        <f>VLOOKUP(D227,'Bu Erta'!$C$2:$F$66,4,0)*F227</f>
        <v>30</v>
      </c>
    </row>
    <row r="228" spans="1:8" x14ac:dyDescent="0.35">
      <c r="B228" t="s">
        <v>89</v>
      </c>
      <c r="D228" t="s">
        <v>24</v>
      </c>
      <c r="E228" s="80">
        <f>VLOOKUP(D228,'Bu Erta'!$C$2:$E$66,3,0)</f>
        <v>150</v>
      </c>
      <c r="F228">
        <v>1.4</v>
      </c>
      <c r="G228" s="80">
        <f t="shared" si="6"/>
        <v>210</v>
      </c>
      <c r="H228" s="80">
        <f>VLOOKUP(D228,'Bu Erta'!$C$2:$F$66,4,0)*F228</f>
        <v>280</v>
      </c>
    </row>
    <row r="229" spans="1:8" x14ac:dyDescent="0.35">
      <c r="A229" s="5">
        <v>34</v>
      </c>
      <c r="B229" t="s">
        <v>135</v>
      </c>
      <c r="C229" s="1">
        <v>4</v>
      </c>
      <c r="D229" t="s">
        <v>19</v>
      </c>
      <c r="E229" s="80">
        <f>VLOOKUP(D229,'Bu Erta'!$C$2:$E$66,3,0)</f>
        <v>200</v>
      </c>
      <c r="F229">
        <f>1.8+0.2+0.25</f>
        <v>2.25</v>
      </c>
      <c r="G229" s="80">
        <f t="shared" si="6"/>
        <v>450</v>
      </c>
      <c r="H229" s="80">
        <f>VLOOKUP(D229,'Bu Erta'!$C$2:$F$66,4,0)*F229</f>
        <v>675</v>
      </c>
    </row>
    <row r="230" spans="1:8" x14ac:dyDescent="0.35">
      <c r="B230" t="s">
        <v>135</v>
      </c>
      <c r="D230" t="s">
        <v>88</v>
      </c>
      <c r="E230" s="80">
        <f>VLOOKUP(D230,'Bu Erta'!$C$2:$E$66,3,0)</f>
        <v>300</v>
      </c>
      <c r="F230">
        <v>0.35</v>
      </c>
      <c r="G230" s="80">
        <f t="shared" si="6"/>
        <v>105</v>
      </c>
      <c r="H230" s="80">
        <f>VLOOKUP(D230,'Bu Erta'!$C$2:$F$66,4,0)*F230</f>
        <v>140</v>
      </c>
    </row>
    <row r="231" spans="1:8" x14ac:dyDescent="0.35">
      <c r="B231" t="s">
        <v>135</v>
      </c>
      <c r="D231" t="s">
        <v>7</v>
      </c>
      <c r="E231" s="80">
        <f>VLOOKUP(D231,'Bu Erta'!$C$2:$E$66,3,0)</f>
        <v>1400</v>
      </c>
      <c r="F231">
        <f>0.55+0.2</f>
        <v>0.75</v>
      </c>
      <c r="G231" s="80">
        <f t="shared" si="6"/>
        <v>1050</v>
      </c>
      <c r="H231" s="80">
        <f>VLOOKUP(D231,'Bu Erta'!$C$2:$F$66,4,0)*F231</f>
        <v>1200</v>
      </c>
    </row>
    <row r="232" spans="1:8" x14ac:dyDescent="0.35">
      <c r="B232" t="s">
        <v>135</v>
      </c>
      <c r="D232" t="s">
        <v>27</v>
      </c>
      <c r="E232" s="80">
        <f>VLOOKUP(D232,'Bu Erta'!$C$2:$E$66,3,0)</f>
        <v>2800</v>
      </c>
      <c r="F232">
        <f>0.55+0.25</f>
        <v>0.8</v>
      </c>
      <c r="G232" s="80">
        <f t="shared" si="6"/>
        <v>2240</v>
      </c>
      <c r="H232" s="80">
        <f>VLOOKUP(D232,'Bu Erta'!$C$2:$F$66,4,0)*F232</f>
        <v>2480</v>
      </c>
    </row>
    <row r="233" spans="1:8" x14ac:dyDescent="0.35">
      <c r="B233" t="s">
        <v>135</v>
      </c>
      <c r="D233" t="s">
        <v>40</v>
      </c>
      <c r="E233" s="80">
        <f>VLOOKUP(D233,'Bu Erta'!$C$2:$E$66,3,0)</f>
        <v>1800</v>
      </c>
      <c r="F233">
        <v>0.45</v>
      </c>
      <c r="G233" s="80">
        <f t="shared" si="6"/>
        <v>810</v>
      </c>
      <c r="H233" s="80">
        <f>VLOOKUP(D233,'Bu Erta'!$C$2:$F$66,4,0)*F233</f>
        <v>900</v>
      </c>
    </row>
    <row r="234" spans="1:8" x14ac:dyDescent="0.35">
      <c r="B234" t="s">
        <v>135</v>
      </c>
      <c r="D234" t="s">
        <v>23</v>
      </c>
      <c r="E234" s="80">
        <f>VLOOKUP(D234,'Bu Erta'!$C$2:$E$66,3,0)</f>
        <v>300</v>
      </c>
      <c r="F234">
        <v>0.5</v>
      </c>
      <c r="G234" s="80">
        <f t="shared" si="6"/>
        <v>150</v>
      </c>
      <c r="H234" s="80">
        <f>VLOOKUP(D234,'Bu Erta'!$C$2:$F$66,4,0)*F234</f>
        <v>200</v>
      </c>
    </row>
    <row r="235" spans="1:8" x14ac:dyDescent="0.35">
      <c r="B235" t="s">
        <v>135</v>
      </c>
      <c r="D235" t="s">
        <v>41</v>
      </c>
      <c r="E235" s="80">
        <f>VLOOKUP(D235,'Bu Erta'!$C$2:$E$66,3,0)</f>
        <v>1500</v>
      </c>
      <c r="F235">
        <v>0.25</v>
      </c>
      <c r="G235" s="80">
        <f t="shared" si="6"/>
        <v>375</v>
      </c>
      <c r="H235" s="80">
        <f>VLOOKUP(D235,'Bu Erta'!$C$2:$F$66,4,0)*F235</f>
        <v>500</v>
      </c>
    </row>
    <row r="236" spans="1:8" x14ac:dyDescent="0.35">
      <c r="B236" t="s">
        <v>135</v>
      </c>
      <c r="D236" t="s">
        <v>24</v>
      </c>
      <c r="E236" s="80">
        <f>VLOOKUP(D236,'Bu Erta'!$C$2:$E$66,3,0)</f>
        <v>150</v>
      </c>
      <c r="F236">
        <v>0.35</v>
      </c>
      <c r="G236" s="80">
        <f t="shared" si="6"/>
        <v>52.5</v>
      </c>
      <c r="H236" s="80">
        <f>VLOOKUP(D236,'Bu Erta'!$C$2:$F$66,4,0)*F236</f>
        <v>70</v>
      </c>
    </row>
    <row r="237" spans="1:8" x14ac:dyDescent="0.35">
      <c r="B237" t="s">
        <v>135</v>
      </c>
      <c r="D237" t="s">
        <v>34</v>
      </c>
      <c r="E237" s="80">
        <f>VLOOKUP(D237,'Bu Erta'!$C$2:$E$66,3,0)</f>
        <v>3500</v>
      </c>
      <c r="F237">
        <v>0.4</v>
      </c>
      <c r="G237" s="80">
        <f t="shared" si="6"/>
        <v>1400</v>
      </c>
      <c r="H237" s="80">
        <f>VLOOKUP(D237,'Bu Erta'!$C$2:$F$66,4,0)*F237</f>
        <v>1440</v>
      </c>
    </row>
    <row r="238" spans="1:8" x14ac:dyDescent="0.35">
      <c r="A238" s="5">
        <v>35</v>
      </c>
      <c r="B238" t="s">
        <v>182</v>
      </c>
      <c r="C238" s="1">
        <v>4</v>
      </c>
      <c r="D238" t="s">
        <v>42</v>
      </c>
      <c r="E238" s="80">
        <f>VLOOKUP(D238,'Bu Erta'!$C$2:$E$66,3,0)</f>
        <v>1000</v>
      </c>
      <c r="F238">
        <v>3.3</v>
      </c>
      <c r="G238" s="80">
        <f t="shared" si="6"/>
        <v>3300</v>
      </c>
      <c r="H238" s="80">
        <f>VLOOKUP(D238,'Bu Erta'!$C$2:$F$66,4,0)*F238</f>
        <v>3960</v>
      </c>
    </row>
    <row r="239" spans="1:8" x14ac:dyDescent="0.35">
      <c r="B239" t="s">
        <v>182</v>
      </c>
      <c r="D239" t="s">
        <v>31</v>
      </c>
      <c r="E239" s="80">
        <f>VLOOKUP(D239,'Bu Erta'!$C$2:$E$66,3,0)</f>
        <v>1000</v>
      </c>
      <c r="F239">
        <v>0.6</v>
      </c>
      <c r="G239" s="80">
        <f t="shared" si="6"/>
        <v>600</v>
      </c>
      <c r="H239" s="80">
        <f>VLOOKUP(D239,'Bu Erta'!$C$2:$F$66,4,0)*F239</f>
        <v>660</v>
      </c>
    </row>
    <row r="240" spans="1:8" x14ac:dyDescent="0.35">
      <c r="B240" t="s">
        <v>182</v>
      </c>
      <c r="D240" t="s">
        <v>25</v>
      </c>
      <c r="E240" s="80">
        <f>VLOOKUP(D240,'Bu Erta'!$C$2:$E$66,3,0)</f>
        <v>1600</v>
      </c>
      <c r="F240">
        <v>0.6</v>
      </c>
      <c r="G240" s="80">
        <f t="shared" si="6"/>
        <v>960</v>
      </c>
      <c r="H240" s="80">
        <f>VLOOKUP(D240,'Bu Erta'!$C$2:$F$66,4,0)*F240</f>
        <v>1020</v>
      </c>
    </row>
    <row r="241" spans="1:8" x14ac:dyDescent="0.35">
      <c r="A241" s="5">
        <v>36</v>
      </c>
      <c r="B241" t="s">
        <v>151</v>
      </c>
      <c r="C241" s="1">
        <v>4</v>
      </c>
      <c r="D241" t="s">
        <v>25</v>
      </c>
      <c r="E241" s="80">
        <f>VLOOKUP(D241,'Bu Erta'!$C$2:$E$66,3,0)</f>
        <v>1600</v>
      </c>
      <c r="F241">
        <v>0.55000000000000004</v>
      </c>
      <c r="G241" s="80">
        <f t="shared" si="6"/>
        <v>880.00000000000011</v>
      </c>
      <c r="H241" s="80">
        <f>VLOOKUP(D241,'Bu Erta'!$C$2:$F$66,4,0)*F241</f>
        <v>935.00000000000011</v>
      </c>
    </row>
    <row r="242" spans="1:8" x14ac:dyDescent="0.35">
      <c r="B242" t="s">
        <v>151</v>
      </c>
      <c r="D242" t="s">
        <v>24</v>
      </c>
      <c r="E242" s="80">
        <f>VLOOKUP(D242,'Bu Erta'!$C$2:$E$66,3,0)</f>
        <v>150</v>
      </c>
      <c r="F242">
        <v>0.1</v>
      </c>
      <c r="G242" s="80">
        <f t="shared" si="6"/>
        <v>15</v>
      </c>
      <c r="H242" s="80">
        <f>VLOOKUP(D242,'Bu Erta'!$C$2:$F$66,4,0)*F242</f>
        <v>20</v>
      </c>
    </row>
    <row r="243" spans="1:8" x14ac:dyDescent="0.35">
      <c r="B243" t="s">
        <v>151</v>
      </c>
      <c r="D243" t="s">
        <v>61</v>
      </c>
      <c r="E243" s="80">
        <f>VLOOKUP(D243,'Bu Erta'!$C$2:$E$66,3,0)</f>
        <v>800</v>
      </c>
      <c r="F243">
        <v>0.25</v>
      </c>
      <c r="G243" s="80">
        <f t="shared" si="6"/>
        <v>200</v>
      </c>
      <c r="H243" s="80">
        <f>VLOOKUP(D243,'Bu Erta'!$C$2:$F$66,4,0)*F243</f>
        <v>225</v>
      </c>
    </row>
    <row r="244" spans="1:8" x14ac:dyDescent="0.35">
      <c r="B244" t="s">
        <v>151</v>
      </c>
      <c r="D244" t="s">
        <v>22</v>
      </c>
      <c r="E244" s="80">
        <f>VLOOKUP(D244,'Bu Erta'!$C$2:$E$66,3,0)</f>
        <v>2500</v>
      </c>
      <c r="F244">
        <v>0.75</v>
      </c>
      <c r="G244" s="80">
        <f t="shared" si="6"/>
        <v>1875</v>
      </c>
      <c r="H244" s="80">
        <f>VLOOKUP(D244,'Bu Erta'!$C$2:$F$66,4,0)*F244</f>
        <v>2250</v>
      </c>
    </row>
    <row r="245" spans="1:8" x14ac:dyDescent="0.35">
      <c r="B245" t="s">
        <v>151</v>
      </c>
      <c r="D245" t="s">
        <v>7</v>
      </c>
      <c r="E245" s="80">
        <f>VLOOKUP(D245,'Bu Erta'!$C$2:$E$66,3,0)</f>
        <v>1400</v>
      </c>
      <c r="F245">
        <v>0.9</v>
      </c>
      <c r="G245" s="80">
        <f t="shared" si="6"/>
        <v>1260</v>
      </c>
      <c r="H245" s="80">
        <f>VLOOKUP(D245,'Bu Erta'!$C$2:$F$66,4,0)*F245</f>
        <v>1440</v>
      </c>
    </row>
    <row r="246" spans="1:8" x14ac:dyDescent="0.35">
      <c r="A246" s="5">
        <v>37</v>
      </c>
      <c r="B246" t="s">
        <v>198</v>
      </c>
      <c r="C246" s="5" t="s">
        <v>239</v>
      </c>
      <c r="D246" t="s">
        <v>7</v>
      </c>
      <c r="E246" s="80">
        <f>VLOOKUP(D246,'Bu Erta'!$C$2:$E$66,3,0)</f>
        <v>1400</v>
      </c>
      <c r="F246">
        <v>0.7</v>
      </c>
      <c r="G246" s="80">
        <f t="shared" si="6"/>
        <v>979.99999999999989</v>
      </c>
      <c r="H246" s="80">
        <f>VLOOKUP(D246,'Bu Erta'!$C$2:$F$66,4,0)*F246</f>
        <v>1120</v>
      </c>
    </row>
    <row r="247" spans="1:8" x14ac:dyDescent="0.35">
      <c r="B247" t="s">
        <v>198</v>
      </c>
      <c r="D247" t="s">
        <v>23</v>
      </c>
      <c r="E247" s="80">
        <f>VLOOKUP(D247,'Bu Erta'!$C$2:$E$66,3,0)</f>
        <v>300</v>
      </c>
      <c r="F247">
        <v>0.25</v>
      </c>
      <c r="G247" s="80">
        <f t="shared" si="6"/>
        <v>75</v>
      </c>
      <c r="H247" s="80">
        <f>VLOOKUP(D247,'Bu Erta'!$C$2:$F$66,4,0)*F247</f>
        <v>100</v>
      </c>
    </row>
    <row r="248" spans="1:8" x14ac:dyDescent="0.35">
      <c r="B248" t="s">
        <v>198</v>
      </c>
      <c r="D248" t="s">
        <v>41</v>
      </c>
      <c r="E248" s="80">
        <f>VLOOKUP(D248,'Bu Erta'!$C$2:$E$66,3,0)</f>
        <v>1500</v>
      </c>
      <c r="F248">
        <v>0.1</v>
      </c>
      <c r="G248" s="80">
        <f t="shared" si="6"/>
        <v>150</v>
      </c>
      <c r="H248" s="80">
        <f>VLOOKUP(D248,'Bu Erta'!$C$2:$F$66,4,0)*F248</f>
        <v>200</v>
      </c>
    </row>
    <row r="249" spans="1:8" x14ac:dyDescent="0.35">
      <c r="B249" t="s">
        <v>198</v>
      </c>
      <c r="D249" t="s">
        <v>31</v>
      </c>
      <c r="E249" s="80">
        <f>VLOOKUP(D249,'Bu Erta'!$C$2:$E$66,3,0)</f>
        <v>1000</v>
      </c>
      <c r="F249">
        <v>0.6</v>
      </c>
      <c r="G249" s="80">
        <f t="shared" si="6"/>
        <v>600</v>
      </c>
      <c r="H249" s="80">
        <f>VLOOKUP(D249,'Bu Erta'!$C$2:$F$66,4,0)*F249</f>
        <v>660</v>
      </c>
    </row>
    <row r="250" spans="1:8" x14ac:dyDescent="0.35">
      <c r="A250" s="5">
        <v>38</v>
      </c>
      <c r="B250" t="s">
        <v>245</v>
      </c>
      <c r="C250" s="5">
        <v>4</v>
      </c>
      <c r="D250" t="s">
        <v>7</v>
      </c>
      <c r="E250" s="80">
        <f>VLOOKUP(D250,'Bu Erta'!$C$2:$E$66,3,0)</f>
        <v>1400</v>
      </c>
      <c r="F250">
        <v>0.05</v>
      </c>
      <c r="G250" s="80">
        <f t="shared" si="6"/>
        <v>70</v>
      </c>
      <c r="H250" s="80">
        <f>VLOOKUP(D250,'Bu Erta'!$C$2:$F$66,4,0)*F250</f>
        <v>80</v>
      </c>
    </row>
    <row r="251" spans="1:8" x14ac:dyDescent="0.35">
      <c r="B251" t="s">
        <v>245</v>
      </c>
      <c r="D251" t="s">
        <v>42</v>
      </c>
      <c r="E251" s="80">
        <f>VLOOKUP(D251,'Bu Erta'!$C$2:$E$66,3,0)</f>
        <v>1000</v>
      </c>
      <c r="F251">
        <v>1.1499999999999999</v>
      </c>
      <c r="G251" s="80">
        <f t="shared" si="6"/>
        <v>1150</v>
      </c>
      <c r="H251" s="80">
        <f>VLOOKUP(D251,'Bu Erta'!$C$2:$F$66,4,0)*F251</f>
        <v>1380</v>
      </c>
    </row>
    <row r="252" spans="1:8" x14ac:dyDescent="0.35">
      <c r="B252" t="s">
        <v>245</v>
      </c>
      <c r="D252" t="s">
        <v>23</v>
      </c>
      <c r="E252" s="80">
        <f>VLOOKUP(D252,'Bu Erta'!$C$2:$E$66,3,0)</f>
        <v>300</v>
      </c>
      <c r="F252">
        <v>0.25</v>
      </c>
      <c r="G252" s="80">
        <f t="shared" si="6"/>
        <v>75</v>
      </c>
      <c r="H252" s="80">
        <f>VLOOKUP(D252,'Bu Erta'!$C$2:$F$66,4,0)*F252</f>
        <v>100</v>
      </c>
    </row>
    <row r="253" spans="1:8" x14ac:dyDescent="0.35">
      <c r="B253" t="s">
        <v>245</v>
      </c>
      <c r="D253" t="s">
        <v>67</v>
      </c>
      <c r="E253" s="80">
        <f>VLOOKUP(D253,'Bu Erta'!$C$2:$E$66,3,0)</f>
        <v>2700</v>
      </c>
      <c r="F253">
        <v>3.15</v>
      </c>
      <c r="G253" s="80">
        <f t="shared" si="6"/>
        <v>8505</v>
      </c>
      <c r="H253" s="80">
        <f>VLOOKUP(D253,'Bu Erta'!$C$2:$F$66,4,0)*F253</f>
        <v>9450</v>
      </c>
    </row>
    <row r="254" spans="1:8" x14ac:dyDescent="0.35">
      <c r="B254" t="s">
        <v>245</v>
      </c>
      <c r="D254" t="s">
        <v>27</v>
      </c>
      <c r="E254" s="80">
        <f>VLOOKUP(D254,'Bu Erta'!$C$2:$E$66,3,0)</f>
        <v>2800</v>
      </c>
      <c r="F254">
        <v>0.35</v>
      </c>
      <c r="G254" s="80">
        <f t="shared" si="6"/>
        <v>979.99999999999989</v>
      </c>
      <c r="H254" s="80">
        <f>VLOOKUP(D254,'Bu Erta'!$C$2:$F$66,4,0)*F254</f>
        <v>1085</v>
      </c>
    </row>
    <row r="255" spans="1:8" x14ac:dyDescent="0.35">
      <c r="B255" t="s">
        <v>245</v>
      </c>
      <c r="D255" t="s">
        <v>19</v>
      </c>
      <c r="E255" s="80">
        <f>VLOOKUP(D255,'Bu Erta'!$C$2:$E$66,3,0)</f>
        <v>200</v>
      </c>
      <c r="F255">
        <v>0.3</v>
      </c>
      <c r="G255" s="80">
        <f t="shared" si="6"/>
        <v>60</v>
      </c>
      <c r="H255" s="80">
        <f>VLOOKUP(D255,'Bu Erta'!$C$2:$F$66,4,0)*F255</f>
        <v>90</v>
      </c>
    </row>
    <row r="256" spans="1:8" x14ac:dyDescent="0.35">
      <c r="B256" t="s">
        <v>245</v>
      </c>
      <c r="D256" t="s">
        <v>88</v>
      </c>
      <c r="E256" s="80">
        <f>VLOOKUP(D256,'Bu Erta'!$C$2:$E$66,3,0)</f>
        <v>300</v>
      </c>
      <c r="F256">
        <v>0.25</v>
      </c>
      <c r="G256" s="80">
        <f t="shared" si="6"/>
        <v>75</v>
      </c>
      <c r="H256" s="80">
        <f>VLOOKUP(D256,'Bu Erta'!$C$2:$F$66,4,0)*F256</f>
        <v>100</v>
      </c>
    </row>
    <row r="257" spans="1:8" x14ac:dyDescent="0.35">
      <c r="B257" t="s">
        <v>245</v>
      </c>
      <c r="D257" t="s">
        <v>69</v>
      </c>
      <c r="E257" s="80">
        <f>VLOOKUP(D257,'Bu Erta'!$C$2:$E$66,3,0)</f>
        <v>2500</v>
      </c>
      <c r="F257">
        <v>0.25</v>
      </c>
      <c r="G257" s="80">
        <f t="shared" si="6"/>
        <v>625</v>
      </c>
      <c r="H257" s="80">
        <f>VLOOKUP(D257,'Bu Erta'!$C$2:$F$66,4,0)*F257</f>
        <v>750</v>
      </c>
    </row>
    <row r="258" spans="1:8" x14ac:dyDescent="0.35">
      <c r="B258" t="s">
        <v>245</v>
      </c>
      <c r="D258" t="s">
        <v>61</v>
      </c>
      <c r="E258" s="80">
        <f>VLOOKUP(D258,'Bu Erta'!$C$2:$E$66,3,0)</f>
        <v>800</v>
      </c>
      <c r="F258">
        <v>0.15</v>
      </c>
      <c r="G258" s="80">
        <f t="shared" si="6"/>
        <v>120</v>
      </c>
      <c r="H258" s="80">
        <f>VLOOKUP(D258,'Bu Erta'!$C$2:$F$66,4,0)*F258</f>
        <v>135</v>
      </c>
    </row>
    <row r="259" spans="1:8" x14ac:dyDescent="0.35">
      <c r="A259" s="5">
        <v>39</v>
      </c>
      <c r="B259" t="s">
        <v>132</v>
      </c>
      <c r="C259" s="1">
        <v>4</v>
      </c>
      <c r="D259" t="s">
        <v>42</v>
      </c>
      <c r="E259" s="80">
        <f>VLOOKUP(D259,'Bu Erta'!$C$2:$E$66,3,0)</f>
        <v>1000</v>
      </c>
      <c r="F259">
        <v>3.05</v>
      </c>
      <c r="G259" s="80">
        <f t="shared" si="6"/>
        <v>3050</v>
      </c>
      <c r="H259" s="80">
        <f>VLOOKUP(D259,'Bu Erta'!$C$2:$F$66,4,0)*F259</f>
        <v>3660</v>
      </c>
    </row>
    <row r="260" spans="1:8" x14ac:dyDescent="0.35">
      <c r="B260" t="s">
        <v>132</v>
      </c>
      <c r="D260" t="s">
        <v>23</v>
      </c>
      <c r="E260" s="80">
        <f>VLOOKUP(D260,'Bu Erta'!$C$2:$E$66,3,0)</f>
        <v>300</v>
      </c>
      <c r="F260">
        <v>0.3</v>
      </c>
      <c r="G260" s="80">
        <f t="shared" ref="G260:G296" si="7">E260*F260</f>
        <v>90</v>
      </c>
      <c r="H260" s="80">
        <f>VLOOKUP(D260,'Bu Erta'!$C$2:$F$66,4,0)*F260</f>
        <v>120</v>
      </c>
    </row>
    <row r="261" spans="1:8" x14ac:dyDescent="0.35">
      <c r="B261" t="s">
        <v>132</v>
      </c>
      <c r="D261" t="s">
        <v>88</v>
      </c>
      <c r="E261" s="80">
        <f>VLOOKUP(D261,'Bu Erta'!$C$2:$E$66,3,0)</f>
        <v>300</v>
      </c>
      <c r="F261">
        <v>1.55</v>
      </c>
      <c r="G261" s="80">
        <f t="shared" si="7"/>
        <v>465</v>
      </c>
      <c r="H261" s="80">
        <f>VLOOKUP(D261,'Bu Erta'!$C$2:$F$66,4,0)*F261</f>
        <v>620</v>
      </c>
    </row>
    <row r="262" spans="1:8" x14ac:dyDescent="0.35">
      <c r="B262" t="s">
        <v>132</v>
      </c>
      <c r="D262" t="s">
        <v>19</v>
      </c>
      <c r="E262" s="80">
        <f>VLOOKUP(D262,'Bu Erta'!$C$2:$E$66,3,0)</f>
        <v>200</v>
      </c>
      <c r="F262">
        <v>0.5</v>
      </c>
      <c r="G262" s="80">
        <f t="shared" si="7"/>
        <v>100</v>
      </c>
      <c r="H262" s="80">
        <f>VLOOKUP(D262,'Bu Erta'!$C$2:$F$66,4,0)*F262</f>
        <v>150</v>
      </c>
    </row>
    <row r="263" spans="1:8" x14ac:dyDescent="0.35">
      <c r="B263" t="s">
        <v>132</v>
      </c>
      <c r="D263" t="s">
        <v>6</v>
      </c>
      <c r="E263" s="80">
        <f>VLOOKUP(D263,'Bu Erta'!$C$2:$E$66,3,0)</f>
        <v>2000</v>
      </c>
      <c r="F263">
        <v>0.25</v>
      </c>
      <c r="G263" s="80">
        <f t="shared" si="7"/>
        <v>500</v>
      </c>
      <c r="H263" s="80">
        <f>VLOOKUP(D263,'Bu Erta'!$C$2:$F$66,4,0)*F263</f>
        <v>625</v>
      </c>
    </row>
    <row r="264" spans="1:8" x14ac:dyDescent="0.35">
      <c r="B264" t="s">
        <v>132</v>
      </c>
      <c r="D264" t="s">
        <v>7</v>
      </c>
      <c r="E264" s="80">
        <f>VLOOKUP(D264,'Bu Erta'!$C$2:$E$66,3,0)</f>
        <v>1400</v>
      </c>
      <c r="F264">
        <v>0.15</v>
      </c>
      <c r="G264" s="80">
        <f t="shared" si="7"/>
        <v>210</v>
      </c>
      <c r="H264" s="80">
        <f>VLOOKUP(D264,'Bu Erta'!$C$2:$F$66,4,0)*F264</f>
        <v>240</v>
      </c>
    </row>
    <row r="265" spans="1:8" x14ac:dyDescent="0.35">
      <c r="B265" t="s">
        <v>132</v>
      </c>
      <c r="D265" t="s">
        <v>25</v>
      </c>
      <c r="E265" s="80">
        <f>VLOOKUP(D265,'Bu Erta'!$C$2:$E$66,3,0)</f>
        <v>1600</v>
      </c>
      <c r="F265">
        <v>0.75</v>
      </c>
      <c r="G265" s="80">
        <f t="shared" si="7"/>
        <v>1200</v>
      </c>
      <c r="H265" s="80">
        <f>VLOOKUP(D265,'Bu Erta'!$C$2:$F$66,4,0)*F265</f>
        <v>1275</v>
      </c>
    </row>
    <row r="266" spans="1:8" x14ac:dyDescent="0.35">
      <c r="B266" t="s">
        <v>132</v>
      </c>
      <c r="D266" t="s">
        <v>40</v>
      </c>
      <c r="E266" s="80">
        <f>VLOOKUP(D266,'Bu Erta'!$C$2:$E$66,3,0)</f>
        <v>1800</v>
      </c>
      <c r="F266">
        <v>0.45</v>
      </c>
      <c r="G266" s="80">
        <f t="shared" si="7"/>
        <v>810</v>
      </c>
      <c r="H266" s="80">
        <f>VLOOKUP(D266,'Bu Erta'!$C$2:$F$66,4,0)*F266</f>
        <v>900</v>
      </c>
    </row>
    <row r="267" spans="1:8" x14ac:dyDescent="0.35">
      <c r="A267" s="5">
        <v>40</v>
      </c>
      <c r="B267" t="s">
        <v>192</v>
      </c>
      <c r="C267" s="1">
        <v>4</v>
      </c>
      <c r="D267" t="s">
        <v>42</v>
      </c>
      <c r="E267" s="80">
        <f>VLOOKUP(D267,'Bu Erta'!$C$2:$E$66,3,0)</f>
        <v>1000</v>
      </c>
      <c r="F267">
        <f>1.8+1.75+0.2</f>
        <v>3.75</v>
      </c>
      <c r="G267" s="80">
        <f t="shared" si="7"/>
        <v>3750</v>
      </c>
      <c r="H267" s="80">
        <f>VLOOKUP(D267,'Bu Erta'!$C$2:$F$66,4,0)*F267</f>
        <v>4500</v>
      </c>
    </row>
    <row r="268" spans="1:8" x14ac:dyDescent="0.35">
      <c r="B268" t="s">
        <v>192</v>
      </c>
      <c r="D268" t="s">
        <v>23</v>
      </c>
      <c r="E268" s="80">
        <f>VLOOKUP(D268,'Bu Erta'!$C$2:$E$66,3,0)</f>
        <v>300</v>
      </c>
      <c r="F268">
        <v>2.9</v>
      </c>
      <c r="G268" s="80">
        <f t="shared" si="7"/>
        <v>870</v>
      </c>
      <c r="H268" s="80">
        <f>VLOOKUP(D268,'Bu Erta'!$C$2:$F$66,4,0)*F268</f>
        <v>1160</v>
      </c>
    </row>
    <row r="269" spans="1:8" x14ac:dyDescent="0.35">
      <c r="B269" t="s">
        <v>192</v>
      </c>
      <c r="D269" t="s">
        <v>28</v>
      </c>
      <c r="E269" s="80">
        <f>VLOOKUP(D269,'Bu Erta'!$C$2:$E$66,3,0)</f>
        <v>1200</v>
      </c>
      <c r="F269">
        <v>0.55000000000000004</v>
      </c>
      <c r="G269" s="80">
        <f t="shared" si="7"/>
        <v>660</v>
      </c>
      <c r="H269" s="80">
        <f>VLOOKUP(D269,'Bu Erta'!$C$2:$F$66,4,0)*F269</f>
        <v>715.00000000000011</v>
      </c>
    </row>
    <row r="270" spans="1:8" x14ac:dyDescent="0.35">
      <c r="A270" s="5">
        <v>41</v>
      </c>
      <c r="B270" t="s">
        <v>152</v>
      </c>
      <c r="C270" s="1">
        <v>4</v>
      </c>
      <c r="D270" t="s">
        <v>42</v>
      </c>
      <c r="E270" s="80">
        <f>VLOOKUP(D270,'Bu Erta'!$C$2:$E$66,3,0)</f>
        <v>1000</v>
      </c>
      <c r="F270">
        <v>0.85</v>
      </c>
      <c r="G270" s="80">
        <f t="shared" si="7"/>
        <v>850</v>
      </c>
      <c r="H270" s="80">
        <f>VLOOKUP(D270,'Bu Erta'!$C$2:$F$66,4,0)*F270</f>
        <v>1020</v>
      </c>
    </row>
    <row r="271" spans="1:8" x14ac:dyDescent="0.35">
      <c r="B271" t="s">
        <v>152</v>
      </c>
      <c r="D271" t="s">
        <v>61</v>
      </c>
      <c r="E271" s="80">
        <f>VLOOKUP(D271,'Bu Erta'!$C$2:$E$66,3,0)</f>
        <v>800</v>
      </c>
      <c r="F271">
        <v>0.15</v>
      </c>
      <c r="G271" s="80">
        <f t="shared" si="7"/>
        <v>120</v>
      </c>
      <c r="H271" s="80">
        <f>VLOOKUP(D271,'Bu Erta'!$C$2:$F$66,4,0)*F271</f>
        <v>135</v>
      </c>
    </row>
    <row r="272" spans="1:8" x14ac:dyDescent="0.35">
      <c r="A272" s="5">
        <v>42</v>
      </c>
      <c r="B272" t="s">
        <v>188</v>
      </c>
      <c r="C272" s="1">
        <v>7</v>
      </c>
      <c r="D272" t="s">
        <v>42</v>
      </c>
      <c r="E272" s="80">
        <f>VLOOKUP(D272,'Bu Erta'!$C$2:$E$66,3,0)</f>
        <v>1000</v>
      </c>
      <c r="F272">
        <v>4.8</v>
      </c>
      <c r="G272" s="80">
        <f t="shared" si="7"/>
        <v>4800</v>
      </c>
      <c r="H272" s="80">
        <f>VLOOKUP(D272,'Bu Erta'!$C$2:$F$66,4,0)*F272</f>
        <v>5760</v>
      </c>
    </row>
    <row r="273" spans="1:8" x14ac:dyDescent="0.35">
      <c r="B273" t="s">
        <v>188</v>
      </c>
      <c r="D273" t="s">
        <v>6</v>
      </c>
      <c r="E273" s="80">
        <f>VLOOKUP(D273,'Bu Erta'!$C$2:$E$66,3,0)</f>
        <v>2000</v>
      </c>
      <c r="F273">
        <v>0.45</v>
      </c>
      <c r="G273" s="80">
        <f t="shared" si="7"/>
        <v>900</v>
      </c>
      <c r="H273" s="80">
        <f>VLOOKUP(D273,'Bu Erta'!$C$2:$F$66,4,0)*F273</f>
        <v>1125</v>
      </c>
    </row>
    <row r="274" spans="1:8" x14ac:dyDescent="0.35">
      <c r="B274" t="s">
        <v>188</v>
      </c>
      <c r="D274" t="s">
        <v>25</v>
      </c>
      <c r="E274" s="80">
        <f>VLOOKUP(D274,'Bu Erta'!$C$2:$E$66,3,0)</f>
        <v>1600</v>
      </c>
      <c r="F274">
        <v>0.4</v>
      </c>
      <c r="G274" s="80">
        <f t="shared" si="7"/>
        <v>640</v>
      </c>
      <c r="H274" s="80">
        <f>VLOOKUP(D274,'Bu Erta'!$C$2:$F$66,4,0)*F274</f>
        <v>680</v>
      </c>
    </row>
    <row r="275" spans="1:8" x14ac:dyDescent="0.35">
      <c r="B275" t="s">
        <v>188</v>
      </c>
      <c r="D275" t="s">
        <v>19</v>
      </c>
      <c r="E275" s="80">
        <f>VLOOKUP(D275,'Bu Erta'!$C$2:$E$66,3,0)</f>
        <v>200</v>
      </c>
      <c r="F275">
        <v>0.5</v>
      </c>
      <c r="G275" s="80">
        <f t="shared" si="7"/>
        <v>100</v>
      </c>
      <c r="H275" s="80">
        <f>VLOOKUP(D275,'Bu Erta'!$C$2:$F$66,4,0)*F275</f>
        <v>150</v>
      </c>
    </row>
    <row r="276" spans="1:8" x14ac:dyDescent="0.35">
      <c r="B276" t="s">
        <v>188</v>
      </c>
      <c r="D276" t="s">
        <v>41</v>
      </c>
      <c r="E276" s="80">
        <f>VLOOKUP(D276,'Bu Erta'!$C$2:$E$66,3,0)</f>
        <v>1500</v>
      </c>
      <c r="F276">
        <v>0.05</v>
      </c>
      <c r="G276" s="80">
        <f t="shared" si="7"/>
        <v>75</v>
      </c>
      <c r="H276" s="80">
        <f>VLOOKUP(D276,'Bu Erta'!$C$2:$F$66,4,0)*F276</f>
        <v>100</v>
      </c>
    </row>
    <row r="277" spans="1:8" x14ac:dyDescent="0.35">
      <c r="A277" s="5">
        <v>43</v>
      </c>
      <c r="B277" t="s">
        <v>5</v>
      </c>
      <c r="C277" s="1">
        <v>2</v>
      </c>
      <c r="D277" t="s">
        <v>42</v>
      </c>
      <c r="E277" s="80">
        <f>VLOOKUP(D277,'Bu Erta'!$C$2:$E$66,3,0)</f>
        <v>1000</v>
      </c>
      <c r="F277">
        <v>1.85</v>
      </c>
      <c r="G277" s="80">
        <f t="shared" si="7"/>
        <v>1850</v>
      </c>
      <c r="H277" s="80">
        <f>VLOOKUP(D277,'Bu Erta'!$C$2:$F$66,4,0)*F277</f>
        <v>2220</v>
      </c>
    </row>
    <row r="278" spans="1:8" x14ac:dyDescent="0.35">
      <c r="B278" t="s">
        <v>5</v>
      </c>
      <c r="D278" t="s">
        <v>27</v>
      </c>
      <c r="E278" s="80">
        <f>VLOOKUP(D278,'Bu Erta'!$C$2:$E$66,3,0)</f>
        <v>2800</v>
      </c>
      <c r="F278">
        <v>5</v>
      </c>
      <c r="G278" s="80">
        <f t="shared" si="7"/>
        <v>14000</v>
      </c>
      <c r="H278" s="80">
        <f>VLOOKUP(D278,'Bu Erta'!$C$2:$F$66,4,0)*F278</f>
        <v>15500</v>
      </c>
    </row>
    <row r="279" spans="1:8" x14ac:dyDescent="0.35">
      <c r="B279" t="s">
        <v>5</v>
      </c>
      <c r="D279" t="s">
        <v>56</v>
      </c>
      <c r="E279" s="80">
        <f>VLOOKUP(D279,'Bu Erta'!$C$2:$E$66,3,0)</f>
        <v>4000</v>
      </c>
      <c r="F279">
        <v>1.1000000000000001</v>
      </c>
      <c r="G279" s="80">
        <f t="shared" si="7"/>
        <v>4400</v>
      </c>
      <c r="H279" s="80">
        <f>VLOOKUP(D279,'Bu Erta'!$C$2:$F$66,4,0)*F279</f>
        <v>6050.0000000000009</v>
      </c>
    </row>
    <row r="280" spans="1:8" x14ac:dyDescent="0.35">
      <c r="A280" s="5">
        <v>44</v>
      </c>
      <c r="B280" t="s">
        <v>164</v>
      </c>
      <c r="C280" s="1">
        <v>3</v>
      </c>
      <c r="D280" t="s">
        <v>41</v>
      </c>
      <c r="E280" s="80">
        <f>VLOOKUP(D280,'Bu Erta'!$C$2:$E$66,3,0)</f>
        <v>1500</v>
      </c>
      <c r="F280">
        <f>0.2+0.15</f>
        <v>0.35</v>
      </c>
      <c r="G280" s="80">
        <f t="shared" si="7"/>
        <v>525</v>
      </c>
      <c r="H280" s="80">
        <f>VLOOKUP(D280,'Bu Erta'!$C$2:$F$66,4,0)*F280</f>
        <v>700</v>
      </c>
    </row>
    <row r="281" spans="1:8" x14ac:dyDescent="0.35">
      <c r="B281" t="s">
        <v>164</v>
      </c>
      <c r="D281" t="s">
        <v>31</v>
      </c>
      <c r="E281" s="80">
        <f>VLOOKUP(D281,'Bu Erta'!$C$2:$E$66,3,0)</f>
        <v>1000</v>
      </c>
      <c r="F281">
        <v>0.35</v>
      </c>
      <c r="G281" s="80">
        <f t="shared" si="7"/>
        <v>350</v>
      </c>
      <c r="H281" s="80">
        <f>VLOOKUP(D281,'Bu Erta'!$C$2:$F$66,4,0)*F281</f>
        <v>385</v>
      </c>
    </row>
    <row r="282" spans="1:8" x14ac:dyDescent="0.35">
      <c r="B282" t="s">
        <v>164</v>
      </c>
      <c r="D282" t="s">
        <v>68</v>
      </c>
      <c r="E282" s="80">
        <f>VLOOKUP(D282,'Bu Erta'!$C$2:$E$66,3,0)</f>
        <v>150</v>
      </c>
      <c r="F282">
        <v>1.1499999999999999</v>
      </c>
      <c r="G282" s="80">
        <f t="shared" si="7"/>
        <v>172.5</v>
      </c>
      <c r="H282" s="80">
        <f>VLOOKUP(D282,'Bu Erta'!$C$2:$F$66,4,0)*F282</f>
        <v>229.99999999999997</v>
      </c>
    </row>
    <row r="283" spans="1:8" x14ac:dyDescent="0.35">
      <c r="B283" t="s">
        <v>164</v>
      </c>
      <c r="D283" t="s">
        <v>42</v>
      </c>
      <c r="E283" s="80">
        <f>VLOOKUP(D283,'Bu Erta'!$C$2:$E$66,3,0)</f>
        <v>1000</v>
      </c>
      <c r="F283">
        <f>3.15+0.2+0.55</f>
        <v>3.9000000000000004</v>
      </c>
      <c r="G283" s="80">
        <f t="shared" si="7"/>
        <v>3900.0000000000005</v>
      </c>
      <c r="H283" s="80">
        <f>VLOOKUP(D283,'Bu Erta'!$C$2:$F$66,4,0)*F283</f>
        <v>4680</v>
      </c>
    </row>
    <row r="284" spans="1:8" x14ac:dyDescent="0.35">
      <c r="B284" t="s">
        <v>164</v>
      </c>
      <c r="D284" t="s">
        <v>7</v>
      </c>
      <c r="E284" s="80">
        <f>VLOOKUP(D284,'Bu Erta'!$C$2:$E$66,3,0)</f>
        <v>1400</v>
      </c>
      <c r="F284">
        <f>0.75+0.4</f>
        <v>1.1499999999999999</v>
      </c>
      <c r="G284" s="80">
        <f t="shared" si="7"/>
        <v>1609.9999999999998</v>
      </c>
      <c r="H284" s="80">
        <f>VLOOKUP(D284,'Bu Erta'!$C$2:$F$66,4,0)*F284</f>
        <v>1839.9999999999998</v>
      </c>
    </row>
    <row r="285" spans="1:8" x14ac:dyDescent="0.35">
      <c r="B285" t="s">
        <v>164</v>
      </c>
      <c r="D285" t="s">
        <v>36</v>
      </c>
      <c r="E285" s="80">
        <f>VLOOKUP(D285,'Bu Erta'!$C$2:$E$66,3,0)</f>
        <v>600</v>
      </c>
      <c r="F285">
        <v>0.1</v>
      </c>
      <c r="G285" s="80">
        <f t="shared" si="7"/>
        <v>60</v>
      </c>
      <c r="H285" s="80">
        <f>VLOOKUP(D285,'Bu Erta'!$C$2:$F$66,4,0)*F285</f>
        <v>65</v>
      </c>
    </row>
    <row r="286" spans="1:8" x14ac:dyDescent="0.35">
      <c r="B286" t="s">
        <v>164</v>
      </c>
      <c r="D286" t="s">
        <v>61</v>
      </c>
      <c r="E286" s="80">
        <f>VLOOKUP(D286,'Bu Erta'!$C$2:$E$66,3,0)</f>
        <v>800</v>
      </c>
      <c r="F286">
        <v>0.1</v>
      </c>
      <c r="G286" s="80">
        <f t="shared" si="7"/>
        <v>80</v>
      </c>
      <c r="H286" s="80">
        <f>VLOOKUP(D286,'Bu Erta'!$C$2:$F$66,4,0)*F286</f>
        <v>90</v>
      </c>
    </row>
    <row r="287" spans="1:8" x14ac:dyDescent="0.35">
      <c r="B287" t="s">
        <v>164</v>
      </c>
      <c r="D287" t="s">
        <v>46</v>
      </c>
      <c r="E287" s="80">
        <f>VLOOKUP(D287,'Bu Erta'!$C$2:$E$66,3,0)</f>
        <v>1400</v>
      </c>
      <c r="F287">
        <v>0.15</v>
      </c>
      <c r="G287" s="80">
        <f t="shared" si="7"/>
        <v>210</v>
      </c>
      <c r="H287" s="80">
        <f>VLOOKUP(D287,'Bu Erta'!$C$2:$F$66,4,0)*F287</f>
        <v>225</v>
      </c>
    </row>
    <row r="288" spans="1:8" x14ac:dyDescent="0.35">
      <c r="B288" t="s">
        <v>164</v>
      </c>
      <c r="D288" t="s">
        <v>45</v>
      </c>
      <c r="E288" s="80">
        <f>VLOOKUP(D288,'Bu Erta'!$C$2:$E$66,3,0)</f>
        <v>700</v>
      </c>
      <c r="F288">
        <v>0.15</v>
      </c>
      <c r="G288" s="80">
        <f t="shared" si="7"/>
        <v>105</v>
      </c>
      <c r="H288" s="80">
        <f>VLOOKUP(D288,'Bu Erta'!$C$2:$F$66,4,0)*F288</f>
        <v>120</v>
      </c>
    </row>
    <row r="289" spans="1:8" x14ac:dyDescent="0.35">
      <c r="A289" s="5">
        <v>45</v>
      </c>
      <c r="B289" t="s">
        <v>189</v>
      </c>
      <c r="C289" s="1">
        <v>5</v>
      </c>
      <c r="D289" t="s">
        <v>19</v>
      </c>
      <c r="E289" s="80">
        <f>VLOOKUP(D289,'Bu Erta'!$C$2:$E$66,3,0)</f>
        <v>200</v>
      </c>
      <c r="F289">
        <f>0.3+0.25</f>
        <v>0.55000000000000004</v>
      </c>
      <c r="G289" s="80">
        <f t="shared" si="7"/>
        <v>110.00000000000001</v>
      </c>
      <c r="H289" s="80">
        <f>VLOOKUP(D289,'Bu Erta'!$C$2:$F$66,4,0)*F289</f>
        <v>165</v>
      </c>
    </row>
    <row r="290" spans="1:8" x14ac:dyDescent="0.35">
      <c r="B290" t="s">
        <v>189</v>
      </c>
      <c r="D290" t="s">
        <v>25</v>
      </c>
      <c r="E290" s="80">
        <f>VLOOKUP(D290,'Bu Erta'!$C$2:$E$66,3,0)</f>
        <v>1600</v>
      </c>
      <c r="F290">
        <v>0.55000000000000004</v>
      </c>
      <c r="G290" s="80">
        <f t="shared" si="7"/>
        <v>880.00000000000011</v>
      </c>
      <c r="H290" s="80">
        <f>VLOOKUP(D290,'Bu Erta'!$C$2:$F$66,4,0)*F290</f>
        <v>935.00000000000011</v>
      </c>
    </row>
    <row r="291" spans="1:8" x14ac:dyDescent="0.35">
      <c r="B291" t="s">
        <v>189</v>
      </c>
      <c r="D291" t="s">
        <v>68</v>
      </c>
      <c r="E291" s="80">
        <f>VLOOKUP(D291,'Bu Erta'!$C$2:$E$66,3,0)</f>
        <v>150</v>
      </c>
      <c r="F291">
        <v>0.5</v>
      </c>
      <c r="G291" s="80">
        <f t="shared" si="7"/>
        <v>75</v>
      </c>
      <c r="H291" s="80">
        <f>VLOOKUP(D291,'Bu Erta'!$C$2:$F$66,4,0)*F291</f>
        <v>100</v>
      </c>
    </row>
    <row r="292" spans="1:8" x14ac:dyDescent="0.35">
      <c r="B292" t="s">
        <v>189</v>
      </c>
      <c r="D292" t="s">
        <v>31</v>
      </c>
      <c r="E292" s="80">
        <f>VLOOKUP(D292,'Bu Erta'!$C$2:$E$66,3,0)</f>
        <v>1000</v>
      </c>
      <c r="F292">
        <v>0.95</v>
      </c>
      <c r="G292" s="80">
        <f t="shared" si="7"/>
        <v>950</v>
      </c>
      <c r="H292" s="80">
        <f>VLOOKUP(D292,'Bu Erta'!$C$2:$F$66,4,0)*F292</f>
        <v>1045</v>
      </c>
    </row>
    <row r="293" spans="1:8" x14ac:dyDescent="0.35">
      <c r="B293" t="s">
        <v>189</v>
      </c>
      <c r="D293" t="s">
        <v>42</v>
      </c>
      <c r="E293" s="80">
        <f>VLOOKUP(D293,'Bu Erta'!$C$2:$E$66,3,0)</f>
        <v>1000</v>
      </c>
      <c r="F293">
        <v>3.85</v>
      </c>
      <c r="G293" s="80">
        <f t="shared" si="7"/>
        <v>3850</v>
      </c>
      <c r="H293" s="80">
        <f>VLOOKUP(D293,'Bu Erta'!$C$2:$F$66,4,0)*F293</f>
        <v>4620</v>
      </c>
    </row>
    <row r="294" spans="1:8" x14ac:dyDescent="0.35">
      <c r="B294" t="s">
        <v>189</v>
      </c>
      <c r="D294" t="s">
        <v>37</v>
      </c>
      <c r="E294" s="80">
        <f>VLOOKUP(D294,'Bu Erta'!$C$2:$E$66,3,0)</f>
        <v>1600</v>
      </c>
      <c r="F294">
        <v>0.95</v>
      </c>
      <c r="G294" s="80">
        <f t="shared" si="7"/>
        <v>1520</v>
      </c>
      <c r="H294" s="80">
        <f>VLOOKUP(D294,'Bu Erta'!$C$2:$F$66,4,0)*F294</f>
        <v>1900</v>
      </c>
    </row>
    <row r="295" spans="1:8" x14ac:dyDescent="0.35">
      <c r="B295" t="s">
        <v>189</v>
      </c>
      <c r="D295" t="s">
        <v>27</v>
      </c>
      <c r="E295" s="80">
        <f>VLOOKUP(D295,'Bu Erta'!$C$2:$E$66,3,0)</f>
        <v>2800</v>
      </c>
      <c r="F295">
        <f>0.1+0.1</f>
        <v>0.2</v>
      </c>
      <c r="G295" s="80">
        <f t="shared" si="7"/>
        <v>560</v>
      </c>
      <c r="H295" s="80">
        <f>VLOOKUP(D295,'Bu Erta'!$C$2:$F$66,4,0)*F295</f>
        <v>620</v>
      </c>
    </row>
    <row r="296" spans="1:8" x14ac:dyDescent="0.35">
      <c r="B296" t="s">
        <v>189</v>
      </c>
      <c r="D296" t="s">
        <v>7</v>
      </c>
      <c r="E296" s="80">
        <f>VLOOKUP(D296,'Bu Erta'!$C$2:$E$66,3,0)</f>
        <v>1400</v>
      </c>
      <c r="F296">
        <v>0.95</v>
      </c>
      <c r="G296" s="80">
        <f t="shared" si="7"/>
        <v>1330</v>
      </c>
      <c r="H296" s="80">
        <f>VLOOKUP(D296,'Bu Erta'!$C$2:$F$66,4,0)*F296</f>
        <v>1520</v>
      </c>
    </row>
    <row r="297" spans="1:8" x14ac:dyDescent="0.35">
      <c r="E297" s="80"/>
      <c r="F297">
        <f>SUM(F3:F296)</f>
        <v>493.19000000000011</v>
      </c>
      <c r="G297" s="80">
        <f t="shared" ref="G297:H297" si="8">SUM(G3:G296)</f>
        <v>560888.5</v>
      </c>
      <c r="H297" s="80">
        <f t="shared" si="8"/>
        <v>648495.5</v>
      </c>
    </row>
    <row r="298" spans="1:8" x14ac:dyDescent="0.35">
      <c r="E298" s="80"/>
      <c r="G298" s="80"/>
      <c r="H298" s="80"/>
    </row>
    <row r="299" spans="1:8" x14ac:dyDescent="0.35">
      <c r="E299" s="80"/>
      <c r="G299" s="80"/>
      <c r="H299" s="80"/>
    </row>
    <row r="300" spans="1:8" x14ac:dyDescent="0.35">
      <c r="E300" s="80"/>
      <c r="G300" s="80"/>
      <c r="H300" s="80"/>
    </row>
    <row r="301" spans="1:8" x14ac:dyDescent="0.35">
      <c r="E301" s="80"/>
      <c r="G301" s="80"/>
      <c r="H301" s="80"/>
    </row>
    <row r="302" spans="1:8" x14ac:dyDescent="0.35">
      <c r="E302" s="80"/>
      <c r="G302" s="80"/>
      <c r="H302" s="80"/>
    </row>
    <row r="303" spans="1:8" x14ac:dyDescent="0.35">
      <c r="E303" s="80"/>
      <c r="G303" s="80"/>
      <c r="H303" s="80"/>
    </row>
    <row r="304" spans="1:8" x14ac:dyDescent="0.35">
      <c r="E304" s="80"/>
      <c r="G304" s="80"/>
      <c r="H304" s="80"/>
    </row>
    <row r="305" spans="5:8" x14ac:dyDescent="0.35">
      <c r="E305" s="80"/>
      <c r="G305" s="80"/>
      <c r="H305" s="80"/>
    </row>
    <row r="306" spans="5:8" x14ac:dyDescent="0.35">
      <c r="E306" s="80"/>
      <c r="G306" s="80"/>
      <c r="H306" s="80"/>
    </row>
    <row r="307" spans="5:8" x14ac:dyDescent="0.35">
      <c r="E307" s="80"/>
      <c r="G307" s="80"/>
      <c r="H307" s="80"/>
    </row>
    <row r="308" spans="5:8" x14ac:dyDescent="0.35">
      <c r="E308" s="80"/>
      <c r="G308" s="80"/>
      <c r="H308" s="80"/>
    </row>
    <row r="309" spans="5:8" x14ac:dyDescent="0.35">
      <c r="E309" s="80"/>
      <c r="G309" s="80"/>
      <c r="H309" s="80"/>
    </row>
    <row r="310" spans="5:8" x14ac:dyDescent="0.35">
      <c r="E310" s="80"/>
      <c r="G310" s="80"/>
      <c r="H310" s="80"/>
    </row>
    <row r="311" spans="5:8" x14ac:dyDescent="0.35">
      <c r="E311" s="80"/>
      <c r="G311" s="80"/>
      <c r="H311" s="80"/>
    </row>
    <row r="312" spans="5:8" x14ac:dyDescent="0.35">
      <c r="E312" s="80"/>
      <c r="G312" s="80"/>
      <c r="H312" s="80"/>
    </row>
    <row r="313" spans="5:8" x14ac:dyDescent="0.35">
      <c r="E313" s="80"/>
      <c r="G313" s="80"/>
      <c r="H313" s="80"/>
    </row>
    <row r="314" spans="5:8" x14ac:dyDescent="0.35">
      <c r="E314" s="80"/>
      <c r="G314" s="80"/>
      <c r="H314" s="80"/>
    </row>
    <row r="315" spans="5:8" x14ac:dyDescent="0.35">
      <c r="E315" s="80"/>
      <c r="G315" s="80"/>
      <c r="H315" s="80"/>
    </row>
    <row r="316" spans="5:8" x14ac:dyDescent="0.35">
      <c r="E316" s="80"/>
      <c r="G316" s="80"/>
      <c r="H316" s="80"/>
    </row>
    <row r="317" spans="5:8" x14ac:dyDescent="0.35">
      <c r="E317" s="80"/>
      <c r="G317" s="80"/>
      <c r="H317" s="80"/>
    </row>
    <row r="318" spans="5:8" x14ac:dyDescent="0.35">
      <c r="E318" s="80"/>
      <c r="G318" s="80"/>
      <c r="H318" s="80"/>
    </row>
    <row r="319" spans="5:8" x14ac:dyDescent="0.35">
      <c r="E319" s="80"/>
      <c r="G319" s="80"/>
      <c r="H319" s="80"/>
    </row>
    <row r="320" spans="5:8" x14ac:dyDescent="0.35">
      <c r="E320" s="80"/>
      <c r="G320" s="80"/>
      <c r="H320" s="80"/>
    </row>
    <row r="321" spans="5:8" x14ac:dyDescent="0.35">
      <c r="E321" s="80"/>
      <c r="G321" s="80"/>
      <c r="H321" s="80"/>
    </row>
    <row r="322" spans="5:8" x14ac:dyDescent="0.35">
      <c r="E322" s="80"/>
      <c r="G322" s="80"/>
      <c r="H322" s="80"/>
    </row>
    <row r="323" spans="5:8" x14ac:dyDescent="0.35">
      <c r="E323" s="80"/>
      <c r="G323" s="80"/>
      <c r="H323" s="80"/>
    </row>
    <row r="324" spans="5:8" x14ac:dyDescent="0.35">
      <c r="E324" s="80"/>
      <c r="G324" s="80"/>
      <c r="H324" s="80"/>
    </row>
    <row r="325" spans="5:8" x14ac:dyDescent="0.35">
      <c r="E325" s="80"/>
      <c r="G325" s="80"/>
      <c r="H325" s="80"/>
    </row>
    <row r="326" spans="5:8" x14ac:dyDescent="0.35">
      <c r="E326" s="80"/>
      <c r="G326" s="80"/>
      <c r="H326" s="80"/>
    </row>
    <row r="327" spans="5:8" x14ac:dyDescent="0.35">
      <c r="E327" s="80"/>
      <c r="G327" s="80"/>
      <c r="H327" s="80"/>
    </row>
    <row r="328" spans="5:8" x14ac:dyDescent="0.35">
      <c r="E328" s="80"/>
      <c r="G328" s="80"/>
      <c r="H328" s="80"/>
    </row>
    <row r="329" spans="5:8" x14ac:dyDescent="0.35">
      <c r="E329" s="80"/>
      <c r="G329" s="80"/>
      <c r="H329" s="80"/>
    </row>
    <row r="330" spans="5:8" x14ac:dyDescent="0.35">
      <c r="E330" s="80"/>
      <c r="G330" s="80"/>
      <c r="H330" s="80"/>
    </row>
    <row r="331" spans="5:8" x14ac:dyDescent="0.35">
      <c r="E331" s="80"/>
      <c r="G331" s="80"/>
      <c r="H331" s="80"/>
    </row>
    <row r="332" spans="5:8" x14ac:dyDescent="0.35">
      <c r="E332" s="80"/>
      <c r="G332" s="80"/>
      <c r="H332" s="80"/>
    </row>
    <row r="333" spans="5:8" x14ac:dyDescent="0.35">
      <c r="E333" s="80"/>
      <c r="G333" s="80"/>
      <c r="H333" s="80"/>
    </row>
    <row r="334" spans="5:8" x14ac:dyDescent="0.35">
      <c r="E334" s="80"/>
      <c r="G334" s="80"/>
      <c r="H334" s="80"/>
    </row>
    <row r="335" spans="5:8" x14ac:dyDescent="0.35">
      <c r="E335" s="80"/>
      <c r="G335" s="80"/>
      <c r="H335" s="80"/>
    </row>
    <row r="336" spans="5:8" x14ac:dyDescent="0.35">
      <c r="E336" s="80"/>
      <c r="G336" s="80"/>
      <c r="H336" s="80"/>
    </row>
    <row r="337" spans="5:8" x14ac:dyDescent="0.35">
      <c r="E337" s="80"/>
      <c r="G337" s="80"/>
      <c r="H337" s="80"/>
    </row>
    <row r="338" spans="5:8" x14ac:dyDescent="0.35">
      <c r="E338" s="80"/>
      <c r="G338" s="80"/>
      <c r="H338" s="80"/>
    </row>
    <row r="339" spans="5:8" x14ac:dyDescent="0.35">
      <c r="E339" s="80"/>
      <c r="G339" s="80"/>
      <c r="H339" s="80"/>
    </row>
    <row r="340" spans="5:8" x14ac:dyDescent="0.35">
      <c r="E340" s="80"/>
      <c r="G340" s="80"/>
      <c r="H340" s="80"/>
    </row>
    <row r="341" spans="5:8" x14ac:dyDescent="0.35">
      <c r="E341" s="80"/>
      <c r="G341" s="80"/>
      <c r="H341" s="80"/>
    </row>
    <row r="342" spans="5:8" x14ac:dyDescent="0.35">
      <c r="E342" s="80"/>
      <c r="G342" s="80"/>
      <c r="H342" s="80"/>
    </row>
    <row r="343" spans="5:8" x14ac:dyDescent="0.35">
      <c r="E343" s="80"/>
      <c r="G343" s="80"/>
      <c r="H343" s="80"/>
    </row>
    <row r="344" spans="5:8" x14ac:dyDescent="0.35">
      <c r="E344" s="80"/>
      <c r="G344" s="80"/>
      <c r="H344" s="80"/>
    </row>
    <row r="345" spans="5:8" x14ac:dyDescent="0.35">
      <c r="E345" s="80"/>
      <c r="G345" s="80"/>
      <c r="H345" s="80"/>
    </row>
    <row r="346" spans="5:8" x14ac:dyDescent="0.35">
      <c r="E346" s="80"/>
      <c r="G346" s="80"/>
      <c r="H346" s="80"/>
    </row>
    <row r="347" spans="5:8" x14ac:dyDescent="0.35">
      <c r="E347" s="80"/>
      <c r="G347" s="80"/>
      <c r="H347" s="80"/>
    </row>
    <row r="348" spans="5:8" x14ac:dyDescent="0.35">
      <c r="E348" s="80"/>
      <c r="G348" s="80"/>
      <c r="H348" s="80"/>
    </row>
    <row r="349" spans="5:8" x14ac:dyDescent="0.35">
      <c r="E349" s="80"/>
      <c r="G349" s="80"/>
      <c r="H349" s="80"/>
    </row>
    <row r="350" spans="5:8" x14ac:dyDescent="0.35">
      <c r="E350" s="80"/>
      <c r="G350" s="80"/>
      <c r="H350" s="80"/>
    </row>
    <row r="351" spans="5:8" x14ac:dyDescent="0.35">
      <c r="E351" s="80"/>
      <c r="G351" s="80"/>
      <c r="H351" s="80"/>
    </row>
    <row r="352" spans="5:8" x14ac:dyDescent="0.35">
      <c r="E352" s="80"/>
      <c r="G352" s="80"/>
      <c r="H352" s="80"/>
    </row>
    <row r="353" spans="5:8" x14ac:dyDescent="0.35">
      <c r="E353" s="80"/>
      <c r="G353" s="80"/>
      <c r="H353" s="80"/>
    </row>
    <row r="354" spans="5:8" x14ac:dyDescent="0.35">
      <c r="E354" s="80"/>
      <c r="G354" s="80"/>
      <c r="H354" s="80"/>
    </row>
    <row r="355" spans="5:8" x14ac:dyDescent="0.35">
      <c r="E355" s="80"/>
      <c r="G355" s="80"/>
      <c r="H355" s="80"/>
    </row>
    <row r="356" spans="5:8" x14ac:dyDescent="0.35">
      <c r="E356" s="80"/>
      <c r="G356" s="80"/>
      <c r="H356" s="80"/>
    </row>
    <row r="357" spans="5:8" x14ac:dyDescent="0.35">
      <c r="E357" s="80"/>
      <c r="G357" s="80"/>
      <c r="H357" s="80"/>
    </row>
    <row r="358" spans="5:8" x14ac:dyDescent="0.35">
      <c r="E358" s="80"/>
      <c r="G358" s="80"/>
      <c r="H358" s="80"/>
    </row>
    <row r="359" spans="5:8" x14ac:dyDescent="0.35">
      <c r="E359" s="80"/>
      <c r="G359" s="80"/>
      <c r="H359" s="80"/>
    </row>
    <row r="360" spans="5:8" x14ac:dyDescent="0.35">
      <c r="E360" s="80"/>
      <c r="G360" s="80"/>
      <c r="H360" s="80"/>
    </row>
    <row r="361" spans="5:8" x14ac:dyDescent="0.35">
      <c r="E361" s="80"/>
      <c r="G361" s="80"/>
      <c r="H361" s="80"/>
    </row>
    <row r="362" spans="5:8" x14ac:dyDescent="0.35">
      <c r="E362" s="80"/>
      <c r="G362" s="80"/>
      <c r="H362" s="80"/>
    </row>
    <row r="363" spans="5:8" x14ac:dyDescent="0.35">
      <c r="E363" s="80"/>
      <c r="G363" s="80"/>
      <c r="H363" s="80"/>
    </row>
    <row r="364" spans="5:8" x14ac:dyDescent="0.35">
      <c r="E364" s="80"/>
      <c r="G364" s="80"/>
      <c r="H364" s="80"/>
    </row>
    <row r="365" spans="5:8" x14ac:dyDescent="0.35">
      <c r="E365" s="80"/>
      <c r="G365" s="80"/>
      <c r="H365" s="80"/>
    </row>
    <row r="366" spans="5:8" x14ac:dyDescent="0.35">
      <c r="E366" s="80"/>
      <c r="G366" s="80"/>
      <c r="H366" s="80"/>
    </row>
    <row r="367" spans="5:8" x14ac:dyDescent="0.35">
      <c r="E367" s="80"/>
      <c r="G367" s="80"/>
      <c r="H367" s="80"/>
    </row>
    <row r="368" spans="5:8" x14ac:dyDescent="0.35">
      <c r="E368" s="80"/>
      <c r="G368" s="80"/>
      <c r="H368" s="80"/>
    </row>
    <row r="369" spans="5:8" x14ac:dyDescent="0.35">
      <c r="E369" s="80"/>
      <c r="G369" s="80"/>
      <c r="H369" s="80"/>
    </row>
    <row r="370" spans="5:8" x14ac:dyDescent="0.35">
      <c r="E370" s="80"/>
      <c r="G370" s="80"/>
      <c r="H370" s="80"/>
    </row>
    <row r="371" spans="5:8" x14ac:dyDescent="0.35">
      <c r="E371" s="80"/>
      <c r="G371" s="80"/>
      <c r="H371" s="80"/>
    </row>
    <row r="372" spans="5:8" x14ac:dyDescent="0.35">
      <c r="E372" s="80"/>
      <c r="G372" s="80"/>
      <c r="H372" s="80"/>
    </row>
    <row r="373" spans="5:8" x14ac:dyDescent="0.35">
      <c r="E373" s="80"/>
      <c r="G373" s="80"/>
      <c r="H373" s="80"/>
    </row>
    <row r="374" spans="5:8" x14ac:dyDescent="0.35">
      <c r="E374" s="80"/>
      <c r="G374" s="80"/>
      <c r="H374" s="80"/>
    </row>
    <row r="375" spans="5:8" x14ac:dyDescent="0.35">
      <c r="E375" s="80"/>
      <c r="G375" s="80"/>
      <c r="H375" s="80"/>
    </row>
    <row r="376" spans="5:8" x14ac:dyDescent="0.35">
      <c r="E376" s="80"/>
      <c r="G376" s="80"/>
      <c r="H376" s="80"/>
    </row>
    <row r="377" spans="5:8" x14ac:dyDescent="0.35">
      <c r="E377" s="80"/>
      <c r="G377" s="80"/>
      <c r="H377" s="80"/>
    </row>
    <row r="378" spans="5:8" x14ac:dyDescent="0.35">
      <c r="E378" s="80"/>
      <c r="G378" s="80"/>
      <c r="H378" s="80"/>
    </row>
    <row r="379" spans="5:8" x14ac:dyDescent="0.35">
      <c r="E379" s="80"/>
      <c r="G379" s="80"/>
      <c r="H379" s="80"/>
    </row>
    <row r="380" spans="5:8" x14ac:dyDescent="0.35">
      <c r="E380" s="80"/>
      <c r="G380" s="80"/>
      <c r="H380" s="80"/>
    </row>
    <row r="381" spans="5:8" x14ac:dyDescent="0.35">
      <c r="E381" s="80"/>
      <c r="G381" s="80"/>
      <c r="H381" s="80"/>
    </row>
    <row r="382" spans="5:8" x14ac:dyDescent="0.35">
      <c r="E382" s="80"/>
      <c r="G382" s="80"/>
      <c r="H382" s="80"/>
    </row>
    <row r="383" spans="5:8" x14ac:dyDescent="0.35">
      <c r="E383" s="80"/>
      <c r="G383" s="80"/>
      <c r="H383" s="80"/>
    </row>
    <row r="384" spans="5:8" x14ac:dyDescent="0.35">
      <c r="E384" s="80"/>
      <c r="G384" s="80"/>
      <c r="H384" s="80"/>
    </row>
    <row r="385" spans="5:8" x14ac:dyDescent="0.35">
      <c r="E385" s="80"/>
      <c r="G385" s="80"/>
      <c r="H385" s="80"/>
    </row>
    <row r="386" spans="5:8" x14ac:dyDescent="0.35">
      <c r="E386" s="80"/>
      <c r="G386" s="80"/>
      <c r="H386" s="80"/>
    </row>
    <row r="387" spans="5:8" x14ac:dyDescent="0.35">
      <c r="E387" s="80"/>
      <c r="G387" s="80"/>
      <c r="H387" s="80"/>
    </row>
    <row r="388" spans="5:8" x14ac:dyDescent="0.35">
      <c r="E388" s="80"/>
      <c r="G388" s="80"/>
      <c r="H388" s="80"/>
    </row>
    <row r="389" spans="5:8" x14ac:dyDescent="0.35">
      <c r="E389" s="80"/>
      <c r="G389" s="80"/>
      <c r="H389" s="80"/>
    </row>
    <row r="390" spans="5:8" x14ac:dyDescent="0.35">
      <c r="E390" s="80"/>
      <c r="G390" s="80"/>
      <c r="H390" s="80"/>
    </row>
    <row r="391" spans="5:8" x14ac:dyDescent="0.35">
      <c r="E391" s="80"/>
      <c r="G391" s="80"/>
      <c r="H391" s="80"/>
    </row>
    <row r="392" spans="5:8" x14ac:dyDescent="0.35">
      <c r="E392" s="80"/>
      <c r="G392" s="80"/>
      <c r="H392" s="80"/>
    </row>
    <row r="393" spans="5:8" x14ac:dyDescent="0.35">
      <c r="E393" s="80"/>
      <c r="G393" s="80"/>
      <c r="H393" s="80"/>
    </row>
    <row r="394" spans="5:8" x14ac:dyDescent="0.35">
      <c r="E394" s="80"/>
      <c r="G394" s="80"/>
      <c r="H394" s="80"/>
    </row>
    <row r="395" spans="5:8" x14ac:dyDescent="0.35">
      <c r="E395" s="80"/>
      <c r="G395" s="80"/>
      <c r="H395" s="80"/>
    </row>
    <row r="396" spans="5:8" x14ac:dyDescent="0.35">
      <c r="E396" s="80"/>
      <c r="G396" s="80"/>
      <c r="H396" s="80"/>
    </row>
    <row r="397" spans="5:8" x14ac:dyDescent="0.35">
      <c r="E397" s="80"/>
      <c r="G397" s="80"/>
      <c r="H397" s="80"/>
    </row>
    <row r="398" spans="5:8" x14ac:dyDescent="0.35">
      <c r="E398" s="80"/>
      <c r="G398" s="80"/>
      <c r="H398" s="80"/>
    </row>
    <row r="399" spans="5:8" x14ac:dyDescent="0.35">
      <c r="E399" s="80"/>
      <c r="G399" s="80"/>
      <c r="H399" s="80"/>
    </row>
    <row r="400" spans="5:8" x14ac:dyDescent="0.35">
      <c r="E400" s="80"/>
      <c r="G400" s="80"/>
      <c r="H400" s="80"/>
    </row>
    <row r="401" spans="5:8" x14ac:dyDescent="0.35">
      <c r="E401" s="80"/>
      <c r="G401" s="80"/>
      <c r="H401" s="80"/>
    </row>
    <row r="402" spans="5:8" x14ac:dyDescent="0.35">
      <c r="E402" s="80"/>
      <c r="G402" s="80"/>
      <c r="H402" s="80"/>
    </row>
    <row r="403" spans="5:8" x14ac:dyDescent="0.35">
      <c r="E403" s="80"/>
      <c r="G403" s="80"/>
      <c r="H403" s="80"/>
    </row>
    <row r="404" spans="5:8" x14ac:dyDescent="0.35">
      <c r="E404" s="80"/>
      <c r="G404" s="80"/>
      <c r="H404" s="80"/>
    </row>
    <row r="405" spans="5:8" x14ac:dyDescent="0.35">
      <c r="E405" s="80"/>
      <c r="G405" s="80"/>
      <c r="H405" s="80"/>
    </row>
    <row r="406" spans="5:8" x14ac:dyDescent="0.35">
      <c r="E406" s="80"/>
      <c r="G406" s="80"/>
      <c r="H406" s="80"/>
    </row>
    <row r="407" spans="5:8" x14ac:dyDescent="0.35">
      <c r="E407" s="80"/>
      <c r="G407" s="80"/>
      <c r="H407" s="80"/>
    </row>
    <row r="408" spans="5:8" x14ac:dyDescent="0.35">
      <c r="E408" s="80"/>
      <c r="G408" s="80"/>
      <c r="H408" s="80"/>
    </row>
    <row r="409" spans="5:8" x14ac:dyDescent="0.35">
      <c r="E409" s="80"/>
      <c r="G409" s="80"/>
      <c r="H409" s="80"/>
    </row>
    <row r="410" spans="5:8" x14ac:dyDescent="0.35">
      <c r="E410" s="80"/>
      <c r="G410" s="80"/>
      <c r="H410" s="80"/>
    </row>
    <row r="411" spans="5:8" x14ac:dyDescent="0.35">
      <c r="E411" s="80"/>
      <c r="G411" s="80"/>
      <c r="H411" s="80"/>
    </row>
    <row r="412" spans="5:8" x14ac:dyDescent="0.35">
      <c r="E412" s="80"/>
      <c r="G412" s="80"/>
      <c r="H412" s="80"/>
    </row>
    <row r="413" spans="5:8" x14ac:dyDescent="0.35">
      <c r="E413" s="80"/>
      <c r="G413" s="80"/>
      <c r="H413" s="80"/>
    </row>
    <row r="414" spans="5:8" x14ac:dyDescent="0.35">
      <c r="E414" s="80"/>
      <c r="G414" s="80"/>
      <c r="H414" s="80"/>
    </row>
    <row r="415" spans="5:8" x14ac:dyDescent="0.35">
      <c r="E415" s="80"/>
      <c r="G415" s="80"/>
      <c r="H415" s="80"/>
    </row>
    <row r="416" spans="5:8" x14ac:dyDescent="0.35">
      <c r="E416" s="80"/>
      <c r="G416" s="80"/>
      <c r="H416" s="80"/>
    </row>
    <row r="417" spans="5:8" x14ac:dyDescent="0.35">
      <c r="E417" s="80"/>
      <c r="G417" s="80"/>
      <c r="H417" s="80"/>
    </row>
    <row r="418" spans="5:8" x14ac:dyDescent="0.35">
      <c r="E418" s="80"/>
      <c r="G418" s="80"/>
      <c r="H418" s="80"/>
    </row>
    <row r="419" spans="5:8" x14ac:dyDescent="0.35">
      <c r="E419" s="80"/>
      <c r="G419" s="80"/>
      <c r="H419" s="80"/>
    </row>
    <row r="420" spans="5:8" x14ac:dyDescent="0.35">
      <c r="E420" s="80"/>
      <c r="G420" s="80"/>
      <c r="H420" s="80"/>
    </row>
    <row r="421" spans="5:8" x14ac:dyDescent="0.35">
      <c r="E421" s="80"/>
      <c r="G421" s="80"/>
      <c r="H421" s="8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968F-70E0-40CC-BCC6-DEB8FB26A34C}">
  <dimension ref="A2:V472"/>
  <sheetViews>
    <sheetView topLeftCell="E52" zoomScale="70" zoomScaleNormal="70" workbookViewId="0">
      <selection activeCell="L74" sqref="L74"/>
    </sheetView>
  </sheetViews>
  <sheetFormatPr defaultRowHeight="14.5" x14ac:dyDescent="0.35"/>
  <cols>
    <col min="1" max="1" width="8.7265625" style="5"/>
    <col min="2" max="2" width="18.36328125" customWidth="1"/>
    <col min="3" max="3" width="8.81640625" style="5" customWidth="1"/>
    <col min="4" max="4" width="23.6328125" bestFit="1" customWidth="1"/>
    <col min="7" max="8" width="12" bestFit="1" customWidth="1"/>
    <col min="10" max="10" width="14.90625" bestFit="1" customWidth="1"/>
    <col min="11" max="11" width="9.6328125" bestFit="1" customWidth="1"/>
    <col min="12" max="12" width="17.26953125" bestFit="1" customWidth="1"/>
    <col min="13" max="13" width="9.7265625" customWidth="1"/>
    <col min="14" max="14" width="7.7265625" customWidth="1"/>
    <col min="15" max="15" width="28.26953125" customWidth="1"/>
    <col min="16" max="16" width="9.26953125" bestFit="1" customWidth="1"/>
    <col min="17" max="17" width="10.90625" customWidth="1"/>
    <col min="18" max="18" width="12" bestFit="1" customWidth="1"/>
    <col min="20" max="20" width="24.36328125" bestFit="1" customWidth="1"/>
    <col min="21" max="21" width="12.1796875" bestFit="1" customWidth="1"/>
    <col min="22" max="22" width="17.26953125" bestFit="1" customWidth="1"/>
  </cols>
  <sheetData>
    <row r="2" spans="1:22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293</v>
      </c>
      <c r="T2" s="68" t="s">
        <v>170</v>
      </c>
      <c r="U2" t="s">
        <v>171</v>
      </c>
      <c r="V2" t="s">
        <v>82</v>
      </c>
    </row>
    <row r="3" spans="1:22" x14ac:dyDescent="0.35">
      <c r="A3" s="5">
        <v>1</v>
      </c>
      <c r="B3" t="s">
        <v>85</v>
      </c>
      <c r="C3" s="5">
        <v>4</v>
      </c>
      <c r="D3" t="s">
        <v>27</v>
      </c>
      <c r="E3" s="3">
        <f>VLOOKUP(D3,'Bu Erta'!$C$2:$E$66,3,0)</f>
        <v>2800</v>
      </c>
      <c r="F3">
        <f>0.8+0.55</f>
        <v>1.35</v>
      </c>
      <c r="G3" s="3">
        <f>E3*F3</f>
        <v>3780.0000000000005</v>
      </c>
      <c r="H3" s="3">
        <f>VLOOKUP(D3,'Bu Erta'!$C$2:$F$66,4,0)*F3</f>
        <v>4185</v>
      </c>
      <c r="J3" s="69" t="s">
        <v>219</v>
      </c>
      <c r="K3">
        <v>0</v>
      </c>
      <c r="L3" s="4">
        <v>33130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69" t="s">
        <v>17</v>
      </c>
      <c r="U3">
        <v>2</v>
      </c>
      <c r="V3" s="4">
        <v>16000</v>
      </c>
    </row>
    <row r="4" spans="1:22" x14ac:dyDescent="0.35">
      <c r="B4" t="s">
        <v>85</v>
      </c>
      <c r="D4" t="s">
        <v>31</v>
      </c>
      <c r="E4" s="3">
        <f>VLOOKUP(D4,'Bu Erta'!$C$2:$E$66,3,0)</f>
        <v>1000</v>
      </c>
      <c r="F4">
        <v>0.2</v>
      </c>
      <c r="G4" s="3">
        <f t="shared" ref="G4:G67" si="0">E4*F4</f>
        <v>200</v>
      </c>
      <c r="H4" s="3">
        <f>VLOOKUP(D4,'Bu Erta'!$C$2:$F$66,4,0)*F4</f>
        <v>220</v>
      </c>
      <c r="J4" s="69" t="s">
        <v>200</v>
      </c>
      <c r="K4">
        <v>0</v>
      </c>
      <c r="L4" s="4">
        <v>1177.5</v>
      </c>
      <c r="N4" s="44">
        <v>1</v>
      </c>
      <c r="O4" s="17" t="s">
        <v>13</v>
      </c>
      <c r="P4" s="52">
        <f>VLOOKUP(O4,'Bu Erta'!$C$2:$F$66,4,0)</f>
        <v>1500</v>
      </c>
      <c r="Q4" s="53">
        <f t="shared" ref="Q4:Q12" si="1">SUMIF($D$3:$D$445,O4,$F$3:$F$445)</f>
        <v>0</v>
      </c>
      <c r="R4" s="52">
        <f>P4*Q4</f>
        <v>0</v>
      </c>
      <c r="T4" s="69" t="s">
        <v>19</v>
      </c>
      <c r="U4">
        <v>73.379999999999981</v>
      </c>
      <c r="V4" s="4">
        <v>14676</v>
      </c>
    </row>
    <row r="5" spans="1:22" x14ac:dyDescent="0.35">
      <c r="B5" t="s">
        <v>85</v>
      </c>
      <c r="D5" t="s">
        <v>88</v>
      </c>
      <c r="E5" s="3">
        <f>VLOOKUP(D5,'Bu Erta'!$C$2:$E$66,3,0)</f>
        <v>300</v>
      </c>
      <c r="F5">
        <v>0.25</v>
      </c>
      <c r="G5" s="3">
        <f t="shared" si="0"/>
        <v>75</v>
      </c>
      <c r="H5" s="3">
        <f>VLOOKUP(D5,'Bu Erta'!$C$2:$F$66,4,0)*F5</f>
        <v>100</v>
      </c>
      <c r="J5" s="69" t="s">
        <v>194</v>
      </c>
      <c r="K5">
        <v>1</v>
      </c>
      <c r="L5" s="4">
        <v>600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si="1"/>
        <v>0</v>
      </c>
      <c r="R5" s="52">
        <f t="shared" ref="R5:R67" si="2">P5*Q5</f>
        <v>0</v>
      </c>
      <c r="T5" s="69" t="s">
        <v>22</v>
      </c>
      <c r="U5">
        <v>28.5</v>
      </c>
      <c r="V5" s="4">
        <v>71250</v>
      </c>
    </row>
    <row r="6" spans="1:22" x14ac:dyDescent="0.35">
      <c r="B6" t="s">
        <v>85</v>
      </c>
      <c r="D6" t="s">
        <v>19</v>
      </c>
      <c r="E6" s="3">
        <f>VLOOKUP(D6,'Bu Erta'!$C$2:$E$66,3,0)</f>
        <v>200</v>
      </c>
      <c r="F6">
        <v>0.15</v>
      </c>
      <c r="G6" s="3">
        <f t="shared" si="0"/>
        <v>30</v>
      </c>
      <c r="H6" s="3">
        <f>VLOOKUP(D6,'Bu Erta'!$C$2:$F$66,4,0)*F6</f>
        <v>45</v>
      </c>
      <c r="J6" s="69" t="s">
        <v>83</v>
      </c>
      <c r="K6">
        <v>1</v>
      </c>
      <c r="L6" s="4">
        <v>9965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69" t="s">
        <v>23</v>
      </c>
      <c r="U6">
        <v>52.399999999999991</v>
      </c>
      <c r="V6" s="4">
        <v>15720</v>
      </c>
    </row>
    <row r="7" spans="1:22" x14ac:dyDescent="0.35">
      <c r="A7" s="5">
        <v>2</v>
      </c>
      <c r="B7" t="s">
        <v>133</v>
      </c>
      <c r="C7" s="1">
        <v>4</v>
      </c>
      <c r="D7" t="s">
        <v>42</v>
      </c>
      <c r="E7" s="3">
        <f>VLOOKUP(D7,'Bu Erta'!$C$2:$E$66,3,0)</f>
        <v>1000</v>
      </c>
      <c r="F7">
        <v>1.95</v>
      </c>
      <c r="G7" s="3">
        <f t="shared" si="0"/>
        <v>1950</v>
      </c>
      <c r="H7" s="3">
        <f>VLOOKUP(D7,'Bu Erta'!$C$2:$F$66,4,0)*F7</f>
        <v>2340</v>
      </c>
      <c r="J7" s="69" t="s">
        <v>139</v>
      </c>
      <c r="K7">
        <v>1</v>
      </c>
      <c r="L7" s="4">
        <v>4900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0</v>
      </c>
      <c r="R7" s="52">
        <f t="shared" si="2"/>
        <v>0</v>
      </c>
      <c r="T7" s="69" t="s">
        <v>25</v>
      </c>
      <c r="U7">
        <v>21.85</v>
      </c>
      <c r="V7" s="4">
        <v>34960</v>
      </c>
    </row>
    <row r="8" spans="1:22" x14ac:dyDescent="0.35">
      <c r="B8" t="s">
        <v>133</v>
      </c>
      <c r="D8" t="s">
        <v>27</v>
      </c>
      <c r="E8" s="3">
        <f>VLOOKUP(D8,'Bu Erta'!$C$2:$E$66,3,0)</f>
        <v>2800</v>
      </c>
      <c r="F8">
        <v>0.35</v>
      </c>
      <c r="G8" s="3">
        <f t="shared" si="0"/>
        <v>979.99999999999989</v>
      </c>
      <c r="H8" s="3">
        <f>VLOOKUP(D8,'Bu Erta'!$C$2:$F$66,4,0)*F8</f>
        <v>1085</v>
      </c>
      <c r="J8" s="69" t="s">
        <v>217</v>
      </c>
      <c r="K8">
        <v>1</v>
      </c>
      <c r="L8" s="4">
        <v>92900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2</v>
      </c>
      <c r="R8" s="52">
        <f t="shared" si="2"/>
        <v>17000</v>
      </c>
      <c r="T8" s="69" t="s">
        <v>24</v>
      </c>
      <c r="U8">
        <v>20.95</v>
      </c>
      <c r="V8" s="4">
        <v>3142.5</v>
      </c>
    </row>
    <row r="9" spans="1:22" x14ac:dyDescent="0.35">
      <c r="B9" t="s">
        <v>133</v>
      </c>
      <c r="D9" t="s">
        <v>34</v>
      </c>
      <c r="E9" s="3">
        <f>VLOOKUP(D9,'Bu Erta'!$C$2:$E$66,3,0)</f>
        <v>3500</v>
      </c>
      <c r="F9">
        <v>0.05</v>
      </c>
      <c r="G9" s="3">
        <f t="shared" si="0"/>
        <v>175</v>
      </c>
      <c r="H9" s="3">
        <f>VLOOKUP(D9,'Bu Erta'!$C$2:$F$66,4,0)*F9</f>
        <v>180</v>
      </c>
      <c r="J9" s="69" t="s">
        <v>195</v>
      </c>
      <c r="K9">
        <v>1</v>
      </c>
      <c r="L9" s="4">
        <v>8670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69" t="s">
        <v>27</v>
      </c>
      <c r="U9">
        <v>38.35</v>
      </c>
      <c r="V9" s="4">
        <v>107380</v>
      </c>
    </row>
    <row r="10" spans="1:22" x14ac:dyDescent="0.35">
      <c r="B10" t="s">
        <v>133</v>
      </c>
      <c r="D10" t="s">
        <v>7</v>
      </c>
      <c r="E10" s="3">
        <f>VLOOKUP(D10,'Bu Erta'!$C$2:$E$66,3,0)</f>
        <v>1400</v>
      </c>
      <c r="F10">
        <v>0.35</v>
      </c>
      <c r="G10" s="3">
        <f t="shared" si="0"/>
        <v>489.99999999999994</v>
      </c>
      <c r="H10" s="3">
        <f>VLOOKUP(D10,'Bu Erta'!$C$2:$F$66,4,0)*F10</f>
        <v>560</v>
      </c>
      <c r="J10" s="69" t="s">
        <v>197</v>
      </c>
      <c r="K10">
        <v>1</v>
      </c>
      <c r="L10" s="4">
        <v>12940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73.379999999999981</v>
      </c>
      <c r="R10" s="52">
        <f t="shared" si="2"/>
        <v>22013.999999999993</v>
      </c>
      <c r="T10" s="69" t="s">
        <v>28</v>
      </c>
      <c r="U10">
        <v>71.849999999999994</v>
      </c>
      <c r="V10" s="4">
        <v>86220</v>
      </c>
    </row>
    <row r="11" spans="1:22" x14ac:dyDescent="0.35">
      <c r="B11" t="s">
        <v>133</v>
      </c>
      <c r="D11" t="s">
        <v>31</v>
      </c>
      <c r="E11" s="3">
        <f>VLOOKUP(D11,'Bu Erta'!$C$2:$E$66,3,0)</f>
        <v>1000</v>
      </c>
      <c r="F11">
        <v>0.2</v>
      </c>
      <c r="G11" s="3">
        <f t="shared" si="0"/>
        <v>200</v>
      </c>
      <c r="H11" s="3">
        <f>VLOOKUP(D11,'Bu Erta'!$C$2:$F$66,4,0)*F11</f>
        <v>220</v>
      </c>
      <c r="J11" s="69" t="s">
        <v>181</v>
      </c>
      <c r="K11">
        <v>2</v>
      </c>
      <c r="L11" s="4">
        <v>5155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69" t="s">
        <v>29</v>
      </c>
      <c r="U11">
        <v>0.6</v>
      </c>
      <c r="V11" s="4">
        <v>3000</v>
      </c>
    </row>
    <row r="12" spans="1:22" x14ac:dyDescent="0.35">
      <c r="B12" t="s">
        <v>133</v>
      </c>
      <c r="D12" t="s">
        <v>25</v>
      </c>
      <c r="E12" s="3">
        <f>VLOOKUP(D12,'Bu Erta'!$C$2:$E$66,3,0)</f>
        <v>1600</v>
      </c>
      <c r="F12">
        <v>0.2</v>
      </c>
      <c r="G12" s="3">
        <f t="shared" si="0"/>
        <v>320</v>
      </c>
      <c r="H12" s="3">
        <f>VLOOKUP(D12,'Bu Erta'!$C$2:$F$66,4,0)*F12</f>
        <v>340</v>
      </c>
      <c r="J12" s="69" t="s">
        <v>216</v>
      </c>
      <c r="K12">
        <v>2</v>
      </c>
      <c r="L12" s="4">
        <v>6480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2.2000000000000002</v>
      </c>
      <c r="R12" s="52">
        <f t="shared" si="2"/>
        <v>440.00000000000006</v>
      </c>
      <c r="T12" s="69" t="s">
        <v>7</v>
      </c>
      <c r="U12">
        <v>55.550000000000011</v>
      </c>
      <c r="V12" s="4">
        <v>77770</v>
      </c>
    </row>
    <row r="13" spans="1:22" x14ac:dyDescent="0.35">
      <c r="B13" t="s">
        <v>133</v>
      </c>
      <c r="D13" t="s">
        <v>6</v>
      </c>
      <c r="E13" s="3">
        <f>VLOOKUP(D13,'Bu Erta'!$C$2:$E$66,3,0)</f>
        <v>2000</v>
      </c>
      <c r="F13">
        <v>1.1000000000000001</v>
      </c>
      <c r="G13" s="3">
        <f t="shared" si="0"/>
        <v>2200</v>
      </c>
      <c r="H13" s="3">
        <f>VLOOKUP(D13,'Bu Erta'!$C$2:$F$66,4,0)*F13</f>
        <v>2750</v>
      </c>
      <c r="J13" s="69" t="s">
        <v>283</v>
      </c>
      <c r="K13">
        <v>2</v>
      </c>
      <c r="L13" s="4">
        <v>5460</v>
      </c>
      <c r="N13" s="44">
        <v>10</v>
      </c>
      <c r="O13" s="17" t="s">
        <v>22</v>
      </c>
      <c r="P13" s="52">
        <f>VLOOKUP(O13,'Bu Erta'!$C$2:$F$66,4,0)</f>
        <v>3000</v>
      </c>
      <c r="Q13" s="53">
        <v>0</v>
      </c>
      <c r="R13" s="52">
        <f t="shared" si="2"/>
        <v>0</v>
      </c>
      <c r="S13">
        <v>28.5</v>
      </c>
      <c r="T13" s="69" t="s">
        <v>31</v>
      </c>
      <c r="U13">
        <v>56.350000000000009</v>
      </c>
      <c r="V13" s="4">
        <v>56350</v>
      </c>
    </row>
    <row r="14" spans="1:22" x14ac:dyDescent="0.35">
      <c r="B14" t="s">
        <v>133</v>
      </c>
      <c r="D14" t="s">
        <v>19</v>
      </c>
      <c r="E14" s="3">
        <f>VLOOKUP(D14,'Bu Erta'!$C$2:$E$66,3,0)</f>
        <v>200</v>
      </c>
      <c r="F14">
        <v>0.4</v>
      </c>
      <c r="G14" s="3">
        <f t="shared" si="0"/>
        <v>80</v>
      </c>
      <c r="H14" s="3">
        <f>VLOOKUP(D14,'Bu Erta'!$C$2:$F$66,4,0)*F14</f>
        <v>120</v>
      </c>
      <c r="J14" s="69" t="s">
        <v>284</v>
      </c>
      <c r="K14">
        <v>2</v>
      </c>
      <c r="L14" s="4">
        <v>15115</v>
      </c>
      <c r="N14" s="44">
        <v>11</v>
      </c>
      <c r="O14" s="17" t="s">
        <v>23</v>
      </c>
      <c r="P14" s="52">
        <f>VLOOKUP(O14,'Bu Erta'!$C$2:$F$66,4,0)</f>
        <v>400</v>
      </c>
      <c r="Q14" s="53">
        <f>SUMIF($D$3:$D$445,O14,$F$3:$F$445)</f>
        <v>52.399999999999991</v>
      </c>
      <c r="R14" s="52">
        <f t="shared" si="2"/>
        <v>20959.999999999996</v>
      </c>
      <c r="T14" s="69" t="s">
        <v>34</v>
      </c>
      <c r="U14">
        <v>14.65</v>
      </c>
      <c r="V14" s="4">
        <v>51275</v>
      </c>
    </row>
    <row r="15" spans="1:22" x14ac:dyDescent="0.35">
      <c r="A15" s="5">
        <v>3</v>
      </c>
      <c r="B15" t="s">
        <v>185</v>
      </c>
      <c r="C15" s="1">
        <v>4</v>
      </c>
      <c r="D15" t="s">
        <v>31</v>
      </c>
      <c r="E15" s="3">
        <f>VLOOKUP(D15,'Bu Erta'!$C$2:$E$66,3,0)</f>
        <v>1000</v>
      </c>
      <c r="F15">
        <v>1.8</v>
      </c>
      <c r="G15" s="3">
        <f t="shared" si="0"/>
        <v>1800</v>
      </c>
      <c r="H15" s="3">
        <f>VLOOKUP(D15,'Bu Erta'!$C$2:$F$66,4,0)*F15</f>
        <v>1980</v>
      </c>
      <c r="J15" s="69" t="s">
        <v>117</v>
      </c>
      <c r="K15">
        <v>2</v>
      </c>
      <c r="L15" s="4">
        <v>1575</v>
      </c>
      <c r="N15" s="44">
        <v>12</v>
      </c>
      <c r="O15" s="17" t="s">
        <v>25</v>
      </c>
      <c r="P15" s="52">
        <f>VLOOKUP(O15,'Bu Erta'!$C$2:$F$66,4,0)</f>
        <v>1700</v>
      </c>
      <c r="Q15" s="53">
        <v>0</v>
      </c>
      <c r="R15" s="52">
        <f t="shared" si="2"/>
        <v>0</v>
      </c>
      <c r="T15" s="69" t="s">
        <v>37</v>
      </c>
      <c r="U15">
        <v>2.6500000000000004</v>
      </c>
      <c r="V15" s="4">
        <v>4240</v>
      </c>
    </row>
    <row r="16" spans="1:22" x14ac:dyDescent="0.35">
      <c r="B16" t="s">
        <v>185</v>
      </c>
      <c r="D16" t="s">
        <v>40</v>
      </c>
      <c r="E16" s="3">
        <f>VLOOKUP(D16,'Bu Erta'!$C$2:$E$66,3,0)</f>
        <v>1800</v>
      </c>
      <c r="F16">
        <v>0.7</v>
      </c>
      <c r="G16" s="3">
        <f t="shared" si="0"/>
        <v>1260</v>
      </c>
      <c r="H16" s="3">
        <f>VLOOKUP(D16,'Bu Erta'!$C$2:$F$66,4,0)*F16</f>
        <v>1400</v>
      </c>
      <c r="J16" s="69" t="s">
        <v>260</v>
      </c>
      <c r="K16">
        <v>2</v>
      </c>
      <c r="L16" s="4">
        <v>13555</v>
      </c>
      <c r="N16" s="44">
        <v>13</v>
      </c>
      <c r="O16" s="17" t="s">
        <v>24</v>
      </c>
      <c r="P16" s="52">
        <f>VLOOKUP(O16,'Bu Erta'!$C$2:$F$66,4,0)</f>
        <v>200</v>
      </c>
      <c r="Q16" s="53">
        <f>SUMIF($D$3:$D$445,O16,$F$3:$F$445)</f>
        <v>20.95</v>
      </c>
      <c r="R16" s="52">
        <f t="shared" si="2"/>
        <v>4190</v>
      </c>
      <c r="T16" s="69" t="s">
        <v>39</v>
      </c>
      <c r="U16">
        <v>2.25</v>
      </c>
      <c r="V16" s="4">
        <v>337.5</v>
      </c>
    </row>
    <row r="17" spans="1:22" x14ac:dyDescent="0.35">
      <c r="B17" t="s">
        <v>185</v>
      </c>
      <c r="D17" t="s">
        <v>7</v>
      </c>
      <c r="E17" s="3">
        <f>VLOOKUP(D17,'Bu Erta'!$C$2:$E$66,3,0)</f>
        <v>1400</v>
      </c>
      <c r="F17">
        <v>0.75</v>
      </c>
      <c r="G17" s="3">
        <f t="shared" si="0"/>
        <v>1050</v>
      </c>
      <c r="H17" s="3">
        <f>VLOOKUP(D17,'Bu Erta'!$C$2:$F$66,4,0)*F17</f>
        <v>1200</v>
      </c>
      <c r="J17" s="69" t="s">
        <v>127</v>
      </c>
      <c r="K17">
        <v>2</v>
      </c>
      <c r="L17" s="4">
        <v>7970</v>
      </c>
      <c r="N17" s="44">
        <v>14</v>
      </c>
      <c r="O17" s="17" t="s">
        <v>26</v>
      </c>
      <c r="P17" s="52">
        <f>VLOOKUP(O17,'Bu Erta'!$C$2:$F$66,4,0)</f>
        <v>1000</v>
      </c>
      <c r="Q17" s="53">
        <f>SUMIF($D$3:$D$445,O17,$F$3:$F$445)</f>
        <v>0</v>
      </c>
      <c r="R17" s="52">
        <f t="shared" si="2"/>
        <v>0</v>
      </c>
      <c r="T17" s="69" t="s">
        <v>40</v>
      </c>
      <c r="U17">
        <v>4.1500000000000004</v>
      </c>
      <c r="V17" s="4">
        <v>7470</v>
      </c>
    </row>
    <row r="18" spans="1:22" x14ac:dyDescent="0.35">
      <c r="B18" t="s">
        <v>185</v>
      </c>
      <c r="D18" t="s">
        <v>24</v>
      </c>
      <c r="E18" s="3">
        <f>VLOOKUP(D18,'Bu Erta'!$C$2:$E$66,3,0)</f>
        <v>150</v>
      </c>
      <c r="F18">
        <v>0.2</v>
      </c>
      <c r="G18" s="3">
        <f t="shared" si="0"/>
        <v>30</v>
      </c>
      <c r="H18" s="3">
        <f>VLOOKUP(D18,'Bu Erta'!$C$2:$F$66,4,0)*F18</f>
        <v>40</v>
      </c>
      <c r="J18" s="69" t="s">
        <v>175</v>
      </c>
      <c r="K18">
        <v>2</v>
      </c>
      <c r="L18" s="4">
        <v>4465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SUMIF($D$3:$D$445,O18,$F$3:$F$445)+21.85+6.2</f>
        <v>66.400000000000006</v>
      </c>
      <c r="R18" s="52">
        <f t="shared" si="2"/>
        <v>205840.00000000003</v>
      </c>
      <c r="S18" s="78">
        <f>66.4-Q18</f>
        <v>0</v>
      </c>
      <c r="T18" s="69" t="s">
        <v>41</v>
      </c>
      <c r="U18">
        <v>14.599999999999998</v>
      </c>
      <c r="V18" s="4">
        <v>21900</v>
      </c>
    </row>
    <row r="19" spans="1:22" x14ac:dyDescent="0.35">
      <c r="B19" t="s">
        <v>185</v>
      </c>
      <c r="D19" t="s">
        <v>23</v>
      </c>
      <c r="E19" s="3">
        <f>VLOOKUP(D19,'Bu Erta'!$C$2:$E$66,3,0)</f>
        <v>300</v>
      </c>
      <c r="F19">
        <v>0.2</v>
      </c>
      <c r="G19" s="3">
        <f t="shared" si="0"/>
        <v>60</v>
      </c>
      <c r="H19" s="3">
        <f>VLOOKUP(D19,'Bu Erta'!$C$2:$F$66,4,0)*F19</f>
        <v>80</v>
      </c>
      <c r="J19" s="69" t="s">
        <v>5</v>
      </c>
      <c r="K19">
        <v>2</v>
      </c>
      <c r="L19" s="4">
        <v>11797.5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ref="Q19:Q50" si="3">SUMIF($D$3:$D$445,O19,$F$3:$F$445)</f>
        <v>71.849999999999994</v>
      </c>
      <c r="R19" s="52">
        <f t="shared" si="2"/>
        <v>93404.999999999985</v>
      </c>
      <c r="T19" s="69" t="s">
        <v>42</v>
      </c>
      <c r="U19">
        <v>133.99999999999997</v>
      </c>
      <c r="V19" s="4">
        <v>133650</v>
      </c>
    </row>
    <row r="20" spans="1:22" x14ac:dyDescent="0.35">
      <c r="B20" t="s">
        <v>185</v>
      </c>
      <c r="D20" t="s">
        <v>19</v>
      </c>
      <c r="E20" s="3">
        <f>VLOOKUP(D20,'Bu Erta'!$C$2:$E$66,3,0)</f>
        <v>200</v>
      </c>
      <c r="F20">
        <v>0.85</v>
      </c>
      <c r="G20" s="3">
        <f t="shared" si="0"/>
        <v>170</v>
      </c>
      <c r="H20" s="3">
        <f>VLOOKUP(D20,'Bu Erta'!$C$2:$F$66,4,0)*F20</f>
        <v>255</v>
      </c>
      <c r="J20" s="69" t="s">
        <v>78</v>
      </c>
      <c r="K20">
        <v>2</v>
      </c>
      <c r="L20" s="4">
        <v>5388.5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3"/>
        <v>0.6</v>
      </c>
      <c r="R20" s="52">
        <f t="shared" si="2"/>
        <v>3600</v>
      </c>
      <c r="T20" s="69" t="s">
        <v>44</v>
      </c>
      <c r="U20">
        <v>0.95</v>
      </c>
      <c r="V20" s="4">
        <v>380</v>
      </c>
    </row>
    <row r="21" spans="1:22" x14ac:dyDescent="0.35">
      <c r="A21" s="5">
        <v>4</v>
      </c>
      <c r="B21" t="s">
        <v>137</v>
      </c>
      <c r="C21" s="1">
        <v>4</v>
      </c>
      <c r="D21" t="s">
        <v>88</v>
      </c>
      <c r="E21" s="3">
        <f>VLOOKUP(D21,'Bu Erta'!$C$2:$E$66,3,0)</f>
        <v>300</v>
      </c>
      <c r="F21">
        <v>0.1</v>
      </c>
      <c r="G21" s="3">
        <f t="shared" si="0"/>
        <v>30</v>
      </c>
      <c r="H21" s="3">
        <f>VLOOKUP(D21,'Bu Erta'!$C$2:$F$66,4,0)*F21</f>
        <v>40</v>
      </c>
      <c r="J21" s="69" t="s">
        <v>116</v>
      </c>
      <c r="K21">
        <v>2</v>
      </c>
      <c r="L21" s="4">
        <v>4727.5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3"/>
        <v>0</v>
      </c>
      <c r="R21" s="52">
        <f t="shared" si="2"/>
        <v>0</v>
      </c>
      <c r="T21" s="69" t="s">
        <v>49</v>
      </c>
      <c r="U21">
        <v>3.9000000000000004</v>
      </c>
      <c r="V21" s="4">
        <v>2437.5</v>
      </c>
    </row>
    <row r="22" spans="1:22" x14ac:dyDescent="0.35">
      <c r="B22" t="s">
        <v>137</v>
      </c>
      <c r="D22" t="s">
        <v>23</v>
      </c>
      <c r="E22" s="3">
        <f>VLOOKUP(D22,'Bu Erta'!$C$2:$E$66,3,0)</f>
        <v>300</v>
      </c>
      <c r="F22">
        <v>0.15</v>
      </c>
      <c r="G22" s="3">
        <f t="shared" si="0"/>
        <v>45</v>
      </c>
      <c r="H22" s="3">
        <f>VLOOKUP(D22,'Bu Erta'!$C$2:$F$66,4,0)*F22</f>
        <v>60</v>
      </c>
      <c r="J22" s="69" t="s">
        <v>98</v>
      </c>
      <c r="K22">
        <v>2</v>
      </c>
      <c r="L22" s="4">
        <v>10582.5</v>
      </c>
      <c r="N22" s="44">
        <v>19</v>
      </c>
      <c r="O22" s="17" t="s">
        <v>7</v>
      </c>
      <c r="P22" s="52">
        <f>VLOOKUP(O22,'Bu Erta'!$C$2:$F$66,4,0)</f>
        <v>1600</v>
      </c>
      <c r="Q22" s="53">
        <f>SUMIF($D$3:$D$445,O22,$F$3:$F$445)-1</f>
        <v>54.550000000000011</v>
      </c>
      <c r="R22" s="52">
        <f t="shared" si="2"/>
        <v>87280.000000000015</v>
      </c>
      <c r="T22" s="69" t="s">
        <v>56</v>
      </c>
      <c r="U22">
        <v>4.1500000000000004</v>
      </c>
      <c r="V22" s="4">
        <v>16600</v>
      </c>
    </row>
    <row r="23" spans="1:22" x14ac:dyDescent="0.35">
      <c r="B23" t="s">
        <v>137</v>
      </c>
      <c r="D23" t="s">
        <v>19</v>
      </c>
      <c r="E23" s="3">
        <f>VLOOKUP(D23,'Bu Erta'!$C$2:$E$66,3,0)</f>
        <v>200</v>
      </c>
      <c r="F23">
        <f>0.2+0.2</f>
        <v>0.4</v>
      </c>
      <c r="G23" s="3">
        <f t="shared" si="0"/>
        <v>80</v>
      </c>
      <c r="H23" s="3">
        <f>VLOOKUP(D23,'Bu Erta'!$C$2:$F$66,4,0)*F23</f>
        <v>120</v>
      </c>
      <c r="J23" s="69" t="s">
        <v>261</v>
      </c>
      <c r="K23">
        <v>2</v>
      </c>
      <c r="L23" s="4">
        <v>2600</v>
      </c>
      <c r="N23" s="44">
        <v>20</v>
      </c>
      <c r="O23" s="17" t="s">
        <v>31</v>
      </c>
      <c r="P23" s="52">
        <f>VLOOKUP(O23,'Bu Erta'!$C$2:$F$66,4,0)</f>
        <v>1100</v>
      </c>
      <c r="Q23" s="53">
        <f t="shared" si="3"/>
        <v>56.350000000000009</v>
      </c>
      <c r="R23" s="52">
        <f t="shared" si="2"/>
        <v>61985.000000000007</v>
      </c>
      <c r="T23" s="69" t="s">
        <v>88</v>
      </c>
      <c r="U23">
        <v>20.349999999999994</v>
      </c>
      <c r="V23" s="4">
        <v>6105</v>
      </c>
    </row>
    <row r="24" spans="1:22" x14ac:dyDescent="0.35">
      <c r="B24" t="s">
        <v>137</v>
      </c>
      <c r="D24" t="s">
        <v>41</v>
      </c>
      <c r="E24" s="3">
        <f>VLOOKUP(D24,'Bu Erta'!$C$2:$E$66,3,0)</f>
        <v>1500</v>
      </c>
      <c r="F24">
        <v>0.2</v>
      </c>
      <c r="G24" s="3">
        <f t="shared" si="0"/>
        <v>300</v>
      </c>
      <c r="H24" s="3">
        <f>VLOOKUP(D24,'Bu Erta'!$C$2:$F$66,4,0)*F24</f>
        <v>400</v>
      </c>
      <c r="J24" s="69" t="s">
        <v>178</v>
      </c>
      <c r="K24">
        <v>3</v>
      </c>
      <c r="L24" s="4">
        <v>11645</v>
      </c>
      <c r="N24" s="44">
        <v>21</v>
      </c>
      <c r="O24" s="17" t="s">
        <v>32</v>
      </c>
      <c r="P24" s="52">
        <f>VLOOKUP(O24,'Bu Erta'!$C$2:$F$66,4,0)</f>
        <v>5000</v>
      </c>
      <c r="Q24" s="53">
        <f>SUMIF($D$3:$D$445,O24,$F$3:$F$445)+1</f>
        <v>1</v>
      </c>
      <c r="R24" s="52">
        <f t="shared" si="2"/>
        <v>5000</v>
      </c>
      <c r="T24" s="69" t="s">
        <v>6</v>
      </c>
      <c r="U24">
        <v>3.6</v>
      </c>
      <c r="V24" s="4">
        <v>7200</v>
      </c>
    </row>
    <row r="25" spans="1:22" x14ac:dyDescent="0.35">
      <c r="B25" t="s">
        <v>137</v>
      </c>
      <c r="D25" t="s">
        <v>24</v>
      </c>
      <c r="E25" s="3">
        <f>VLOOKUP(D25,'Bu Erta'!$C$2:$E$66,3,0)</f>
        <v>150</v>
      </c>
      <c r="F25">
        <v>0.1</v>
      </c>
      <c r="G25" s="3">
        <f t="shared" si="0"/>
        <v>15</v>
      </c>
      <c r="H25" s="3">
        <f>VLOOKUP(D25,'Bu Erta'!$C$2:$F$66,4,0)*F25</f>
        <v>20</v>
      </c>
      <c r="J25" s="69" t="s">
        <v>186</v>
      </c>
      <c r="K25">
        <v>3</v>
      </c>
      <c r="L25" s="4">
        <v>3660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3"/>
        <v>0</v>
      </c>
      <c r="R25" s="52">
        <f t="shared" si="2"/>
        <v>0</v>
      </c>
      <c r="T25" s="69" t="s">
        <v>60</v>
      </c>
      <c r="U25">
        <v>2.6999999999999997</v>
      </c>
      <c r="V25" s="4">
        <v>3240</v>
      </c>
    </row>
    <row r="26" spans="1:22" x14ac:dyDescent="0.35">
      <c r="B26" t="s">
        <v>137</v>
      </c>
      <c r="D26" t="s">
        <v>31</v>
      </c>
      <c r="E26" s="3">
        <f>VLOOKUP(D26,'Bu Erta'!$C$2:$E$66,3,0)</f>
        <v>1000</v>
      </c>
      <c r="F26">
        <v>0.75</v>
      </c>
      <c r="G26" s="3">
        <f t="shared" si="0"/>
        <v>750</v>
      </c>
      <c r="H26" s="3">
        <f>VLOOKUP(D26,'Bu Erta'!$C$2:$F$66,4,0)*F26</f>
        <v>825</v>
      </c>
      <c r="J26" s="69" t="s">
        <v>76</v>
      </c>
      <c r="K26">
        <v>3</v>
      </c>
      <c r="L26" s="4">
        <v>14690</v>
      </c>
      <c r="N26" s="44">
        <v>23</v>
      </c>
      <c r="O26" s="17" t="s">
        <v>34</v>
      </c>
      <c r="P26" s="52">
        <f>VLOOKUP(O26,'Bu Erta'!$C$2:$F$66,4,0)</f>
        <v>3600</v>
      </c>
      <c r="Q26" s="53">
        <f t="shared" si="3"/>
        <v>14.65</v>
      </c>
      <c r="R26" s="52">
        <f t="shared" si="2"/>
        <v>52740</v>
      </c>
      <c r="T26" s="69" t="s">
        <v>61</v>
      </c>
      <c r="U26">
        <v>8.3000000000000007</v>
      </c>
      <c r="V26" s="4">
        <v>6640</v>
      </c>
    </row>
    <row r="27" spans="1:22" x14ac:dyDescent="0.35">
      <c r="A27" s="5">
        <v>5</v>
      </c>
      <c r="B27" t="s">
        <v>186</v>
      </c>
      <c r="C27" s="1">
        <v>3</v>
      </c>
      <c r="D27" t="s">
        <v>25</v>
      </c>
      <c r="E27" s="3">
        <f>VLOOKUP(D27,'Bu Erta'!$C$2:$E$66,3,0)</f>
        <v>1600</v>
      </c>
      <c r="F27">
        <v>1.35</v>
      </c>
      <c r="G27" s="3">
        <f t="shared" si="0"/>
        <v>2160</v>
      </c>
      <c r="H27" s="3">
        <f>VLOOKUP(D27,'Bu Erta'!$C$2:$F$66,4,0)*F27</f>
        <v>2295</v>
      </c>
      <c r="J27" s="69" t="s">
        <v>164</v>
      </c>
      <c r="K27">
        <v>3</v>
      </c>
      <c r="L27" s="4">
        <v>10500</v>
      </c>
      <c r="N27" s="44">
        <v>24</v>
      </c>
      <c r="O27" s="17" t="s">
        <v>35</v>
      </c>
      <c r="P27" s="52">
        <f>VLOOKUP(O27,'Bu Erta'!$C$2:$F$66,4,0)</f>
        <v>2000</v>
      </c>
      <c r="Q27" s="53">
        <f t="shared" si="3"/>
        <v>0</v>
      </c>
      <c r="R27" s="52">
        <f t="shared" si="2"/>
        <v>0</v>
      </c>
      <c r="T27" s="69" t="s">
        <v>62</v>
      </c>
      <c r="U27">
        <v>0.3</v>
      </c>
      <c r="V27" s="4">
        <v>120</v>
      </c>
    </row>
    <row r="28" spans="1:22" x14ac:dyDescent="0.35">
      <c r="B28" t="s">
        <v>186</v>
      </c>
      <c r="D28" t="s">
        <v>31</v>
      </c>
      <c r="E28" s="3">
        <f>VLOOKUP(D28,'Bu Erta'!$C$2:$E$66,3,0)</f>
        <v>1000</v>
      </c>
      <c r="F28">
        <v>1.5</v>
      </c>
      <c r="G28" s="3">
        <f t="shared" si="0"/>
        <v>1500</v>
      </c>
      <c r="H28" s="3">
        <f>VLOOKUP(D28,'Bu Erta'!$C$2:$F$66,4,0)*F28</f>
        <v>1650</v>
      </c>
      <c r="J28" s="69" t="s">
        <v>90</v>
      </c>
      <c r="K28">
        <v>3</v>
      </c>
      <c r="L28" s="4">
        <v>6360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3"/>
        <v>0</v>
      </c>
      <c r="R28" s="52">
        <f t="shared" si="2"/>
        <v>0</v>
      </c>
      <c r="T28" s="69" t="s">
        <v>65</v>
      </c>
      <c r="U28">
        <v>2.3499999999999996</v>
      </c>
      <c r="V28" s="4">
        <v>352.5</v>
      </c>
    </row>
    <row r="29" spans="1:22" x14ac:dyDescent="0.35">
      <c r="A29" s="5">
        <v>6</v>
      </c>
      <c r="B29" t="s">
        <v>178</v>
      </c>
      <c r="C29" s="1">
        <v>3</v>
      </c>
      <c r="D29" t="s">
        <v>88</v>
      </c>
      <c r="E29" s="3">
        <f>VLOOKUP(D29,'Bu Erta'!$C$2:$E$66,3,0)</f>
        <v>300</v>
      </c>
      <c r="F29">
        <v>0.75</v>
      </c>
      <c r="G29" s="3">
        <f t="shared" si="0"/>
        <v>225</v>
      </c>
      <c r="H29" s="3">
        <f>VLOOKUP(D29,'Bu Erta'!$C$2:$F$66,4,0)*F29</f>
        <v>300</v>
      </c>
      <c r="J29" s="69" t="s">
        <v>147</v>
      </c>
      <c r="K29">
        <v>3</v>
      </c>
      <c r="L29" s="4">
        <v>10250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3"/>
        <v>2.6500000000000004</v>
      </c>
      <c r="R29" s="52">
        <f t="shared" si="2"/>
        <v>5300.0000000000009</v>
      </c>
      <c r="T29" s="69" t="s">
        <v>68</v>
      </c>
      <c r="U29">
        <v>3.5</v>
      </c>
      <c r="V29" s="4">
        <v>525</v>
      </c>
    </row>
    <row r="30" spans="1:22" x14ac:dyDescent="0.35">
      <c r="B30" t="s">
        <v>178</v>
      </c>
      <c r="D30" t="s">
        <v>19</v>
      </c>
      <c r="E30" s="3">
        <f>VLOOKUP(D30,'Bu Erta'!$C$2:$E$66,3,0)</f>
        <v>200</v>
      </c>
      <c r="F30">
        <f>0.95+0.95+1.2</f>
        <v>3.0999999999999996</v>
      </c>
      <c r="G30" s="3">
        <f t="shared" si="0"/>
        <v>619.99999999999989</v>
      </c>
      <c r="H30" s="3">
        <f>VLOOKUP(D30,'Bu Erta'!$C$2:$F$66,4,0)*F30</f>
        <v>929.99999999999989</v>
      </c>
      <c r="J30" s="69" t="s">
        <v>259</v>
      </c>
      <c r="K30">
        <v>3</v>
      </c>
      <c r="L30" s="4">
        <v>5900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3"/>
        <v>0</v>
      </c>
      <c r="R30" s="52">
        <f t="shared" si="2"/>
        <v>0</v>
      </c>
      <c r="T30" s="69" t="s">
        <v>69</v>
      </c>
      <c r="U30">
        <v>5.8500000000000005</v>
      </c>
      <c r="V30" s="4">
        <v>14625</v>
      </c>
    </row>
    <row r="31" spans="1:22" x14ac:dyDescent="0.35">
      <c r="B31" t="s">
        <v>178</v>
      </c>
      <c r="D31" t="s">
        <v>42</v>
      </c>
      <c r="E31" s="3">
        <f>VLOOKUP(D31,'Bu Erta'!$C$2:$E$66,3,0)</f>
        <v>1000</v>
      </c>
      <c r="F31">
        <f>5.35+0.35+0.1</f>
        <v>5.7999999999999989</v>
      </c>
      <c r="G31" s="3">
        <f t="shared" si="0"/>
        <v>5799.9999999999991</v>
      </c>
      <c r="H31" s="3">
        <f>VLOOKUP(D31,'Bu Erta'!$C$2:$F$66,4,0)*F31</f>
        <v>6959.9999999999991</v>
      </c>
      <c r="J31" s="69" t="s">
        <v>142</v>
      </c>
      <c r="K31">
        <v>4</v>
      </c>
      <c r="L31" s="4">
        <v>13475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3"/>
        <v>2.25</v>
      </c>
      <c r="R31" s="52">
        <f t="shared" si="2"/>
        <v>450</v>
      </c>
      <c r="T31" s="69" t="s">
        <v>70</v>
      </c>
      <c r="U31">
        <v>0.6</v>
      </c>
      <c r="V31" s="4">
        <v>2100</v>
      </c>
    </row>
    <row r="32" spans="1:22" x14ac:dyDescent="0.35">
      <c r="B32" t="s">
        <v>178</v>
      </c>
      <c r="D32" t="s">
        <v>23</v>
      </c>
      <c r="E32" s="3">
        <f>VLOOKUP(D32,'Bu Erta'!$C$2:$E$66,3,0)</f>
        <v>300</v>
      </c>
      <c r="F32">
        <f>3.25+0.55</f>
        <v>3.8</v>
      </c>
      <c r="G32" s="3">
        <f t="shared" si="0"/>
        <v>1140</v>
      </c>
      <c r="H32" s="3">
        <f>VLOOKUP(D32,'Bu Erta'!$C$2:$F$66,4,0)*F32</f>
        <v>1520</v>
      </c>
      <c r="J32" s="69" t="s">
        <v>134</v>
      </c>
      <c r="K32">
        <v>4</v>
      </c>
      <c r="L32" s="4">
        <v>1595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3"/>
        <v>0</v>
      </c>
      <c r="R32" s="52">
        <f t="shared" si="2"/>
        <v>0</v>
      </c>
      <c r="T32" s="69" t="s">
        <v>21</v>
      </c>
      <c r="U32">
        <v>2.2000000000000002</v>
      </c>
      <c r="V32" s="4">
        <v>330</v>
      </c>
    </row>
    <row r="33" spans="1:22" x14ac:dyDescent="0.35">
      <c r="B33" t="s">
        <v>178</v>
      </c>
      <c r="D33" t="s">
        <v>31</v>
      </c>
      <c r="E33" s="3">
        <f>VLOOKUP(D33,'Bu Erta'!$C$2:$E$66,3,0)</f>
        <v>1000</v>
      </c>
      <c r="F33">
        <v>0.55000000000000004</v>
      </c>
      <c r="G33" s="3">
        <f t="shared" si="0"/>
        <v>550</v>
      </c>
      <c r="H33" s="3">
        <f>VLOOKUP(D33,'Bu Erta'!$C$2:$F$66,4,0)*F33</f>
        <v>605</v>
      </c>
      <c r="J33" s="69" t="s">
        <v>144</v>
      </c>
      <c r="K33">
        <v>4</v>
      </c>
      <c r="L33" s="4">
        <v>1187.5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3"/>
        <v>4.1500000000000004</v>
      </c>
      <c r="R33" s="52">
        <f t="shared" si="2"/>
        <v>8300</v>
      </c>
      <c r="T33" s="69" t="s">
        <v>81</v>
      </c>
      <c r="U33">
        <v>652.83000000000004</v>
      </c>
      <c r="V33" s="4">
        <v>765996</v>
      </c>
    </row>
    <row r="34" spans="1:22" x14ac:dyDescent="0.35">
      <c r="B34" t="s">
        <v>178</v>
      </c>
      <c r="D34" t="s">
        <v>7</v>
      </c>
      <c r="E34" s="3">
        <f>VLOOKUP(D34,'Bu Erta'!$C$2:$E$66,3,0)</f>
        <v>1400</v>
      </c>
      <c r="F34">
        <f>0.55+1.1</f>
        <v>1.6500000000000001</v>
      </c>
      <c r="G34" s="3">
        <f t="shared" si="0"/>
        <v>2310</v>
      </c>
      <c r="H34" s="3">
        <f>VLOOKUP(D34,'Bu Erta'!$C$2:$F$66,4,0)*F34</f>
        <v>2640</v>
      </c>
      <c r="J34" s="69" t="s">
        <v>89</v>
      </c>
      <c r="K34">
        <v>4</v>
      </c>
      <c r="L34" s="4">
        <v>6280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3"/>
        <v>14.599999999999998</v>
      </c>
      <c r="R34" s="52">
        <f t="shared" si="2"/>
        <v>29199.999999999996</v>
      </c>
    </row>
    <row r="35" spans="1:22" x14ac:dyDescent="0.35">
      <c r="B35" t="s">
        <v>178</v>
      </c>
      <c r="D35" t="s">
        <v>22</v>
      </c>
      <c r="E35" s="3">
        <f>VLOOKUP(D35,'Bu Erta'!$C$2:$E$66,3,0)</f>
        <v>2500</v>
      </c>
      <c r="F35">
        <v>0.4</v>
      </c>
      <c r="G35" s="3">
        <f t="shared" si="0"/>
        <v>1000</v>
      </c>
      <c r="H35" s="3">
        <f>VLOOKUP(D35,'Bu Erta'!$C$2:$F$66,4,0)*F35</f>
        <v>1200</v>
      </c>
      <c r="J35" s="69" t="s">
        <v>140</v>
      </c>
      <c r="K35">
        <v>4</v>
      </c>
      <c r="L35" s="4">
        <v>14710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3"/>
        <v>133.99999999999997</v>
      </c>
      <c r="R35" s="52">
        <f t="shared" si="2"/>
        <v>160799.99999999997</v>
      </c>
    </row>
    <row r="36" spans="1:22" x14ac:dyDescent="0.35">
      <c r="A36" s="5">
        <v>7</v>
      </c>
      <c r="B36" t="s">
        <v>86</v>
      </c>
      <c r="C36" s="1">
        <v>4</v>
      </c>
      <c r="D36" t="s">
        <v>22</v>
      </c>
      <c r="E36" s="3">
        <f>VLOOKUP(D36,'Bu Erta'!$C$2:$E$66,3,0)</f>
        <v>2500</v>
      </c>
      <c r="F36">
        <f>7.7+0.1</f>
        <v>7.8</v>
      </c>
      <c r="G36" s="3">
        <f t="shared" si="0"/>
        <v>19500</v>
      </c>
      <c r="H36" s="3">
        <f>VLOOKUP(D36,'Bu Erta'!$C$2:$F$66,4,0)*F36</f>
        <v>23400</v>
      </c>
      <c r="J36" s="69" t="s">
        <v>109</v>
      </c>
      <c r="K36">
        <v>4</v>
      </c>
      <c r="L36" s="4">
        <v>6027.5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3"/>
        <v>0</v>
      </c>
      <c r="R36" s="52">
        <f t="shared" si="2"/>
        <v>0</v>
      </c>
    </row>
    <row r="37" spans="1:22" x14ac:dyDescent="0.35">
      <c r="B37" t="s">
        <v>86</v>
      </c>
      <c r="D37" t="s">
        <v>7</v>
      </c>
      <c r="E37" s="3">
        <f>VLOOKUP(D37,'Bu Erta'!$C$2:$E$66,3,0)</f>
        <v>1400</v>
      </c>
      <c r="F37">
        <f>0.9+0.4</f>
        <v>1.3</v>
      </c>
      <c r="G37" s="3">
        <f t="shared" si="0"/>
        <v>1820</v>
      </c>
      <c r="H37" s="3">
        <f>VLOOKUP(D37,'Bu Erta'!$C$2:$F$66,4,0)*F37</f>
        <v>2080</v>
      </c>
      <c r="J37" s="69" t="s">
        <v>97</v>
      </c>
      <c r="K37">
        <v>4</v>
      </c>
      <c r="L37" s="4">
        <v>8255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3"/>
        <v>0.95</v>
      </c>
      <c r="R37" s="52">
        <f t="shared" si="2"/>
        <v>475</v>
      </c>
    </row>
    <row r="38" spans="1:22" x14ac:dyDescent="0.35">
      <c r="B38" t="s">
        <v>86</v>
      </c>
      <c r="D38" t="s">
        <v>39</v>
      </c>
      <c r="E38" s="3">
        <f>VLOOKUP(D38,'Bu Erta'!$C$2:$E$66,3,0)</f>
        <v>150</v>
      </c>
      <c r="F38">
        <v>1.3</v>
      </c>
      <c r="G38" s="3">
        <f t="shared" si="0"/>
        <v>195</v>
      </c>
      <c r="H38" s="3">
        <f>VLOOKUP(D38,'Bu Erta'!$C$2:$F$66,4,0)*F38</f>
        <v>260</v>
      </c>
      <c r="J38" s="69" t="s">
        <v>100</v>
      </c>
      <c r="K38">
        <v>4</v>
      </c>
      <c r="L38" s="4">
        <v>9797.5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3"/>
        <v>0</v>
      </c>
      <c r="R38" s="52">
        <f t="shared" si="2"/>
        <v>0</v>
      </c>
    </row>
    <row r="39" spans="1:22" x14ac:dyDescent="0.35">
      <c r="B39" t="s">
        <v>86</v>
      </c>
      <c r="D39" t="s">
        <v>29</v>
      </c>
      <c r="E39" s="3">
        <f>VLOOKUP(D39,'Bu Erta'!$C$2:$E$66,3,0)</f>
        <v>5000</v>
      </c>
      <c r="F39">
        <v>0.6</v>
      </c>
      <c r="G39" s="3">
        <f t="shared" si="0"/>
        <v>3000</v>
      </c>
      <c r="H39" s="3">
        <f>VLOOKUP(D39,'Bu Erta'!$C$2:$F$66,4,0)*F39</f>
        <v>3600</v>
      </c>
      <c r="J39" s="69" t="s">
        <v>182</v>
      </c>
      <c r="K39">
        <v>4</v>
      </c>
      <c r="L39" s="4">
        <v>4050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3"/>
        <v>0</v>
      </c>
      <c r="R39" s="52">
        <f t="shared" si="2"/>
        <v>0</v>
      </c>
    </row>
    <row r="40" spans="1:22" x14ac:dyDescent="0.35">
      <c r="B40" t="s">
        <v>86</v>
      </c>
      <c r="D40" t="s">
        <v>60</v>
      </c>
      <c r="E40" s="3">
        <f>VLOOKUP(D40,'Bu Erta'!$C$2:$E$66,3,0)</f>
        <v>1200</v>
      </c>
      <c r="F40">
        <f>1.45+0.6</f>
        <v>2.0499999999999998</v>
      </c>
      <c r="G40" s="3">
        <f t="shared" si="0"/>
        <v>2460</v>
      </c>
      <c r="H40" s="3">
        <f>VLOOKUP(D40,'Bu Erta'!$C$2:$F$66,4,0)*F40</f>
        <v>3074.9999999999995</v>
      </c>
      <c r="J40" s="69" t="s">
        <v>94</v>
      </c>
      <c r="K40">
        <v>4</v>
      </c>
      <c r="L40" s="4">
        <v>6502.5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3"/>
        <v>0</v>
      </c>
      <c r="R40" s="52">
        <f t="shared" si="2"/>
        <v>0</v>
      </c>
    </row>
    <row r="41" spans="1:22" x14ac:dyDescent="0.35">
      <c r="B41" t="s">
        <v>86</v>
      </c>
      <c r="D41" t="s">
        <v>41</v>
      </c>
      <c r="E41" s="3">
        <f>VLOOKUP(D41,'Bu Erta'!$C$2:$E$66,3,0)</f>
        <v>1500</v>
      </c>
      <c r="F41">
        <f>0.25+0.6+2.3</f>
        <v>3.15</v>
      </c>
      <c r="G41" s="3">
        <f t="shared" si="0"/>
        <v>4725</v>
      </c>
      <c r="H41" s="3">
        <f>VLOOKUP(D41,'Bu Erta'!$C$2:$F$66,4,0)*F41</f>
        <v>6300</v>
      </c>
      <c r="J41" s="69" t="s">
        <v>112</v>
      </c>
      <c r="K41">
        <v>4</v>
      </c>
      <c r="L41" s="4">
        <v>15347.5</v>
      </c>
      <c r="N41" s="44">
        <v>38</v>
      </c>
      <c r="O41" s="17" t="s">
        <v>48</v>
      </c>
      <c r="P41" s="52">
        <f>VLOOKUP(O41,'Bu Erta'!$C$2:$F$66,4,0)</f>
        <v>15000</v>
      </c>
      <c r="Q41" s="53">
        <f t="shared" si="3"/>
        <v>0</v>
      </c>
      <c r="R41" s="52">
        <f t="shared" si="2"/>
        <v>0</v>
      </c>
    </row>
    <row r="42" spans="1:22" x14ac:dyDescent="0.35">
      <c r="B42" t="s">
        <v>86</v>
      </c>
      <c r="D42" t="s">
        <v>24</v>
      </c>
      <c r="E42" s="3">
        <f>VLOOKUP(D42,'Bu Erta'!$C$2:$E$66,3,0)</f>
        <v>150</v>
      </c>
      <c r="F42">
        <v>0.25</v>
      </c>
      <c r="G42" s="3">
        <f t="shared" si="0"/>
        <v>37.5</v>
      </c>
      <c r="H42" s="3">
        <f>VLOOKUP(D42,'Bu Erta'!$C$2:$F$66,4,0)*F42</f>
        <v>50</v>
      </c>
      <c r="J42" s="69" t="s">
        <v>114</v>
      </c>
      <c r="K42">
        <v>4</v>
      </c>
      <c r="L42" s="4">
        <v>9667.5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3"/>
        <v>3.9000000000000004</v>
      </c>
      <c r="R42" s="52">
        <f t="shared" si="2"/>
        <v>3510.0000000000005</v>
      </c>
    </row>
    <row r="43" spans="1:22" x14ac:dyDescent="0.35">
      <c r="B43" t="s">
        <v>86</v>
      </c>
      <c r="D43" t="s">
        <v>62</v>
      </c>
      <c r="E43" s="3">
        <f>VLOOKUP(D43,'Bu Erta'!$C$2:$E$66,3,0)</f>
        <v>400</v>
      </c>
      <c r="F43">
        <v>0.3</v>
      </c>
      <c r="G43" s="3">
        <f t="shared" si="0"/>
        <v>120</v>
      </c>
      <c r="H43" s="3">
        <f>VLOOKUP(D43,'Bu Erta'!$C$2:$F$66,4,0)*F43</f>
        <v>150</v>
      </c>
      <c r="J43" s="69" t="s">
        <v>85</v>
      </c>
      <c r="K43">
        <v>4</v>
      </c>
      <c r="L43" s="4">
        <v>4085.0000000000005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3"/>
        <v>0</v>
      </c>
      <c r="R43" s="52">
        <f t="shared" si="2"/>
        <v>0</v>
      </c>
    </row>
    <row r="44" spans="1:22" x14ac:dyDescent="0.35">
      <c r="B44" t="s">
        <v>86</v>
      </c>
      <c r="D44" t="s">
        <v>31</v>
      </c>
      <c r="E44" s="3">
        <f>VLOOKUP(D44,'Bu Erta'!$C$2:$E$66,3,0)</f>
        <v>1000</v>
      </c>
      <c r="F44">
        <v>2.95</v>
      </c>
      <c r="G44" s="3">
        <f t="shared" si="0"/>
        <v>2950</v>
      </c>
      <c r="H44" s="3">
        <f>VLOOKUP(D44,'Bu Erta'!$C$2:$F$66,4,0)*F44</f>
        <v>3245</v>
      </c>
      <c r="J44" s="69" t="s">
        <v>137</v>
      </c>
      <c r="K44">
        <v>4</v>
      </c>
      <c r="L44" s="4">
        <v>1220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3"/>
        <v>0</v>
      </c>
      <c r="R44" s="52">
        <f t="shared" si="2"/>
        <v>0</v>
      </c>
    </row>
    <row r="45" spans="1:22" x14ac:dyDescent="0.35">
      <c r="B45" t="s">
        <v>86</v>
      </c>
      <c r="D45" t="s">
        <v>6</v>
      </c>
      <c r="E45" s="3">
        <f>VLOOKUP(D45,'Bu Erta'!$C$2:$E$66,3,0)</f>
        <v>2000</v>
      </c>
      <c r="F45">
        <v>0.9</v>
      </c>
      <c r="G45" s="3">
        <f t="shared" si="0"/>
        <v>1800</v>
      </c>
      <c r="H45" s="3">
        <f>VLOOKUP(D45,'Bu Erta'!$C$2:$F$66,4,0)*F45</f>
        <v>2250</v>
      </c>
      <c r="J45" s="69" t="s">
        <v>136</v>
      </c>
      <c r="K45">
        <v>4</v>
      </c>
      <c r="L45" s="4">
        <v>14425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3"/>
        <v>0</v>
      </c>
      <c r="R45" s="52">
        <f t="shared" si="2"/>
        <v>0</v>
      </c>
    </row>
    <row r="46" spans="1:22" x14ac:dyDescent="0.35">
      <c r="B46" t="s">
        <v>86</v>
      </c>
      <c r="D46" t="s">
        <v>88</v>
      </c>
      <c r="E46" s="3">
        <f>VLOOKUP(D46,'Bu Erta'!$C$2:$E$66,3,0)</f>
        <v>300</v>
      </c>
      <c r="F46">
        <v>0.65</v>
      </c>
      <c r="G46" s="3">
        <f t="shared" si="0"/>
        <v>195</v>
      </c>
      <c r="H46" s="3">
        <f>VLOOKUP(D46,'Bu Erta'!$C$2:$F$66,4,0)*F46</f>
        <v>260</v>
      </c>
      <c r="J46" s="69" t="s">
        <v>86</v>
      </c>
      <c r="K46">
        <v>4</v>
      </c>
      <c r="L46" s="4">
        <v>36852.5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si="3"/>
        <v>0</v>
      </c>
      <c r="R46" s="52">
        <f t="shared" si="2"/>
        <v>0</v>
      </c>
    </row>
    <row r="47" spans="1:22" x14ac:dyDescent="0.35">
      <c r="B47" t="s">
        <v>86</v>
      </c>
      <c r="D47" t="s">
        <v>19</v>
      </c>
      <c r="E47" s="3">
        <f>VLOOKUP(D47,'Bu Erta'!$C$2:$E$66,3,0)</f>
        <v>200</v>
      </c>
      <c r="F47">
        <v>0.25</v>
      </c>
      <c r="G47" s="3">
        <f t="shared" si="0"/>
        <v>50</v>
      </c>
      <c r="H47" s="3">
        <f>VLOOKUP(D47,'Bu Erta'!$C$2:$F$66,4,0)*F47</f>
        <v>75</v>
      </c>
      <c r="J47" s="69" t="s">
        <v>185</v>
      </c>
      <c r="K47">
        <v>4</v>
      </c>
      <c r="L47" s="4">
        <v>4370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3"/>
        <v>0</v>
      </c>
      <c r="R47" s="52">
        <f t="shared" si="2"/>
        <v>0</v>
      </c>
    </row>
    <row r="48" spans="1:22" x14ac:dyDescent="0.35">
      <c r="A48" s="5">
        <v>8</v>
      </c>
      <c r="B48" t="s">
        <v>100</v>
      </c>
      <c r="C48" s="5">
        <v>4</v>
      </c>
      <c r="D48" t="s">
        <v>31</v>
      </c>
      <c r="E48" s="3">
        <f>VLOOKUP(D48,'Bu Erta'!$C$2:$E$66,3,0)</f>
        <v>1000</v>
      </c>
      <c r="F48">
        <f>0.95+1.45</f>
        <v>2.4</v>
      </c>
      <c r="G48" s="3">
        <f t="shared" si="0"/>
        <v>2400</v>
      </c>
      <c r="H48" s="3">
        <f>VLOOKUP(D48,'Bu Erta'!$C$2:$F$66,4,0)*F48</f>
        <v>2640</v>
      </c>
      <c r="J48" s="69" t="s">
        <v>133</v>
      </c>
      <c r="K48">
        <v>4</v>
      </c>
      <c r="L48" s="4">
        <v>6395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3"/>
        <v>0</v>
      </c>
      <c r="R48" s="52">
        <f t="shared" si="2"/>
        <v>0</v>
      </c>
    </row>
    <row r="49" spans="1:18" x14ac:dyDescent="0.35">
      <c r="B49" t="s">
        <v>100</v>
      </c>
      <c r="D49" t="s">
        <v>6</v>
      </c>
      <c r="E49" s="3">
        <f>VLOOKUP(D49,'Bu Erta'!$C$2:$E$66,3,0)</f>
        <v>2000</v>
      </c>
      <c r="F49">
        <v>0.25</v>
      </c>
      <c r="G49" s="3">
        <f t="shared" si="0"/>
        <v>500</v>
      </c>
      <c r="H49" s="3">
        <f>VLOOKUP(D49,'Bu Erta'!$C$2:$F$66,4,0)*F49</f>
        <v>625</v>
      </c>
      <c r="J49" s="69" t="s">
        <v>180</v>
      </c>
      <c r="K49">
        <v>4</v>
      </c>
      <c r="L49" s="4">
        <v>6450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3"/>
        <v>4.1500000000000004</v>
      </c>
      <c r="R49" s="52">
        <f t="shared" si="2"/>
        <v>22825.000000000004</v>
      </c>
    </row>
    <row r="50" spans="1:18" x14ac:dyDescent="0.35">
      <c r="B50" t="s">
        <v>100</v>
      </c>
      <c r="D50" t="s">
        <v>25</v>
      </c>
      <c r="E50" s="3">
        <f>VLOOKUP(D50,'Bu Erta'!$C$2:$E$66,3,0)</f>
        <v>1600</v>
      </c>
      <c r="F50">
        <v>0.7</v>
      </c>
      <c r="G50" s="3">
        <f t="shared" si="0"/>
        <v>1120</v>
      </c>
      <c r="H50" s="3">
        <f>VLOOKUP(D50,'Bu Erta'!$C$2:$F$66,4,0)*F50</f>
        <v>1190</v>
      </c>
      <c r="J50" s="69" t="s">
        <v>118</v>
      </c>
      <c r="K50">
        <v>4</v>
      </c>
      <c r="L50" s="4">
        <v>4925</v>
      </c>
      <c r="N50" s="44">
        <v>47</v>
      </c>
      <c r="O50" s="17" t="s">
        <v>88</v>
      </c>
      <c r="P50" s="52">
        <f>VLOOKUP(O50,'Bu Erta'!$C$2:$F$66,4,0)</f>
        <v>400</v>
      </c>
      <c r="Q50" s="53">
        <f t="shared" si="3"/>
        <v>20.349999999999994</v>
      </c>
      <c r="R50" s="52">
        <f t="shared" si="2"/>
        <v>8139.9999999999982</v>
      </c>
    </row>
    <row r="51" spans="1:18" x14ac:dyDescent="0.35">
      <c r="B51" t="s">
        <v>100</v>
      </c>
      <c r="D51" t="s">
        <v>19</v>
      </c>
      <c r="E51" s="3">
        <f>VLOOKUP(D51,'Bu Erta'!$C$2:$E$66,3,0)</f>
        <v>200</v>
      </c>
      <c r="F51">
        <v>1</v>
      </c>
      <c r="G51" s="3">
        <f t="shared" si="0"/>
        <v>200</v>
      </c>
      <c r="H51" s="3">
        <f>VLOOKUP(D51,'Bu Erta'!$C$2:$F$66,4,0)*F51</f>
        <v>300</v>
      </c>
      <c r="J51" s="69" t="s">
        <v>152</v>
      </c>
      <c r="K51">
        <v>4</v>
      </c>
      <c r="L51" s="4">
        <v>470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ref="Q51:Q67" si="4">SUMIF($D$3:$D$445,O51,$F$3:$F$445)</f>
        <v>0</v>
      </c>
      <c r="R51" s="52">
        <f t="shared" si="2"/>
        <v>0</v>
      </c>
    </row>
    <row r="52" spans="1:18" x14ac:dyDescent="0.35">
      <c r="B52" t="s">
        <v>100</v>
      </c>
      <c r="D52" t="s">
        <v>42</v>
      </c>
      <c r="E52" s="3">
        <f>VLOOKUP(D52,'Bu Erta'!$C$2:$E$66,3,0)</f>
        <v>1000</v>
      </c>
      <c r="F52">
        <v>4.5999999999999996</v>
      </c>
      <c r="G52" s="3">
        <f t="shared" si="0"/>
        <v>4600</v>
      </c>
      <c r="H52" s="3">
        <f>VLOOKUP(D52,'Bu Erta'!$C$2:$F$66,4,0)*F52</f>
        <v>5520</v>
      </c>
      <c r="J52" s="69" t="s">
        <v>245</v>
      </c>
      <c r="K52">
        <v>4</v>
      </c>
      <c r="L52" s="4">
        <v>11355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4"/>
        <v>0</v>
      </c>
      <c r="R52" s="52">
        <f t="shared" si="2"/>
        <v>0</v>
      </c>
    </row>
    <row r="53" spans="1:18" x14ac:dyDescent="0.35">
      <c r="B53" t="s">
        <v>100</v>
      </c>
      <c r="D53" t="s">
        <v>23</v>
      </c>
      <c r="E53" s="3">
        <f>VLOOKUP(D53,'Bu Erta'!$C$2:$E$66,3,0)</f>
        <v>300</v>
      </c>
      <c r="F53">
        <v>0.85</v>
      </c>
      <c r="G53" s="3">
        <f t="shared" si="0"/>
        <v>255</v>
      </c>
      <c r="H53" s="3">
        <f>VLOOKUP(D53,'Bu Erta'!$C$2:$F$66,4,0)*F53</f>
        <v>340</v>
      </c>
      <c r="J53" s="69" t="s">
        <v>187</v>
      </c>
      <c r="K53">
        <v>4</v>
      </c>
      <c r="L53" s="4">
        <v>10765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4"/>
        <v>3.6</v>
      </c>
      <c r="R53" s="52">
        <f t="shared" si="2"/>
        <v>9000</v>
      </c>
    </row>
    <row r="54" spans="1:18" x14ac:dyDescent="0.35">
      <c r="B54" t="s">
        <v>100</v>
      </c>
      <c r="D54" t="s">
        <v>7</v>
      </c>
      <c r="E54" s="3">
        <f>VLOOKUP(D54,'Bu Erta'!$C$2:$E$66,3,0)</f>
        <v>1400</v>
      </c>
      <c r="F54">
        <v>0.5</v>
      </c>
      <c r="G54" s="3">
        <f t="shared" si="0"/>
        <v>700</v>
      </c>
      <c r="H54" s="3">
        <f>VLOOKUP(D54,'Bu Erta'!$C$2:$F$66,4,0)*F54</f>
        <v>800</v>
      </c>
      <c r="J54" s="69" t="s">
        <v>102</v>
      </c>
      <c r="K54">
        <v>4</v>
      </c>
      <c r="L54" s="4">
        <v>41925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4"/>
        <v>0</v>
      </c>
      <c r="R54" s="52">
        <f t="shared" si="2"/>
        <v>0</v>
      </c>
    </row>
    <row r="55" spans="1:18" x14ac:dyDescent="0.35">
      <c r="B55" t="s">
        <v>100</v>
      </c>
      <c r="D55" t="s">
        <v>65</v>
      </c>
      <c r="E55" s="3">
        <f>VLOOKUP(D55,'Bu Erta'!$C$2:$E$66,3,0)</f>
        <v>150</v>
      </c>
      <c r="F55">
        <v>0.15</v>
      </c>
      <c r="G55" s="3">
        <f t="shared" si="0"/>
        <v>22.5</v>
      </c>
      <c r="H55" s="3">
        <f>VLOOKUP(D55,'Bu Erta'!$C$2:$F$66,4,0)*F55</f>
        <v>30</v>
      </c>
      <c r="J55" s="69" t="s">
        <v>84</v>
      </c>
      <c r="K55">
        <v>4</v>
      </c>
      <c r="L55" s="4">
        <v>12155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4"/>
        <v>2.6999999999999997</v>
      </c>
      <c r="R55" s="52">
        <f t="shared" si="2"/>
        <v>4049.9999999999995</v>
      </c>
    </row>
    <row r="56" spans="1:18" x14ac:dyDescent="0.35">
      <c r="A56" s="5">
        <v>9</v>
      </c>
      <c r="B56" t="s">
        <v>187</v>
      </c>
      <c r="C56" s="5">
        <v>4</v>
      </c>
      <c r="D56" t="s">
        <v>22</v>
      </c>
      <c r="E56" s="3">
        <f>VLOOKUP(D56,'Bu Erta'!$C$2:$E$66,3,0)</f>
        <v>2500</v>
      </c>
      <c r="F56">
        <v>1.95</v>
      </c>
      <c r="G56" s="3">
        <f t="shared" si="0"/>
        <v>4875</v>
      </c>
      <c r="H56" s="3">
        <f>VLOOKUP(D56,'Bu Erta'!$C$2:$F$66,4,0)*F56</f>
        <v>5850</v>
      </c>
      <c r="J56" s="69" t="s">
        <v>132</v>
      </c>
      <c r="K56">
        <v>4</v>
      </c>
      <c r="L56" s="4">
        <v>2885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4"/>
        <v>8.3000000000000007</v>
      </c>
      <c r="R56" s="52">
        <f t="shared" si="2"/>
        <v>7470.0000000000009</v>
      </c>
    </row>
    <row r="57" spans="1:18" x14ac:dyDescent="0.35">
      <c r="B57" t="s">
        <v>187</v>
      </c>
      <c r="D57" t="s">
        <v>25</v>
      </c>
      <c r="E57" s="3">
        <f>VLOOKUP(D57,'Bu Erta'!$C$2:$E$66,3,0)</f>
        <v>1600</v>
      </c>
      <c r="F57">
        <v>0.9</v>
      </c>
      <c r="G57" s="3">
        <f t="shared" si="0"/>
        <v>1440</v>
      </c>
      <c r="H57" s="3">
        <f>VLOOKUP(D57,'Bu Erta'!$C$2:$F$66,4,0)*F57</f>
        <v>1530</v>
      </c>
      <c r="J57" s="69" t="s">
        <v>135</v>
      </c>
      <c r="K57">
        <v>4</v>
      </c>
      <c r="L57" s="4">
        <v>7250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4"/>
        <v>0.3</v>
      </c>
      <c r="R57" s="52">
        <f t="shared" si="2"/>
        <v>150</v>
      </c>
    </row>
    <row r="58" spans="1:18" x14ac:dyDescent="0.35">
      <c r="B58" t="s">
        <v>187</v>
      </c>
      <c r="D58" t="s">
        <v>42</v>
      </c>
      <c r="E58" s="3">
        <f>VLOOKUP(D58,'Bu Erta'!$C$2:$E$66,3,0)</f>
        <v>1000</v>
      </c>
      <c r="F58">
        <v>4</v>
      </c>
      <c r="G58" s="3">
        <f t="shared" si="0"/>
        <v>4000</v>
      </c>
      <c r="H58" s="3">
        <f>VLOOKUP(D58,'Bu Erta'!$C$2:$F$66,4,0)*F58</f>
        <v>4800</v>
      </c>
      <c r="J58" s="69" t="s">
        <v>189</v>
      </c>
      <c r="K58">
        <v>5</v>
      </c>
      <c r="L58" s="4">
        <v>40895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4"/>
        <v>0</v>
      </c>
      <c r="R58" s="52">
        <f t="shared" si="2"/>
        <v>0</v>
      </c>
    </row>
    <row r="59" spans="1:18" x14ac:dyDescent="0.35">
      <c r="B59" t="s">
        <v>187</v>
      </c>
      <c r="D59" t="s">
        <v>23</v>
      </c>
      <c r="E59" s="3">
        <f>VLOOKUP(D59,'Bu Erta'!$C$2:$E$66,3,0)</f>
        <v>300</v>
      </c>
      <c r="F59">
        <v>1.5</v>
      </c>
      <c r="G59" s="3">
        <f t="shared" si="0"/>
        <v>450</v>
      </c>
      <c r="H59" s="3">
        <f>VLOOKUP(D59,'Bu Erta'!$C$2:$F$66,4,0)*F59</f>
        <v>600</v>
      </c>
      <c r="J59" s="69" t="s">
        <v>113</v>
      </c>
      <c r="K59">
        <v>5</v>
      </c>
      <c r="L59" s="4">
        <v>1402.5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4"/>
        <v>0</v>
      </c>
      <c r="R59" s="52">
        <f t="shared" si="2"/>
        <v>0</v>
      </c>
    </row>
    <row r="60" spans="1:18" x14ac:dyDescent="0.35">
      <c r="A60" s="5">
        <v>10</v>
      </c>
      <c r="B60" t="s">
        <v>142</v>
      </c>
      <c r="C60" s="1">
        <v>4</v>
      </c>
      <c r="D60" t="s">
        <v>19</v>
      </c>
      <c r="E60" s="3">
        <f>VLOOKUP(D60,'Bu Erta'!$C$2:$E$66,3,0)</f>
        <v>200</v>
      </c>
      <c r="F60">
        <v>0.55000000000000004</v>
      </c>
      <c r="G60" s="3">
        <f t="shared" si="0"/>
        <v>110.00000000000001</v>
      </c>
      <c r="H60" s="3">
        <f>VLOOKUP(D60,'Bu Erta'!$C$2:$F$66,4,0)*F60</f>
        <v>165</v>
      </c>
      <c r="J60" s="69" t="s">
        <v>120</v>
      </c>
      <c r="K60">
        <v>5</v>
      </c>
      <c r="L60" s="4">
        <v>10582.5</v>
      </c>
      <c r="N60" s="44">
        <v>57</v>
      </c>
      <c r="O60" s="17" t="s">
        <v>65</v>
      </c>
      <c r="P60" s="52">
        <f>VLOOKUP(O60,'Bu Erta'!$C$2:$F$66,4,0)</f>
        <v>200</v>
      </c>
      <c r="Q60" s="53">
        <f>SUMIF($D$3:$D$445,O60,$F$3:$F$445)-1</f>
        <v>1.3499999999999996</v>
      </c>
      <c r="R60" s="52">
        <f t="shared" si="2"/>
        <v>269.99999999999994</v>
      </c>
    </row>
    <row r="61" spans="1:18" x14ac:dyDescent="0.35">
      <c r="B61" t="s">
        <v>142</v>
      </c>
      <c r="D61" t="s">
        <v>88</v>
      </c>
      <c r="E61" s="3">
        <f>VLOOKUP(D61,'Bu Erta'!$C$2:$E$66,3,0)</f>
        <v>300</v>
      </c>
      <c r="F61">
        <v>0.25</v>
      </c>
      <c r="G61" s="3">
        <f t="shared" si="0"/>
        <v>75</v>
      </c>
      <c r="H61" s="3">
        <f>VLOOKUP(D61,'Bu Erta'!$C$2:$F$66,4,0)*F61</f>
        <v>100</v>
      </c>
      <c r="J61" s="69" t="s">
        <v>243</v>
      </c>
      <c r="K61">
        <v>5</v>
      </c>
      <c r="L61" s="4">
        <v>14517.5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4"/>
        <v>0</v>
      </c>
      <c r="R61" s="52">
        <f t="shared" si="2"/>
        <v>0</v>
      </c>
    </row>
    <row r="62" spans="1:18" x14ac:dyDescent="0.35">
      <c r="B62" t="s">
        <v>142</v>
      </c>
      <c r="D62" t="s">
        <v>25</v>
      </c>
      <c r="E62" s="3">
        <f>VLOOKUP(D62,'Bu Erta'!$C$2:$E$66,3,0)</f>
        <v>1600</v>
      </c>
      <c r="F62">
        <v>0.2</v>
      </c>
      <c r="G62" s="3">
        <f t="shared" si="0"/>
        <v>320</v>
      </c>
      <c r="H62" s="3">
        <f>VLOOKUP(D62,'Bu Erta'!$C$2:$F$66,4,0)*F62</f>
        <v>340</v>
      </c>
      <c r="J62" s="69" t="s">
        <v>95</v>
      </c>
      <c r="K62">
        <v>5</v>
      </c>
      <c r="L62" s="4">
        <v>13482.5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4"/>
        <v>0</v>
      </c>
      <c r="R62" s="52">
        <f t="shared" si="2"/>
        <v>0</v>
      </c>
    </row>
    <row r="63" spans="1:18" x14ac:dyDescent="0.35">
      <c r="B63" t="s">
        <v>142</v>
      </c>
      <c r="D63" t="s">
        <v>42</v>
      </c>
      <c r="E63" s="3">
        <f>VLOOKUP(D63,'Bu Erta'!$C$2:$E$66,3,0)</f>
        <v>1000</v>
      </c>
      <c r="F63">
        <v>2.5</v>
      </c>
      <c r="G63" s="3">
        <f t="shared" si="0"/>
        <v>2500</v>
      </c>
      <c r="H63" s="3">
        <f>VLOOKUP(D63,'Bu Erta'!$C$2:$F$66,4,0)*F63</f>
        <v>3000</v>
      </c>
      <c r="J63" s="69" t="s">
        <v>110</v>
      </c>
      <c r="K63">
        <v>5</v>
      </c>
      <c r="L63" s="4">
        <v>12057.5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4"/>
        <v>3.5</v>
      </c>
      <c r="R63" s="52">
        <f t="shared" si="2"/>
        <v>700</v>
      </c>
    </row>
    <row r="64" spans="1:18" x14ac:dyDescent="0.35">
      <c r="B64" t="s">
        <v>142</v>
      </c>
      <c r="D64" t="s">
        <v>61</v>
      </c>
      <c r="E64" s="3">
        <f>VLOOKUP(D64,'Bu Erta'!$C$2:$E$66,3,0)</f>
        <v>800</v>
      </c>
      <c r="F64">
        <v>0.3</v>
      </c>
      <c r="G64" s="3">
        <f t="shared" si="0"/>
        <v>240</v>
      </c>
      <c r="H64" s="3">
        <f>VLOOKUP(D64,'Bu Erta'!$C$2:$F$66,4,0)*F64</f>
        <v>270</v>
      </c>
      <c r="J64" s="69" t="s">
        <v>111</v>
      </c>
      <c r="K64">
        <v>5</v>
      </c>
      <c r="L64" s="4">
        <v>7010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4"/>
        <v>5.8500000000000005</v>
      </c>
      <c r="R64" s="52">
        <f t="shared" si="2"/>
        <v>17550</v>
      </c>
    </row>
    <row r="65" spans="1:18" x14ac:dyDescent="0.35">
      <c r="B65" t="s">
        <v>142</v>
      </c>
      <c r="D65" t="s">
        <v>41</v>
      </c>
      <c r="E65" s="3">
        <f>VLOOKUP(D65,'Bu Erta'!$C$2:$E$66,3,0)</f>
        <v>1500</v>
      </c>
      <c r="F65">
        <v>0.65</v>
      </c>
      <c r="G65" s="3">
        <f t="shared" si="0"/>
        <v>975</v>
      </c>
      <c r="H65" s="3">
        <f>VLOOKUP(D65,'Bu Erta'!$C$2:$F$66,4,0)*F65</f>
        <v>1300</v>
      </c>
      <c r="J65" s="69" t="s">
        <v>107</v>
      </c>
      <c r="K65">
        <v>5</v>
      </c>
      <c r="L65" s="4">
        <v>48435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4"/>
        <v>0.6</v>
      </c>
      <c r="R65" s="52">
        <f t="shared" si="2"/>
        <v>2400</v>
      </c>
    </row>
    <row r="66" spans="1:18" x14ac:dyDescent="0.35">
      <c r="B66" t="s">
        <v>142</v>
      </c>
      <c r="D66" t="s">
        <v>27</v>
      </c>
      <c r="E66" s="3">
        <f>VLOOKUP(D66,'Bu Erta'!$C$2:$E$66,3,0)</f>
        <v>2800</v>
      </c>
      <c r="F66">
        <v>0.85</v>
      </c>
      <c r="G66" s="3">
        <f t="shared" si="0"/>
        <v>2380</v>
      </c>
      <c r="H66" s="3">
        <f>VLOOKUP(D66,'Bu Erta'!$C$2:$F$66,4,0)*F66</f>
        <v>2635</v>
      </c>
      <c r="J66" s="69" t="s">
        <v>285</v>
      </c>
      <c r="K66">
        <v>6</v>
      </c>
      <c r="L66" s="4">
        <v>9220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4"/>
        <v>0</v>
      </c>
      <c r="R66" s="52">
        <f t="shared" si="2"/>
        <v>0</v>
      </c>
    </row>
    <row r="67" spans="1:18" x14ac:dyDescent="0.35">
      <c r="B67" t="s">
        <v>142</v>
      </c>
      <c r="D67" t="s">
        <v>31</v>
      </c>
      <c r="E67" s="3">
        <f>VLOOKUP(D67,'Bu Erta'!$C$2:$E$66,3,0)</f>
        <v>1000</v>
      </c>
      <c r="F67">
        <f>0.75+0.5</f>
        <v>1.25</v>
      </c>
      <c r="G67" s="3">
        <f t="shared" si="0"/>
        <v>1250</v>
      </c>
      <c r="H67" s="3">
        <f>VLOOKUP(D67,'Bu Erta'!$C$2:$F$66,4,0)*F67</f>
        <v>1375</v>
      </c>
      <c r="J67" s="69" t="s">
        <v>241</v>
      </c>
      <c r="K67">
        <v>7</v>
      </c>
      <c r="L67" s="4">
        <v>2550</v>
      </c>
      <c r="N67" s="44">
        <v>64</v>
      </c>
      <c r="O67" s="17" t="s">
        <v>72</v>
      </c>
      <c r="P67" s="52">
        <f>VLOOKUP(O67,'Bu Erta'!$C$2:$F$66,4,0)</f>
        <v>15000</v>
      </c>
      <c r="Q67" s="53">
        <f t="shared" si="4"/>
        <v>0</v>
      </c>
      <c r="R67" s="52">
        <f t="shared" si="2"/>
        <v>0</v>
      </c>
    </row>
    <row r="68" spans="1:18" x14ac:dyDescent="0.35">
      <c r="B68" t="s">
        <v>142</v>
      </c>
      <c r="D68" t="s">
        <v>56</v>
      </c>
      <c r="E68" s="3">
        <f>VLOOKUP(D68,'Bu Erta'!$C$2:$E$66,3,0)</f>
        <v>4000</v>
      </c>
      <c r="F68">
        <v>1.25</v>
      </c>
      <c r="G68" s="3">
        <f t="shared" ref="G68:G131" si="5">E68*F68</f>
        <v>5000</v>
      </c>
      <c r="H68" s="3">
        <f>VLOOKUP(D68,'Bu Erta'!$C$2:$F$66,4,0)*F68</f>
        <v>6875</v>
      </c>
      <c r="J68" s="69" t="s">
        <v>188</v>
      </c>
      <c r="K68">
        <v>7</v>
      </c>
      <c r="L68" s="4">
        <v>21262.5</v>
      </c>
      <c r="N68" s="17"/>
      <c r="O68" s="17"/>
      <c r="P68" s="54" t="s">
        <v>130</v>
      </c>
      <c r="Q68" s="54">
        <f>SUM(Q4:Q67)</f>
        <v>629.53</v>
      </c>
      <c r="R68" s="87">
        <f>SUM(R4:R67)</f>
        <v>855044</v>
      </c>
    </row>
    <row r="69" spans="1:18" x14ac:dyDescent="0.35">
      <c r="B69" t="s">
        <v>142</v>
      </c>
      <c r="D69" t="s">
        <v>23</v>
      </c>
      <c r="E69" s="3">
        <f>VLOOKUP(D69,'Bu Erta'!$C$2:$E$66,3,0)</f>
        <v>300</v>
      </c>
      <c r="F69">
        <v>0.45</v>
      </c>
      <c r="G69" s="3">
        <f t="shared" si="5"/>
        <v>135</v>
      </c>
      <c r="H69" s="3">
        <f>VLOOKUP(D69,'Bu Erta'!$C$2:$F$66,4,0)*F69</f>
        <v>180</v>
      </c>
      <c r="J69" s="69" t="s">
        <v>81</v>
      </c>
      <c r="K69">
        <v>221</v>
      </c>
      <c r="L69" s="4">
        <v>765996</v>
      </c>
    </row>
    <row r="70" spans="1:18" x14ac:dyDescent="0.35">
      <c r="B70" t="s">
        <v>142</v>
      </c>
      <c r="D70" t="s">
        <v>7</v>
      </c>
      <c r="E70" s="3">
        <f>VLOOKUP(D70,'Bu Erta'!$C$2:$E$66,3,0)</f>
        <v>1400</v>
      </c>
      <c r="F70">
        <v>0.35</v>
      </c>
      <c r="G70" s="3">
        <f t="shared" si="5"/>
        <v>489.99999999999994</v>
      </c>
      <c r="H70" s="3">
        <f>VLOOKUP(D70,'Bu Erta'!$C$2:$F$66,4,0)*F70</f>
        <v>560</v>
      </c>
    </row>
    <row r="71" spans="1:18" x14ac:dyDescent="0.35">
      <c r="A71" s="5">
        <v>11</v>
      </c>
      <c r="B71" t="s">
        <v>217</v>
      </c>
      <c r="C71" s="5">
        <v>1</v>
      </c>
      <c r="D71" t="s">
        <v>19</v>
      </c>
      <c r="E71" s="3">
        <f>VLOOKUP(D71,'Bu Erta'!$C$2:$E$66,3,0)</f>
        <v>200</v>
      </c>
      <c r="F71">
        <f>0.75+3.75</f>
        <v>4.5</v>
      </c>
      <c r="G71" s="3">
        <f t="shared" si="5"/>
        <v>900</v>
      </c>
      <c r="H71" s="3">
        <f>VLOOKUP(D71,'Bu Erta'!$C$2:$F$66,4,0)*F71</f>
        <v>1350</v>
      </c>
    </row>
    <row r="72" spans="1:18" x14ac:dyDescent="0.35">
      <c r="B72" t="s">
        <v>217</v>
      </c>
      <c r="D72" t="s">
        <v>31</v>
      </c>
      <c r="E72" s="3">
        <f>VLOOKUP(D72,'Bu Erta'!$C$2:$E$66,3,0)</f>
        <v>1000</v>
      </c>
      <c r="F72">
        <f>3.05+2.4</f>
        <v>5.4499999999999993</v>
      </c>
      <c r="G72" s="3">
        <f t="shared" si="5"/>
        <v>5449.9999999999991</v>
      </c>
      <c r="H72" s="3">
        <f>VLOOKUP(D72,'Bu Erta'!$C$2:$F$66,4,0)*F72</f>
        <v>5994.9999999999991</v>
      </c>
      <c r="L72" t="s">
        <v>228</v>
      </c>
    </row>
    <row r="73" spans="1:18" x14ac:dyDescent="0.35">
      <c r="B73" t="s">
        <v>217</v>
      </c>
      <c r="D73" t="s">
        <v>23</v>
      </c>
      <c r="E73" s="3">
        <f>VLOOKUP(D73,'Bu Erta'!$C$2:$E$66,3,0)</f>
        <v>300</v>
      </c>
      <c r="F73">
        <v>13.25</v>
      </c>
      <c r="G73" s="3">
        <f t="shared" si="5"/>
        <v>3975</v>
      </c>
      <c r="H73" s="3">
        <f>VLOOKUP(D73,'Bu Erta'!$C$2:$F$66,4,0)*F73</f>
        <v>5300</v>
      </c>
      <c r="L73" s="4">
        <f>R68-GETPIVOTDATA("Sum of Total Harga",$J$2)</f>
        <v>89048</v>
      </c>
    </row>
    <row r="74" spans="1:18" x14ac:dyDescent="0.35">
      <c r="B74" t="s">
        <v>217</v>
      </c>
      <c r="D74" t="s">
        <v>28</v>
      </c>
      <c r="E74" s="3">
        <f>VLOOKUP(D74,'Bu Erta'!$C$2:$E$66,3,0)</f>
        <v>1200</v>
      </c>
      <c r="F74">
        <v>66.05</v>
      </c>
      <c r="G74" s="3">
        <f t="shared" si="5"/>
        <v>79260</v>
      </c>
      <c r="H74" s="3">
        <f>VLOOKUP(D74,'Bu Erta'!$C$2:$F$66,4,0)*F74</f>
        <v>85865</v>
      </c>
    </row>
    <row r="75" spans="1:18" x14ac:dyDescent="0.35">
      <c r="B75" t="s">
        <v>217</v>
      </c>
      <c r="D75" t="s">
        <v>41</v>
      </c>
      <c r="E75" s="3">
        <f>VLOOKUP(D75,'Bu Erta'!$C$2:$E$66,3,0)</f>
        <v>1500</v>
      </c>
      <c r="F75">
        <v>1.7</v>
      </c>
      <c r="G75" s="3">
        <f t="shared" si="5"/>
        <v>2550</v>
      </c>
      <c r="H75" s="3">
        <f>VLOOKUP(D75,'Bu Erta'!$C$2:$F$66,4,0)*F75</f>
        <v>3400</v>
      </c>
    </row>
    <row r="76" spans="1:18" x14ac:dyDescent="0.35">
      <c r="B76" t="s">
        <v>217</v>
      </c>
      <c r="D76" t="s">
        <v>88</v>
      </c>
      <c r="E76" s="3">
        <f>VLOOKUP(D76,'Bu Erta'!$C$2:$E$66,3,0)</f>
        <v>300</v>
      </c>
      <c r="F76">
        <v>2.5499999999999998</v>
      </c>
      <c r="G76" s="3">
        <f t="shared" si="5"/>
        <v>765</v>
      </c>
      <c r="H76" s="3">
        <f>VLOOKUP(D76,'Bu Erta'!$C$2:$F$66,4,0)*F76</f>
        <v>1019.9999999999999</v>
      </c>
    </row>
    <row r="77" spans="1:18" x14ac:dyDescent="0.35">
      <c r="A77" s="5">
        <v>12</v>
      </c>
      <c r="B77" t="s">
        <v>197</v>
      </c>
      <c r="C77" s="5">
        <v>1</v>
      </c>
      <c r="D77" t="s">
        <v>23</v>
      </c>
      <c r="E77" s="3">
        <f>VLOOKUP(D77,'Bu Erta'!$C$2:$E$66,3,0)</f>
        <v>300</v>
      </c>
      <c r="F77">
        <v>1.65</v>
      </c>
      <c r="G77" s="3">
        <f t="shared" si="5"/>
        <v>495</v>
      </c>
      <c r="H77" s="3">
        <f>VLOOKUP(D77,'Bu Erta'!$C$2:$F$66,4,0)*F77</f>
        <v>660</v>
      </c>
    </row>
    <row r="78" spans="1:18" x14ac:dyDescent="0.35">
      <c r="B78" t="s">
        <v>197</v>
      </c>
      <c r="D78" t="s">
        <v>27</v>
      </c>
      <c r="E78" s="3">
        <f>VLOOKUP(D78,'Bu Erta'!$C$2:$E$66,3,0)</f>
        <v>2800</v>
      </c>
      <c r="F78">
        <v>1.8</v>
      </c>
      <c r="G78" s="3">
        <f t="shared" si="5"/>
        <v>5040</v>
      </c>
      <c r="H78" s="3">
        <f>VLOOKUP(D78,'Bu Erta'!$C$2:$F$66,4,0)*F78</f>
        <v>5580</v>
      </c>
    </row>
    <row r="79" spans="1:18" x14ac:dyDescent="0.35">
      <c r="B79" t="s">
        <v>197</v>
      </c>
      <c r="D79" t="s">
        <v>88</v>
      </c>
      <c r="E79" s="3">
        <f>VLOOKUP(D79,'Bu Erta'!$C$2:$E$66,3,0)</f>
        <v>300</v>
      </c>
      <c r="F79">
        <v>1.25</v>
      </c>
      <c r="G79" s="3">
        <f t="shared" si="5"/>
        <v>375</v>
      </c>
      <c r="H79" s="3">
        <f>VLOOKUP(D79,'Bu Erta'!$C$2:$F$66,4,0)*F79</f>
        <v>500</v>
      </c>
    </row>
    <row r="80" spans="1:18" x14ac:dyDescent="0.35">
      <c r="B80" t="s">
        <v>197</v>
      </c>
      <c r="D80" t="s">
        <v>7</v>
      </c>
      <c r="E80" s="3">
        <f>VLOOKUP(D80,'Bu Erta'!$C$2:$E$66,3,0)</f>
        <v>1400</v>
      </c>
      <c r="F80">
        <f>0.85+0.35</f>
        <v>1.2</v>
      </c>
      <c r="G80" s="3">
        <f t="shared" si="5"/>
        <v>1680</v>
      </c>
      <c r="H80" s="3">
        <f>VLOOKUP(D80,'Bu Erta'!$C$2:$F$66,4,0)*F80</f>
        <v>1920</v>
      </c>
    </row>
    <row r="81" spans="1:8" x14ac:dyDescent="0.35">
      <c r="B81" t="s">
        <v>197</v>
      </c>
      <c r="D81" t="s">
        <v>34</v>
      </c>
      <c r="E81" s="3">
        <f>VLOOKUP(D81,'Bu Erta'!$C$2:$E$66,3,0)</f>
        <v>3500</v>
      </c>
      <c r="F81">
        <f>0.85+0.55</f>
        <v>1.4</v>
      </c>
      <c r="G81" s="3">
        <f t="shared" si="5"/>
        <v>4900</v>
      </c>
      <c r="H81" s="3">
        <f>VLOOKUP(D81,'Bu Erta'!$C$2:$F$66,4,0)*F81</f>
        <v>5040</v>
      </c>
    </row>
    <row r="82" spans="1:8" x14ac:dyDescent="0.35">
      <c r="B82" t="s">
        <v>197</v>
      </c>
      <c r="D82" t="s">
        <v>19</v>
      </c>
      <c r="E82" s="3">
        <f>VLOOKUP(D82,'Bu Erta'!$C$2:$E$66,3,0)</f>
        <v>200</v>
      </c>
      <c r="F82">
        <f>1+1.25</f>
        <v>2.25</v>
      </c>
      <c r="G82" s="3">
        <f t="shared" si="5"/>
        <v>450</v>
      </c>
      <c r="H82" s="3">
        <f>VLOOKUP(D82,'Bu Erta'!$C$2:$F$66,4,0)*F82</f>
        <v>675</v>
      </c>
    </row>
    <row r="83" spans="1:8" x14ac:dyDescent="0.35">
      <c r="A83" s="5">
        <v>13</v>
      </c>
      <c r="B83" t="s">
        <v>112</v>
      </c>
      <c r="C83" s="1">
        <v>4</v>
      </c>
      <c r="D83" t="s">
        <v>25</v>
      </c>
      <c r="E83" s="3">
        <f>VLOOKUP(D83,'Bu Erta'!$C$2:$E$66,3,0)</f>
        <v>1600</v>
      </c>
      <c r="F83">
        <f>0.65+1.3</f>
        <v>1.9500000000000002</v>
      </c>
      <c r="G83" s="3">
        <f t="shared" si="5"/>
        <v>3120.0000000000005</v>
      </c>
      <c r="H83" s="3">
        <f>VLOOKUP(D83,'Bu Erta'!$C$2:$F$66,4,0)*F83</f>
        <v>3315.0000000000005</v>
      </c>
    </row>
    <row r="84" spans="1:8" x14ac:dyDescent="0.35">
      <c r="B84" t="s">
        <v>112</v>
      </c>
      <c r="D84" t="s">
        <v>31</v>
      </c>
      <c r="E84" s="3">
        <f>VLOOKUP(D84,'Bu Erta'!$C$2:$E$66,3,0)</f>
        <v>1000</v>
      </c>
      <c r="F84">
        <f>0.25+0.4+0.95</f>
        <v>1.6</v>
      </c>
      <c r="G84" s="3">
        <f t="shared" si="5"/>
        <v>1600</v>
      </c>
      <c r="H84" s="3">
        <f>VLOOKUP(D84,'Bu Erta'!$C$2:$F$66,4,0)*F84</f>
        <v>1760</v>
      </c>
    </row>
    <row r="85" spans="1:8" x14ac:dyDescent="0.35">
      <c r="B85" t="s">
        <v>112</v>
      </c>
      <c r="D85" t="s">
        <v>42</v>
      </c>
      <c r="E85" s="3">
        <f>VLOOKUP(D85,'Bu Erta'!$C$2:$E$66,3,0)</f>
        <v>1000</v>
      </c>
      <c r="F85">
        <f>5.5+0.6</f>
        <v>6.1</v>
      </c>
      <c r="G85" s="3">
        <f t="shared" si="5"/>
        <v>6100</v>
      </c>
      <c r="H85" s="3">
        <f>VLOOKUP(D85,'Bu Erta'!$C$2:$F$66,4,0)*F85</f>
        <v>7320</v>
      </c>
    </row>
    <row r="86" spans="1:8" x14ac:dyDescent="0.35">
      <c r="B86" t="s">
        <v>112</v>
      </c>
      <c r="D86" t="s">
        <v>37</v>
      </c>
      <c r="E86" s="3">
        <f>VLOOKUP(D86,'Bu Erta'!$C$2:$E$66,3,0)</f>
        <v>1600</v>
      </c>
      <c r="F86">
        <v>0.65</v>
      </c>
      <c r="G86" s="3">
        <f t="shared" si="5"/>
        <v>1040</v>
      </c>
      <c r="H86" s="3">
        <f>VLOOKUP(D86,'Bu Erta'!$C$2:$F$66,4,0)*F86</f>
        <v>1300</v>
      </c>
    </row>
    <row r="87" spans="1:8" x14ac:dyDescent="0.35">
      <c r="B87" t="s">
        <v>112</v>
      </c>
      <c r="D87" t="s">
        <v>23</v>
      </c>
      <c r="E87" s="3">
        <f>VLOOKUP(D87,'Bu Erta'!$C$2:$E$66,3,0)</f>
        <v>300</v>
      </c>
      <c r="F87">
        <v>0.4</v>
      </c>
      <c r="G87" s="3">
        <f t="shared" si="5"/>
        <v>120</v>
      </c>
      <c r="H87" s="3">
        <f>VLOOKUP(D87,'Bu Erta'!$C$2:$F$66,4,0)*F87</f>
        <v>160</v>
      </c>
    </row>
    <row r="88" spans="1:8" x14ac:dyDescent="0.35">
      <c r="B88" t="s">
        <v>112</v>
      </c>
      <c r="D88" t="s">
        <v>19</v>
      </c>
      <c r="E88" s="3">
        <f>VLOOKUP(D88,'Bu Erta'!$C$2:$E$66,3,0)</f>
        <v>200</v>
      </c>
      <c r="F88">
        <v>0.4</v>
      </c>
      <c r="G88" s="3">
        <f t="shared" si="5"/>
        <v>80</v>
      </c>
      <c r="H88" s="3">
        <f>VLOOKUP(D88,'Bu Erta'!$C$2:$F$66,4,0)*F88</f>
        <v>120</v>
      </c>
    </row>
    <row r="89" spans="1:8" x14ac:dyDescent="0.35">
      <c r="B89" t="s">
        <v>112</v>
      </c>
      <c r="D89" t="s">
        <v>65</v>
      </c>
      <c r="E89" s="3">
        <f>VLOOKUP(D89,'Bu Erta'!$C$2:$E$66,3,0)</f>
        <v>150</v>
      </c>
      <c r="F89">
        <v>0.15</v>
      </c>
      <c r="G89" s="3">
        <f t="shared" si="5"/>
        <v>22.5</v>
      </c>
      <c r="H89" s="3">
        <f>VLOOKUP(D89,'Bu Erta'!$C$2:$F$66,4,0)*F89</f>
        <v>30</v>
      </c>
    </row>
    <row r="90" spans="1:8" x14ac:dyDescent="0.35">
      <c r="B90" t="s">
        <v>112</v>
      </c>
      <c r="D90" t="s">
        <v>88</v>
      </c>
      <c r="E90" s="3">
        <f>VLOOKUP(D90,'Bu Erta'!$C$2:$E$66,3,0)</f>
        <v>300</v>
      </c>
      <c r="F90">
        <v>0.35</v>
      </c>
      <c r="G90" s="3">
        <f t="shared" si="5"/>
        <v>105</v>
      </c>
      <c r="H90" s="3">
        <f>VLOOKUP(D90,'Bu Erta'!$C$2:$F$66,4,0)*F90</f>
        <v>140</v>
      </c>
    </row>
    <row r="91" spans="1:8" x14ac:dyDescent="0.35">
      <c r="B91" t="s">
        <v>112</v>
      </c>
      <c r="D91" t="s">
        <v>17</v>
      </c>
      <c r="E91" s="3">
        <f>VLOOKUP(D91,'Bu Erta'!$C$2:$E$66,3,0)</f>
        <v>8000</v>
      </c>
      <c r="F91">
        <v>0.1</v>
      </c>
      <c r="G91" s="3">
        <f t="shared" si="5"/>
        <v>800</v>
      </c>
      <c r="H91" s="3">
        <f>VLOOKUP(D91,'Bu Erta'!$C$2:$F$66,4,0)*F91</f>
        <v>850</v>
      </c>
    </row>
    <row r="92" spans="1:8" x14ac:dyDescent="0.35">
      <c r="B92" t="s">
        <v>112</v>
      </c>
      <c r="D92" t="s">
        <v>69</v>
      </c>
      <c r="E92" s="3">
        <f>VLOOKUP(D92,'Bu Erta'!$C$2:$E$66,3,0)</f>
        <v>2500</v>
      </c>
      <c r="F92">
        <v>0.8</v>
      </c>
      <c r="G92" s="3">
        <f t="shared" si="5"/>
        <v>2000</v>
      </c>
      <c r="H92" s="3">
        <f>VLOOKUP(D92,'Bu Erta'!$C$2:$F$66,4,0)*F92</f>
        <v>2400</v>
      </c>
    </row>
    <row r="93" spans="1:8" x14ac:dyDescent="0.35">
      <c r="B93" t="s">
        <v>112</v>
      </c>
      <c r="D93" t="s">
        <v>7</v>
      </c>
      <c r="E93" s="3">
        <f>VLOOKUP(D93,'Bu Erta'!$C$2:$E$66,3,0)</f>
        <v>1400</v>
      </c>
      <c r="F93">
        <v>0.15</v>
      </c>
      <c r="G93" s="3">
        <f t="shared" si="5"/>
        <v>210</v>
      </c>
      <c r="H93" s="3">
        <f>VLOOKUP(D93,'Bu Erta'!$C$2:$F$66,4,0)*F93</f>
        <v>240</v>
      </c>
    </row>
    <row r="94" spans="1:8" x14ac:dyDescent="0.35">
      <c r="B94" t="s">
        <v>112</v>
      </c>
      <c r="D94" t="s">
        <v>41</v>
      </c>
      <c r="E94" s="3">
        <f>VLOOKUP(D94,'Bu Erta'!$C$2:$E$66,3,0)</f>
        <v>1500</v>
      </c>
      <c r="F94">
        <v>0.1</v>
      </c>
      <c r="G94" s="3">
        <f t="shared" si="5"/>
        <v>150</v>
      </c>
      <c r="H94" s="3">
        <f>VLOOKUP(D94,'Bu Erta'!$C$2:$F$66,4,0)*F94</f>
        <v>200</v>
      </c>
    </row>
    <row r="95" spans="1:8" x14ac:dyDescent="0.35">
      <c r="A95" s="5">
        <v>14</v>
      </c>
      <c r="B95" t="s">
        <v>147</v>
      </c>
      <c r="C95" s="1">
        <v>3</v>
      </c>
      <c r="D95" t="s">
        <v>42</v>
      </c>
      <c r="E95" s="3">
        <f>VLOOKUP(D95,'Bu Erta'!$C$2:$E$66,3,0)</f>
        <v>1000</v>
      </c>
      <c r="F95">
        <v>0.8</v>
      </c>
      <c r="G95" s="3">
        <f t="shared" si="5"/>
        <v>800</v>
      </c>
      <c r="H95" s="3">
        <f>VLOOKUP(D95,'Bu Erta'!$C$2:$F$66,4,0)*F95</f>
        <v>960</v>
      </c>
    </row>
    <row r="96" spans="1:8" x14ac:dyDescent="0.35">
      <c r="B96" t="s">
        <v>147</v>
      </c>
      <c r="D96" t="s">
        <v>23</v>
      </c>
      <c r="E96" s="3">
        <f>VLOOKUP(D96,'Bu Erta'!$C$2:$E$66,3,0)</f>
        <v>300</v>
      </c>
      <c r="F96">
        <v>0.6</v>
      </c>
      <c r="G96" s="3">
        <f t="shared" si="5"/>
        <v>180</v>
      </c>
      <c r="H96" s="3">
        <f>VLOOKUP(D96,'Bu Erta'!$C$2:$F$66,4,0)*F96</f>
        <v>240</v>
      </c>
    </row>
    <row r="97" spans="1:8" x14ac:dyDescent="0.35">
      <c r="B97" t="s">
        <v>147</v>
      </c>
      <c r="D97" t="s">
        <v>19</v>
      </c>
      <c r="E97" s="3">
        <f>VLOOKUP(D97,'Bu Erta'!$C$2:$E$66,3,0)</f>
        <v>200</v>
      </c>
      <c r="F97">
        <f>0.3+0.25+0.15</f>
        <v>0.70000000000000007</v>
      </c>
      <c r="G97" s="3">
        <f t="shared" si="5"/>
        <v>140</v>
      </c>
      <c r="H97" s="3">
        <f>VLOOKUP(D97,'Bu Erta'!$C$2:$F$66,4,0)*F97</f>
        <v>210.00000000000003</v>
      </c>
    </row>
    <row r="98" spans="1:8" x14ac:dyDescent="0.35">
      <c r="B98" t="s">
        <v>147</v>
      </c>
      <c r="D98" t="s">
        <v>88</v>
      </c>
      <c r="E98" s="3">
        <f>VLOOKUP(D98,'Bu Erta'!$C$2:$E$66,3,0)</f>
        <v>300</v>
      </c>
      <c r="F98">
        <v>1</v>
      </c>
      <c r="G98" s="3">
        <f t="shared" si="5"/>
        <v>300</v>
      </c>
      <c r="H98" s="3">
        <f>VLOOKUP(D98,'Bu Erta'!$C$2:$F$66,4,0)*F98</f>
        <v>400</v>
      </c>
    </row>
    <row r="99" spans="1:8" x14ac:dyDescent="0.35">
      <c r="B99" t="s">
        <v>147</v>
      </c>
      <c r="D99" t="s">
        <v>44</v>
      </c>
      <c r="E99" s="3">
        <f>VLOOKUP(D99,'Bu Erta'!$C$2:$E$66,3,0)</f>
        <v>400</v>
      </c>
      <c r="F99">
        <v>0.45</v>
      </c>
      <c r="G99" s="3">
        <f t="shared" si="5"/>
        <v>180</v>
      </c>
      <c r="H99" s="3">
        <f>VLOOKUP(D99,'Bu Erta'!$C$2:$F$66,4,0)*F99</f>
        <v>225</v>
      </c>
    </row>
    <row r="100" spans="1:8" x14ac:dyDescent="0.35">
      <c r="B100" t="s">
        <v>147</v>
      </c>
      <c r="D100" t="s">
        <v>31</v>
      </c>
      <c r="E100" s="3">
        <f>VLOOKUP(D100,'Bu Erta'!$C$2:$E$66,3,0)</f>
        <v>1000</v>
      </c>
      <c r="F100">
        <v>0.2</v>
      </c>
      <c r="G100" s="3">
        <f t="shared" si="5"/>
        <v>200</v>
      </c>
      <c r="H100" s="3">
        <f>VLOOKUP(D100,'Bu Erta'!$C$2:$F$66,4,0)*F100</f>
        <v>220</v>
      </c>
    </row>
    <row r="101" spans="1:8" x14ac:dyDescent="0.35">
      <c r="B101" t="s">
        <v>147</v>
      </c>
      <c r="D101" t="s">
        <v>6</v>
      </c>
      <c r="E101" s="3">
        <f>VLOOKUP(D101,'Bu Erta'!$C$2:$E$66,3,0)</f>
        <v>2000</v>
      </c>
      <c r="F101">
        <v>0.2</v>
      </c>
      <c r="G101" s="3">
        <f t="shared" si="5"/>
        <v>400</v>
      </c>
      <c r="H101" s="3">
        <f>VLOOKUP(D101,'Bu Erta'!$C$2:$F$66,4,0)*F101</f>
        <v>500</v>
      </c>
    </row>
    <row r="102" spans="1:8" x14ac:dyDescent="0.35">
      <c r="B102" t="s">
        <v>147</v>
      </c>
      <c r="D102" t="s">
        <v>27</v>
      </c>
      <c r="E102" s="3">
        <f>VLOOKUP(D102,'Bu Erta'!$C$2:$E$66,3,0)</f>
        <v>2800</v>
      </c>
      <c r="F102">
        <v>0.5</v>
      </c>
      <c r="G102" s="3">
        <f t="shared" si="5"/>
        <v>1400</v>
      </c>
      <c r="H102" s="3">
        <f>VLOOKUP(D102,'Bu Erta'!$C$2:$F$66,4,0)*F102</f>
        <v>1550</v>
      </c>
    </row>
    <row r="103" spans="1:8" x14ac:dyDescent="0.35">
      <c r="B103" t="s">
        <v>147</v>
      </c>
      <c r="D103" t="s">
        <v>34</v>
      </c>
      <c r="E103" s="3">
        <f>VLOOKUP(D103,'Bu Erta'!$C$2:$E$66,3,0)</f>
        <v>3500</v>
      </c>
      <c r="F103">
        <v>1.9</v>
      </c>
      <c r="G103" s="3">
        <f t="shared" si="5"/>
        <v>6650</v>
      </c>
      <c r="H103" s="3">
        <f>VLOOKUP(D103,'Bu Erta'!$C$2:$F$66,4,0)*F103</f>
        <v>6840</v>
      </c>
    </row>
    <row r="104" spans="1:8" x14ac:dyDescent="0.35">
      <c r="A104" s="5">
        <v>15</v>
      </c>
      <c r="B104" t="s">
        <v>181</v>
      </c>
      <c r="C104" s="1">
        <v>2</v>
      </c>
      <c r="D104" t="s">
        <v>27</v>
      </c>
      <c r="E104" s="3">
        <f>VLOOKUP(D104,'Bu Erta'!$C$2:$E$66,3,0)</f>
        <v>2800</v>
      </c>
      <c r="F104">
        <v>1.1499999999999999</v>
      </c>
      <c r="G104" s="3">
        <f t="shared" si="5"/>
        <v>3219.9999999999995</v>
      </c>
      <c r="H104" s="3">
        <f>VLOOKUP(D104,'Bu Erta'!$C$2:$F$66,4,0)*F104</f>
        <v>3564.9999999999995</v>
      </c>
    </row>
    <row r="105" spans="1:8" x14ac:dyDescent="0.35">
      <c r="B105" t="s">
        <v>181</v>
      </c>
      <c r="D105" t="s">
        <v>19</v>
      </c>
      <c r="E105" s="3">
        <f>VLOOKUP(D105,'Bu Erta'!$C$2:$E$66,3,0)</f>
        <v>200</v>
      </c>
      <c r="F105">
        <v>0.35</v>
      </c>
      <c r="G105" s="3">
        <f t="shared" si="5"/>
        <v>70</v>
      </c>
      <c r="H105" s="3">
        <f>VLOOKUP(D105,'Bu Erta'!$C$2:$F$66,4,0)*F105</f>
        <v>105</v>
      </c>
    </row>
    <row r="106" spans="1:8" x14ac:dyDescent="0.35">
      <c r="B106" t="s">
        <v>181</v>
      </c>
      <c r="D106" t="s">
        <v>23</v>
      </c>
      <c r="E106" s="3">
        <f>VLOOKUP(D106,'Bu Erta'!$C$2:$E$66,3,0)</f>
        <v>300</v>
      </c>
      <c r="F106">
        <v>0.8</v>
      </c>
      <c r="G106" s="3">
        <f t="shared" si="5"/>
        <v>240</v>
      </c>
      <c r="H106" s="3">
        <f>VLOOKUP(D106,'Bu Erta'!$C$2:$F$66,4,0)*F106</f>
        <v>320</v>
      </c>
    </row>
    <row r="107" spans="1:8" x14ac:dyDescent="0.35">
      <c r="B107" t="s">
        <v>181</v>
      </c>
      <c r="D107" t="s">
        <v>42</v>
      </c>
      <c r="E107" s="3">
        <f>VLOOKUP(D107,'Bu Erta'!$C$2:$E$66,3,0)</f>
        <v>1000</v>
      </c>
      <c r="F107">
        <v>0.15</v>
      </c>
      <c r="G107" s="3">
        <f t="shared" si="5"/>
        <v>150</v>
      </c>
      <c r="H107" s="3">
        <f>VLOOKUP(D107,'Bu Erta'!$C$2:$F$66,4,0)*F107</f>
        <v>180</v>
      </c>
    </row>
    <row r="108" spans="1:8" x14ac:dyDescent="0.35">
      <c r="B108" t="s">
        <v>181</v>
      </c>
      <c r="D108" t="s">
        <v>31</v>
      </c>
      <c r="E108" s="3">
        <f>VLOOKUP(D108,'Bu Erta'!$C$2:$E$66,3,0)</f>
        <v>1000</v>
      </c>
      <c r="F108">
        <f>0.35+0.5</f>
        <v>0.85</v>
      </c>
      <c r="G108" s="3">
        <f t="shared" si="5"/>
        <v>850</v>
      </c>
      <c r="H108" s="3">
        <f>VLOOKUP(D108,'Bu Erta'!$C$2:$F$66,4,0)*F108</f>
        <v>935</v>
      </c>
    </row>
    <row r="109" spans="1:8" x14ac:dyDescent="0.35">
      <c r="B109" t="s">
        <v>181</v>
      </c>
      <c r="D109" t="s">
        <v>69</v>
      </c>
      <c r="E109" s="3">
        <f>VLOOKUP(D109,'Bu Erta'!$C$2:$E$66,3,0)</f>
        <v>2500</v>
      </c>
      <c r="F109">
        <v>0.25</v>
      </c>
      <c r="G109" s="3">
        <f t="shared" si="5"/>
        <v>625</v>
      </c>
      <c r="H109" s="3">
        <f>VLOOKUP(D109,'Bu Erta'!$C$2:$F$66,4,0)*F109</f>
        <v>750</v>
      </c>
    </row>
    <row r="110" spans="1:8" x14ac:dyDescent="0.35">
      <c r="A110" s="5">
        <v>16</v>
      </c>
      <c r="B110" t="s">
        <v>83</v>
      </c>
      <c r="C110" s="5">
        <v>1</v>
      </c>
      <c r="D110" t="s">
        <v>27</v>
      </c>
      <c r="E110" s="3">
        <f>VLOOKUP(D110,'Bu Erta'!$C$2:$E$66,3,0)</f>
        <v>2800</v>
      </c>
      <c r="F110">
        <v>1</v>
      </c>
      <c r="G110" s="3">
        <f t="shared" si="5"/>
        <v>2800</v>
      </c>
      <c r="H110" s="3">
        <f>VLOOKUP(D110,'Bu Erta'!$C$2:$F$66,4,0)*F110</f>
        <v>3100</v>
      </c>
    </row>
    <row r="111" spans="1:8" x14ac:dyDescent="0.35">
      <c r="B111" t="s">
        <v>83</v>
      </c>
      <c r="D111" t="s">
        <v>34</v>
      </c>
      <c r="E111" s="3">
        <f>VLOOKUP(D111,'Bu Erta'!$C$2:$E$66,3,0)</f>
        <v>3500</v>
      </c>
      <c r="F111">
        <v>0.2</v>
      </c>
      <c r="G111" s="3">
        <f t="shared" si="5"/>
        <v>700</v>
      </c>
      <c r="H111" s="3">
        <f>VLOOKUP(D111,'Bu Erta'!$C$2:$F$66,4,0)*F111</f>
        <v>720</v>
      </c>
    </row>
    <row r="112" spans="1:8" x14ac:dyDescent="0.35">
      <c r="B112" t="s">
        <v>83</v>
      </c>
      <c r="D112" t="s">
        <v>42</v>
      </c>
      <c r="E112" s="3">
        <f>VLOOKUP(D112,'Bu Erta'!$C$2:$E$66,3,0)</f>
        <v>1000</v>
      </c>
      <c r="F112">
        <v>4</v>
      </c>
      <c r="G112" s="3">
        <f t="shared" si="5"/>
        <v>4000</v>
      </c>
      <c r="H112" s="3">
        <f>VLOOKUP(D112,'Bu Erta'!$C$2:$F$66,4,0)*F112</f>
        <v>4800</v>
      </c>
    </row>
    <row r="113" spans="1:8" x14ac:dyDescent="0.35">
      <c r="B113" t="s">
        <v>83</v>
      </c>
      <c r="D113" t="s">
        <v>88</v>
      </c>
      <c r="E113" s="3">
        <f>VLOOKUP(D113,'Bu Erta'!$C$2:$E$66,3,0)</f>
        <v>300</v>
      </c>
      <c r="F113">
        <v>0.35</v>
      </c>
      <c r="G113" s="3">
        <f t="shared" si="5"/>
        <v>105</v>
      </c>
      <c r="H113" s="3">
        <f>VLOOKUP(D113,'Bu Erta'!$C$2:$F$66,4,0)*F113</f>
        <v>140</v>
      </c>
    </row>
    <row r="114" spans="1:8" x14ac:dyDescent="0.35">
      <c r="B114" t="s">
        <v>83</v>
      </c>
      <c r="D114" t="s">
        <v>19</v>
      </c>
      <c r="E114" s="3">
        <f>VLOOKUP(D114,'Bu Erta'!$C$2:$E$66,3,0)</f>
        <v>200</v>
      </c>
      <c r="F114">
        <v>1.1000000000000001</v>
      </c>
      <c r="G114" s="3">
        <f t="shared" si="5"/>
        <v>220.00000000000003</v>
      </c>
      <c r="H114" s="3">
        <f>VLOOKUP(D114,'Bu Erta'!$C$2:$F$66,4,0)*F114</f>
        <v>330</v>
      </c>
    </row>
    <row r="115" spans="1:8" x14ac:dyDescent="0.35">
      <c r="B115" t="s">
        <v>83</v>
      </c>
      <c r="D115" t="s">
        <v>23</v>
      </c>
      <c r="E115" s="3">
        <f>VLOOKUP(D115,'Bu Erta'!$C$2:$E$66,3,0)</f>
        <v>300</v>
      </c>
      <c r="F115">
        <v>1.2</v>
      </c>
      <c r="G115" s="3">
        <f t="shared" si="5"/>
        <v>360</v>
      </c>
      <c r="H115" s="3">
        <f>VLOOKUP(D115,'Bu Erta'!$C$2:$F$66,4,0)*F115</f>
        <v>480</v>
      </c>
    </row>
    <row r="116" spans="1:8" x14ac:dyDescent="0.35">
      <c r="B116" t="s">
        <v>83</v>
      </c>
      <c r="D116" t="s">
        <v>31</v>
      </c>
      <c r="E116" s="3">
        <f>VLOOKUP(D116,'Bu Erta'!$C$2:$E$66,3,0)</f>
        <v>1000</v>
      </c>
      <c r="F116">
        <v>1.6</v>
      </c>
      <c r="G116" s="3">
        <f t="shared" si="5"/>
        <v>1600</v>
      </c>
      <c r="H116" s="3">
        <f>VLOOKUP(D116,'Bu Erta'!$C$2:$F$66,4,0)*F116</f>
        <v>1760</v>
      </c>
    </row>
    <row r="117" spans="1:8" x14ac:dyDescent="0.35">
      <c r="B117" t="s">
        <v>83</v>
      </c>
      <c r="D117" t="s">
        <v>61</v>
      </c>
      <c r="E117" s="3">
        <f>VLOOKUP(D117,'Bu Erta'!$C$2:$E$66,3,0)</f>
        <v>800</v>
      </c>
      <c r="F117">
        <v>0.15</v>
      </c>
      <c r="G117" s="3">
        <f t="shared" si="5"/>
        <v>120</v>
      </c>
      <c r="H117" s="3">
        <f>VLOOKUP(D117,'Bu Erta'!$C$2:$F$66,4,0)*F117</f>
        <v>135</v>
      </c>
    </row>
    <row r="118" spans="1:8" x14ac:dyDescent="0.35">
      <c r="B118" t="s">
        <v>83</v>
      </c>
      <c r="D118" t="s">
        <v>44</v>
      </c>
      <c r="E118" s="3">
        <f>VLOOKUP(D118,'Bu Erta'!$C$2:$E$66,3,0)</f>
        <v>400</v>
      </c>
      <c r="F118">
        <v>0.15</v>
      </c>
      <c r="G118" s="3">
        <f t="shared" si="5"/>
        <v>60</v>
      </c>
      <c r="H118" s="3">
        <f>VLOOKUP(D118,'Bu Erta'!$C$2:$F$66,4,0)*F118</f>
        <v>75</v>
      </c>
    </row>
    <row r="119" spans="1:8" x14ac:dyDescent="0.35">
      <c r="A119" s="5">
        <v>17</v>
      </c>
      <c r="B119" t="s">
        <v>78</v>
      </c>
      <c r="C119" s="1">
        <v>2</v>
      </c>
      <c r="D119" t="s">
        <v>27</v>
      </c>
      <c r="E119" s="3">
        <f>VLOOKUP(D119,'Bu Erta'!$C$2:$E$66,3,0)</f>
        <v>2800</v>
      </c>
      <c r="F119">
        <v>0.8</v>
      </c>
      <c r="G119" s="3">
        <f t="shared" si="5"/>
        <v>2240</v>
      </c>
      <c r="H119" s="3">
        <f>VLOOKUP(D119,'Bu Erta'!$C$2:$F$66,4,0)*F119</f>
        <v>2480</v>
      </c>
    </row>
    <row r="120" spans="1:8" x14ac:dyDescent="0.35">
      <c r="B120" t="s">
        <v>78</v>
      </c>
      <c r="D120" t="s">
        <v>69</v>
      </c>
      <c r="E120" s="3">
        <f>VLOOKUP(D120,'Bu Erta'!$C$2:$E$66,3,0)</f>
        <v>2500</v>
      </c>
      <c r="F120">
        <v>0.35</v>
      </c>
      <c r="G120" s="3">
        <f t="shared" si="5"/>
        <v>875</v>
      </c>
      <c r="H120" s="3">
        <f>VLOOKUP(D120,'Bu Erta'!$C$2:$F$66,4,0)*F120</f>
        <v>1050</v>
      </c>
    </row>
    <row r="121" spans="1:8" x14ac:dyDescent="0.35">
      <c r="B121" t="s">
        <v>78</v>
      </c>
      <c r="D121" t="s">
        <v>17</v>
      </c>
      <c r="E121" s="3">
        <f>VLOOKUP(D121,'Bu Erta'!$C$2:$E$66,3,0)</f>
        <v>8000</v>
      </c>
      <c r="F121">
        <v>0.05</v>
      </c>
      <c r="G121" s="3">
        <f t="shared" si="5"/>
        <v>400</v>
      </c>
      <c r="H121" s="3">
        <f>VLOOKUP(D121,'Bu Erta'!$C$2:$F$66,4,0)*F121</f>
        <v>425</v>
      </c>
    </row>
    <row r="122" spans="1:8" x14ac:dyDescent="0.35">
      <c r="B122" t="s">
        <v>78</v>
      </c>
      <c r="D122" t="s">
        <v>88</v>
      </c>
      <c r="E122" s="3">
        <f>VLOOKUP(D122,'Bu Erta'!$C$2:$E$66,3,0)</f>
        <v>300</v>
      </c>
      <c r="F122">
        <v>0.15</v>
      </c>
      <c r="G122" s="3">
        <f t="shared" si="5"/>
        <v>45</v>
      </c>
      <c r="H122" s="3">
        <f>VLOOKUP(D122,'Bu Erta'!$C$2:$F$66,4,0)*F122</f>
        <v>60</v>
      </c>
    </row>
    <row r="123" spans="1:8" x14ac:dyDescent="0.35">
      <c r="B123" t="s">
        <v>78</v>
      </c>
      <c r="D123" t="s">
        <v>19</v>
      </c>
      <c r="E123" s="3">
        <f>VLOOKUP(D123,'Bu Erta'!$C$2:$E$66,3,0)</f>
        <v>200</v>
      </c>
      <c r="F123">
        <v>0.13</v>
      </c>
      <c r="G123" s="3">
        <f t="shared" si="5"/>
        <v>26</v>
      </c>
      <c r="H123" s="3">
        <f>VLOOKUP(D123,'Bu Erta'!$C$2:$F$66,4,0)*F123</f>
        <v>39</v>
      </c>
    </row>
    <row r="124" spans="1:8" x14ac:dyDescent="0.35">
      <c r="B124" t="s">
        <v>78</v>
      </c>
      <c r="D124" t="s">
        <v>23</v>
      </c>
      <c r="E124" s="3">
        <f>VLOOKUP(D124,'Bu Erta'!$C$2:$E$66,3,0)</f>
        <v>300</v>
      </c>
      <c r="F124">
        <v>0.65</v>
      </c>
      <c r="G124" s="3">
        <f t="shared" si="5"/>
        <v>195</v>
      </c>
      <c r="H124" s="3">
        <f>VLOOKUP(D124,'Bu Erta'!$C$2:$F$66,4,0)*F124</f>
        <v>260</v>
      </c>
    </row>
    <row r="125" spans="1:8" x14ac:dyDescent="0.35">
      <c r="B125" t="s">
        <v>78</v>
      </c>
      <c r="D125" t="s">
        <v>42</v>
      </c>
      <c r="E125" s="3">
        <f>VLOOKUP(D125,'Bu Erta'!$C$2:$E$66,3,0)</f>
        <v>1000</v>
      </c>
      <c r="F125">
        <v>0.6</v>
      </c>
      <c r="G125" s="3">
        <f t="shared" si="5"/>
        <v>600</v>
      </c>
      <c r="H125" s="3">
        <f>VLOOKUP(D125,'Bu Erta'!$C$2:$F$66,4,0)*F125</f>
        <v>720</v>
      </c>
    </row>
    <row r="126" spans="1:8" x14ac:dyDescent="0.35">
      <c r="B126" t="s">
        <v>78</v>
      </c>
      <c r="D126" t="s">
        <v>65</v>
      </c>
      <c r="E126" s="3">
        <f>VLOOKUP(D126,'Bu Erta'!$C$2:$E$66,3,0)</f>
        <v>150</v>
      </c>
      <c r="F126">
        <v>0.05</v>
      </c>
      <c r="G126" s="3">
        <f t="shared" si="5"/>
        <v>7.5</v>
      </c>
      <c r="H126" s="3">
        <f>VLOOKUP(D126,'Bu Erta'!$C$2:$F$66,4,0)*F126</f>
        <v>10</v>
      </c>
    </row>
    <row r="127" spans="1:8" x14ac:dyDescent="0.35">
      <c r="B127" t="s">
        <v>78</v>
      </c>
      <c r="D127" t="s">
        <v>56</v>
      </c>
      <c r="E127" s="3">
        <f>VLOOKUP(D127,'Bu Erta'!$C$2:$E$66,3,0)</f>
        <v>4000</v>
      </c>
      <c r="F127">
        <v>0.25</v>
      </c>
      <c r="G127" s="3">
        <f t="shared" si="5"/>
        <v>1000</v>
      </c>
      <c r="H127" s="3">
        <f>VLOOKUP(D127,'Bu Erta'!$C$2:$F$66,4,0)*F127</f>
        <v>1375</v>
      </c>
    </row>
    <row r="128" spans="1:8" x14ac:dyDescent="0.35">
      <c r="A128" s="5">
        <v>18</v>
      </c>
      <c r="B128" t="s">
        <v>90</v>
      </c>
      <c r="C128" s="1">
        <v>3</v>
      </c>
      <c r="D128" t="s">
        <v>56</v>
      </c>
      <c r="E128" s="3">
        <f>VLOOKUP(D128,'Bu Erta'!$C$2:$E$66,3,0)</f>
        <v>4000</v>
      </c>
      <c r="F128">
        <v>0.9</v>
      </c>
      <c r="G128" s="3">
        <f t="shared" si="5"/>
        <v>3600</v>
      </c>
      <c r="H128" s="3">
        <f>VLOOKUP(D128,'Bu Erta'!$C$2:$F$66,4,0)*F128</f>
        <v>4950</v>
      </c>
    </row>
    <row r="129" spans="1:8" x14ac:dyDescent="0.35">
      <c r="B129" t="s">
        <v>90</v>
      </c>
      <c r="D129" t="s">
        <v>24</v>
      </c>
      <c r="E129" s="3">
        <f>VLOOKUP(D129,'Bu Erta'!$C$2:$E$66,3,0)</f>
        <v>150</v>
      </c>
      <c r="F129">
        <v>1.2</v>
      </c>
      <c r="G129" s="3">
        <f t="shared" si="5"/>
        <v>180</v>
      </c>
      <c r="H129" s="3">
        <f>VLOOKUP(D129,'Bu Erta'!$C$2:$F$66,4,0)*F129</f>
        <v>240</v>
      </c>
    </row>
    <row r="130" spans="1:8" x14ac:dyDescent="0.35">
      <c r="B130" t="s">
        <v>90</v>
      </c>
      <c r="D130" t="s">
        <v>42</v>
      </c>
      <c r="E130" s="3">
        <f>VLOOKUP(D130,'Bu Erta'!$C$2:$E$66,3,0)</f>
        <v>1000</v>
      </c>
      <c r="F130">
        <v>2.2999999999999998</v>
      </c>
      <c r="G130" s="3">
        <f t="shared" si="5"/>
        <v>2300</v>
      </c>
      <c r="H130" s="3">
        <f>VLOOKUP(D130,'Bu Erta'!$C$2:$F$66,4,0)*F130</f>
        <v>2760</v>
      </c>
    </row>
    <row r="131" spans="1:8" x14ac:dyDescent="0.35">
      <c r="B131" t="s">
        <v>90</v>
      </c>
      <c r="D131" t="s">
        <v>7</v>
      </c>
      <c r="E131" s="3">
        <f>VLOOKUP(D131,'Bu Erta'!$C$2:$E$66,3,0)</f>
        <v>1400</v>
      </c>
      <c r="F131">
        <v>0.2</v>
      </c>
      <c r="G131" s="3">
        <f t="shared" si="5"/>
        <v>280</v>
      </c>
      <c r="H131" s="3">
        <f>VLOOKUP(D131,'Bu Erta'!$C$2:$F$66,4,0)*F131</f>
        <v>320</v>
      </c>
    </row>
    <row r="132" spans="1:8" x14ac:dyDescent="0.35">
      <c r="A132" s="5">
        <v>19</v>
      </c>
      <c r="B132" t="s">
        <v>283</v>
      </c>
      <c r="C132" s="5">
        <v>2</v>
      </c>
      <c r="D132" t="s">
        <v>27</v>
      </c>
      <c r="E132" s="3">
        <f>VLOOKUP(D132,'Bu Erta'!$C$2:$E$66,3,0)</f>
        <v>2800</v>
      </c>
      <c r="F132">
        <v>1.95</v>
      </c>
      <c r="G132" s="3">
        <f t="shared" ref="G132:G195" si="6">E132*F132</f>
        <v>5460</v>
      </c>
      <c r="H132" s="3">
        <f>VLOOKUP(D132,'Bu Erta'!$C$2:$F$66,4,0)*F132</f>
        <v>6045</v>
      </c>
    </row>
    <row r="133" spans="1:8" x14ac:dyDescent="0.35">
      <c r="A133" s="5">
        <v>20</v>
      </c>
      <c r="B133" t="s">
        <v>189</v>
      </c>
      <c r="C133" s="1">
        <v>5</v>
      </c>
      <c r="D133" t="s">
        <v>42</v>
      </c>
      <c r="E133" s="3">
        <f>VLOOKUP(D133,'Bu Erta'!$C$2:$E$66,3,0)</f>
        <v>1000</v>
      </c>
      <c r="F133">
        <v>8.4</v>
      </c>
      <c r="G133" s="3">
        <f t="shared" si="6"/>
        <v>8400</v>
      </c>
      <c r="H133" s="3">
        <f>VLOOKUP(D133,'Bu Erta'!$C$2:$F$66,4,0)*F133</f>
        <v>10080</v>
      </c>
    </row>
    <row r="134" spans="1:8" x14ac:dyDescent="0.35">
      <c r="B134" t="s">
        <v>189</v>
      </c>
      <c r="D134" t="s">
        <v>34</v>
      </c>
      <c r="E134" s="3">
        <f>VLOOKUP(D134,'Bu Erta'!$C$2:$E$66,3,0)</f>
        <v>3500</v>
      </c>
      <c r="F134">
        <f>4.9+1.2</f>
        <v>6.1000000000000005</v>
      </c>
      <c r="G134" s="3">
        <f t="shared" si="6"/>
        <v>21350.000000000004</v>
      </c>
      <c r="H134" s="3">
        <f>VLOOKUP(D134,'Bu Erta'!$C$2:$F$66,4,0)*F134</f>
        <v>21960.000000000004</v>
      </c>
    </row>
    <row r="135" spans="1:8" x14ac:dyDescent="0.35">
      <c r="B135" t="s">
        <v>189</v>
      </c>
      <c r="D135" t="s">
        <v>27</v>
      </c>
      <c r="E135" s="3">
        <f>VLOOKUP(D135,'Bu Erta'!$C$2:$E$66,3,0)</f>
        <v>2800</v>
      </c>
      <c r="F135">
        <v>2.1</v>
      </c>
      <c r="G135" s="3">
        <f t="shared" si="6"/>
        <v>5880</v>
      </c>
      <c r="H135" s="3">
        <f>VLOOKUP(D135,'Bu Erta'!$C$2:$F$66,4,0)*F135</f>
        <v>6510</v>
      </c>
    </row>
    <row r="136" spans="1:8" x14ac:dyDescent="0.35">
      <c r="B136" t="s">
        <v>189</v>
      </c>
      <c r="D136" t="s">
        <v>31</v>
      </c>
      <c r="E136" s="3">
        <f>VLOOKUP(D136,'Bu Erta'!$C$2:$E$66,3,0)</f>
        <v>1000</v>
      </c>
      <c r="F136">
        <v>0.35</v>
      </c>
      <c r="G136" s="3">
        <f t="shared" si="6"/>
        <v>350</v>
      </c>
      <c r="H136" s="3">
        <f>VLOOKUP(D136,'Bu Erta'!$C$2:$F$66,4,0)*F136</f>
        <v>385</v>
      </c>
    </row>
    <row r="137" spans="1:8" x14ac:dyDescent="0.35">
      <c r="B137" t="s">
        <v>189</v>
      </c>
      <c r="D137" t="s">
        <v>69</v>
      </c>
      <c r="E137" s="3">
        <f>VLOOKUP(D137,'Bu Erta'!$C$2:$E$66,3,0)</f>
        <v>2500</v>
      </c>
      <c r="F137">
        <v>0.7</v>
      </c>
      <c r="G137" s="3">
        <f t="shared" si="6"/>
        <v>1750</v>
      </c>
      <c r="H137" s="3">
        <f>VLOOKUP(D137,'Bu Erta'!$C$2:$F$66,4,0)*F137</f>
        <v>2100</v>
      </c>
    </row>
    <row r="138" spans="1:8" x14ac:dyDescent="0.35">
      <c r="B138" t="s">
        <v>189</v>
      </c>
      <c r="D138" t="s">
        <v>19</v>
      </c>
      <c r="E138" s="3">
        <f>VLOOKUP(D138,'Bu Erta'!$C$2:$E$66,3,0)</f>
        <v>200</v>
      </c>
      <c r="F138">
        <f>0.75+0.85</f>
        <v>1.6</v>
      </c>
      <c r="G138" s="3">
        <f t="shared" si="6"/>
        <v>320</v>
      </c>
      <c r="H138" s="3">
        <f>VLOOKUP(D138,'Bu Erta'!$C$2:$F$66,4,0)*F138</f>
        <v>480</v>
      </c>
    </row>
    <row r="139" spans="1:8" x14ac:dyDescent="0.35">
      <c r="B139" t="s">
        <v>189</v>
      </c>
      <c r="D139" t="s">
        <v>88</v>
      </c>
      <c r="E139" s="3">
        <f>VLOOKUP(D139,'Bu Erta'!$C$2:$E$66,3,0)</f>
        <v>300</v>
      </c>
      <c r="F139">
        <v>0.15</v>
      </c>
      <c r="G139" s="3">
        <f t="shared" si="6"/>
        <v>45</v>
      </c>
      <c r="H139" s="3">
        <f>VLOOKUP(D139,'Bu Erta'!$C$2:$F$66,4,0)*F139</f>
        <v>60</v>
      </c>
    </row>
    <row r="140" spans="1:8" x14ac:dyDescent="0.35">
      <c r="B140" t="s">
        <v>189</v>
      </c>
      <c r="D140" t="s">
        <v>7</v>
      </c>
      <c r="E140" s="3">
        <f>VLOOKUP(D140,'Bu Erta'!$C$2:$E$66,3,0)</f>
        <v>1400</v>
      </c>
      <c r="F140">
        <v>2</v>
      </c>
      <c r="G140" s="3">
        <f t="shared" si="6"/>
        <v>2800</v>
      </c>
      <c r="H140" s="3">
        <f>VLOOKUP(D140,'Bu Erta'!$C$2:$F$66,4,0)*F140</f>
        <v>3200</v>
      </c>
    </row>
    <row r="141" spans="1:8" x14ac:dyDescent="0.35">
      <c r="A141" s="5">
        <v>21</v>
      </c>
      <c r="B141" t="s">
        <v>243</v>
      </c>
      <c r="C141" s="5">
        <v>5</v>
      </c>
      <c r="D141" t="s">
        <v>27</v>
      </c>
      <c r="E141" s="3">
        <f>VLOOKUP(D141,'Bu Erta'!$C$2:$E$66,3,0)</f>
        <v>2800</v>
      </c>
      <c r="F141">
        <f>1.45+1.05</f>
        <v>2.5</v>
      </c>
      <c r="G141" s="3">
        <f t="shared" si="6"/>
        <v>7000</v>
      </c>
      <c r="H141" s="3">
        <f>VLOOKUP(D141,'Bu Erta'!$C$2:$F$66,4,0)*F141</f>
        <v>7750</v>
      </c>
    </row>
    <row r="142" spans="1:8" x14ac:dyDescent="0.35">
      <c r="B142" t="s">
        <v>243</v>
      </c>
      <c r="D142" t="s">
        <v>42</v>
      </c>
      <c r="E142" s="3">
        <f>VLOOKUP(D142,'Bu Erta'!$C$2:$E$66,3,0)</f>
        <v>1000</v>
      </c>
      <c r="F142">
        <v>4.5</v>
      </c>
      <c r="G142" s="3">
        <f t="shared" si="6"/>
        <v>4500</v>
      </c>
      <c r="H142" s="3">
        <f>VLOOKUP(D142,'Bu Erta'!$C$2:$F$66,4,0)*F142</f>
        <v>5400</v>
      </c>
    </row>
    <row r="143" spans="1:8" x14ac:dyDescent="0.35">
      <c r="B143" t="s">
        <v>243</v>
      </c>
      <c r="D143" t="s">
        <v>23</v>
      </c>
      <c r="E143" s="3">
        <f>VLOOKUP(D143,'Bu Erta'!$C$2:$E$66,3,0)</f>
        <v>300</v>
      </c>
      <c r="F143">
        <v>1.8</v>
      </c>
      <c r="G143" s="3">
        <f t="shared" si="6"/>
        <v>540</v>
      </c>
      <c r="H143" s="3">
        <f>VLOOKUP(D143,'Bu Erta'!$C$2:$F$66,4,0)*F143</f>
        <v>720</v>
      </c>
    </row>
    <row r="144" spans="1:8" x14ac:dyDescent="0.35">
      <c r="B144" t="s">
        <v>243</v>
      </c>
      <c r="D144" t="s">
        <v>31</v>
      </c>
      <c r="E144" s="3">
        <f>VLOOKUP(D144,'Bu Erta'!$C$2:$E$66,3,0)</f>
        <v>1000</v>
      </c>
      <c r="F144">
        <v>1.05</v>
      </c>
      <c r="G144" s="3">
        <f t="shared" si="6"/>
        <v>1050</v>
      </c>
      <c r="H144" s="3">
        <f>VLOOKUP(D144,'Bu Erta'!$C$2:$F$66,4,0)*F144</f>
        <v>1155</v>
      </c>
    </row>
    <row r="145" spans="1:8" x14ac:dyDescent="0.35">
      <c r="B145" t="s">
        <v>243</v>
      </c>
      <c r="D145" t="s">
        <v>24</v>
      </c>
      <c r="E145" s="3">
        <f>VLOOKUP(D145,'Bu Erta'!$C$2:$E$66,3,0)</f>
        <v>150</v>
      </c>
      <c r="F145">
        <v>1.65</v>
      </c>
      <c r="G145" s="3">
        <f t="shared" si="6"/>
        <v>247.5</v>
      </c>
      <c r="H145" s="3">
        <f>VLOOKUP(D145,'Bu Erta'!$C$2:$F$66,4,0)*F145</f>
        <v>330</v>
      </c>
    </row>
    <row r="146" spans="1:8" x14ac:dyDescent="0.35">
      <c r="B146" t="s">
        <v>243</v>
      </c>
      <c r="D146" t="s">
        <v>19</v>
      </c>
      <c r="E146" s="3">
        <f>VLOOKUP(D146,'Bu Erta'!$C$2:$E$66,3,0)</f>
        <v>200</v>
      </c>
      <c r="F146">
        <v>1.9</v>
      </c>
      <c r="G146" s="3">
        <f t="shared" si="6"/>
        <v>380</v>
      </c>
      <c r="H146" s="3">
        <f>VLOOKUP(D146,'Bu Erta'!$C$2:$F$66,4,0)*F146</f>
        <v>570</v>
      </c>
    </row>
    <row r="147" spans="1:8" x14ac:dyDescent="0.35">
      <c r="B147" t="s">
        <v>243</v>
      </c>
      <c r="D147" t="s">
        <v>17</v>
      </c>
      <c r="E147" s="3">
        <f>VLOOKUP(D147,'Bu Erta'!$C$2:$E$66,3,0)</f>
        <v>8000</v>
      </c>
      <c r="F147">
        <v>0.1</v>
      </c>
      <c r="G147" s="3">
        <f t="shared" si="6"/>
        <v>800</v>
      </c>
      <c r="H147" s="3">
        <f>VLOOKUP(D147,'Bu Erta'!$C$2:$F$66,4,0)*F147</f>
        <v>850</v>
      </c>
    </row>
    <row r="148" spans="1:8" x14ac:dyDescent="0.35">
      <c r="A148" s="5">
        <v>22</v>
      </c>
      <c r="B148" t="s">
        <v>144</v>
      </c>
      <c r="C148" s="1">
        <v>4</v>
      </c>
      <c r="D148" t="s">
        <v>19</v>
      </c>
      <c r="E148" s="3">
        <f>VLOOKUP(D148,'Bu Erta'!$C$2:$E$66,3,0)</f>
        <v>200</v>
      </c>
      <c r="F148">
        <v>2.9</v>
      </c>
      <c r="G148" s="3">
        <f t="shared" si="6"/>
        <v>580</v>
      </c>
      <c r="H148" s="3">
        <f>VLOOKUP(D148,'Bu Erta'!$C$2:$F$66,4,0)*F148</f>
        <v>870</v>
      </c>
    </row>
    <row r="149" spans="1:8" x14ac:dyDescent="0.35">
      <c r="B149" t="s">
        <v>144</v>
      </c>
      <c r="D149" t="s">
        <v>24</v>
      </c>
      <c r="E149" s="3">
        <f>VLOOKUP(D149,'Bu Erta'!$C$2:$E$66,3,0)</f>
        <v>150</v>
      </c>
      <c r="F149">
        <v>1.95</v>
      </c>
      <c r="G149" s="3">
        <f t="shared" si="6"/>
        <v>292.5</v>
      </c>
      <c r="H149" s="3">
        <f>VLOOKUP(D149,'Bu Erta'!$C$2:$F$66,4,0)*F149</f>
        <v>390</v>
      </c>
    </row>
    <row r="150" spans="1:8" x14ac:dyDescent="0.35">
      <c r="B150" t="s">
        <v>144</v>
      </c>
      <c r="D150" t="s">
        <v>68</v>
      </c>
      <c r="E150" s="3">
        <f>VLOOKUP(D150,'Bu Erta'!$C$2:$E$66,3,0)</f>
        <v>150</v>
      </c>
      <c r="F150">
        <v>2.1</v>
      </c>
      <c r="G150" s="3">
        <f t="shared" si="6"/>
        <v>315</v>
      </c>
      <c r="H150" s="3">
        <f>VLOOKUP(D150,'Bu Erta'!$C$2:$F$66,4,0)*F150</f>
        <v>420</v>
      </c>
    </row>
    <row r="151" spans="1:8" x14ac:dyDescent="0.35">
      <c r="A151" s="5">
        <v>23</v>
      </c>
      <c r="B151" t="s">
        <v>195</v>
      </c>
      <c r="C151" s="5">
        <v>1</v>
      </c>
      <c r="D151" t="s">
        <v>42</v>
      </c>
      <c r="E151" s="3">
        <f>VLOOKUP(D151,'Bu Erta'!$C$2:$E$66,3,0)</f>
        <v>1000</v>
      </c>
      <c r="F151">
        <v>2.5499999999999998</v>
      </c>
      <c r="G151" s="3">
        <f t="shared" si="6"/>
        <v>2550</v>
      </c>
      <c r="H151" s="3">
        <f>VLOOKUP(D151,'Bu Erta'!$C$2:$F$66,4,0)*F151</f>
        <v>3060</v>
      </c>
    </row>
    <row r="152" spans="1:8" x14ac:dyDescent="0.35">
      <c r="B152" t="s">
        <v>195</v>
      </c>
      <c r="D152" t="s">
        <v>25</v>
      </c>
      <c r="E152" s="3">
        <f>VLOOKUP(D152,'Bu Erta'!$C$2:$E$66,3,0)</f>
        <v>1600</v>
      </c>
      <c r="F152">
        <v>1.9</v>
      </c>
      <c r="G152" s="3">
        <f t="shared" si="6"/>
        <v>3040</v>
      </c>
      <c r="H152" s="3">
        <f>VLOOKUP(D152,'Bu Erta'!$C$2:$F$66,4,0)*F152</f>
        <v>3230</v>
      </c>
    </row>
    <row r="153" spans="1:8" x14ac:dyDescent="0.35">
      <c r="B153" t="s">
        <v>195</v>
      </c>
      <c r="D153" t="s">
        <v>7</v>
      </c>
      <c r="E153" s="3">
        <f>VLOOKUP(D153,'Bu Erta'!$C$2:$E$66,3,0)</f>
        <v>1400</v>
      </c>
      <c r="F153">
        <v>2.2000000000000002</v>
      </c>
      <c r="G153" s="3">
        <f t="shared" si="6"/>
        <v>3080.0000000000005</v>
      </c>
      <c r="H153" s="3">
        <f>VLOOKUP(D153,'Bu Erta'!$C$2:$F$66,4,0)*F153</f>
        <v>3520.0000000000005</v>
      </c>
    </row>
    <row r="154" spans="1:8" x14ac:dyDescent="0.35">
      <c r="A154" s="5">
        <v>24</v>
      </c>
      <c r="B154" t="s">
        <v>260</v>
      </c>
      <c r="C154" s="5">
        <v>2</v>
      </c>
      <c r="D154" t="s">
        <v>61</v>
      </c>
      <c r="E154" s="3">
        <f>VLOOKUP(D154,'Bu Erta'!$C$2:$E$66,3,0)</f>
        <v>800</v>
      </c>
      <c r="F154">
        <f>3.3+0.35</f>
        <v>3.65</v>
      </c>
      <c r="G154" s="3">
        <f t="shared" si="6"/>
        <v>2920</v>
      </c>
      <c r="H154" s="3">
        <f>VLOOKUP(D154,'Bu Erta'!$C$2:$F$66,4,0)*F154</f>
        <v>3285</v>
      </c>
    </row>
    <row r="155" spans="1:8" x14ac:dyDescent="0.35">
      <c r="B155" t="s">
        <v>260</v>
      </c>
      <c r="D155" t="s">
        <v>31</v>
      </c>
      <c r="E155" s="3">
        <f>VLOOKUP(D155,'Bu Erta'!$C$2:$E$66,3,0)</f>
        <v>1000</v>
      </c>
      <c r="F155">
        <f>1.75+1.75+0.75</f>
        <v>4.25</v>
      </c>
      <c r="G155" s="3">
        <f t="shared" si="6"/>
        <v>4250</v>
      </c>
      <c r="H155" s="3">
        <f>VLOOKUP(D155,'Bu Erta'!$C$2:$F$66,4,0)*F155</f>
        <v>4675</v>
      </c>
    </row>
    <row r="156" spans="1:8" x14ac:dyDescent="0.35">
      <c r="B156" t="s">
        <v>260</v>
      </c>
      <c r="D156" t="s">
        <v>19</v>
      </c>
      <c r="E156" s="3">
        <f>VLOOKUP(D156,'Bu Erta'!$C$2:$E$66,3,0)</f>
        <v>200</v>
      </c>
      <c r="F156">
        <f>0.65+1.8</f>
        <v>2.4500000000000002</v>
      </c>
      <c r="G156" s="3">
        <f t="shared" si="6"/>
        <v>490.00000000000006</v>
      </c>
      <c r="H156" s="3">
        <f>VLOOKUP(D156,'Bu Erta'!$C$2:$F$66,4,0)*F156</f>
        <v>735</v>
      </c>
    </row>
    <row r="157" spans="1:8" x14ac:dyDescent="0.35">
      <c r="B157" t="s">
        <v>260</v>
      </c>
      <c r="D157" t="s">
        <v>88</v>
      </c>
      <c r="E157" s="3">
        <f>VLOOKUP(D157,'Bu Erta'!$C$2:$E$66,3,0)</f>
        <v>300</v>
      </c>
      <c r="F157">
        <v>0.7</v>
      </c>
      <c r="G157" s="3">
        <f t="shared" si="6"/>
        <v>210</v>
      </c>
      <c r="H157" s="3">
        <f>VLOOKUP(D157,'Bu Erta'!$C$2:$F$66,4,0)*F157</f>
        <v>280</v>
      </c>
    </row>
    <row r="158" spans="1:8" x14ac:dyDescent="0.35">
      <c r="B158" t="s">
        <v>260</v>
      </c>
      <c r="D158" t="s">
        <v>7</v>
      </c>
      <c r="E158" s="3">
        <f>VLOOKUP(D158,'Bu Erta'!$C$2:$E$66,3,0)</f>
        <v>1400</v>
      </c>
      <c r="F158">
        <f>0.6+0.3</f>
        <v>0.89999999999999991</v>
      </c>
      <c r="G158" s="3">
        <f t="shared" si="6"/>
        <v>1259.9999999999998</v>
      </c>
      <c r="H158" s="3">
        <f>VLOOKUP(D158,'Bu Erta'!$C$2:$F$66,4,0)*F158</f>
        <v>1439.9999999999998</v>
      </c>
    </row>
    <row r="159" spans="1:8" x14ac:dyDescent="0.35">
      <c r="B159" t="s">
        <v>260</v>
      </c>
      <c r="D159" t="s">
        <v>25</v>
      </c>
      <c r="E159" s="3">
        <f>VLOOKUP(D159,'Bu Erta'!$C$2:$E$66,3,0)</f>
        <v>1600</v>
      </c>
      <c r="F159">
        <v>1.75</v>
      </c>
      <c r="G159" s="3">
        <f t="shared" si="6"/>
        <v>2800</v>
      </c>
      <c r="H159" s="3">
        <f>VLOOKUP(D159,'Bu Erta'!$C$2:$F$66,4,0)*F159</f>
        <v>2975</v>
      </c>
    </row>
    <row r="160" spans="1:8" x14ac:dyDescent="0.35">
      <c r="B160" t="s">
        <v>260</v>
      </c>
      <c r="D160" t="s">
        <v>42</v>
      </c>
      <c r="E160" s="3">
        <f>VLOOKUP(D161,'Bu Erta'!$C$2:$E$66,3,0)</f>
        <v>800</v>
      </c>
      <c r="F160">
        <v>1.75</v>
      </c>
      <c r="G160" s="3">
        <f t="shared" si="6"/>
        <v>1400</v>
      </c>
      <c r="H160" s="3">
        <f>VLOOKUP(D161,'Bu Erta'!$C$2:$F$66,4,0)*F160</f>
        <v>1575</v>
      </c>
    </row>
    <row r="161" spans="1:8" x14ac:dyDescent="0.35">
      <c r="B161" t="s">
        <v>260</v>
      </c>
      <c r="D161" t="s">
        <v>49</v>
      </c>
      <c r="E161" s="3">
        <f>VLOOKUP(D162,'Bu Erta'!$C$2:$E$66,3,0)</f>
        <v>150</v>
      </c>
      <c r="F161">
        <v>1.05</v>
      </c>
      <c r="G161" s="3">
        <f t="shared" si="6"/>
        <v>157.5</v>
      </c>
      <c r="H161" s="3">
        <f>VLOOKUP(D162,'Bu Erta'!$C$2:$F$66,4,0)*F161</f>
        <v>210</v>
      </c>
    </row>
    <row r="162" spans="1:8" x14ac:dyDescent="0.35">
      <c r="B162" t="s">
        <v>260</v>
      </c>
      <c r="D162" t="s">
        <v>68</v>
      </c>
      <c r="E162" s="3">
        <f>VLOOKUP(D162,'Bu Erta'!$C$2:$E$66,3,0)</f>
        <v>150</v>
      </c>
      <c r="F162">
        <v>0.45</v>
      </c>
      <c r="G162" s="3">
        <f t="shared" si="6"/>
        <v>67.5</v>
      </c>
      <c r="H162" s="3">
        <f>VLOOKUP(D162,'Bu Erta'!$C$2:$F$66,4,0)*F162</f>
        <v>90</v>
      </c>
    </row>
    <row r="163" spans="1:8" x14ac:dyDescent="0.35">
      <c r="A163" s="5">
        <v>25</v>
      </c>
      <c r="B163" t="s">
        <v>164</v>
      </c>
      <c r="C163" s="1">
        <v>3</v>
      </c>
      <c r="D163" t="s">
        <v>31</v>
      </c>
      <c r="E163" s="3">
        <f>VLOOKUP(D163,'Bu Erta'!$C$2:$E$66,3,0)</f>
        <v>1000</v>
      </c>
      <c r="F163">
        <f>2.85+3.3</f>
        <v>6.15</v>
      </c>
      <c r="G163" s="3">
        <f t="shared" si="6"/>
        <v>6150</v>
      </c>
      <c r="H163" s="3">
        <f>VLOOKUP(D163,'Bu Erta'!$C$2:$F$66,4,0)*F163</f>
        <v>6765</v>
      </c>
    </row>
    <row r="164" spans="1:8" x14ac:dyDescent="0.35">
      <c r="B164" t="s">
        <v>164</v>
      </c>
      <c r="D164" t="s">
        <v>42</v>
      </c>
      <c r="E164" s="3">
        <f>VLOOKUP(D164,'Bu Erta'!$C$2:$E$66,3,0)</f>
        <v>1000</v>
      </c>
      <c r="F164">
        <v>4.3499999999999996</v>
      </c>
      <c r="G164" s="3">
        <f t="shared" si="6"/>
        <v>4350</v>
      </c>
      <c r="H164" s="3">
        <f>VLOOKUP(D164,'Bu Erta'!$C$2:$F$66,4,0)*F164</f>
        <v>5220</v>
      </c>
    </row>
    <row r="165" spans="1:8" x14ac:dyDescent="0.35">
      <c r="A165" s="5">
        <v>26</v>
      </c>
      <c r="B165" t="s">
        <v>259</v>
      </c>
      <c r="C165" s="5">
        <v>3</v>
      </c>
      <c r="D165" t="s">
        <v>25</v>
      </c>
      <c r="E165" s="3">
        <f>VLOOKUP(D165,'Bu Erta'!$C$2:$E$66,3,0)</f>
        <v>1600</v>
      </c>
      <c r="F165">
        <v>0.9</v>
      </c>
      <c r="G165" s="3">
        <f t="shared" si="6"/>
        <v>1440</v>
      </c>
      <c r="H165" s="3">
        <f>VLOOKUP(D165,'Bu Erta'!$C$2:$F$66,4,0)*F165</f>
        <v>1530</v>
      </c>
    </row>
    <row r="166" spans="1:8" x14ac:dyDescent="0.35">
      <c r="B166" t="s">
        <v>259</v>
      </c>
      <c r="D166" t="s">
        <v>88</v>
      </c>
      <c r="E166" s="3">
        <f>VLOOKUP(D166,'Bu Erta'!$C$2:$E$66,3,0)</f>
        <v>300</v>
      </c>
      <c r="F166">
        <v>0.25</v>
      </c>
      <c r="G166" s="3">
        <f t="shared" si="6"/>
        <v>75</v>
      </c>
      <c r="H166" s="3">
        <f>VLOOKUP(D166,'Bu Erta'!$C$2:$F$66,4,0)*F166</f>
        <v>100</v>
      </c>
    </row>
    <row r="167" spans="1:8" x14ac:dyDescent="0.35">
      <c r="B167" t="s">
        <v>259</v>
      </c>
      <c r="D167" t="s">
        <v>41</v>
      </c>
      <c r="E167" s="3">
        <f>VLOOKUP(D167,'Bu Erta'!$C$2:$E$66,3,0)</f>
        <v>1500</v>
      </c>
      <c r="F167">
        <v>0.75</v>
      </c>
      <c r="G167" s="3">
        <f t="shared" si="6"/>
        <v>1125</v>
      </c>
      <c r="H167" s="3">
        <f>VLOOKUP(D167,'Bu Erta'!$C$2:$F$66,4,0)*F167</f>
        <v>1500</v>
      </c>
    </row>
    <row r="168" spans="1:8" x14ac:dyDescent="0.35">
      <c r="B168" t="s">
        <v>259</v>
      </c>
      <c r="D168" t="s">
        <v>19</v>
      </c>
      <c r="E168" s="3">
        <f>VLOOKUP(D168,'Bu Erta'!$C$2:$E$66,3,0)</f>
        <v>200</v>
      </c>
      <c r="F168">
        <f>1.15+0.9</f>
        <v>2.0499999999999998</v>
      </c>
      <c r="G168" s="3">
        <f t="shared" si="6"/>
        <v>409.99999999999994</v>
      </c>
      <c r="H168" s="3">
        <f>VLOOKUP(D168,'Bu Erta'!$C$2:$F$66,4,0)*F168</f>
        <v>615</v>
      </c>
    </row>
    <row r="169" spans="1:8" x14ac:dyDescent="0.35">
      <c r="B169" t="s">
        <v>259</v>
      </c>
      <c r="D169" t="s">
        <v>42</v>
      </c>
      <c r="E169" s="3">
        <f>VLOOKUP(D169,'Bu Erta'!$C$2:$E$66,3,0)</f>
        <v>1000</v>
      </c>
      <c r="F169">
        <v>2.85</v>
      </c>
      <c r="G169" s="3">
        <f t="shared" si="6"/>
        <v>2850</v>
      </c>
      <c r="H169" s="3">
        <f>VLOOKUP(D169,'Bu Erta'!$C$2:$F$66,4,0)*F169</f>
        <v>3420</v>
      </c>
    </row>
    <row r="170" spans="1:8" x14ac:dyDescent="0.35">
      <c r="A170" s="5">
        <v>27</v>
      </c>
      <c r="B170" t="s">
        <v>284</v>
      </c>
      <c r="C170" s="1">
        <v>2</v>
      </c>
      <c r="D170" t="s">
        <v>31</v>
      </c>
      <c r="E170" s="3">
        <f>VLOOKUP(D170,'Bu Erta'!$C$2:$E$66,3,0)</f>
        <v>1000</v>
      </c>
      <c r="F170">
        <v>2.2999999999999998</v>
      </c>
      <c r="G170" s="3">
        <f t="shared" si="6"/>
        <v>2300</v>
      </c>
      <c r="H170" s="3">
        <f>VLOOKUP(D170,'Bu Erta'!$C$2:$F$66,4,0)*F170</f>
        <v>2530</v>
      </c>
    </row>
    <row r="171" spans="1:8" x14ac:dyDescent="0.35">
      <c r="B171" t="s">
        <v>284</v>
      </c>
      <c r="D171" t="s">
        <v>25</v>
      </c>
      <c r="E171" s="3">
        <f>VLOOKUP(D171,'Bu Erta'!$C$2:$E$66,3,0)</f>
        <v>1600</v>
      </c>
      <c r="F171">
        <f>0.55+0.25</f>
        <v>0.8</v>
      </c>
      <c r="G171" s="3">
        <f t="shared" si="6"/>
        <v>1280</v>
      </c>
      <c r="H171" s="3">
        <f>VLOOKUP(D171,'Bu Erta'!$C$2:$F$66,4,0)*F171</f>
        <v>1360</v>
      </c>
    </row>
    <row r="172" spans="1:8" x14ac:dyDescent="0.35">
      <c r="B172" t="s">
        <v>284</v>
      </c>
      <c r="D172" t="s">
        <v>22</v>
      </c>
      <c r="E172" s="3">
        <f>VLOOKUP(D172,'Bu Erta'!$C$2:$E$66,3,0)</f>
        <v>2500</v>
      </c>
      <c r="F172">
        <v>4.55</v>
      </c>
      <c r="G172" s="3">
        <f t="shared" si="6"/>
        <v>11375</v>
      </c>
      <c r="H172" s="3">
        <f>VLOOKUP(D172,'Bu Erta'!$C$2:$F$66,4,0)*F172</f>
        <v>13650</v>
      </c>
    </row>
    <row r="173" spans="1:8" x14ac:dyDescent="0.35">
      <c r="B173" t="s">
        <v>284</v>
      </c>
      <c r="D173" t="s">
        <v>61</v>
      </c>
      <c r="E173" s="3">
        <f>VLOOKUP(D173,'Bu Erta'!$C$2:$E$66,3,0)</f>
        <v>800</v>
      </c>
      <c r="F173">
        <v>0.2</v>
      </c>
      <c r="G173" s="3">
        <f t="shared" si="6"/>
        <v>160</v>
      </c>
      <c r="H173" s="3">
        <f>VLOOKUP(D173,'Bu Erta'!$C$2:$F$66,4,0)*F173</f>
        <v>180</v>
      </c>
    </row>
    <row r="174" spans="1:8" x14ac:dyDescent="0.35">
      <c r="A174" s="5">
        <v>28</v>
      </c>
      <c r="B174" t="s">
        <v>127</v>
      </c>
      <c r="C174" s="1">
        <v>2</v>
      </c>
      <c r="D174" t="s">
        <v>88</v>
      </c>
      <c r="E174" s="3">
        <f>VLOOKUP(D174,'Bu Erta'!$C$2:$E$66,3,0)</f>
        <v>300</v>
      </c>
      <c r="F174">
        <v>0.45</v>
      </c>
      <c r="G174" s="3">
        <f t="shared" si="6"/>
        <v>135</v>
      </c>
      <c r="H174" s="3">
        <f>VLOOKUP(D174,'Bu Erta'!$C$2:$F$66,4,0)*F174</f>
        <v>180</v>
      </c>
    </row>
    <row r="175" spans="1:8" x14ac:dyDescent="0.35">
      <c r="B175" t="s">
        <v>127</v>
      </c>
      <c r="D175" t="s">
        <v>6</v>
      </c>
      <c r="E175" s="3">
        <f>VLOOKUP(D175,'Bu Erta'!$C$2:$E$66,3,0)</f>
        <v>2000</v>
      </c>
      <c r="F175">
        <v>0.3</v>
      </c>
      <c r="G175" s="3">
        <f t="shared" si="6"/>
        <v>600</v>
      </c>
      <c r="H175" s="3">
        <f>VLOOKUP(D175,'Bu Erta'!$C$2:$F$66,4,0)*F175</f>
        <v>750</v>
      </c>
    </row>
    <row r="176" spans="1:8" x14ac:dyDescent="0.35">
      <c r="B176" t="s">
        <v>127</v>
      </c>
      <c r="D176" t="s">
        <v>25</v>
      </c>
      <c r="E176" s="3">
        <f>VLOOKUP(D176,'Bu Erta'!$C$2:$E$66,3,0)</f>
        <v>1600</v>
      </c>
      <c r="F176">
        <f>0.2+0.2</f>
        <v>0.4</v>
      </c>
      <c r="G176" s="3">
        <f t="shared" si="6"/>
        <v>640</v>
      </c>
      <c r="H176" s="3">
        <f>VLOOKUP(D176,'Bu Erta'!$C$2:$F$66,4,0)*F176</f>
        <v>680</v>
      </c>
    </row>
    <row r="177" spans="1:8" x14ac:dyDescent="0.35">
      <c r="B177" t="s">
        <v>127</v>
      </c>
      <c r="D177" t="s">
        <v>7</v>
      </c>
      <c r="E177" s="3">
        <f>VLOOKUP(D177,'Bu Erta'!$C$2:$E$66,3,0)</f>
        <v>1400</v>
      </c>
      <c r="F177">
        <f>0.6+0.4</f>
        <v>1</v>
      </c>
      <c r="G177" s="3">
        <f t="shared" si="6"/>
        <v>1400</v>
      </c>
      <c r="H177" s="3">
        <f>VLOOKUP(D177,'Bu Erta'!$C$2:$F$66,4,0)*F177</f>
        <v>1600</v>
      </c>
    </row>
    <row r="178" spans="1:8" x14ac:dyDescent="0.35">
      <c r="B178" t="s">
        <v>127</v>
      </c>
      <c r="D178" t="s">
        <v>23</v>
      </c>
      <c r="E178" s="3">
        <f>VLOOKUP(D178,'Bu Erta'!$C$2:$E$66,3,0)</f>
        <v>300</v>
      </c>
      <c r="F178">
        <v>0.3</v>
      </c>
      <c r="G178" s="3">
        <f t="shared" si="6"/>
        <v>90</v>
      </c>
      <c r="H178" s="3">
        <f>VLOOKUP(D178,'Bu Erta'!$C$2:$F$66,4,0)*F178</f>
        <v>120</v>
      </c>
    </row>
    <row r="179" spans="1:8" x14ac:dyDescent="0.35">
      <c r="B179" t="s">
        <v>127</v>
      </c>
      <c r="D179" t="s">
        <v>27</v>
      </c>
      <c r="E179" s="3">
        <f>VLOOKUP(D179,'Bu Erta'!$C$2:$E$66,3,0)</f>
        <v>2800</v>
      </c>
      <c r="F179">
        <v>0.85</v>
      </c>
      <c r="G179" s="3">
        <f t="shared" si="6"/>
        <v>2380</v>
      </c>
      <c r="H179" s="3">
        <f>VLOOKUP(D179,'Bu Erta'!$C$2:$F$66,4,0)*F179</f>
        <v>2635</v>
      </c>
    </row>
    <row r="180" spans="1:8" x14ac:dyDescent="0.35">
      <c r="B180" t="s">
        <v>127</v>
      </c>
      <c r="D180" t="s">
        <v>41</v>
      </c>
      <c r="E180" s="3">
        <f>VLOOKUP(D180,'Bu Erta'!$C$2:$E$66,3,0)</f>
        <v>1500</v>
      </c>
      <c r="F180">
        <v>0.5</v>
      </c>
      <c r="G180" s="3">
        <f t="shared" si="6"/>
        <v>750</v>
      </c>
      <c r="H180" s="3">
        <f>VLOOKUP(D180,'Bu Erta'!$C$2:$F$66,4,0)*F180</f>
        <v>1000</v>
      </c>
    </row>
    <row r="181" spans="1:8" x14ac:dyDescent="0.35">
      <c r="B181" t="s">
        <v>127</v>
      </c>
      <c r="D181" t="s">
        <v>70</v>
      </c>
      <c r="E181" s="3">
        <f>VLOOKUP(D181,'Bu Erta'!$C$2:$E$66,3,0)</f>
        <v>3500</v>
      </c>
      <c r="F181">
        <v>0.15</v>
      </c>
      <c r="G181" s="3">
        <f t="shared" si="6"/>
        <v>525</v>
      </c>
      <c r="H181" s="3">
        <f>VLOOKUP(D181,'Bu Erta'!$C$2:$F$66,4,0)*F181</f>
        <v>600</v>
      </c>
    </row>
    <row r="182" spans="1:8" x14ac:dyDescent="0.35">
      <c r="B182" t="s">
        <v>127</v>
      </c>
      <c r="D182" t="s">
        <v>69</v>
      </c>
      <c r="E182" s="3">
        <f>VLOOKUP(D182,'Bu Erta'!$C$2:$E$66,3,0)</f>
        <v>2500</v>
      </c>
      <c r="F182">
        <v>0.1</v>
      </c>
      <c r="G182" s="3">
        <f t="shared" si="6"/>
        <v>250</v>
      </c>
      <c r="H182" s="3">
        <f>VLOOKUP(D182,'Bu Erta'!$C$2:$F$66,4,0)*F182</f>
        <v>300</v>
      </c>
    </row>
    <row r="183" spans="1:8" x14ac:dyDescent="0.35">
      <c r="B183" t="s">
        <v>127</v>
      </c>
      <c r="D183" t="s">
        <v>19</v>
      </c>
      <c r="E183" s="3">
        <f>VLOOKUP(D183,'Bu Erta'!$C$2:$E$66,3,0)</f>
        <v>200</v>
      </c>
      <c r="F183">
        <v>0.25</v>
      </c>
      <c r="G183" s="3">
        <f t="shared" si="6"/>
        <v>50</v>
      </c>
      <c r="H183" s="3">
        <f>VLOOKUP(D183,'Bu Erta'!$C$2:$F$66,4,0)*F183</f>
        <v>75</v>
      </c>
    </row>
    <row r="184" spans="1:8" x14ac:dyDescent="0.35">
      <c r="B184" t="s">
        <v>127</v>
      </c>
      <c r="D184" t="s">
        <v>42</v>
      </c>
      <c r="E184" s="3">
        <f>VLOOKUP(D184,'Bu Erta'!$C$2:$E$66,3,0)</f>
        <v>1000</v>
      </c>
      <c r="F184">
        <v>1.1499999999999999</v>
      </c>
      <c r="G184" s="3">
        <f t="shared" si="6"/>
        <v>1150</v>
      </c>
      <c r="H184" s="3">
        <f>VLOOKUP(D184,'Bu Erta'!$C$2:$F$66,4,0)*F184</f>
        <v>1380</v>
      </c>
    </row>
    <row r="185" spans="1:8" x14ac:dyDescent="0.35">
      <c r="A185" s="5">
        <v>29</v>
      </c>
      <c r="B185" t="s">
        <v>110</v>
      </c>
      <c r="C185" s="1">
        <v>5</v>
      </c>
      <c r="D185" t="s">
        <v>19</v>
      </c>
      <c r="E185" s="3">
        <f>VLOOKUP(D185,'Bu Erta'!$C$2:$E$66,3,0)</f>
        <v>200</v>
      </c>
      <c r="F185">
        <v>4.95</v>
      </c>
      <c r="G185" s="3">
        <f t="shared" si="6"/>
        <v>990</v>
      </c>
      <c r="H185" s="3">
        <f>VLOOKUP(D185,'Bu Erta'!$C$2:$F$66,4,0)*F185</f>
        <v>1485</v>
      </c>
    </row>
    <row r="186" spans="1:8" x14ac:dyDescent="0.35">
      <c r="B186" t="s">
        <v>110</v>
      </c>
      <c r="D186" t="s">
        <v>7</v>
      </c>
      <c r="E186" s="3">
        <f>VLOOKUP(D186,'Bu Erta'!$C$2:$E$66,3,0)</f>
        <v>1400</v>
      </c>
      <c r="F186">
        <f>2.65+2.35+0.15</f>
        <v>5.15</v>
      </c>
      <c r="G186" s="3">
        <f t="shared" si="6"/>
        <v>7210.0000000000009</v>
      </c>
      <c r="H186" s="3">
        <f>VLOOKUP(D186,'Bu Erta'!$C$2:$F$66,4,0)*F186</f>
        <v>8240</v>
      </c>
    </row>
    <row r="187" spans="1:8" x14ac:dyDescent="0.35">
      <c r="B187" t="s">
        <v>110</v>
      </c>
      <c r="D187" t="s">
        <v>24</v>
      </c>
      <c r="E187" s="3">
        <f>VLOOKUP(D187,'Bu Erta'!$C$2:$E$66,3,0)</f>
        <v>150</v>
      </c>
      <c r="F187">
        <v>0.45</v>
      </c>
      <c r="G187" s="3">
        <f t="shared" si="6"/>
        <v>67.5</v>
      </c>
      <c r="H187" s="3">
        <f>VLOOKUP(D187,'Bu Erta'!$C$2:$F$66,4,0)*F187</f>
        <v>90</v>
      </c>
    </row>
    <row r="188" spans="1:8" x14ac:dyDescent="0.35">
      <c r="B188" t="s">
        <v>110</v>
      </c>
      <c r="D188" t="s">
        <v>69</v>
      </c>
      <c r="E188" s="3">
        <f>VLOOKUP(D188,'Bu Erta'!$C$2:$E$66,3,0)</f>
        <v>2500</v>
      </c>
      <c r="F188">
        <v>0.1</v>
      </c>
      <c r="G188" s="3">
        <f t="shared" si="6"/>
        <v>250</v>
      </c>
      <c r="H188" s="3">
        <f>VLOOKUP(D188,'Bu Erta'!$C$2:$F$66,4,0)*F188</f>
        <v>300</v>
      </c>
    </row>
    <row r="189" spans="1:8" x14ac:dyDescent="0.35">
      <c r="B189" t="s">
        <v>110</v>
      </c>
      <c r="D189" t="s">
        <v>42</v>
      </c>
      <c r="E189" s="3">
        <f>VLOOKUP(D189,'Bu Erta'!$C$2:$E$66,3,0)</f>
        <v>1000</v>
      </c>
      <c r="F189">
        <v>1.3</v>
      </c>
      <c r="G189" s="3">
        <f t="shared" si="6"/>
        <v>1300</v>
      </c>
      <c r="H189" s="3">
        <f>VLOOKUP(D189,'Bu Erta'!$C$2:$F$66,4,0)*F189</f>
        <v>1560</v>
      </c>
    </row>
    <row r="190" spans="1:8" x14ac:dyDescent="0.35">
      <c r="B190" t="s">
        <v>110</v>
      </c>
      <c r="D190" t="s">
        <v>27</v>
      </c>
      <c r="E190" s="3">
        <f>VLOOKUP(D190,'Bu Erta'!$C$2:$E$66,3,0)</f>
        <v>2800</v>
      </c>
      <c r="F190">
        <v>0.8</v>
      </c>
      <c r="G190" s="3">
        <f t="shared" si="6"/>
        <v>2240</v>
      </c>
      <c r="H190" s="3">
        <f>VLOOKUP(D190,'Bu Erta'!$C$2:$F$66,4,0)*F190</f>
        <v>2480</v>
      </c>
    </row>
    <row r="191" spans="1:8" x14ac:dyDescent="0.35">
      <c r="A191" s="5">
        <v>30</v>
      </c>
      <c r="B191" t="s">
        <v>76</v>
      </c>
      <c r="C191" s="1">
        <v>3</v>
      </c>
      <c r="D191" t="s">
        <v>61</v>
      </c>
      <c r="E191" s="3">
        <f>VLOOKUP(D191,'Bu Erta'!$C$2:$E$66,3,0)</f>
        <v>800</v>
      </c>
      <c r="F191">
        <v>0.55000000000000004</v>
      </c>
      <c r="G191" s="3">
        <f t="shared" si="6"/>
        <v>440.00000000000006</v>
      </c>
      <c r="H191" s="3">
        <f>VLOOKUP(D191,'Bu Erta'!$C$2:$F$66,4,0)*F191</f>
        <v>495.00000000000006</v>
      </c>
    </row>
    <row r="192" spans="1:8" x14ac:dyDescent="0.35">
      <c r="B192" t="s">
        <v>76</v>
      </c>
      <c r="D192" t="s">
        <v>42</v>
      </c>
      <c r="E192" s="3">
        <f>VLOOKUP(D192,'Bu Erta'!$C$2:$E$66,3,0)</f>
        <v>1000</v>
      </c>
      <c r="F192">
        <v>1.35</v>
      </c>
      <c r="G192" s="3">
        <f t="shared" si="6"/>
        <v>1350</v>
      </c>
      <c r="H192" s="3">
        <f>VLOOKUP(D192,'Bu Erta'!$C$2:$F$66,4,0)*F192</f>
        <v>1620</v>
      </c>
    </row>
    <row r="193" spans="1:8" x14ac:dyDescent="0.35">
      <c r="B193" t="s">
        <v>76</v>
      </c>
      <c r="D193" t="s">
        <v>65</v>
      </c>
      <c r="E193" s="3">
        <f>VLOOKUP(D193,'Bu Erta'!$C$2:$E$66,3,0)</f>
        <v>150</v>
      </c>
      <c r="F193">
        <v>0.35</v>
      </c>
      <c r="G193" s="3">
        <f t="shared" si="6"/>
        <v>52.5</v>
      </c>
      <c r="H193" s="3">
        <f>VLOOKUP(D193,'Bu Erta'!$C$2:$F$66,4,0)*F193</f>
        <v>70</v>
      </c>
    </row>
    <row r="194" spans="1:8" x14ac:dyDescent="0.35">
      <c r="B194" t="s">
        <v>76</v>
      </c>
      <c r="D194" t="s">
        <v>27</v>
      </c>
      <c r="E194" s="3">
        <f>VLOOKUP(D194,'Bu Erta'!$C$2:$E$66,3,0)</f>
        <v>2800</v>
      </c>
      <c r="F194">
        <v>1.25</v>
      </c>
      <c r="G194" s="3">
        <f t="shared" si="6"/>
        <v>3500</v>
      </c>
      <c r="H194" s="3">
        <f>VLOOKUP(D194,'Bu Erta'!$C$2:$F$66,4,0)*F194</f>
        <v>3875</v>
      </c>
    </row>
    <row r="195" spans="1:8" x14ac:dyDescent="0.35">
      <c r="B195" t="s">
        <v>76</v>
      </c>
      <c r="D195" t="s">
        <v>24</v>
      </c>
      <c r="E195" s="3">
        <f>VLOOKUP(D195,'Bu Erta'!$C$2:$E$66,3,0)</f>
        <v>150</v>
      </c>
      <c r="F195">
        <v>1.65</v>
      </c>
      <c r="G195" s="3">
        <f t="shared" si="6"/>
        <v>247.5</v>
      </c>
      <c r="H195" s="3">
        <f>VLOOKUP(D195,'Bu Erta'!$C$2:$F$66,4,0)*F195</f>
        <v>330</v>
      </c>
    </row>
    <row r="196" spans="1:8" x14ac:dyDescent="0.35">
      <c r="B196" t="s">
        <v>76</v>
      </c>
      <c r="D196" t="s">
        <v>34</v>
      </c>
      <c r="E196" s="3">
        <f>VLOOKUP(D196,'Bu Erta'!$C$2:$E$66,3,0)</f>
        <v>3500</v>
      </c>
      <c r="F196">
        <v>0.65</v>
      </c>
      <c r="G196" s="3">
        <f t="shared" ref="G196:G259" si="7">E196*F196</f>
        <v>2275</v>
      </c>
      <c r="H196" s="3">
        <f>VLOOKUP(D196,'Bu Erta'!$C$2:$F$66,4,0)*F196</f>
        <v>2340</v>
      </c>
    </row>
    <row r="197" spans="1:8" x14ac:dyDescent="0.35">
      <c r="B197" t="s">
        <v>76</v>
      </c>
      <c r="D197" t="s">
        <v>69</v>
      </c>
      <c r="E197" s="3">
        <f>VLOOKUP(D197,'Bu Erta'!$C$2:$E$66,3,0)</f>
        <v>2500</v>
      </c>
      <c r="F197">
        <v>0.15</v>
      </c>
      <c r="G197" s="3">
        <f t="shared" si="7"/>
        <v>375</v>
      </c>
      <c r="H197" s="3">
        <f>VLOOKUP(D197,'Bu Erta'!$C$2:$F$66,4,0)*F197</f>
        <v>450</v>
      </c>
    </row>
    <row r="198" spans="1:8" x14ac:dyDescent="0.35">
      <c r="B198" t="s">
        <v>76</v>
      </c>
      <c r="D198" t="s">
        <v>7</v>
      </c>
      <c r="E198" s="3">
        <f>VLOOKUP(D198,'Bu Erta'!$C$2:$E$66,3,0)</f>
        <v>1400</v>
      </c>
      <c r="F198">
        <v>4.05</v>
      </c>
      <c r="G198" s="3">
        <f t="shared" si="7"/>
        <v>5670</v>
      </c>
      <c r="H198" s="3">
        <f>VLOOKUP(D198,'Bu Erta'!$C$2:$F$66,4,0)*F198</f>
        <v>6480</v>
      </c>
    </row>
    <row r="199" spans="1:8" x14ac:dyDescent="0.35">
      <c r="B199" t="s">
        <v>76</v>
      </c>
      <c r="D199" t="s">
        <v>19</v>
      </c>
      <c r="E199" s="3">
        <f>VLOOKUP(D199,'Bu Erta'!$C$2:$E$66,3,0)</f>
        <v>200</v>
      </c>
      <c r="F199">
        <v>1.5</v>
      </c>
      <c r="G199" s="3">
        <f t="shared" si="7"/>
        <v>300</v>
      </c>
      <c r="H199" s="3">
        <f>VLOOKUP(D199,'Bu Erta'!$C$2:$F$66,4,0)*F199</f>
        <v>450</v>
      </c>
    </row>
    <row r="200" spans="1:8" x14ac:dyDescent="0.35">
      <c r="B200" t="s">
        <v>76</v>
      </c>
      <c r="D200" t="s">
        <v>23</v>
      </c>
      <c r="E200" s="3">
        <f>VLOOKUP(D200,'Bu Erta'!$C$2:$E$66,3,0)</f>
        <v>300</v>
      </c>
      <c r="F200">
        <v>1.25</v>
      </c>
      <c r="G200" s="3">
        <f t="shared" si="7"/>
        <v>375</v>
      </c>
      <c r="H200" s="3">
        <f>VLOOKUP(D200,'Bu Erta'!$C$2:$F$66,4,0)*F200</f>
        <v>500</v>
      </c>
    </row>
    <row r="201" spans="1:8" x14ac:dyDescent="0.35">
      <c r="B201" t="s">
        <v>76</v>
      </c>
      <c r="D201" t="s">
        <v>88</v>
      </c>
      <c r="E201" s="3">
        <f>VLOOKUP(D201,'Bu Erta'!$C$2:$E$66,3,0)</f>
        <v>300</v>
      </c>
      <c r="F201">
        <v>0.35</v>
      </c>
      <c r="G201" s="3">
        <f t="shared" si="7"/>
        <v>105</v>
      </c>
      <c r="H201" s="3">
        <f>VLOOKUP(D201,'Bu Erta'!$C$2:$F$66,4,0)*F201</f>
        <v>140</v>
      </c>
    </row>
    <row r="202" spans="1:8" x14ac:dyDescent="0.35">
      <c r="A202" s="5">
        <v>31</v>
      </c>
      <c r="B202" t="s">
        <v>136</v>
      </c>
      <c r="C202" s="1">
        <v>4</v>
      </c>
      <c r="D202" t="s">
        <v>27</v>
      </c>
      <c r="E202" s="3">
        <f>VLOOKUP(D202,'Bu Erta'!$C$2:$E$66,3,0)</f>
        <v>2800</v>
      </c>
      <c r="F202">
        <f>1.55+1</f>
        <v>2.5499999999999998</v>
      </c>
      <c r="G202" s="3">
        <f t="shared" si="7"/>
        <v>7139.9999999999991</v>
      </c>
      <c r="H202" s="3">
        <f>VLOOKUP(D202,'Bu Erta'!$C$2:$F$66,4,0)*F202</f>
        <v>7904.9999999999991</v>
      </c>
    </row>
    <row r="203" spans="1:8" x14ac:dyDescent="0.35">
      <c r="B203" t="s">
        <v>136</v>
      </c>
      <c r="D203" t="s">
        <v>34</v>
      </c>
      <c r="E203" s="3">
        <f>VLOOKUP(D203,'Bu Erta'!$C$2:$E$66,3,0)</f>
        <v>3500</v>
      </c>
      <c r="F203">
        <v>0.55000000000000004</v>
      </c>
      <c r="G203" s="3">
        <f t="shared" si="7"/>
        <v>1925.0000000000002</v>
      </c>
      <c r="H203" s="3">
        <f>VLOOKUP(D203,'Bu Erta'!$C$2:$F$66,4,0)*F203</f>
        <v>1980.0000000000002</v>
      </c>
    </row>
    <row r="204" spans="1:8" x14ac:dyDescent="0.35">
      <c r="B204" t="s">
        <v>136</v>
      </c>
      <c r="D204" t="s">
        <v>7</v>
      </c>
      <c r="E204" s="3">
        <f>VLOOKUP(D204,'Bu Erta'!$C$2:$E$66,3,0)</f>
        <v>1400</v>
      </c>
      <c r="F204">
        <f>1.65+0.7</f>
        <v>2.3499999999999996</v>
      </c>
      <c r="G204" s="3">
        <f t="shared" si="7"/>
        <v>3289.9999999999995</v>
      </c>
      <c r="H204" s="3">
        <f>VLOOKUP(D204,'Bu Erta'!$C$2:$F$66,4,0)*F204</f>
        <v>3759.9999999999995</v>
      </c>
    </row>
    <row r="205" spans="1:8" x14ac:dyDescent="0.35">
      <c r="B205" t="s">
        <v>136</v>
      </c>
      <c r="D205" t="s">
        <v>19</v>
      </c>
      <c r="E205" s="3">
        <f>VLOOKUP(D205,'Bu Erta'!$C$2:$E$66,3,0)</f>
        <v>200</v>
      </c>
      <c r="F205">
        <v>0.65</v>
      </c>
      <c r="G205" s="3">
        <f t="shared" si="7"/>
        <v>130</v>
      </c>
      <c r="H205" s="3">
        <f>VLOOKUP(D205,'Bu Erta'!$C$2:$F$66,4,0)*F205</f>
        <v>195</v>
      </c>
    </row>
    <row r="206" spans="1:8" x14ac:dyDescent="0.35">
      <c r="B206" t="s">
        <v>136</v>
      </c>
      <c r="D206" t="s">
        <v>88</v>
      </c>
      <c r="E206" s="3">
        <f>VLOOKUP(D206,'Bu Erta'!$C$2:$E$66,3,0)</f>
        <v>300</v>
      </c>
      <c r="F206">
        <v>0.8</v>
      </c>
      <c r="G206" s="3">
        <f t="shared" si="7"/>
        <v>240</v>
      </c>
      <c r="H206" s="3">
        <f>VLOOKUP(D206,'Bu Erta'!$C$2:$F$66,4,0)*F206</f>
        <v>320</v>
      </c>
    </row>
    <row r="207" spans="1:8" x14ac:dyDescent="0.35">
      <c r="B207" t="s">
        <v>136</v>
      </c>
      <c r="D207" t="s">
        <v>41</v>
      </c>
      <c r="E207" s="3">
        <f>VLOOKUP(D207,'Bu Erta'!$C$2:$E$66,3,0)</f>
        <v>1500</v>
      </c>
      <c r="F207">
        <v>0.15</v>
      </c>
      <c r="G207" s="3">
        <f t="shared" si="7"/>
        <v>225</v>
      </c>
      <c r="H207" s="3">
        <f>VLOOKUP(D207,'Bu Erta'!$C$2:$F$66,4,0)*F207</f>
        <v>300</v>
      </c>
    </row>
    <row r="208" spans="1:8" x14ac:dyDescent="0.35">
      <c r="B208" t="s">
        <v>136</v>
      </c>
      <c r="D208" t="s">
        <v>23</v>
      </c>
      <c r="E208" s="3">
        <f>VLOOKUP(D208,'Bu Erta'!$C$2:$E$66,3,0)</f>
        <v>300</v>
      </c>
      <c r="F208">
        <v>1.35</v>
      </c>
      <c r="G208" s="3">
        <f t="shared" si="7"/>
        <v>405</v>
      </c>
      <c r="H208" s="3">
        <f>VLOOKUP(D208,'Bu Erta'!$C$2:$F$66,4,0)*F208</f>
        <v>540</v>
      </c>
    </row>
    <row r="209" spans="1:8" x14ac:dyDescent="0.35">
      <c r="B209" t="s">
        <v>136</v>
      </c>
      <c r="D209" t="s">
        <v>61</v>
      </c>
      <c r="E209" s="3">
        <f>VLOOKUP(D209,'Bu Erta'!$C$2:$E$66,3,0)</f>
        <v>800</v>
      </c>
      <c r="F209">
        <v>0.15</v>
      </c>
      <c r="G209" s="3">
        <f t="shared" si="7"/>
        <v>120</v>
      </c>
      <c r="H209" s="3">
        <f>VLOOKUP(D209,'Bu Erta'!$C$2:$F$66,4,0)*F209</f>
        <v>135</v>
      </c>
    </row>
    <row r="210" spans="1:8" x14ac:dyDescent="0.35">
      <c r="B210" t="s">
        <v>136</v>
      </c>
      <c r="D210" t="s">
        <v>70</v>
      </c>
      <c r="E210" s="3">
        <f>VLOOKUP(D210,'Bu Erta'!$C$2:$E$66,3,0)</f>
        <v>3500</v>
      </c>
      <c r="F210">
        <v>0.2</v>
      </c>
      <c r="G210" s="3">
        <f t="shared" si="7"/>
        <v>700</v>
      </c>
      <c r="H210" s="3">
        <f>VLOOKUP(D210,'Bu Erta'!$C$2:$F$66,4,0)*F210</f>
        <v>800</v>
      </c>
    </row>
    <row r="211" spans="1:8" x14ac:dyDescent="0.35">
      <c r="B211" t="s">
        <v>136</v>
      </c>
      <c r="D211" t="s">
        <v>69</v>
      </c>
      <c r="E211" s="3">
        <f>VLOOKUP(D211,'Bu Erta'!$C$2:$E$66,3,0)</f>
        <v>2500</v>
      </c>
      <c r="F211">
        <v>0.1</v>
      </c>
      <c r="G211" s="3">
        <f t="shared" si="7"/>
        <v>250</v>
      </c>
      <c r="H211" s="3">
        <f>VLOOKUP(D211,'Bu Erta'!$C$2:$F$66,4,0)*F211</f>
        <v>300</v>
      </c>
    </row>
    <row r="212" spans="1:8" x14ac:dyDescent="0.35">
      <c r="A212" s="5">
        <v>32</v>
      </c>
      <c r="B212" t="s">
        <v>98</v>
      </c>
      <c r="C212" s="1">
        <v>2</v>
      </c>
      <c r="D212" t="s">
        <v>44</v>
      </c>
      <c r="E212" s="3">
        <f>VLOOKUP(D212,'Bu Erta'!$C$2:$E$66,3,0)</f>
        <v>400</v>
      </c>
      <c r="F212">
        <v>0.35</v>
      </c>
      <c r="G212" s="3">
        <f t="shared" si="7"/>
        <v>140</v>
      </c>
      <c r="H212" s="3">
        <f>VLOOKUP(D212,'Bu Erta'!$C$2:$F$66,4,0)*F212</f>
        <v>175</v>
      </c>
    </row>
    <row r="213" spans="1:8" x14ac:dyDescent="0.35">
      <c r="B213" t="s">
        <v>98</v>
      </c>
      <c r="D213" t="s">
        <v>88</v>
      </c>
      <c r="E213" s="3">
        <f>VLOOKUP(D213,'Bu Erta'!$C$2:$E$66,3,0)</f>
        <v>300</v>
      </c>
      <c r="F213">
        <v>0.5</v>
      </c>
      <c r="G213" s="3">
        <f t="shared" si="7"/>
        <v>150</v>
      </c>
      <c r="H213" s="3">
        <f>VLOOKUP(D213,'Bu Erta'!$C$2:$F$66,4,0)*F213</f>
        <v>200</v>
      </c>
    </row>
    <row r="214" spans="1:8" x14ac:dyDescent="0.35">
      <c r="B214" t="s">
        <v>98</v>
      </c>
      <c r="D214" t="s">
        <v>37</v>
      </c>
      <c r="E214" s="3">
        <f>VLOOKUP(D214,'Bu Erta'!$C$2:$E$66,3,0)</f>
        <v>1600</v>
      </c>
      <c r="F214">
        <v>0.3</v>
      </c>
      <c r="G214" s="3">
        <f t="shared" si="7"/>
        <v>480</v>
      </c>
      <c r="H214" s="3">
        <f>VLOOKUP(D214,'Bu Erta'!$C$2:$F$66,4,0)*F214</f>
        <v>600</v>
      </c>
    </row>
    <row r="215" spans="1:8" x14ac:dyDescent="0.35">
      <c r="B215" t="s">
        <v>98</v>
      </c>
      <c r="D215" t="s">
        <v>69</v>
      </c>
      <c r="E215" s="3">
        <f>VLOOKUP(D215,'Bu Erta'!$C$2:$E$66,3,0)</f>
        <v>2500</v>
      </c>
      <c r="F215">
        <v>0.3</v>
      </c>
      <c r="G215" s="3">
        <f t="shared" si="7"/>
        <v>750</v>
      </c>
      <c r="H215" s="3">
        <f>VLOOKUP(D215,'Bu Erta'!$C$2:$F$66,4,0)*F215</f>
        <v>900</v>
      </c>
    </row>
    <row r="216" spans="1:8" x14ac:dyDescent="0.35">
      <c r="B216" t="s">
        <v>98</v>
      </c>
      <c r="D216" t="s">
        <v>23</v>
      </c>
      <c r="E216" s="3">
        <f>VLOOKUP(D216,'Bu Erta'!$C$2:$E$66,3,0)</f>
        <v>300</v>
      </c>
      <c r="F216">
        <v>0.75</v>
      </c>
      <c r="G216" s="3">
        <f t="shared" si="7"/>
        <v>225</v>
      </c>
      <c r="H216" s="3">
        <f>VLOOKUP(D216,'Bu Erta'!$C$2:$F$66,4,0)*F216</f>
        <v>300</v>
      </c>
    </row>
    <row r="217" spans="1:8" x14ac:dyDescent="0.35">
      <c r="B217" t="s">
        <v>98</v>
      </c>
      <c r="D217" t="s">
        <v>41</v>
      </c>
      <c r="E217" s="3">
        <f>VLOOKUP(D217,'Bu Erta'!$C$2:$E$66,3,0)</f>
        <v>1500</v>
      </c>
      <c r="F217">
        <v>0.3</v>
      </c>
      <c r="G217" s="3">
        <f t="shared" si="7"/>
        <v>450</v>
      </c>
      <c r="H217" s="3">
        <f>VLOOKUP(D217,'Bu Erta'!$C$2:$F$66,4,0)*F217</f>
        <v>600</v>
      </c>
    </row>
    <row r="218" spans="1:8" x14ac:dyDescent="0.35">
      <c r="B218" t="s">
        <v>98</v>
      </c>
      <c r="D218" t="s">
        <v>34</v>
      </c>
      <c r="E218" s="3">
        <f>VLOOKUP(D218,'Bu Erta'!$C$2:$E$66,3,0)</f>
        <v>3500</v>
      </c>
      <c r="F218">
        <v>0.35</v>
      </c>
      <c r="G218" s="3">
        <f t="shared" si="7"/>
        <v>1225</v>
      </c>
      <c r="H218" s="3">
        <f>VLOOKUP(D218,'Bu Erta'!$C$2:$F$66,4,0)*F218</f>
        <v>1260</v>
      </c>
    </row>
    <row r="219" spans="1:8" x14ac:dyDescent="0.35">
      <c r="B219" t="s">
        <v>98</v>
      </c>
      <c r="D219" t="s">
        <v>7</v>
      </c>
      <c r="E219" s="3">
        <f>VLOOKUP(D219,'Bu Erta'!$C$2:$E$66,3,0)</f>
        <v>1400</v>
      </c>
      <c r="F219">
        <f>1.05+1.85</f>
        <v>2.9000000000000004</v>
      </c>
      <c r="G219" s="3">
        <f t="shared" si="7"/>
        <v>4060.0000000000005</v>
      </c>
      <c r="H219" s="3">
        <f>VLOOKUP(D219,'Bu Erta'!$C$2:$F$66,4,0)*F219</f>
        <v>4640.0000000000009</v>
      </c>
    </row>
    <row r="220" spans="1:8" x14ac:dyDescent="0.35">
      <c r="B220" t="s">
        <v>98</v>
      </c>
      <c r="D220" t="s">
        <v>24</v>
      </c>
      <c r="E220" s="3">
        <f>VLOOKUP(D220,'Bu Erta'!$C$2:$E$66,3,0)</f>
        <v>150</v>
      </c>
      <c r="F220">
        <v>1.1499999999999999</v>
      </c>
      <c r="G220" s="3">
        <f t="shared" si="7"/>
        <v>172.5</v>
      </c>
      <c r="H220" s="3">
        <f>VLOOKUP(D220,'Bu Erta'!$C$2:$F$66,4,0)*F220</f>
        <v>229.99999999999997</v>
      </c>
    </row>
    <row r="221" spans="1:8" x14ac:dyDescent="0.35">
      <c r="B221" t="s">
        <v>98</v>
      </c>
      <c r="D221" t="s">
        <v>19</v>
      </c>
      <c r="E221" s="3">
        <f>VLOOKUP(D221,'Bu Erta'!$C$2:$E$66,3,0)</f>
        <v>200</v>
      </c>
      <c r="F221">
        <v>1.25</v>
      </c>
      <c r="G221" s="3">
        <f t="shared" si="7"/>
        <v>250</v>
      </c>
      <c r="H221" s="3">
        <f>VLOOKUP(D221,'Bu Erta'!$C$2:$F$66,4,0)*F221</f>
        <v>375</v>
      </c>
    </row>
    <row r="222" spans="1:8" x14ac:dyDescent="0.35">
      <c r="B222" t="s">
        <v>98</v>
      </c>
      <c r="D222" t="s">
        <v>27</v>
      </c>
      <c r="E222" s="3">
        <f>VLOOKUP(D222,'Bu Erta'!$C$2:$E$66,3,0)</f>
        <v>2800</v>
      </c>
      <c r="F222">
        <v>0.85</v>
      </c>
      <c r="G222" s="3">
        <f t="shared" si="7"/>
        <v>2380</v>
      </c>
      <c r="H222" s="3">
        <f>VLOOKUP(D222,'Bu Erta'!$C$2:$F$66,4,0)*F222</f>
        <v>2635</v>
      </c>
    </row>
    <row r="223" spans="1:8" x14ac:dyDescent="0.35">
      <c r="B223" t="s">
        <v>98</v>
      </c>
      <c r="D223" t="s">
        <v>42</v>
      </c>
      <c r="E223" s="3">
        <f>VLOOKUP(D223,'Bu Erta'!$C$2:$E$66,3,0)</f>
        <v>1000</v>
      </c>
      <c r="F223">
        <v>0.3</v>
      </c>
      <c r="G223" s="3">
        <f t="shared" si="7"/>
        <v>300</v>
      </c>
      <c r="H223" s="3">
        <f>VLOOKUP(D223,'Bu Erta'!$C$2:$F$66,4,0)*F223</f>
        <v>360</v>
      </c>
    </row>
    <row r="224" spans="1:8" x14ac:dyDescent="0.35">
      <c r="A224" s="5">
        <v>33</v>
      </c>
      <c r="B224" t="s">
        <v>118</v>
      </c>
      <c r="C224" s="1">
        <v>4</v>
      </c>
      <c r="D224" t="s">
        <v>25</v>
      </c>
      <c r="E224" s="3">
        <f>VLOOKUP(D224,'Bu Erta'!$C$2:$E$66,3,0)</f>
        <v>1600</v>
      </c>
      <c r="F224">
        <v>0.45</v>
      </c>
      <c r="G224" s="3">
        <f t="shared" si="7"/>
        <v>720</v>
      </c>
      <c r="H224" s="3">
        <f>VLOOKUP(D224,'Bu Erta'!$C$2:$F$66,4,0)*F224</f>
        <v>765</v>
      </c>
    </row>
    <row r="225" spans="1:8" x14ac:dyDescent="0.35">
      <c r="B225" t="s">
        <v>118</v>
      </c>
      <c r="D225" t="s">
        <v>7</v>
      </c>
      <c r="E225" s="3">
        <f>VLOOKUP(D225,'Bu Erta'!$C$2:$E$66,3,0)</f>
        <v>1400</v>
      </c>
      <c r="F225">
        <v>1.8</v>
      </c>
      <c r="G225" s="3">
        <f t="shared" si="7"/>
        <v>2520</v>
      </c>
      <c r="H225" s="3">
        <f>VLOOKUP(D225,'Bu Erta'!$C$2:$F$66,4,0)*F225</f>
        <v>2880</v>
      </c>
    </row>
    <row r="226" spans="1:8" x14ac:dyDescent="0.35">
      <c r="B226" t="s">
        <v>118</v>
      </c>
      <c r="D226" t="s">
        <v>42</v>
      </c>
      <c r="E226" s="3">
        <f>VLOOKUP(D226,'Bu Erta'!$C$2:$E$66,3,0)</f>
        <v>1000</v>
      </c>
      <c r="F226">
        <v>1</v>
      </c>
      <c r="G226" s="3">
        <f t="shared" si="7"/>
        <v>1000</v>
      </c>
      <c r="H226" s="3">
        <f>VLOOKUP(D226,'Bu Erta'!$C$2:$F$66,4,0)*F226</f>
        <v>1200</v>
      </c>
    </row>
    <row r="227" spans="1:8" x14ac:dyDescent="0.35">
      <c r="B227" t="s">
        <v>118</v>
      </c>
      <c r="D227" t="s">
        <v>61</v>
      </c>
      <c r="E227" s="3">
        <f>VLOOKUP(D227,'Bu Erta'!$C$2:$E$66,3,0)</f>
        <v>800</v>
      </c>
      <c r="F227">
        <v>0.4</v>
      </c>
      <c r="G227" s="3">
        <f t="shared" si="7"/>
        <v>320</v>
      </c>
      <c r="H227" s="3">
        <f>VLOOKUP(D227,'Bu Erta'!$C$2:$F$66,4,0)*F227</f>
        <v>360</v>
      </c>
    </row>
    <row r="228" spans="1:8" x14ac:dyDescent="0.35">
      <c r="B228" t="s">
        <v>118</v>
      </c>
      <c r="D228" t="s">
        <v>88</v>
      </c>
      <c r="E228" s="3">
        <f>VLOOKUP(D228,'Bu Erta'!$C$2:$E$66,3,0)</f>
        <v>300</v>
      </c>
      <c r="F228">
        <v>0.85</v>
      </c>
      <c r="G228" s="3">
        <f t="shared" si="7"/>
        <v>255</v>
      </c>
      <c r="H228" s="3">
        <f>VLOOKUP(D228,'Bu Erta'!$C$2:$F$66,4,0)*F228</f>
        <v>340</v>
      </c>
    </row>
    <row r="229" spans="1:8" x14ac:dyDescent="0.35">
      <c r="B229" t="s">
        <v>118</v>
      </c>
      <c r="D229" t="s">
        <v>19</v>
      </c>
      <c r="E229" s="3">
        <f>VLOOKUP(D229,'Bu Erta'!$C$2:$E$66,3,0)</f>
        <v>200</v>
      </c>
      <c r="F229">
        <v>0.55000000000000004</v>
      </c>
      <c r="G229" s="3">
        <f t="shared" si="7"/>
        <v>110.00000000000001</v>
      </c>
      <c r="H229" s="3">
        <f>VLOOKUP(D229,'Bu Erta'!$C$2:$F$66,4,0)*F229</f>
        <v>165</v>
      </c>
    </row>
    <row r="230" spans="1:8" x14ac:dyDescent="0.35">
      <c r="A230" s="5">
        <v>34</v>
      </c>
      <c r="B230" t="s">
        <v>5</v>
      </c>
      <c r="C230" s="1">
        <v>2</v>
      </c>
      <c r="D230" t="s">
        <v>25</v>
      </c>
      <c r="E230" s="3">
        <f>VLOOKUP(D230,'Bu Erta'!$C$2:$E$66,3,0)</f>
        <v>1600</v>
      </c>
      <c r="F230">
        <f>1.65+0.3</f>
        <v>1.95</v>
      </c>
      <c r="G230" s="3">
        <f t="shared" si="7"/>
        <v>3120</v>
      </c>
      <c r="H230" s="3">
        <f>VLOOKUP(D230,'Bu Erta'!$C$2:$F$66,4,0)*F230</f>
        <v>3315</v>
      </c>
    </row>
    <row r="231" spans="1:8" x14ac:dyDescent="0.35">
      <c r="B231" t="s">
        <v>5</v>
      </c>
      <c r="D231" t="s">
        <v>42</v>
      </c>
      <c r="E231" s="3">
        <f>VLOOKUP(D231,'Bu Erta'!$C$2:$E$66,3,0)</f>
        <v>1000</v>
      </c>
      <c r="F231">
        <v>8.5500000000000007</v>
      </c>
      <c r="G231" s="3">
        <f t="shared" si="7"/>
        <v>8550</v>
      </c>
      <c r="H231" s="3">
        <f>VLOOKUP(D231,'Bu Erta'!$C$2:$F$66,4,0)*F231</f>
        <v>10260</v>
      </c>
    </row>
    <row r="232" spans="1:8" x14ac:dyDescent="0.35">
      <c r="B232" t="s">
        <v>5</v>
      </c>
      <c r="D232" t="s">
        <v>65</v>
      </c>
      <c r="E232" s="3">
        <f>VLOOKUP(D232,'Bu Erta'!$C$2:$E$66,3,0)</f>
        <v>150</v>
      </c>
      <c r="F232">
        <v>0.85</v>
      </c>
      <c r="G232" s="3">
        <f t="shared" si="7"/>
        <v>127.5</v>
      </c>
      <c r="H232" s="3">
        <f>VLOOKUP(D232,'Bu Erta'!$C$2:$F$66,4,0)*F232</f>
        <v>170</v>
      </c>
    </row>
    <row r="233" spans="1:8" x14ac:dyDescent="0.35">
      <c r="A233" s="5">
        <v>35</v>
      </c>
      <c r="B233" t="s">
        <v>111</v>
      </c>
      <c r="C233" s="5">
        <v>5</v>
      </c>
      <c r="D233" t="s">
        <v>23</v>
      </c>
      <c r="E233" s="3">
        <f>VLOOKUP(D233,'Bu Erta'!$C$2:$E$66,3,0)</f>
        <v>300</v>
      </c>
      <c r="F233">
        <f>0.9+1</f>
        <v>1.9</v>
      </c>
      <c r="G233" s="3">
        <f t="shared" si="7"/>
        <v>570</v>
      </c>
      <c r="H233" s="3">
        <f>VLOOKUP(D233,'Bu Erta'!$C$2:$F$66,4,0)*F233</f>
        <v>760</v>
      </c>
    </row>
    <row r="234" spans="1:8" x14ac:dyDescent="0.35">
      <c r="B234" t="s">
        <v>111</v>
      </c>
      <c r="D234" t="s">
        <v>42</v>
      </c>
      <c r="E234" s="3">
        <f>VLOOKUP(D234,'Bu Erta'!$C$2:$E$66,3,0)</f>
        <v>1000</v>
      </c>
      <c r="F234">
        <v>0.25</v>
      </c>
      <c r="G234" s="3">
        <f t="shared" si="7"/>
        <v>250</v>
      </c>
      <c r="H234" s="3">
        <f>VLOOKUP(D234,'Bu Erta'!$C$2:$F$66,4,0)*F234</f>
        <v>300</v>
      </c>
    </row>
    <row r="235" spans="1:8" x14ac:dyDescent="0.35">
      <c r="B235" t="s">
        <v>111</v>
      </c>
      <c r="D235" t="s">
        <v>24</v>
      </c>
      <c r="E235" s="3">
        <f>VLOOKUP(D235,'Bu Erta'!$C$2:$E$66,3,0)</f>
        <v>150</v>
      </c>
      <c r="F235">
        <f>0.8+0.35</f>
        <v>1.1499999999999999</v>
      </c>
      <c r="G235" s="3">
        <f t="shared" si="7"/>
        <v>172.5</v>
      </c>
      <c r="H235" s="3">
        <f>VLOOKUP(D235,'Bu Erta'!$C$2:$F$66,4,0)*F235</f>
        <v>229.99999999999997</v>
      </c>
    </row>
    <row r="236" spans="1:8" x14ac:dyDescent="0.35">
      <c r="B236" t="s">
        <v>111</v>
      </c>
      <c r="D236" t="s">
        <v>19</v>
      </c>
      <c r="E236" s="3">
        <f>VLOOKUP(D236,'Bu Erta'!$C$2:$E$66,3,0)</f>
        <v>200</v>
      </c>
      <c r="F236">
        <f>1.05+0.4+0.35+0.5+0.75</f>
        <v>3.0500000000000003</v>
      </c>
      <c r="G236" s="3">
        <f t="shared" si="7"/>
        <v>610</v>
      </c>
      <c r="H236" s="3">
        <f>VLOOKUP(D236,'Bu Erta'!$C$2:$F$66,4,0)*F236</f>
        <v>915.00000000000011</v>
      </c>
    </row>
    <row r="237" spans="1:8" x14ac:dyDescent="0.35">
      <c r="B237" t="s">
        <v>111</v>
      </c>
      <c r="D237" t="s">
        <v>88</v>
      </c>
      <c r="E237" s="3">
        <f>VLOOKUP(D237,'Bu Erta'!$C$2:$E$66,3,0)</f>
        <v>300</v>
      </c>
      <c r="F237">
        <f>0.35+0.5</f>
        <v>0.85</v>
      </c>
      <c r="G237" s="3">
        <f t="shared" si="7"/>
        <v>255</v>
      </c>
      <c r="H237" s="3">
        <f>VLOOKUP(D237,'Bu Erta'!$C$2:$F$66,4,0)*F237</f>
        <v>340</v>
      </c>
    </row>
    <row r="238" spans="1:8" x14ac:dyDescent="0.35">
      <c r="B238" t="s">
        <v>111</v>
      </c>
      <c r="D238" t="s">
        <v>31</v>
      </c>
      <c r="E238" s="3">
        <f>VLOOKUP(D238,'Bu Erta'!$C$2:$E$66,3,0)</f>
        <v>1000</v>
      </c>
      <c r="F238">
        <v>0.65</v>
      </c>
      <c r="G238" s="3">
        <f t="shared" si="7"/>
        <v>650</v>
      </c>
      <c r="H238" s="3">
        <f>VLOOKUP(D238,'Bu Erta'!$C$2:$F$66,4,0)*F238</f>
        <v>715</v>
      </c>
    </row>
    <row r="239" spans="1:8" x14ac:dyDescent="0.35">
      <c r="B239" t="s">
        <v>111</v>
      </c>
      <c r="D239" t="s">
        <v>65</v>
      </c>
      <c r="E239" s="3">
        <f>VLOOKUP(D239,'Bu Erta'!$C$2:$E$66,3,0)</f>
        <v>150</v>
      </c>
      <c r="F239">
        <v>0.15</v>
      </c>
      <c r="G239" s="3">
        <f t="shared" si="7"/>
        <v>22.5</v>
      </c>
      <c r="H239" s="3">
        <f>VLOOKUP(D239,'Bu Erta'!$C$2:$F$66,4,0)*F239</f>
        <v>30</v>
      </c>
    </row>
    <row r="240" spans="1:8" x14ac:dyDescent="0.35">
      <c r="B240" t="s">
        <v>111</v>
      </c>
      <c r="D240" t="s">
        <v>27</v>
      </c>
      <c r="E240" s="3">
        <f>VLOOKUP(D240,'Bu Erta'!$C$2:$E$66,3,0)</f>
        <v>2800</v>
      </c>
      <c r="F240">
        <v>1.6</v>
      </c>
      <c r="G240" s="3">
        <f t="shared" si="7"/>
        <v>4480</v>
      </c>
      <c r="H240" s="3">
        <f>VLOOKUP(D240,'Bu Erta'!$C$2:$F$66,4,0)*F240</f>
        <v>4960</v>
      </c>
    </row>
    <row r="241" spans="1:8" x14ac:dyDescent="0.35">
      <c r="A241" s="5">
        <v>36</v>
      </c>
      <c r="B241" t="s">
        <v>117</v>
      </c>
      <c r="C241" s="1">
        <v>2</v>
      </c>
      <c r="D241" t="s">
        <v>31</v>
      </c>
      <c r="E241" s="3">
        <f>VLOOKUP(D241,'Bu Erta'!$C$2:$E$66,3,0)</f>
        <v>1000</v>
      </c>
      <c r="F241">
        <f>0.45+0.4</f>
        <v>0.85000000000000009</v>
      </c>
      <c r="G241" s="3">
        <f t="shared" si="7"/>
        <v>850.00000000000011</v>
      </c>
      <c r="H241" s="3">
        <f>VLOOKUP(D241,'Bu Erta'!$C$2:$F$66,4,0)*F241</f>
        <v>935.00000000000011</v>
      </c>
    </row>
    <row r="242" spans="1:8" x14ac:dyDescent="0.35">
      <c r="B242" t="s">
        <v>117</v>
      </c>
      <c r="D242" t="s">
        <v>70</v>
      </c>
      <c r="E242" s="3">
        <f>VLOOKUP(D242,'Bu Erta'!$C$2:$E$66,3,0)</f>
        <v>3500</v>
      </c>
      <c r="F242">
        <v>0.15</v>
      </c>
      <c r="G242" s="3">
        <f t="shared" si="7"/>
        <v>525</v>
      </c>
      <c r="H242" s="3">
        <f>VLOOKUP(D242,'Bu Erta'!$C$2:$F$66,4,0)*F242</f>
        <v>600</v>
      </c>
    </row>
    <row r="243" spans="1:8" x14ac:dyDescent="0.35">
      <c r="B243" t="s">
        <v>117</v>
      </c>
      <c r="D243" t="s">
        <v>6</v>
      </c>
      <c r="E243" s="3">
        <f>VLOOKUP(D243,'Bu Erta'!$C$2:$E$66,3,0)</f>
        <v>2000</v>
      </c>
      <c r="F243">
        <v>0.1</v>
      </c>
      <c r="G243" s="3">
        <f t="shared" si="7"/>
        <v>200</v>
      </c>
      <c r="H243" s="3">
        <f>VLOOKUP(D243,'Bu Erta'!$C$2:$F$66,4,0)*F243</f>
        <v>250</v>
      </c>
    </row>
    <row r="244" spans="1:8" x14ac:dyDescent="0.35">
      <c r="A244" s="5">
        <v>37</v>
      </c>
      <c r="B244" t="s">
        <v>135</v>
      </c>
      <c r="C244" s="1">
        <v>4</v>
      </c>
      <c r="D244" t="s">
        <v>88</v>
      </c>
      <c r="E244" s="3">
        <f>VLOOKUP(D244,'Bu Erta'!$C$2:$E$66,3,0)</f>
        <v>300</v>
      </c>
      <c r="F244">
        <v>0.75</v>
      </c>
      <c r="G244" s="3">
        <f t="shared" si="7"/>
        <v>225</v>
      </c>
      <c r="H244" s="3">
        <f>VLOOKUP(D244,'Bu Erta'!$C$2:$F$66,4,0)*F244</f>
        <v>300</v>
      </c>
    </row>
    <row r="245" spans="1:8" x14ac:dyDescent="0.35">
      <c r="B245" t="s">
        <v>135</v>
      </c>
      <c r="D245" t="s">
        <v>27</v>
      </c>
      <c r="E245" s="3">
        <f>VLOOKUP(D245,'Bu Erta'!$C$2:$E$66,3,0)</f>
        <v>2800</v>
      </c>
      <c r="F245">
        <f>0.4+0.4</f>
        <v>0.8</v>
      </c>
      <c r="G245" s="3">
        <f t="shared" si="7"/>
        <v>2240</v>
      </c>
      <c r="H245" s="3">
        <f>VLOOKUP(D245,'Bu Erta'!$C$2:$F$66,4,0)*F245</f>
        <v>2480</v>
      </c>
    </row>
    <row r="246" spans="1:8" x14ac:dyDescent="0.35">
      <c r="B246" t="s">
        <v>135</v>
      </c>
      <c r="D246" t="s">
        <v>24</v>
      </c>
      <c r="E246" s="3">
        <f>VLOOKUP(D246,'Bu Erta'!$C$2:$E$66,3,0)</f>
        <v>150</v>
      </c>
      <c r="F246">
        <v>1.1000000000000001</v>
      </c>
      <c r="G246" s="3">
        <f t="shared" si="7"/>
        <v>165</v>
      </c>
      <c r="H246" s="3">
        <f>VLOOKUP(D246,'Bu Erta'!$C$2:$F$66,4,0)*F246</f>
        <v>220.00000000000003</v>
      </c>
    </row>
    <row r="247" spans="1:8" x14ac:dyDescent="0.35">
      <c r="B247" t="s">
        <v>135</v>
      </c>
      <c r="D247" t="s">
        <v>69</v>
      </c>
      <c r="E247" s="3">
        <f>VLOOKUP(D247,'Bu Erta'!$C$2:$E$66,3,0)</f>
        <v>2500</v>
      </c>
      <c r="F247">
        <v>0.4</v>
      </c>
      <c r="G247" s="3">
        <f t="shared" si="7"/>
        <v>1000</v>
      </c>
      <c r="H247" s="3">
        <f>VLOOKUP(D247,'Bu Erta'!$C$2:$F$66,4,0)*F247</f>
        <v>1200</v>
      </c>
    </row>
    <row r="248" spans="1:8" x14ac:dyDescent="0.35">
      <c r="B248" t="s">
        <v>135</v>
      </c>
      <c r="D248" t="s">
        <v>7</v>
      </c>
      <c r="E248" s="3">
        <f>VLOOKUP(D248,'Bu Erta'!$C$2:$E$66,3,0)</f>
        <v>1400</v>
      </c>
      <c r="F248">
        <v>0.4</v>
      </c>
      <c r="G248" s="3">
        <f t="shared" si="7"/>
        <v>560</v>
      </c>
      <c r="H248" s="3">
        <f>VLOOKUP(D248,'Bu Erta'!$C$2:$F$66,4,0)*F248</f>
        <v>640</v>
      </c>
    </row>
    <row r="249" spans="1:8" x14ac:dyDescent="0.35">
      <c r="B249" t="s">
        <v>135</v>
      </c>
      <c r="D249" t="s">
        <v>41</v>
      </c>
      <c r="E249" s="3">
        <f>VLOOKUP(D249,'Bu Erta'!$C$2:$E$66,3,0)</f>
        <v>1500</v>
      </c>
      <c r="F249">
        <v>1.4</v>
      </c>
      <c r="G249" s="3">
        <f t="shared" si="7"/>
        <v>2100</v>
      </c>
      <c r="H249" s="3">
        <f>VLOOKUP(D249,'Bu Erta'!$C$2:$F$66,4,0)*F249</f>
        <v>2800</v>
      </c>
    </row>
    <row r="250" spans="1:8" x14ac:dyDescent="0.35">
      <c r="B250" t="s">
        <v>135</v>
      </c>
      <c r="D250" t="s">
        <v>19</v>
      </c>
      <c r="E250" s="3">
        <f>VLOOKUP(D250,'Bu Erta'!$C$2:$E$66,3,0)</f>
        <v>200</v>
      </c>
      <c r="F250">
        <v>3.2</v>
      </c>
      <c r="G250" s="3">
        <f t="shared" si="7"/>
        <v>640</v>
      </c>
      <c r="H250" s="3">
        <f>VLOOKUP(D250,'Bu Erta'!$C$2:$F$66,4,0)*F250</f>
        <v>960</v>
      </c>
    </row>
    <row r="251" spans="1:8" x14ac:dyDescent="0.35">
      <c r="B251" t="s">
        <v>135</v>
      </c>
      <c r="D251" t="s">
        <v>61</v>
      </c>
      <c r="E251" s="3">
        <f>VLOOKUP(D251,'Bu Erta'!$C$2:$E$66,3,0)</f>
        <v>800</v>
      </c>
      <c r="F251">
        <v>0.4</v>
      </c>
      <c r="G251" s="3">
        <f t="shared" si="7"/>
        <v>320</v>
      </c>
      <c r="H251" s="3">
        <f>VLOOKUP(D251,'Bu Erta'!$C$2:$F$66,4,0)*F251</f>
        <v>360</v>
      </c>
    </row>
    <row r="252" spans="1:8" x14ac:dyDescent="0.35">
      <c r="A252" s="5">
        <v>38</v>
      </c>
      <c r="B252" t="s">
        <v>139</v>
      </c>
      <c r="C252" s="1">
        <v>1</v>
      </c>
      <c r="D252" t="s">
        <v>23</v>
      </c>
      <c r="E252" s="3">
        <f>VLOOKUP(D252,'Bu Erta'!$C$2:$E$66,3,0)</f>
        <v>300</v>
      </c>
      <c r="F252">
        <v>0.6</v>
      </c>
      <c r="G252" s="3">
        <f t="shared" si="7"/>
        <v>180</v>
      </c>
      <c r="H252" s="3">
        <f>VLOOKUP(D252,'Bu Erta'!$C$2:$F$66,4,0)*F252</f>
        <v>240</v>
      </c>
    </row>
    <row r="253" spans="1:8" x14ac:dyDescent="0.35">
      <c r="B253" t="s">
        <v>139</v>
      </c>
      <c r="D253" t="s">
        <v>25</v>
      </c>
      <c r="E253" s="3">
        <f>VLOOKUP(D253,'Bu Erta'!$C$2:$E$66,3,0)</f>
        <v>1600</v>
      </c>
      <c r="F253">
        <v>0.4</v>
      </c>
      <c r="G253" s="3">
        <f t="shared" si="7"/>
        <v>640</v>
      </c>
      <c r="H253" s="3">
        <f>VLOOKUP(D253,'Bu Erta'!$C$2:$F$66,4,0)*F253</f>
        <v>680</v>
      </c>
    </row>
    <row r="254" spans="1:8" x14ac:dyDescent="0.35">
      <c r="B254" t="s">
        <v>139</v>
      </c>
      <c r="D254" t="s">
        <v>19</v>
      </c>
      <c r="E254" s="3">
        <f>VLOOKUP(D254,'Bu Erta'!$C$2:$E$66,3,0)</f>
        <v>200</v>
      </c>
      <c r="F254">
        <f>1.7+0.35+0.65+2.35+0.55</f>
        <v>5.6</v>
      </c>
      <c r="G254" s="3">
        <f t="shared" si="7"/>
        <v>1120</v>
      </c>
      <c r="H254" s="3">
        <f>VLOOKUP(D254,'Bu Erta'!$C$2:$F$66,4,0)*F254</f>
        <v>1680</v>
      </c>
    </row>
    <row r="255" spans="1:8" x14ac:dyDescent="0.35">
      <c r="B255" t="s">
        <v>139</v>
      </c>
      <c r="D255" t="s">
        <v>41</v>
      </c>
      <c r="E255" s="3">
        <f>VLOOKUP(D255,'Bu Erta'!$C$2:$E$66,3,0)</f>
        <v>1500</v>
      </c>
      <c r="F255">
        <v>0.2</v>
      </c>
      <c r="G255" s="3">
        <f t="shared" si="7"/>
        <v>300</v>
      </c>
      <c r="H255" s="3">
        <f>VLOOKUP(D255,'Bu Erta'!$C$2:$F$66,4,0)*F255</f>
        <v>400</v>
      </c>
    </row>
    <row r="256" spans="1:8" x14ac:dyDescent="0.35">
      <c r="B256" t="s">
        <v>139</v>
      </c>
      <c r="D256" t="s">
        <v>17</v>
      </c>
      <c r="E256" s="3">
        <f>VLOOKUP(D256,'Bu Erta'!$C$2:$E$66,3,0)</f>
        <v>8000</v>
      </c>
      <c r="F256">
        <v>0.15</v>
      </c>
      <c r="G256" s="3">
        <f t="shared" si="7"/>
        <v>1200</v>
      </c>
      <c r="H256" s="3">
        <f>VLOOKUP(D256,'Bu Erta'!$C$2:$F$66,4,0)*F256</f>
        <v>1275</v>
      </c>
    </row>
    <row r="257" spans="1:8" x14ac:dyDescent="0.35">
      <c r="B257" t="s">
        <v>139</v>
      </c>
      <c r="D257" t="s">
        <v>31</v>
      </c>
      <c r="E257" s="3">
        <f>VLOOKUP(D257,'Bu Erta'!$C$2:$E$66,3,0)</f>
        <v>1000</v>
      </c>
      <c r="F257">
        <v>0.25</v>
      </c>
      <c r="G257" s="3">
        <f t="shared" si="7"/>
        <v>250</v>
      </c>
      <c r="H257" s="3">
        <f>VLOOKUP(D257,'Bu Erta'!$C$2:$F$66,4,0)*F257</f>
        <v>275</v>
      </c>
    </row>
    <row r="258" spans="1:8" x14ac:dyDescent="0.35">
      <c r="B258" t="s">
        <v>139</v>
      </c>
      <c r="D258" t="s">
        <v>88</v>
      </c>
      <c r="E258" s="3">
        <f>VLOOKUP(D258,'Bu Erta'!$C$2:$E$66,3,0)</f>
        <v>300</v>
      </c>
      <c r="F258">
        <v>0.3</v>
      </c>
      <c r="G258" s="3">
        <f t="shared" si="7"/>
        <v>90</v>
      </c>
      <c r="H258" s="3">
        <f>VLOOKUP(D258,'Bu Erta'!$C$2:$F$66,4,0)*F258</f>
        <v>120</v>
      </c>
    </row>
    <row r="259" spans="1:8" x14ac:dyDescent="0.35">
      <c r="B259" t="s">
        <v>139</v>
      </c>
      <c r="D259" t="s">
        <v>7</v>
      </c>
      <c r="E259" s="3">
        <f>VLOOKUP(D259,'Bu Erta'!$C$2:$E$66,3,0)</f>
        <v>1400</v>
      </c>
      <c r="F259">
        <f>0.5+0.3</f>
        <v>0.8</v>
      </c>
      <c r="G259" s="3">
        <f t="shared" si="7"/>
        <v>1120</v>
      </c>
      <c r="H259" s="3">
        <f>VLOOKUP(D259,'Bu Erta'!$C$2:$F$66,4,0)*F259</f>
        <v>1280</v>
      </c>
    </row>
    <row r="260" spans="1:8" x14ac:dyDescent="0.35">
      <c r="A260" s="5">
        <v>39</v>
      </c>
      <c r="B260" t="s">
        <v>216</v>
      </c>
      <c r="C260" s="5">
        <v>2</v>
      </c>
      <c r="D260" t="s">
        <v>69</v>
      </c>
      <c r="E260" s="3">
        <f>VLOOKUP(D260,'Bu Erta'!$C$2:$E$66,3,0)</f>
        <v>2500</v>
      </c>
      <c r="F260">
        <v>0.2</v>
      </c>
      <c r="G260" s="3">
        <f t="shared" ref="G260:G323" si="8">E260*F260</f>
        <v>500</v>
      </c>
      <c r="H260" s="3">
        <f>VLOOKUP(D260,'Bu Erta'!$C$2:$F$66,4,0)*F260</f>
        <v>600</v>
      </c>
    </row>
    <row r="261" spans="1:8" x14ac:dyDescent="0.35">
      <c r="B261" t="s">
        <v>216</v>
      </c>
      <c r="D261" t="s">
        <v>41</v>
      </c>
      <c r="E261" s="3">
        <f>VLOOKUP(D261,'Bu Erta'!$C$2:$E$66,3,0)</f>
        <v>1500</v>
      </c>
      <c r="F261">
        <v>0.15</v>
      </c>
      <c r="G261" s="3">
        <f t="shared" si="8"/>
        <v>225</v>
      </c>
      <c r="H261" s="3">
        <f>VLOOKUP(D261,'Bu Erta'!$C$2:$F$66,4,0)*F261</f>
        <v>300</v>
      </c>
    </row>
    <row r="262" spans="1:8" x14ac:dyDescent="0.35">
      <c r="B262" t="s">
        <v>216</v>
      </c>
      <c r="D262" t="s">
        <v>23</v>
      </c>
      <c r="E262" s="3">
        <f>VLOOKUP(D262,'Bu Erta'!$C$2:$E$66,3,0)</f>
        <v>300</v>
      </c>
      <c r="F262">
        <v>1.05</v>
      </c>
      <c r="G262" s="3">
        <f t="shared" si="8"/>
        <v>315</v>
      </c>
      <c r="H262" s="3">
        <f>VLOOKUP(D262,'Bu Erta'!$C$2:$F$66,4,0)*F262</f>
        <v>420</v>
      </c>
    </row>
    <row r="263" spans="1:8" x14ac:dyDescent="0.35">
      <c r="B263" t="s">
        <v>216</v>
      </c>
      <c r="D263" t="s">
        <v>27</v>
      </c>
      <c r="E263" s="3">
        <f>VLOOKUP(D263,'Bu Erta'!$C$2:$E$66,3,0)</f>
        <v>2800</v>
      </c>
      <c r="F263">
        <v>0.4</v>
      </c>
      <c r="G263" s="3">
        <f t="shared" si="8"/>
        <v>1120</v>
      </c>
      <c r="H263" s="3">
        <f>VLOOKUP(D263,'Bu Erta'!$C$2:$F$66,4,0)*F263</f>
        <v>1240</v>
      </c>
    </row>
    <row r="264" spans="1:8" x14ac:dyDescent="0.35">
      <c r="B264" t="s">
        <v>216</v>
      </c>
      <c r="D264" t="s">
        <v>7</v>
      </c>
      <c r="E264" s="3">
        <f>VLOOKUP(D264,'Bu Erta'!$C$2:$E$66,3,0)</f>
        <v>1400</v>
      </c>
      <c r="F264">
        <v>0.3</v>
      </c>
      <c r="G264" s="3">
        <f t="shared" si="8"/>
        <v>420</v>
      </c>
      <c r="H264" s="3">
        <f>VLOOKUP(D264,'Bu Erta'!$C$2:$F$66,4,0)*F264</f>
        <v>480</v>
      </c>
    </row>
    <row r="265" spans="1:8" x14ac:dyDescent="0.35">
      <c r="B265" t="s">
        <v>216</v>
      </c>
      <c r="D265" t="s">
        <v>34</v>
      </c>
      <c r="E265" s="3">
        <f>VLOOKUP(D265,'Bu Erta'!$C$2:$E$66,3,0)</f>
        <v>3500</v>
      </c>
      <c r="F265">
        <v>0.2</v>
      </c>
      <c r="G265" s="3">
        <f t="shared" si="8"/>
        <v>700</v>
      </c>
      <c r="H265" s="3">
        <f>VLOOKUP(D265,'Bu Erta'!$C$2:$F$66,4,0)*F265</f>
        <v>720</v>
      </c>
    </row>
    <row r="266" spans="1:8" x14ac:dyDescent="0.35">
      <c r="B266" t="s">
        <v>216</v>
      </c>
      <c r="D266" t="s">
        <v>17</v>
      </c>
      <c r="E266" s="3">
        <f>VLOOKUP(D266,'Bu Erta'!$C$2:$E$66,3,0)</f>
        <v>8000</v>
      </c>
      <c r="F266">
        <v>0.4</v>
      </c>
      <c r="G266" s="3">
        <f t="shared" si="8"/>
        <v>3200</v>
      </c>
      <c r="H266" s="3">
        <f>VLOOKUP(D266,'Bu Erta'!$C$2:$F$66,4,0)*F266</f>
        <v>3400</v>
      </c>
    </row>
    <row r="267" spans="1:8" x14ac:dyDescent="0.35">
      <c r="A267" s="5">
        <v>40</v>
      </c>
      <c r="B267" t="s">
        <v>182</v>
      </c>
      <c r="C267" s="1">
        <v>4</v>
      </c>
      <c r="D267" t="s">
        <v>31</v>
      </c>
      <c r="E267" s="3">
        <f>VLOOKUP(D267,'Bu Erta'!$C$2:$E$66,3,0)</f>
        <v>1000</v>
      </c>
      <c r="F267">
        <f>2+0.85</f>
        <v>2.85</v>
      </c>
      <c r="G267" s="3">
        <f t="shared" si="8"/>
        <v>2850</v>
      </c>
      <c r="H267" s="3">
        <f>VLOOKUP(D267,'Bu Erta'!$C$2:$F$66,4,0)*F267</f>
        <v>3135</v>
      </c>
    </row>
    <row r="268" spans="1:8" x14ac:dyDescent="0.35">
      <c r="B268" t="s">
        <v>182</v>
      </c>
      <c r="D268" t="s">
        <v>42</v>
      </c>
      <c r="E268" s="3">
        <f>VLOOKUP(D268,'Bu Erta'!$C$2:$E$66,3,0)</f>
        <v>1000</v>
      </c>
      <c r="F268">
        <v>1.2</v>
      </c>
      <c r="G268" s="3">
        <f t="shared" si="8"/>
        <v>1200</v>
      </c>
      <c r="H268" s="3">
        <f>VLOOKUP(D268,'Bu Erta'!$C$2:$F$66,4,0)*F268</f>
        <v>1440</v>
      </c>
    </row>
    <row r="269" spans="1:8" x14ac:dyDescent="0.35">
      <c r="A269" s="5">
        <v>41</v>
      </c>
      <c r="B269" t="s">
        <v>95</v>
      </c>
      <c r="C269" s="1">
        <v>5</v>
      </c>
      <c r="D269" t="s">
        <v>61</v>
      </c>
      <c r="E269" s="3">
        <f>VLOOKUP(D269,'Bu Erta'!$C$2:$E$66,3,0)</f>
        <v>800</v>
      </c>
      <c r="F269">
        <v>0.9</v>
      </c>
      <c r="G269" s="3">
        <f t="shared" si="8"/>
        <v>720</v>
      </c>
      <c r="H269" s="3">
        <f>VLOOKUP(D269,'Bu Erta'!$C$2:$F$66,4,0)*F269</f>
        <v>810</v>
      </c>
    </row>
    <row r="270" spans="1:8" x14ac:dyDescent="0.35">
      <c r="B270" t="s">
        <v>95</v>
      </c>
      <c r="D270" t="s">
        <v>23</v>
      </c>
      <c r="E270" s="3">
        <f>VLOOKUP(D270,'Bu Erta'!$C$2:$E$66,3,0)</f>
        <v>300</v>
      </c>
      <c r="F270">
        <v>1.9</v>
      </c>
      <c r="G270" s="3">
        <f t="shared" si="8"/>
        <v>570</v>
      </c>
      <c r="H270" s="3">
        <f>VLOOKUP(D270,'Bu Erta'!$C$2:$F$66,4,0)*F270</f>
        <v>760</v>
      </c>
    </row>
    <row r="271" spans="1:8" x14ac:dyDescent="0.35">
      <c r="B271" t="s">
        <v>95</v>
      </c>
      <c r="D271" t="s">
        <v>41</v>
      </c>
      <c r="E271" s="3">
        <f>VLOOKUP(D271,'Bu Erta'!$C$2:$E$66,3,0)</f>
        <v>1500</v>
      </c>
      <c r="F271">
        <v>2</v>
      </c>
      <c r="G271" s="3">
        <f t="shared" si="8"/>
        <v>3000</v>
      </c>
      <c r="H271" s="3">
        <f>VLOOKUP(D271,'Bu Erta'!$C$2:$F$66,4,0)*F271</f>
        <v>4000</v>
      </c>
    </row>
    <row r="272" spans="1:8" x14ac:dyDescent="0.35">
      <c r="B272" t="s">
        <v>95</v>
      </c>
      <c r="D272" t="s">
        <v>56</v>
      </c>
      <c r="E272" s="3">
        <f>VLOOKUP(D272,'Bu Erta'!$C$2:$E$66,3,0)</f>
        <v>4000</v>
      </c>
      <c r="F272">
        <v>1.75</v>
      </c>
      <c r="G272" s="3">
        <f t="shared" si="8"/>
        <v>7000</v>
      </c>
      <c r="H272" s="3">
        <f>VLOOKUP(D272,'Bu Erta'!$C$2:$F$66,4,0)*F272</f>
        <v>9625</v>
      </c>
    </row>
    <row r="273" spans="1:8" x14ac:dyDescent="0.35">
      <c r="B273" t="s">
        <v>95</v>
      </c>
      <c r="D273" t="s">
        <v>24</v>
      </c>
      <c r="E273" s="3">
        <f>VLOOKUP(D273,'Bu Erta'!$C$2:$E$66,3,0)</f>
        <v>150</v>
      </c>
      <c r="F273">
        <v>0.95</v>
      </c>
      <c r="G273" s="3">
        <f t="shared" si="8"/>
        <v>142.5</v>
      </c>
      <c r="H273" s="3">
        <f>VLOOKUP(D273,'Bu Erta'!$C$2:$F$66,4,0)*F273</f>
        <v>190</v>
      </c>
    </row>
    <row r="274" spans="1:8" x14ac:dyDescent="0.35">
      <c r="B274" t="s">
        <v>95</v>
      </c>
      <c r="D274" t="s">
        <v>88</v>
      </c>
      <c r="E274" s="3">
        <f>VLOOKUP(D274,'Bu Erta'!$C$2:$E$66,3,0)</f>
        <v>300</v>
      </c>
      <c r="F274">
        <v>0.2</v>
      </c>
      <c r="G274" s="3">
        <f t="shared" si="8"/>
        <v>60</v>
      </c>
      <c r="H274" s="3">
        <f>VLOOKUP(D274,'Bu Erta'!$C$2:$F$66,4,0)*F274</f>
        <v>80</v>
      </c>
    </row>
    <row r="275" spans="1:8" x14ac:dyDescent="0.35">
      <c r="B275" t="s">
        <v>95</v>
      </c>
      <c r="D275" t="s">
        <v>19</v>
      </c>
      <c r="E275" s="3">
        <f>VLOOKUP(D275,'Bu Erta'!$C$2:$E$66,3,0)</f>
        <v>200</v>
      </c>
      <c r="F275">
        <f>0.2+0.1</f>
        <v>0.30000000000000004</v>
      </c>
      <c r="G275" s="3">
        <f t="shared" si="8"/>
        <v>60.000000000000007</v>
      </c>
      <c r="H275" s="3">
        <f>VLOOKUP(D275,'Bu Erta'!$C$2:$F$66,4,0)*F275</f>
        <v>90.000000000000014</v>
      </c>
    </row>
    <row r="276" spans="1:8" x14ac:dyDescent="0.35">
      <c r="B276" t="s">
        <v>95</v>
      </c>
      <c r="D276" t="s">
        <v>31</v>
      </c>
      <c r="E276" s="3">
        <f>VLOOKUP(D276,'Bu Erta'!$C$2:$E$66,3,0)</f>
        <v>1000</v>
      </c>
      <c r="F276">
        <v>1.85</v>
      </c>
      <c r="G276" s="3">
        <f t="shared" si="8"/>
        <v>1850</v>
      </c>
      <c r="H276" s="3">
        <f>VLOOKUP(D276,'Bu Erta'!$C$2:$F$66,4,0)*F276</f>
        <v>2035</v>
      </c>
    </row>
    <row r="277" spans="1:8" x14ac:dyDescent="0.35">
      <c r="B277" t="s">
        <v>95</v>
      </c>
      <c r="D277" t="s">
        <v>25</v>
      </c>
      <c r="E277" s="3">
        <f>VLOOKUP(D277,'Bu Erta'!$C$2:$E$66,3,0)</f>
        <v>1600</v>
      </c>
      <c r="F277">
        <v>0.05</v>
      </c>
      <c r="G277" s="3">
        <f t="shared" si="8"/>
        <v>80</v>
      </c>
      <c r="H277" s="3">
        <f>VLOOKUP(D277,'Bu Erta'!$C$2:$F$66,4,0)*F277</f>
        <v>85</v>
      </c>
    </row>
    <row r="278" spans="1:8" x14ac:dyDescent="0.35">
      <c r="A278" s="5">
        <v>42</v>
      </c>
      <c r="B278" t="s">
        <v>94</v>
      </c>
      <c r="C278" s="1">
        <v>4</v>
      </c>
      <c r="D278" t="s">
        <v>27</v>
      </c>
      <c r="E278" s="3">
        <f>VLOOKUP(D278,'Bu Erta'!$C$2:$E$66,3,0)</f>
        <v>2800</v>
      </c>
      <c r="F278">
        <v>0.9</v>
      </c>
      <c r="G278" s="3">
        <f t="shared" si="8"/>
        <v>2520</v>
      </c>
      <c r="H278" s="3">
        <f>VLOOKUP(D278,'Bu Erta'!$C$2:$F$66,4,0)*F278</f>
        <v>2790</v>
      </c>
    </row>
    <row r="279" spans="1:8" x14ac:dyDescent="0.35">
      <c r="B279" t="s">
        <v>94</v>
      </c>
      <c r="D279" t="s">
        <v>22</v>
      </c>
      <c r="E279" s="3">
        <f>VLOOKUP(D279,'Bu Erta'!$C$2:$E$66,3,0)</f>
        <v>2500</v>
      </c>
      <c r="F279">
        <v>1.25</v>
      </c>
      <c r="G279" s="3">
        <f t="shared" si="8"/>
        <v>3125</v>
      </c>
      <c r="H279" s="3">
        <f>VLOOKUP(D279,'Bu Erta'!$C$2:$F$66,4,0)*F279</f>
        <v>3750</v>
      </c>
    </row>
    <row r="280" spans="1:8" x14ac:dyDescent="0.35">
      <c r="B280" t="s">
        <v>94</v>
      </c>
      <c r="D280" t="s">
        <v>19</v>
      </c>
      <c r="E280" s="3">
        <f>VLOOKUP(D280,'Bu Erta'!$C$2:$E$66,3,0)</f>
        <v>200</v>
      </c>
      <c r="F280">
        <v>0.4</v>
      </c>
      <c r="G280" s="3">
        <f t="shared" si="8"/>
        <v>80</v>
      </c>
      <c r="H280" s="3">
        <f>VLOOKUP(D280,'Bu Erta'!$C$2:$F$66,4,0)*F280</f>
        <v>120</v>
      </c>
    </row>
    <row r="281" spans="1:8" x14ac:dyDescent="0.35">
      <c r="B281" t="s">
        <v>94</v>
      </c>
      <c r="D281" t="s">
        <v>61</v>
      </c>
      <c r="E281" s="3">
        <f>VLOOKUP(D281,'Bu Erta'!$C$2:$E$66,3,0)</f>
        <v>800</v>
      </c>
      <c r="F281">
        <v>0.25</v>
      </c>
      <c r="G281" s="3">
        <f t="shared" si="8"/>
        <v>200</v>
      </c>
      <c r="H281" s="3">
        <f>VLOOKUP(D281,'Bu Erta'!$C$2:$F$66,4,0)*F281</f>
        <v>225</v>
      </c>
    </row>
    <row r="282" spans="1:8" x14ac:dyDescent="0.35">
      <c r="B282" t="s">
        <v>94</v>
      </c>
      <c r="D282" t="s">
        <v>24</v>
      </c>
      <c r="E282" s="3">
        <f>VLOOKUP(D282,'Bu Erta'!$C$2:$E$66,3,0)</f>
        <v>150</v>
      </c>
      <c r="F282">
        <v>1.85</v>
      </c>
      <c r="G282" s="3">
        <f t="shared" si="8"/>
        <v>277.5</v>
      </c>
      <c r="H282" s="3">
        <f>VLOOKUP(D282,'Bu Erta'!$C$2:$F$66,4,0)*F282</f>
        <v>370</v>
      </c>
    </row>
    <row r="283" spans="1:8" x14ac:dyDescent="0.35">
      <c r="B283" t="s">
        <v>94</v>
      </c>
      <c r="D283" t="s">
        <v>31</v>
      </c>
      <c r="E283" s="3">
        <f>VLOOKUP(D283,'Bu Erta'!$C$2:$E$66,3,0)</f>
        <v>1000</v>
      </c>
      <c r="F283">
        <v>0.3</v>
      </c>
      <c r="G283" s="3">
        <f t="shared" si="8"/>
        <v>300</v>
      </c>
      <c r="H283" s="3">
        <f>VLOOKUP(D283,'Bu Erta'!$C$2:$F$66,4,0)*F283</f>
        <v>330</v>
      </c>
    </row>
    <row r="284" spans="1:8" x14ac:dyDescent="0.35">
      <c r="A284" s="5">
        <v>43</v>
      </c>
      <c r="B284" t="s">
        <v>132</v>
      </c>
      <c r="C284" s="1">
        <v>4</v>
      </c>
      <c r="D284" t="s">
        <v>61</v>
      </c>
      <c r="E284" s="3">
        <f>VLOOKUP(D284,'Bu Erta'!$C$2:$E$66,3,0)</f>
        <v>800</v>
      </c>
      <c r="F284">
        <v>0.3</v>
      </c>
      <c r="G284" s="3">
        <f t="shared" si="8"/>
        <v>240</v>
      </c>
      <c r="H284" s="3">
        <f>VLOOKUP(D284,'Bu Erta'!$C$2:$F$66,4,0)*F284</f>
        <v>270</v>
      </c>
    </row>
    <row r="285" spans="1:8" x14ac:dyDescent="0.35">
      <c r="B285" t="s">
        <v>132</v>
      </c>
      <c r="D285" t="s">
        <v>19</v>
      </c>
      <c r="E285" s="3">
        <f>VLOOKUP(D285,'Bu Erta'!$C$2:$E$66,3,0)</f>
        <v>200</v>
      </c>
      <c r="F285">
        <v>0.45</v>
      </c>
      <c r="G285" s="3">
        <f t="shared" si="8"/>
        <v>90</v>
      </c>
      <c r="H285" s="3">
        <f>VLOOKUP(D285,'Bu Erta'!$C$2:$F$66,4,0)*F285</f>
        <v>135</v>
      </c>
    </row>
    <row r="286" spans="1:8" x14ac:dyDescent="0.35">
      <c r="B286" t="s">
        <v>132</v>
      </c>
      <c r="D286" t="s">
        <v>88</v>
      </c>
      <c r="E286" s="3">
        <f>VLOOKUP(D286,'Bu Erta'!$C$2:$E$66,3,0)</f>
        <v>300</v>
      </c>
      <c r="F286">
        <v>0.2</v>
      </c>
      <c r="G286" s="3">
        <f t="shared" si="8"/>
        <v>60</v>
      </c>
      <c r="H286" s="3">
        <f>VLOOKUP(D286,'Bu Erta'!$C$2:$F$66,4,0)*F286</f>
        <v>80</v>
      </c>
    </row>
    <row r="287" spans="1:8" x14ac:dyDescent="0.35">
      <c r="B287" t="s">
        <v>132</v>
      </c>
      <c r="D287" t="s">
        <v>69</v>
      </c>
      <c r="E287" s="3">
        <f>VLOOKUP(D287,'Bu Erta'!$C$2:$E$66,3,0)</f>
        <v>2500</v>
      </c>
      <c r="F287">
        <v>0.2</v>
      </c>
      <c r="G287" s="3">
        <f t="shared" si="8"/>
        <v>500</v>
      </c>
      <c r="H287" s="3">
        <f>VLOOKUP(D287,'Bu Erta'!$C$2:$F$66,4,0)*F287</f>
        <v>600</v>
      </c>
    </row>
    <row r="288" spans="1:8" x14ac:dyDescent="0.35">
      <c r="B288" t="s">
        <v>132</v>
      </c>
      <c r="D288" t="s">
        <v>34</v>
      </c>
      <c r="E288" s="3">
        <f>VLOOKUP(D288,'Bu Erta'!$C$2:$E$66,3,0)</f>
        <v>3500</v>
      </c>
      <c r="F288">
        <v>0.15</v>
      </c>
      <c r="G288" s="3">
        <f t="shared" si="8"/>
        <v>525</v>
      </c>
      <c r="H288" s="3">
        <f>VLOOKUP(D288,'Bu Erta'!$C$2:$F$66,4,0)*F288</f>
        <v>540</v>
      </c>
    </row>
    <row r="289" spans="1:8" x14ac:dyDescent="0.35">
      <c r="B289" t="s">
        <v>132</v>
      </c>
      <c r="D289" t="s">
        <v>27</v>
      </c>
      <c r="E289" s="3">
        <f>VLOOKUP(D289,'Bu Erta'!$C$2:$E$66,3,0)</f>
        <v>2800</v>
      </c>
      <c r="F289">
        <v>0.15</v>
      </c>
      <c r="G289" s="3">
        <f t="shared" si="8"/>
        <v>420</v>
      </c>
      <c r="H289" s="3">
        <f>VLOOKUP(D289,'Bu Erta'!$C$2:$F$66,4,0)*F289</f>
        <v>465</v>
      </c>
    </row>
    <row r="290" spans="1:8" x14ac:dyDescent="0.35">
      <c r="B290" t="s">
        <v>132</v>
      </c>
      <c r="D290" t="s">
        <v>41</v>
      </c>
      <c r="E290" s="3">
        <f>VLOOKUP(D290,'Bu Erta'!$C$2:$E$66,3,0)</f>
        <v>1500</v>
      </c>
      <c r="F290">
        <v>0.7</v>
      </c>
      <c r="G290" s="3">
        <f t="shared" si="8"/>
        <v>1050</v>
      </c>
      <c r="H290" s="3">
        <f>VLOOKUP(D290,'Bu Erta'!$C$2:$F$66,4,0)*F290</f>
        <v>1400</v>
      </c>
    </row>
    <row r="291" spans="1:8" x14ac:dyDescent="0.35">
      <c r="A291" s="5">
        <v>44</v>
      </c>
      <c r="B291" t="s">
        <v>175</v>
      </c>
      <c r="C291" s="1">
        <v>2</v>
      </c>
      <c r="D291" t="s">
        <v>40</v>
      </c>
      <c r="E291" s="3">
        <f>VLOOKUP(D291,'Bu Erta'!$C$2:$E$66,3,0)</f>
        <v>1800</v>
      </c>
      <c r="F291">
        <v>1.55</v>
      </c>
      <c r="G291" s="3">
        <f t="shared" si="8"/>
        <v>2790</v>
      </c>
      <c r="H291" s="3">
        <f>VLOOKUP(D291,'Bu Erta'!$C$2:$F$66,4,0)*F291</f>
        <v>3100</v>
      </c>
    </row>
    <row r="292" spans="1:8" x14ac:dyDescent="0.35">
      <c r="B292" t="s">
        <v>175</v>
      </c>
      <c r="D292" t="s">
        <v>69</v>
      </c>
      <c r="E292" s="3">
        <f>VLOOKUP(D292,'Bu Erta'!$C$2:$E$66,3,0)</f>
        <v>2500</v>
      </c>
      <c r="F292">
        <v>0.1</v>
      </c>
      <c r="G292" s="3">
        <f t="shared" si="8"/>
        <v>250</v>
      </c>
      <c r="H292" s="3">
        <f>VLOOKUP(D292,'Bu Erta'!$C$2:$F$66,4,0)*F292</f>
        <v>300</v>
      </c>
    </row>
    <row r="293" spans="1:8" x14ac:dyDescent="0.35">
      <c r="B293" t="s">
        <v>175</v>
      </c>
      <c r="D293" t="s">
        <v>7</v>
      </c>
      <c r="E293" s="3">
        <f>VLOOKUP(D293,'Bu Erta'!$C$2:$E$66,3,0)</f>
        <v>1400</v>
      </c>
      <c r="F293">
        <v>0.25</v>
      </c>
      <c r="G293" s="3">
        <f t="shared" si="8"/>
        <v>350</v>
      </c>
      <c r="H293" s="3">
        <f>VLOOKUP(D293,'Bu Erta'!$C$2:$F$66,4,0)*F293</f>
        <v>400</v>
      </c>
    </row>
    <row r="294" spans="1:8" x14ac:dyDescent="0.35">
      <c r="B294" t="s">
        <v>175</v>
      </c>
      <c r="D294" t="s">
        <v>19</v>
      </c>
      <c r="E294" s="3">
        <f>VLOOKUP(D294,'Bu Erta'!$C$2:$E$66,3,0)</f>
        <v>200</v>
      </c>
      <c r="F294">
        <v>0.2</v>
      </c>
      <c r="G294" s="3">
        <f t="shared" si="8"/>
        <v>40</v>
      </c>
      <c r="H294" s="3">
        <f>VLOOKUP(D294,'Bu Erta'!$C$2:$F$66,4,0)*F294</f>
        <v>60</v>
      </c>
    </row>
    <row r="295" spans="1:8" x14ac:dyDescent="0.35">
      <c r="B295" t="s">
        <v>175</v>
      </c>
      <c r="D295" t="s">
        <v>27</v>
      </c>
      <c r="E295" s="3">
        <f>VLOOKUP(D295,'Bu Erta'!$C$2:$E$66,3,0)</f>
        <v>2800</v>
      </c>
      <c r="F295">
        <v>0.2</v>
      </c>
      <c r="G295" s="3">
        <f t="shared" si="8"/>
        <v>560</v>
      </c>
      <c r="H295" s="3">
        <f>VLOOKUP(D295,'Bu Erta'!$C$2:$F$66,4,0)*F295</f>
        <v>620</v>
      </c>
    </row>
    <row r="296" spans="1:8" x14ac:dyDescent="0.35">
      <c r="B296" t="s">
        <v>175</v>
      </c>
      <c r="D296" t="s">
        <v>41</v>
      </c>
      <c r="E296" s="3">
        <f>VLOOKUP(D296,'Bu Erta'!$C$2:$E$66,3,0)</f>
        <v>1500</v>
      </c>
      <c r="F296">
        <v>0.1</v>
      </c>
      <c r="G296" s="3">
        <f t="shared" si="8"/>
        <v>150</v>
      </c>
      <c r="H296" s="3">
        <f>VLOOKUP(D296,'Bu Erta'!$C$2:$F$66,4,0)*F296</f>
        <v>200</v>
      </c>
    </row>
    <row r="297" spans="1:8" x14ac:dyDescent="0.35">
      <c r="B297" t="s">
        <v>175</v>
      </c>
      <c r="D297" t="s">
        <v>23</v>
      </c>
      <c r="E297" s="3">
        <f>VLOOKUP(D297,'Bu Erta'!$C$2:$E$66,3,0)</f>
        <v>300</v>
      </c>
      <c r="F297">
        <v>0.25</v>
      </c>
      <c r="G297" s="3">
        <f t="shared" si="8"/>
        <v>75</v>
      </c>
      <c r="H297" s="3">
        <f>VLOOKUP(D297,'Bu Erta'!$C$2:$F$66,4,0)*F297</f>
        <v>100</v>
      </c>
    </row>
    <row r="298" spans="1:8" x14ac:dyDescent="0.35">
      <c r="B298" t="s">
        <v>175</v>
      </c>
      <c r="D298" t="s">
        <v>22</v>
      </c>
      <c r="E298" s="3">
        <f>VLOOKUP(D298,'Bu Erta'!$C$2:$E$66,3,0)</f>
        <v>2500</v>
      </c>
      <c r="F298">
        <v>0.1</v>
      </c>
      <c r="G298" s="3">
        <f t="shared" si="8"/>
        <v>250</v>
      </c>
      <c r="H298" s="3">
        <f>VLOOKUP(D298,'Bu Erta'!$C$2:$F$66,4,0)*F298</f>
        <v>300</v>
      </c>
    </row>
    <row r="299" spans="1:8" x14ac:dyDescent="0.35">
      <c r="A299" s="5">
        <v>45</v>
      </c>
      <c r="B299" t="s">
        <v>140</v>
      </c>
      <c r="C299" s="1">
        <v>4</v>
      </c>
      <c r="D299" t="s">
        <v>42</v>
      </c>
      <c r="E299" s="3">
        <f>VLOOKUP(D299,'Bu Erta'!$C$2:$E$66,3,0)</f>
        <v>1000</v>
      </c>
      <c r="F299">
        <v>2.2999999999999998</v>
      </c>
      <c r="G299" s="3">
        <f t="shared" si="8"/>
        <v>2300</v>
      </c>
      <c r="H299" s="3">
        <f>VLOOKUP(D299,'Bu Erta'!$C$2:$F$66,4,0)*F299</f>
        <v>2760</v>
      </c>
    </row>
    <row r="300" spans="1:8" x14ac:dyDescent="0.35">
      <c r="B300" t="s">
        <v>140</v>
      </c>
      <c r="D300" t="s">
        <v>61</v>
      </c>
      <c r="E300" s="3">
        <f>VLOOKUP(D300,'Bu Erta'!$C$2:$E$66,3,0)</f>
        <v>800</v>
      </c>
      <c r="F300">
        <v>0.25</v>
      </c>
      <c r="G300" s="3">
        <f t="shared" si="8"/>
        <v>200</v>
      </c>
      <c r="H300" s="3">
        <f>VLOOKUP(D300,'Bu Erta'!$C$2:$F$66,4,0)*F300</f>
        <v>225</v>
      </c>
    </row>
    <row r="301" spans="1:8" x14ac:dyDescent="0.35">
      <c r="B301" t="s">
        <v>140</v>
      </c>
      <c r="D301" t="s">
        <v>7</v>
      </c>
      <c r="E301" s="3">
        <f>VLOOKUP(D301,'Bu Erta'!$C$2:$E$66,3,0)</f>
        <v>1400</v>
      </c>
      <c r="F301">
        <f>0.35+3.35</f>
        <v>3.7</v>
      </c>
      <c r="G301" s="3">
        <f t="shared" si="8"/>
        <v>5180</v>
      </c>
      <c r="H301" s="3">
        <f>VLOOKUP(D301,'Bu Erta'!$C$2:$F$66,4,0)*F301</f>
        <v>5920</v>
      </c>
    </row>
    <row r="302" spans="1:8" x14ac:dyDescent="0.35">
      <c r="B302" t="s">
        <v>140</v>
      </c>
      <c r="D302" t="s">
        <v>24</v>
      </c>
      <c r="E302" s="3">
        <f>VLOOKUP(D302,'Bu Erta'!$C$2:$E$66,3,0)</f>
        <v>150</v>
      </c>
      <c r="F302">
        <v>3.3</v>
      </c>
      <c r="G302" s="3">
        <f t="shared" si="8"/>
        <v>495</v>
      </c>
      <c r="H302" s="3">
        <f>VLOOKUP(D302,'Bu Erta'!$C$2:$F$66,4,0)*F302</f>
        <v>660</v>
      </c>
    </row>
    <row r="303" spans="1:8" x14ac:dyDescent="0.35">
      <c r="B303" t="s">
        <v>140</v>
      </c>
      <c r="D303" t="s">
        <v>22</v>
      </c>
      <c r="E303" s="3">
        <f>VLOOKUP(D303,'Bu Erta'!$C$2:$E$66,3,0)</f>
        <v>2500</v>
      </c>
      <c r="F303">
        <v>2.15</v>
      </c>
      <c r="G303" s="3">
        <f t="shared" si="8"/>
        <v>5375</v>
      </c>
      <c r="H303" s="3">
        <f>VLOOKUP(D303,'Bu Erta'!$C$2:$F$66,4,0)*F303</f>
        <v>6450</v>
      </c>
    </row>
    <row r="304" spans="1:8" x14ac:dyDescent="0.35">
      <c r="B304" t="s">
        <v>140</v>
      </c>
      <c r="D304" t="s">
        <v>40</v>
      </c>
      <c r="E304" s="3">
        <f>VLOOKUP(D304,'Bu Erta'!$C$2:$E$66,3,0)</f>
        <v>1800</v>
      </c>
      <c r="F304">
        <v>0.45</v>
      </c>
      <c r="G304" s="3">
        <f t="shared" si="8"/>
        <v>810</v>
      </c>
      <c r="H304" s="3">
        <f>VLOOKUP(D304,'Bu Erta'!$C$2:$F$66,4,0)*F304</f>
        <v>900</v>
      </c>
    </row>
    <row r="305" spans="1:8" x14ac:dyDescent="0.35">
      <c r="B305" t="s">
        <v>140</v>
      </c>
      <c r="D305" t="s">
        <v>31</v>
      </c>
      <c r="E305" s="3">
        <f>VLOOKUP(D305,'Bu Erta'!$C$2:$E$66,3,0)</f>
        <v>1000</v>
      </c>
      <c r="F305">
        <v>0.35</v>
      </c>
      <c r="G305" s="3">
        <f t="shared" si="8"/>
        <v>350</v>
      </c>
      <c r="H305" s="3">
        <f>VLOOKUP(D305,'Bu Erta'!$C$2:$F$66,4,0)*F305</f>
        <v>385</v>
      </c>
    </row>
    <row r="306" spans="1:8" x14ac:dyDescent="0.35">
      <c r="A306" s="5">
        <v>46</v>
      </c>
      <c r="B306" t="s">
        <v>84</v>
      </c>
      <c r="C306" s="1">
        <v>4</v>
      </c>
      <c r="D306" t="s">
        <v>19</v>
      </c>
      <c r="E306" s="3">
        <f>VLOOKUP(D306,'Bu Erta'!$C$2:$E$66,3,0)</f>
        <v>200</v>
      </c>
      <c r="F306">
        <v>1.5</v>
      </c>
      <c r="G306" s="3">
        <f t="shared" si="8"/>
        <v>300</v>
      </c>
      <c r="H306" s="3">
        <f>VLOOKUP(D306,'Bu Erta'!$C$2:$F$66,4,0)*F306</f>
        <v>450</v>
      </c>
    </row>
    <row r="307" spans="1:8" x14ac:dyDescent="0.35">
      <c r="B307" t="s">
        <v>84</v>
      </c>
      <c r="D307" t="s">
        <v>88</v>
      </c>
      <c r="E307" s="3">
        <f>VLOOKUP(D307,'Bu Erta'!$C$2:$E$66,3,0)</f>
        <v>300</v>
      </c>
      <c r="F307">
        <v>0.95</v>
      </c>
      <c r="G307" s="3">
        <f t="shared" si="8"/>
        <v>285</v>
      </c>
      <c r="H307" s="3">
        <f>VLOOKUP(D307,'Bu Erta'!$C$2:$F$66,4,0)*F307</f>
        <v>380</v>
      </c>
    </row>
    <row r="308" spans="1:8" x14ac:dyDescent="0.35">
      <c r="B308" t="s">
        <v>84</v>
      </c>
      <c r="D308" t="s">
        <v>34</v>
      </c>
      <c r="E308" s="3">
        <f>VLOOKUP(D308,'Bu Erta'!$C$2:$E$66,3,0)</f>
        <v>3500</v>
      </c>
      <c r="F308">
        <v>0.25</v>
      </c>
      <c r="G308" s="3">
        <f t="shared" si="8"/>
        <v>875</v>
      </c>
      <c r="H308" s="3">
        <f>VLOOKUP(D308,'Bu Erta'!$C$2:$F$66,4,0)*F308</f>
        <v>900</v>
      </c>
    </row>
    <row r="309" spans="1:8" x14ac:dyDescent="0.35">
      <c r="B309" t="s">
        <v>84</v>
      </c>
      <c r="D309" t="s">
        <v>27</v>
      </c>
      <c r="E309" s="3">
        <f>VLOOKUP(D309,'Bu Erta'!$C$2:$E$66,3,0)</f>
        <v>2800</v>
      </c>
      <c r="F309">
        <v>0.95</v>
      </c>
      <c r="G309" s="3">
        <f t="shared" si="8"/>
        <v>2660</v>
      </c>
      <c r="H309" s="3">
        <f>VLOOKUP(D309,'Bu Erta'!$C$2:$F$66,4,0)*F309</f>
        <v>2945</v>
      </c>
    </row>
    <row r="310" spans="1:8" x14ac:dyDescent="0.35">
      <c r="B310" t="s">
        <v>84</v>
      </c>
      <c r="D310" t="s">
        <v>23</v>
      </c>
      <c r="E310" s="3">
        <f>VLOOKUP(D310,'Bu Erta'!$C$2:$E$66,3,0)</f>
        <v>300</v>
      </c>
      <c r="F310">
        <v>1.5</v>
      </c>
      <c r="G310" s="3">
        <f t="shared" si="8"/>
        <v>450</v>
      </c>
      <c r="H310" s="3">
        <f>VLOOKUP(D310,'Bu Erta'!$C$2:$F$66,4,0)*F310</f>
        <v>600</v>
      </c>
    </row>
    <row r="311" spans="1:8" x14ac:dyDescent="0.35">
      <c r="B311" t="s">
        <v>84</v>
      </c>
      <c r="D311" t="s">
        <v>61</v>
      </c>
      <c r="E311" s="3">
        <f>VLOOKUP(D311,'Bu Erta'!$C$2:$E$66,3,0)</f>
        <v>800</v>
      </c>
      <c r="F311">
        <v>0.15</v>
      </c>
      <c r="G311" s="3">
        <f t="shared" si="8"/>
        <v>120</v>
      </c>
      <c r="H311" s="3">
        <f>VLOOKUP(D311,'Bu Erta'!$C$2:$F$66,4,0)*F311</f>
        <v>135</v>
      </c>
    </row>
    <row r="312" spans="1:8" x14ac:dyDescent="0.35">
      <c r="B312" t="s">
        <v>84</v>
      </c>
      <c r="D312" t="s">
        <v>41</v>
      </c>
      <c r="E312" s="3">
        <f>VLOOKUP(D312,'Bu Erta'!$C$2:$E$66,3,0)</f>
        <v>1500</v>
      </c>
      <c r="F312">
        <v>0.25</v>
      </c>
      <c r="G312" s="3">
        <f t="shared" si="8"/>
        <v>375</v>
      </c>
      <c r="H312" s="3">
        <f>VLOOKUP(D312,'Bu Erta'!$C$2:$F$66,4,0)*F312</f>
        <v>500</v>
      </c>
    </row>
    <row r="313" spans="1:8" x14ac:dyDescent="0.35">
      <c r="B313" t="s">
        <v>84</v>
      </c>
      <c r="D313" t="s">
        <v>7</v>
      </c>
      <c r="E313" s="3">
        <f>VLOOKUP(D313,'Bu Erta'!$C$2:$E$66,3,0)</f>
        <v>1400</v>
      </c>
      <c r="F313">
        <v>1.7</v>
      </c>
      <c r="G313" s="3">
        <f t="shared" si="8"/>
        <v>2380</v>
      </c>
      <c r="H313" s="3">
        <f>VLOOKUP(D313,'Bu Erta'!$C$2:$F$66,4,0)*F313</f>
        <v>2720</v>
      </c>
    </row>
    <row r="314" spans="1:8" x14ac:dyDescent="0.35">
      <c r="B314" t="s">
        <v>84</v>
      </c>
      <c r="D314" t="s">
        <v>37</v>
      </c>
      <c r="E314" s="3">
        <f>VLOOKUP(D314,'Bu Erta'!$C$2:$E$66,3,0)</f>
        <v>1600</v>
      </c>
      <c r="F314">
        <v>0.1</v>
      </c>
      <c r="G314" s="3">
        <f t="shared" si="8"/>
        <v>160</v>
      </c>
      <c r="H314" s="3">
        <f>VLOOKUP(D314,'Bu Erta'!$C$2:$F$66,4,0)*F314</f>
        <v>200</v>
      </c>
    </row>
    <row r="315" spans="1:8" x14ac:dyDescent="0.35">
      <c r="B315" t="s">
        <v>84</v>
      </c>
      <c r="D315" t="s">
        <v>42</v>
      </c>
      <c r="E315" s="3">
        <f>VLOOKUP(D315,'Bu Erta'!$C$2:$E$66,3,0)</f>
        <v>1000</v>
      </c>
      <c r="F315">
        <v>4.55</v>
      </c>
      <c r="G315" s="3">
        <f t="shared" si="8"/>
        <v>4550</v>
      </c>
      <c r="H315" s="3">
        <f>VLOOKUP(D315,'Bu Erta'!$C$2:$F$66,4,0)*F315</f>
        <v>5460</v>
      </c>
    </row>
    <row r="316" spans="1:8" x14ac:dyDescent="0.35">
      <c r="A316" s="5">
        <v>47</v>
      </c>
      <c r="B316" t="s">
        <v>134</v>
      </c>
      <c r="C316" s="1">
        <v>4</v>
      </c>
      <c r="D316" t="s">
        <v>42</v>
      </c>
      <c r="E316" s="3">
        <f>VLOOKUP(D316,'Bu Erta'!$C$2:$E$66,3,0)</f>
        <v>1000</v>
      </c>
      <c r="F316">
        <v>1.2</v>
      </c>
      <c r="G316" s="3">
        <f t="shared" si="8"/>
        <v>1200</v>
      </c>
      <c r="H316" s="3">
        <f>VLOOKUP(D316,'Bu Erta'!$C$2:$F$66,4,0)*F316</f>
        <v>1440</v>
      </c>
    </row>
    <row r="317" spans="1:8" x14ac:dyDescent="0.35">
      <c r="B317" t="s">
        <v>134</v>
      </c>
      <c r="D317" t="s">
        <v>19</v>
      </c>
      <c r="E317" s="3">
        <f>VLOOKUP(D317,'Bu Erta'!$C$2:$E$66,3,0)</f>
        <v>200</v>
      </c>
      <c r="F317">
        <v>1.3</v>
      </c>
      <c r="G317" s="3">
        <f t="shared" si="8"/>
        <v>260</v>
      </c>
      <c r="H317" s="3">
        <f>VLOOKUP(D317,'Bu Erta'!$C$2:$F$66,4,0)*F317</f>
        <v>390</v>
      </c>
    </row>
    <row r="318" spans="1:8" x14ac:dyDescent="0.35">
      <c r="B318" t="s">
        <v>134</v>
      </c>
      <c r="D318" t="s">
        <v>88</v>
      </c>
      <c r="E318" s="3">
        <f>VLOOKUP(D318,'Bu Erta'!$C$2:$E$66,3,0)</f>
        <v>300</v>
      </c>
      <c r="F318">
        <v>0.45</v>
      </c>
      <c r="G318" s="3">
        <f t="shared" si="8"/>
        <v>135</v>
      </c>
      <c r="H318" s="3">
        <f>VLOOKUP(D318,'Bu Erta'!$C$2:$F$66,4,0)*F318</f>
        <v>180</v>
      </c>
    </row>
    <row r="319" spans="1:8" x14ac:dyDescent="0.35">
      <c r="A319" s="5">
        <v>48</v>
      </c>
      <c r="B319" t="s">
        <v>180</v>
      </c>
      <c r="C319" s="1">
        <v>4</v>
      </c>
      <c r="D319" t="s">
        <v>7</v>
      </c>
      <c r="E319" s="3">
        <f>VLOOKUP(D319,'Bu Erta'!$C$2:$E$66,3,0)</f>
        <v>1400</v>
      </c>
      <c r="F319">
        <v>1.55</v>
      </c>
      <c r="G319" s="3">
        <f t="shared" si="8"/>
        <v>2170</v>
      </c>
      <c r="H319" s="3">
        <f>VLOOKUP(D319,'Bu Erta'!$C$2:$F$66,4,0)*F319</f>
        <v>2480</v>
      </c>
    </row>
    <row r="320" spans="1:8" x14ac:dyDescent="0.35">
      <c r="B320" t="s">
        <v>180</v>
      </c>
      <c r="D320" t="s">
        <v>27</v>
      </c>
      <c r="E320" s="3">
        <f>VLOOKUP(D320,'Bu Erta'!$C$2:$E$66,3,0)</f>
        <v>2800</v>
      </c>
      <c r="F320">
        <v>0.35</v>
      </c>
      <c r="G320" s="3">
        <f t="shared" si="8"/>
        <v>979.99999999999989</v>
      </c>
      <c r="H320" s="3">
        <f>VLOOKUP(D320,'Bu Erta'!$C$2:$F$66,4,0)*F320</f>
        <v>1085</v>
      </c>
    </row>
    <row r="321" spans="1:8" x14ac:dyDescent="0.35">
      <c r="B321" t="s">
        <v>180</v>
      </c>
      <c r="D321" t="s">
        <v>31</v>
      </c>
      <c r="E321" s="3">
        <f>VLOOKUP(D321,'Bu Erta'!$C$2:$E$66,3,0)</f>
        <v>1000</v>
      </c>
      <c r="F321">
        <v>0.3</v>
      </c>
      <c r="G321" s="3">
        <f t="shared" si="8"/>
        <v>300</v>
      </c>
      <c r="H321" s="3">
        <f>VLOOKUP(D321,'Bu Erta'!$C$2:$F$66,4,0)*F321</f>
        <v>330</v>
      </c>
    </row>
    <row r="322" spans="1:8" x14ac:dyDescent="0.35">
      <c r="B322" t="s">
        <v>180</v>
      </c>
      <c r="D322" t="s">
        <v>42</v>
      </c>
      <c r="E322" s="3">
        <f>VLOOKUP(D322,'Bu Erta'!$C$2:$E$66,3,0)</f>
        <v>1000</v>
      </c>
      <c r="F322">
        <v>3</v>
      </c>
      <c r="G322" s="3">
        <f t="shared" si="8"/>
        <v>3000</v>
      </c>
      <c r="H322" s="3">
        <f>VLOOKUP(D322,'Bu Erta'!$C$2:$F$66,4,0)*F322</f>
        <v>3600</v>
      </c>
    </row>
    <row r="323" spans="1:8" x14ac:dyDescent="0.35">
      <c r="A323" s="5">
        <v>49</v>
      </c>
      <c r="B323" t="s">
        <v>107</v>
      </c>
      <c r="C323" s="1">
        <v>5</v>
      </c>
      <c r="D323" t="s">
        <v>23</v>
      </c>
      <c r="E323" s="3">
        <f>VLOOKUP(D323,'Bu Erta'!$C$2:$E$66,3,0)</f>
        <v>300</v>
      </c>
      <c r="F323">
        <v>3.3</v>
      </c>
      <c r="G323" s="3">
        <f t="shared" si="8"/>
        <v>990</v>
      </c>
      <c r="H323" s="3">
        <f>VLOOKUP(D323,'Bu Erta'!$C$2:$F$66,4,0)*F323</f>
        <v>1320</v>
      </c>
    </row>
    <row r="324" spans="1:8" x14ac:dyDescent="0.35">
      <c r="B324" t="s">
        <v>107</v>
      </c>
      <c r="D324" t="s">
        <v>27</v>
      </c>
      <c r="E324" s="3">
        <f>VLOOKUP(D324,'Bu Erta'!$C$2:$E$66,3,0)</f>
        <v>2800</v>
      </c>
      <c r="F324">
        <f>1.45+3</f>
        <v>4.45</v>
      </c>
      <c r="G324" s="3">
        <f t="shared" ref="G324:G387" si="9">E324*F324</f>
        <v>12460</v>
      </c>
      <c r="H324" s="3">
        <f>VLOOKUP(D324,'Bu Erta'!$C$2:$F$66,4,0)*F324</f>
        <v>13795</v>
      </c>
    </row>
    <row r="325" spans="1:8" x14ac:dyDescent="0.35">
      <c r="B325" t="s">
        <v>107</v>
      </c>
      <c r="D325" t="s">
        <v>19</v>
      </c>
      <c r="E325" s="3">
        <f>VLOOKUP(D325,'Bu Erta'!$C$2:$E$66,3,0)</f>
        <v>200</v>
      </c>
      <c r="F325">
        <f>0.4+0.45+1.45</f>
        <v>2.2999999999999998</v>
      </c>
      <c r="G325" s="3">
        <f t="shared" si="9"/>
        <v>459.99999999999994</v>
      </c>
      <c r="H325" s="3">
        <f>VLOOKUP(D325,'Bu Erta'!$C$2:$F$66,4,0)*F325</f>
        <v>690</v>
      </c>
    </row>
    <row r="326" spans="1:8" x14ac:dyDescent="0.35">
      <c r="B326" t="s">
        <v>107</v>
      </c>
      <c r="D326" t="s">
        <v>69</v>
      </c>
      <c r="E326" s="3">
        <f>VLOOKUP(D326,'Bu Erta'!$C$2:$E$66,3,0)</f>
        <v>2500</v>
      </c>
      <c r="F326">
        <v>0.7</v>
      </c>
      <c r="G326" s="3">
        <f t="shared" si="9"/>
        <v>1750</v>
      </c>
      <c r="H326" s="3">
        <f>VLOOKUP(D326,'Bu Erta'!$C$2:$F$66,4,0)*F326</f>
        <v>2100</v>
      </c>
    </row>
    <row r="327" spans="1:8" x14ac:dyDescent="0.35">
      <c r="B327" t="s">
        <v>107</v>
      </c>
      <c r="D327" t="s">
        <v>25</v>
      </c>
      <c r="E327" s="3">
        <f>VLOOKUP(D327,'Bu Erta'!$C$2:$E$66,3,0)</f>
        <v>1600</v>
      </c>
      <c r="F327">
        <v>1.75</v>
      </c>
      <c r="G327" s="3">
        <f t="shared" si="9"/>
        <v>2800</v>
      </c>
      <c r="H327" s="3">
        <f>VLOOKUP(D327,'Bu Erta'!$C$2:$F$66,4,0)*F327</f>
        <v>2975</v>
      </c>
    </row>
    <row r="328" spans="1:8" x14ac:dyDescent="0.35">
      <c r="B328" t="s">
        <v>107</v>
      </c>
      <c r="D328" t="s">
        <v>41</v>
      </c>
      <c r="E328" s="3">
        <f>VLOOKUP(D328,'Bu Erta'!$C$2:$E$66,3,0)</f>
        <v>1500</v>
      </c>
      <c r="F328">
        <v>0.4</v>
      </c>
      <c r="G328" s="3">
        <f t="shared" si="9"/>
        <v>600</v>
      </c>
      <c r="H328" s="3">
        <f>VLOOKUP(D328,'Bu Erta'!$C$2:$F$66,4,0)*F328</f>
        <v>800</v>
      </c>
    </row>
    <row r="329" spans="1:8" x14ac:dyDescent="0.35">
      <c r="B329" t="s">
        <v>107</v>
      </c>
      <c r="D329" t="s">
        <v>40</v>
      </c>
      <c r="E329" s="3">
        <f>VLOOKUP(D329,'Bu Erta'!$C$2:$E$66,3,0)</f>
        <v>1800</v>
      </c>
      <c r="F329">
        <v>0.2</v>
      </c>
      <c r="G329" s="3">
        <f t="shared" si="9"/>
        <v>360</v>
      </c>
      <c r="H329" s="3">
        <f>VLOOKUP(D329,'Bu Erta'!$C$2:$F$66,4,0)*F329</f>
        <v>400</v>
      </c>
    </row>
    <row r="330" spans="1:8" x14ac:dyDescent="0.35">
      <c r="B330" t="s">
        <v>107</v>
      </c>
      <c r="D330" t="s">
        <v>7</v>
      </c>
      <c r="E330" s="3">
        <f>VLOOKUP(D330,'Bu Erta'!$C$2:$E$66,3,0)</f>
        <v>1400</v>
      </c>
      <c r="F330">
        <f>2.1+0.25</f>
        <v>2.35</v>
      </c>
      <c r="G330" s="3">
        <f t="shared" si="9"/>
        <v>3290</v>
      </c>
      <c r="H330" s="3">
        <f>VLOOKUP(D330,'Bu Erta'!$C$2:$F$66,4,0)*F330</f>
        <v>3760</v>
      </c>
    </row>
    <row r="331" spans="1:8" x14ac:dyDescent="0.35">
      <c r="B331" t="s">
        <v>107</v>
      </c>
      <c r="D331" t="s">
        <v>17</v>
      </c>
      <c r="E331" s="3">
        <f>VLOOKUP(D331,'Bu Erta'!$C$2:$E$66,3,0)</f>
        <v>8000</v>
      </c>
      <c r="F331">
        <v>0.25</v>
      </c>
      <c r="G331" s="3">
        <f t="shared" si="9"/>
        <v>2000</v>
      </c>
      <c r="H331" s="3">
        <f>VLOOKUP(D331,'Bu Erta'!$C$2:$F$66,4,0)*F331</f>
        <v>2125</v>
      </c>
    </row>
    <row r="332" spans="1:8" x14ac:dyDescent="0.35">
      <c r="B332" t="s">
        <v>107</v>
      </c>
      <c r="D332" t="s">
        <v>22</v>
      </c>
      <c r="E332" s="3">
        <f>VLOOKUP(D332,'Bu Erta'!$C$2:$E$66,3,0)</f>
        <v>2500</v>
      </c>
      <c r="F332">
        <v>0.25</v>
      </c>
      <c r="G332" s="3">
        <f t="shared" si="9"/>
        <v>625</v>
      </c>
      <c r="H332" s="3">
        <f>VLOOKUP(D332,'Bu Erta'!$C$2:$F$66,4,0)*F332</f>
        <v>750</v>
      </c>
    </row>
    <row r="333" spans="1:8" x14ac:dyDescent="0.35">
      <c r="B333" t="s">
        <v>107</v>
      </c>
      <c r="D333" t="s">
        <v>31</v>
      </c>
      <c r="E333" s="3">
        <f>VLOOKUP(D333,'Bu Erta'!$C$2:$E$66,3,0)</f>
        <v>1000</v>
      </c>
      <c r="F333">
        <v>0.1</v>
      </c>
      <c r="G333" s="3">
        <f t="shared" si="9"/>
        <v>100</v>
      </c>
      <c r="H333" s="3">
        <f>VLOOKUP(D333,'Bu Erta'!$C$2:$F$66,4,0)*F333</f>
        <v>110</v>
      </c>
    </row>
    <row r="334" spans="1:8" x14ac:dyDescent="0.35">
      <c r="B334" t="s">
        <v>107</v>
      </c>
      <c r="D334" t="s">
        <v>42</v>
      </c>
      <c r="E334" s="3">
        <f>VLOOKUP(D334,'Bu Erta'!$C$2:$E$66,3,0)</f>
        <v>1000</v>
      </c>
      <c r="F334">
        <f>10.85+12.15</f>
        <v>23</v>
      </c>
      <c r="G334" s="3">
        <f t="shared" si="9"/>
        <v>23000</v>
      </c>
      <c r="H334" s="3">
        <f>VLOOKUP(D334,'Bu Erta'!$C$2:$F$66,4,0)*F334</f>
        <v>27600</v>
      </c>
    </row>
    <row r="335" spans="1:8" x14ac:dyDescent="0.35">
      <c r="A335" s="5">
        <v>50</v>
      </c>
      <c r="B335" t="s">
        <v>261</v>
      </c>
      <c r="C335" s="5">
        <v>2</v>
      </c>
      <c r="D335" t="s">
        <v>31</v>
      </c>
      <c r="E335" s="3">
        <f>VLOOKUP(D335,'Bu Erta'!$C$2:$E$66,3,0)</f>
        <v>1000</v>
      </c>
      <c r="F335">
        <v>2.6</v>
      </c>
      <c r="G335" s="3">
        <f t="shared" si="9"/>
        <v>2600</v>
      </c>
      <c r="H335" s="3">
        <f>VLOOKUP(D335,'Bu Erta'!$C$2:$F$66,4,0)*F335</f>
        <v>2860</v>
      </c>
    </row>
    <row r="336" spans="1:8" x14ac:dyDescent="0.35">
      <c r="A336" s="5">
        <v>51</v>
      </c>
      <c r="B336" t="s">
        <v>152</v>
      </c>
      <c r="C336" s="1">
        <v>4</v>
      </c>
      <c r="D336" t="s">
        <v>31</v>
      </c>
      <c r="E336" s="3">
        <f>VLOOKUP(D336,'Bu Erta'!$C$2:$E$66,3,0)</f>
        <v>1000</v>
      </c>
      <c r="F336">
        <v>0.35</v>
      </c>
      <c r="G336" s="3">
        <f t="shared" si="9"/>
        <v>350</v>
      </c>
      <c r="H336" s="3">
        <f>VLOOKUP(D336,'Bu Erta'!$C$2:$F$66,4,0)*F336</f>
        <v>385</v>
      </c>
    </row>
    <row r="337" spans="1:8" x14ac:dyDescent="0.35">
      <c r="B337" t="s">
        <v>152</v>
      </c>
      <c r="D337" t="s">
        <v>88</v>
      </c>
      <c r="E337" s="3">
        <f>VLOOKUP(D337,'Bu Erta'!$C$2:$E$66,3,0)</f>
        <v>300</v>
      </c>
      <c r="F337">
        <v>0.3</v>
      </c>
      <c r="G337" s="3">
        <f t="shared" si="9"/>
        <v>90</v>
      </c>
      <c r="H337" s="3">
        <f>VLOOKUP(D337,'Bu Erta'!$C$2:$F$66,4,0)*F337</f>
        <v>120</v>
      </c>
    </row>
    <row r="338" spans="1:8" x14ac:dyDescent="0.35">
      <c r="B338" t="s">
        <v>152</v>
      </c>
      <c r="D338" t="s">
        <v>19</v>
      </c>
      <c r="E338" s="3">
        <f>VLOOKUP(D338,'Bu Erta'!$C$2:$E$66,3,0)</f>
        <v>200</v>
      </c>
      <c r="F338">
        <v>0.15</v>
      </c>
      <c r="G338" s="3">
        <f t="shared" si="9"/>
        <v>30</v>
      </c>
      <c r="H338" s="3">
        <f>VLOOKUP(D338,'Bu Erta'!$C$2:$F$66,4,0)*F338</f>
        <v>45</v>
      </c>
    </row>
    <row r="339" spans="1:8" x14ac:dyDescent="0.35">
      <c r="A339" s="5">
        <v>52</v>
      </c>
      <c r="B339" t="s">
        <v>109</v>
      </c>
      <c r="C339" s="1">
        <v>4</v>
      </c>
      <c r="D339" t="s">
        <v>27</v>
      </c>
      <c r="E339" s="3">
        <f>VLOOKUP(D339,'Bu Erta'!$C$2:$E$66,3,0)</f>
        <v>2800</v>
      </c>
      <c r="F339">
        <v>0.7</v>
      </c>
      <c r="G339" s="3">
        <f t="shared" si="9"/>
        <v>1959.9999999999998</v>
      </c>
      <c r="H339" s="3">
        <f>VLOOKUP(D339,'Bu Erta'!$C$2:$F$66,4,0)*F339</f>
        <v>2170</v>
      </c>
    </row>
    <row r="340" spans="1:8" x14ac:dyDescent="0.35">
      <c r="B340" t="s">
        <v>109</v>
      </c>
      <c r="D340" t="s">
        <v>25</v>
      </c>
      <c r="E340" s="3">
        <f>VLOOKUP(D340,'Bu Erta'!$C$2:$E$66,3,0)</f>
        <v>1600</v>
      </c>
      <c r="F340">
        <v>0.25</v>
      </c>
      <c r="G340" s="3">
        <f t="shared" si="9"/>
        <v>400</v>
      </c>
      <c r="H340" s="3">
        <f>VLOOKUP(D340,'Bu Erta'!$C$2:$F$66,4,0)*F340</f>
        <v>425</v>
      </c>
    </row>
    <row r="341" spans="1:8" x14ac:dyDescent="0.35">
      <c r="B341" t="s">
        <v>109</v>
      </c>
      <c r="D341" t="s">
        <v>70</v>
      </c>
      <c r="E341" s="3">
        <f>VLOOKUP(D341,'Bu Erta'!$C$2:$E$66,3,0)</f>
        <v>3500</v>
      </c>
      <c r="F341">
        <v>0.1</v>
      </c>
      <c r="G341" s="3">
        <f t="shared" si="9"/>
        <v>350</v>
      </c>
      <c r="H341" s="3">
        <f>VLOOKUP(D341,'Bu Erta'!$C$2:$F$66,4,0)*F341</f>
        <v>400</v>
      </c>
    </row>
    <row r="342" spans="1:8" x14ac:dyDescent="0.35">
      <c r="B342" t="s">
        <v>109</v>
      </c>
      <c r="D342" t="s">
        <v>23</v>
      </c>
      <c r="E342" s="3">
        <f>VLOOKUP(D342,'Bu Erta'!$C$2:$E$66,3,0)</f>
        <v>300</v>
      </c>
      <c r="F342">
        <f>0.15+0.15+0.25</f>
        <v>0.55000000000000004</v>
      </c>
      <c r="G342" s="3">
        <f t="shared" si="9"/>
        <v>165</v>
      </c>
      <c r="H342" s="3">
        <f>VLOOKUP(D342,'Bu Erta'!$C$2:$F$66,4,0)*F342</f>
        <v>220.00000000000003</v>
      </c>
    </row>
    <row r="343" spans="1:8" x14ac:dyDescent="0.35">
      <c r="B343" t="s">
        <v>109</v>
      </c>
      <c r="D343" t="s">
        <v>42</v>
      </c>
      <c r="E343" s="3">
        <f>VLOOKUP(D343,'Bu Erta'!$C$2:$E$66,3,0)</f>
        <v>1000</v>
      </c>
      <c r="F343">
        <v>1.2</v>
      </c>
      <c r="G343" s="3">
        <f t="shared" si="9"/>
        <v>1200</v>
      </c>
      <c r="H343" s="3">
        <f>VLOOKUP(D343,'Bu Erta'!$C$2:$F$66,4,0)*F343</f>
        <v>1440</v>
      </c>
    </row>
    <row r="344" spans="1:8" x14ac:dyDescent="0.35">
      <c r="B344" t="s">
        <v>109</v>
      </c>
      <c r="D344" t="s">
        <v>19</v>
      </c>
      <c r="E344" s="3">
        <f>VLOOKUP(D344,'Bu Erta'!$C$2:$E$66,3,0)</f>
        <v>200</v>
      </c>
      <c r="F344">
        <f>0.55+0.4</f>
        <v>0.95000000000000007</v>
      </c>
      <c r="G344" s="3">
        <f t="shared" si="9"/>
        <v>190</v>
      </c>
      <c r="H344" s="3">
        <f>VLOOKUP(D344,'Bu Erta'!$C$2:$F$66,4,0)*F344</f>
        <v>285</v>
      </c>
    </row>
    <row r="345" spans="1:8" x14ac:dyDescent="0.35">
      <c r="B345" t="s">
        <v>109</v>
      </c>
      <c r="D345" t="s">
        <v>88</v>
      </c>
      <c r="E345" s="3">
        <f>VLOOKUP(D345,'Bu Erta'!$C$2:$E$66,3,0)</f>
        <v>300</v>
      </c>
      <c r="F345">
        <v>0.1</v>
      </c>
      <c r="G345" s="3">
        <f t="shared" si="9"/>
        <v>30</v>
      </c>
      <c r="H345" s="3">
        <f>VLOOKUP(D345,'Bu Erta'!$C$2:$F$66,4,0)*F345</f>
        <v>40</v>
      </c>
    </row>
    <row r="346" spans="1:8" x14ac:dyDescent="0.35">
      <c r="B346" t="s">
        <v>109</v>
      </c>
      <c r="D346" t="s">
        <v>24</v>
      </c>
      <c r="E346" s="3">
        <f>VLOOKUP(D346,'Bu Erta'!$C$2:$E$66,3,0)</f>
        <v>150</v>
      </c>
      <c r="F346">
        <v>0.85</v>
      </c>
      <c r="G346" s="3">
        <f t="shared" si="9"/>
        <v>127.5</v>
      </c>
      <c r="H346" s="3">
        <f>VLOOKUP(D346,'Bu Erta'!$C$2:$F$66,4,0)*F346</f>
        <v>170</v>
      </c>
    </row>
    <row r="347" spans="1:8" x14ac:dyDescent="0.35">
      <c r="B347" t="s">
        <v>109</v>
      </c>
      <c r="D347" t="s">
        <v>41</v>
      </c>
      <c r="E347" s="3">
        <f>VLOOKUP(D347,'Bu Erta'!$C$2:$E$66,3,0)</f>
        <v>1500</v>
      </c>
      <c r="F347">
        <v>0.45</v>
      </c>
      <c r="G347" s="3">
        <f t="shared" si="9"/>
        <v>675</v>
      </c>
      <c r="H347" s="3">
        <f>VLOOKUP(D347,'Bu Erta'!$C$2:$F$66,4,0)*F347</f>
        <v>900</v>
      </c>
    </row>
    <row r="348" spans="1:8" x14ac:dyDescent="0.35">
      <c r="B348" t="s">
        <v>109</v>
      </c>
      <c r="D348" t="s">
        <v>6</v>
      </c>
      <c r="E348" s="3">
        <f>VLOOKUP(D348,'Bu Erta'!$C$2:$E$66,3,0)</f>
        <v>2000</v>
      </c>
      <c r="F348">
        <v>0.15</v>
      </c>
      <c r="G348" s="3">
        <f t="shared" si="9"/>
        <v>300</v>
      </c>
      <c r="H348" s="3">
        <f>VLOOKUP(D348,'Bu Erta'!$C$2:$F$66,4,0)*F348</f>
        <v>375</v>
      </c>
    </row>
    <row r="349" spans="1:8" x14ac:dyDescent="0.35">
      <c r="B349" t="s">
        <v>109</v>
      </c>
      <c r="D349" t="s">
        <v>7</v>
      </c>
      <c r="E349" s="3">
        <f>VLOOKUP(D349,'Bu Erta'!$C$2:$E$66,3,0)</f>
        <v>1400</v>
      </c>
      <c r="F349">
        <v>0.45</v>
      </c>
      <c r="G349" s="3">
        <f t="shared" si="9"/>
        <v>630</v>
      </c>
      <c r="H349" s="3">
        <f>VLOOKUP(D349,'Bu Erta'!$C$2:$F$66,4,0)*F349</f>
        <v>720</v>
      </c>
    </row>
    <row r="350" spans="1:8" x14ac:dyDescent="0.35">
      <c r="A350" s="5">
        <v>53</v>
      </c>
      <c r="B350" t="s">
        <v>194</v>
      </c>
      <c r="C350" s="5">
        <v>1</v>
      </c>
      <c r="D350" t="s">
        <v>19</v>
      </c>
      <c r="E350" s="3">
        <f>VLOOKUP(D350,'Bu Erta'!$C$2:$E$66,3,0)</f>
        <v>200</v>
      </c>
      <c r="F350">
        <v>0.65</v>
      </c>
      <c r="G350" s="3">
        <f t="shared" si="9"/>
        <v>130</v>
      </c>
      <c r="H350" s="3">
        <f>VLOOKUP(D350,'Bu Erta'!$C$2:$F$66,4,0)*F350</f>
        <v>195</v>
      </c>
    </row>
    <row r="351" spans="1:8" x14ac:dyDescent="0.35">
      <c r="B351" t="s">
        <v>194</v>
      </c>
      <c r="D351" t="s">
        <v>23</v>
      </c>
      <c r="E351" s="3">
        <f>VLOOKUP(D351,'Bu Erta'!$C$2:$E$66,3,0)</f>
        <v>300</v>
      </c>
      <c r="F351">
        <v>0.4</v>
      </c>
      <c r="G351" s="3">
        <f t="shared" si="9"/>
        <v>120</v>
      </c>
      <c r="H351" s="3">
        <f>VLOOKUP(D351,'Bu Erta'!$C$2:$F$66,4,0)*F351</f>
        <v>160</v>
      </c>
    </row>
    <row r="352" spans="1:8" x14ac:dyDescent="0.35">
      <c r="B352" t="s">
        <v>194</v>
      </c>
      <c r="D352" t="s">
        <v>7</v>
      </c>
      <c r="E352" s="3">
        <f>VLOOKUP(D352,'Bu Erta'!$C$2:$E$66,3,0)</f>
        <v>1400</v>
      </c>
      <c r="F352">
        <v>0.25</v>
      </c>
      <c r="G352" s="3">
        <f t="shared" si="9"/>
        <v>350</v>
      </c>
      <c r="H352" s="3">
        <f>VLOOKUP(D352,'Bu Erta'!$C$2:$F$66,4,0)*F352</f>
        <v>400</v>
      </c>
    </row>
    <row r="353" spans="1:8" x14ac:dyDescent="0.35">
      <c r="A353" s="5">
        <v>54</v>
      </c>
      <c r="B353" t="s">
        <v>120</v>
      </c>
      <c r="C353" s="1">
        <v>5</v>
      </c>
      <c r="D353" t="s">
        <v>25</v>
      </c>
      <c r="E353" s="3">
        <f>VLOOKUP(D353,'Bu Erta'!$C$2:$E$66,3,0)</f>
        <v>1600</v>
      </c>
      <c r="F353">
        <v>2.2000000000000002</v>
      </c>
      <c r="G353" s="3">
        <f t="shared" si="9"/>
        <v>3520.0000000000005</v>
      </c>
      <c r="H353" s="3">
        <f>VLOOKUP(D353,'Bu Erta'!$C$2:$F$66,4,0)*F353</f>
        <v>3740.0000000000005</v>
      </c>
    </row>
    <row r="354" spans="1:8" x14ac:dyDescent="0.35">
      <c r="B354" t="s">
        <v>120</v>
      </c>
      <c r="D354" t="s">
        <v>42</v>
      </c>
      <c r="E354" s="3">
        <f>VLOOKUP(D354,'Bu Erta'!$C$2:$E$66,3,0)</f>
        <v>1000</v>
      </c>
      <c r="F354">
        <v>2.6</v>
      </c>
      <c r="G354" s="3">
        <f t="shared" si="9"/>
        <v>2600</v>
      </c>
      <c r="H354" s="3">
        <f>VLOOKUP(D354,'Bu Erta'!$C$2:$F$66,4,0)*F354</f>
        <v>3120</v>
      </c>
    </row>
    <row r="355" spans="1:8" x14ac:dyDescent="0.35">
      <c r="B355" t="s">
        <v>120</v>
      </c>
      <c r="D355" t="s">
        <v>23</v>
      </c>
      <c r="E355" s="3">
        <f>VLOOKUP(D355,'Bu Erta'!$C$2:$E$66,3,0)</f>
        <v>300</v>
      </c>
      <c r="F355">
        <v>1.1000000000000001</v>
      </c>
      <c r="G355" s="3">
        <f t="shared" si="9"/>
        <v>330</v>
      </c>
      <c r="H355" s="3">
        <f>VLOOKUP(D355,'Bu Erta'!$C$2:$F$66,4,0)*F355</f>
        <v>440.00000000000006</v>
      </c>
    </row>
    <row r="356" spans="1:8" x14ac:dyDescent="0.35">
      <c r="B356" t="s">
        <v>120</v>
      </c>
      <c r="D356" t="s">
        <v>7</v>
      </c>
      <c r="E356" s="3">
        <f>VLOOKUP(D356,'Bu Erta'!$C$2:$E$66,3,0)</f>
        <v>1400</v>
      </c>
      <c r="F356">
        <f>0.8+0.15+0.25</f>
        <v>1.2000000000000002</v>
      </c>
      <c r="G356" s="3">
        <f t="shared" si="9"/>
        <v>1680.0000000000002</v>
      </c>
      <c r="H356" s="3">
        <f>VLOOKUP(D356,'Bu Erta'!$C$2:$F$66,4,0)*F356</f>
        <v>1920.0000000000002</v>
      </c>
    </row>
    <row r="357" spans="1:8" x14ac:dyDescent="0.35">
      <c r="B357" t="s">
        <v>120</v>
      </c>
      <c r="D357" t="s">
        <v>41</v>
      </c>
      <c r="E357" s="3">
        <f>VLOOKUP(D357,'Bu Erta'!$C$2:$E$66,3,0)</f>
        <v>1500</v>
      </c>
      <c r="F357">
        <v>0.25</v>
      </c>
      <c r="G357" s="3">
        <f t="shared" si="9"/>
        <v>375</v>
      </c>
      <c r="H357" s="3">
        <f>VLOOKUP(D357,'Bu Erta'!$C$2:$F$66,4,0)*F357</f>
        <v>500</v>
      </c>
    </row>
    <row r="358" spans="1:8" x14ac:dyDescent="0.35">
      <c r="B358" t="s">
        <v>120</v>
      </c>
      <c r="D358" t="s">
        <v>31</v>
      </c>
      <c r="E358" s="3">
        <f>VLOOKUP(D358,'Bu Erta'!$C$2:$E$66,3,0)</f>
        <v>1000</v>
      </c>
      <c r="F358">
        <v>0.2</v>
      </c>
      <c r="G358" s="3">
        <f t="shared" si="9"/>
        <v>200</v>
      </c>
      <c r="H358" s="3">
        <f>VLOOKUP(D358,'Bu Erta'!$C$2:$F$66,4,0)*F358</f>
        <v>220</v>
      </c>
    </row>
    <row r="359" spans="1:8" x14ac:dyDescent="0.35">
      <c r="B359" t="s">
        <v>120</v>
      </c>
      <c r="D359" t="s">
        <v>40</v>
      </c>
      <c r="E359" s="3">
        <f>VLOOKUP(D359,'Bu Erta'!$C$2:$E$66,3,0)</f>
        <v>1800</v>
      </c>
      <c r="F359">
        <v>0.45</v>
      </c>
      <c r="G359" s="3">
        <f t="shared" si="9"/>
        <v>810</v>
      </c>
      <c r="H359" s="3">
        <f>VLOOKUP(D359,'Bu Erta'!$C$2:$F$66,4,0)*F359</f>
        <v>900</v>
      </c>
    </row>
    <row r="360" spans="1:8" x14ac:dyDescent="0.35">
      <c r="B360" t="s">
        <v>120</v>
      </c>
      <c r="D360" t="s">
        <v>24</v>
      </c>
      <c r="E360" s="3">
        <f>VLOOKUP(D360,'Bu Erta'!$C$2:$E$66,3,0)</f>
        <v>150</v>
      </c>
      <c r="F360">
        <v>1.95</v>
      </c>
      <c r="G360" s="3">
        <f t="shared" si="9"/>
        <v>292.5</v>
      </c>
      <c r="H360" s="3">
        <f>VLOOKUP(D360,'Bu Erta'!$C$2:$F$66,4,0)*F360</f>
        <v>390</v>
      </c>
    </row>
    <row r="361" spans="1:8" x14ac:dyDescent="0.35">
      <c r="B361" t="s">
        <v>120</v>
      </c>
      <c r="D361" t="s">
        <v>69</v>
      </c>
      <c r="E361" s="3">
        <f>VLOOKUP(D361,'Bu Erta'!$C$2:$E$66,3,0)</f>
        <v>2500</v>
      </c>
      <c r="F361">
        <v>0.25</v>
      </c>
      <c r="G361" s="3">
        <f t="shared" si="9"/>
        <v>625</v>
      </c>
      <c r="H361" s="3">
        <f>VLOOKUP(D361,'Bu Erta'!$C$2:$F$66,4,0)*F361</f>
        <v>750</v>
      </c>
    </row>
    <row r="362" spans="1:8" x14ac:dyDescent="0.35">
      <c r="B362" t="s">
        <v>120</v>
      </c>
      <c r="D362" t="s">
        <v>19</v>
      </c>
      <c r="E362" s="3">
        <f>VLOOKUP(D362,'Bu Erta'!$C$2:$E$66,3,0)</f>
        <v>200</v>
      </c>
      <c r="F362">
        <v>0.3</v>
      </c>
      <c r="G362" s="3">
        <f t="shared" si="9"/>
        <v>60</v>
      </c>
      <c r="H362" s="3">
        <f>VLOOKUP(D362,'Bu Erta'!$C$2:$F$66,4,0)*F362</f>
        <v>90</v>
      </c>
    </row>
    <row r="363" spans="1:8" x14ac:dyDescent="0.35">
      <c r="B363" t="s">
        <v>120</v>
      </c>
      <c r="D363" t="s">
        <v>88</v>
      </c>
      <c r="E363" s="3">
        <f>VLOOKUP(D363,'Bu Erta'!$C$2:$E$66,3,0)</f>
        <v>300</v>
      </c>
      <c r="F363">
        <v>0.3</v>
      </c>
      <c r="G363" s="3">
        <f t="shared" si="9"/>
        <v>90</v>
      </c>
      <c r="H363" s="3">
        <f>VLOOKUP(D363,'Bu Erta'!$C$2:$F$66,4,0)*F363</f>
        <v>120</v>
      </c>
    </row>
    <row r="364" spans="1:8" x14ac:dyDescent="0.35">
      <c r="A364" s="5">
        <v>55</v>
      </c>
      <c r="B364" t="s">
        <v>245</v>
      </c>
      <c r="C364" s="5">
        <v>4</v>
      </c>
      <c r="D364" t="s">
        <v>25</v>
      </c>
      <c r="E364" s="3">
        <f>VLOOKUP(D364,'Bu Erta'!$C$2:$E$66,3,0)</f>
        <v>1600</v>
      </c>
      <c r="F364">
        <v>0.45</v>
      </c>
      <c r="G364" s="3">
        <f t="shared" si="9"/>
        <v>720</v>
      </c>
      <c r="H364" s="3">
        <f>VLOOKUP(D364,'Bu Erta'!$C$2:$F$66,4,0)*F364</f>
        <v>765</v>
      </c>
    </row>
    <row r="365" spans="1:8" x14ac:dyDescent="0.35">
      <c r="B365" t="s">
        <v>245</v>
      </c>
      <c r="D365" t="s">
        <v>7</v>
      </c>
      <c r="E365" s="3">
        <f>VLOOKUP(D365,'Bu Erta'!$C$2:$E$66,3,0)</f>
        <v>1400</v>
      </c>
      <c r="F365">
        <f>1.5+0.6+0.55+0.65+2.85</f>
        <v>6.15</v>
      </c>
      <c r="G365" s="3">
        <f t="shared" si="9"/>
        <v>8610</v>
      </c>
      <c r="H365" s="3">
        <f>VLOOKUP(D365,'Bu Erta'!$C$2:$F$66,4,0)*F365</f>
        <v>9840</v>
      </c>
    </row>
    <row r="366" spans="1:8" x14ac:dyDescent="0.35">
      <c r="B366" t="s">
        <v>245</v>
      </c>
      <c r="D366" t="s">
        <v>19</v>
      </c>
      <c r="E366" s="3">
        <f>VLOOKUP(D366,'Bu Erta'!$C$2:$E$66,3,0)</f>
        <v>200</v>
      </c>
      <c r="F366">
        <v>0.25</v>
      </c>
      <c r="G366" s="3">
        <f t="shared" si="9"/>
        <v>50</v>
      </c>
      <c r="H366" s="3">
        <f>VLOOKUP(D366,'Bu Erta'!$C$2:$F$66,4,0)*F366</f>
        <v>75</v>
      </c>
    </row>
    <row r="367" spans="1:8" x14ac:dyDescent="0.35">
      <c r="B367" t="s">
        <v>245</v>
      </c>
      <c r="D367" t="s">
        <v>88</v>
      </c>
      <c r="E367" s="3">
        <f>VLOOKUP(D367,'Bu Erta'!$C$2:$E$66,3,0)</f>
        <v>300</v>
      </c>
      <c r="F367">
        <v>0.2</v>
      </c>
      <c r="G367" s="3">
        <f t="shared" si="9"/>
        <v>60</v>
      </c>
      <c r="H367" s="3">
        <f>VLOOKUP(D367,'Bu Erta'!$C$2:$F$66,4,0)*F367</f>
        <v>80</v>
      </c>
    </row>
    <row r="368" spans="1:8" x14ac:dyDescent="0.35">
      <c r="B368" t="s">
        <v>245</v>
      </c>
      <c r="D368" t="s">
        <v>31</v>
      </c>
      <c r="E368" s="3">
        <f>VLOOKUP(D368,'Bu Erta'!$C$2:$E$66,3,0)</f>
        <v>1000</v>
      </c>
      <c r="F368">
        <v>0.2</v>
      </c>
      <c r="G368" s="3">
        <f t="shared" si="9"/>
        <v>200</v>
      </c>
      <c r="H368" s="3">
        <f>VLOOKUP(D368,'Bu Erta'!$C$2:$F$66,4,0)*F368</f>
        <v>220</v>
      </c>
    </row>
    <row r="369" spans="1:8" x14ac:dyDescent="0.35">
      <c r="B369" t="s">
        <v>245</v>
      </c>
      <c r="D369" t="s">
        <v>49</v>
      </c>
      <c r="E369" s="3">
        <f>VLOOKUP(D369,'Bu Erta'!$C$2:$E$66,3,0)</f>
        <v>800</v>
      </c>
      <c r="F369">
        <v>1.4</v>
      </c>
      <c r="G369" s="3">
        <f t="shared" si="9"/>
        <v>1120</v>
      </c>
      <c r="H369" s="3">
        <f>VLOOKUP(D369,'Bu Erta'!$C$2:$F$66,4,0)*F369</f>
        <v>1260</v>
      </c>
    </row>
    <row r="370" spans="1:8" x14ac:dyDescent="0.35">
      <c r="B370" t="s">
        <v>245</v>
      </c>
      <c r="D370" t="s">
        <v>23</v>
      </c>
      <c r="E370" s="3">
        <f>VLOOKUP(D370,'Bu Erta'!$C$2:$E$66,3,0)</f>
        <v>300</v>
      </c>
      <c r="F370">
        <f>0.45+0.7</f>
        <v>1.1499999999999999</v>
      </c>
      <c r="G370" s="3">
        <f t="shared" si="9"/>
        <v>345</v>
      </c>
      <c r="H370" s="3">
        <f>VLOOKUP(D370,'Bu Erta'!$C$2:$F$66,4,0)*F370</f>
        <v>459.99999999999994</v>
      </c>
    </row>
    <row r="371" spans="1:8" x14ac:dyDescent="0.35">
      <c r="B371" t="s">
        <v>245</v>
      </c>
      <c r="D371" t="s">
        <v>69</v>
      </c>
      <c r="E371" s="3">
        <f>VLOOKUP(D371,'Bu Erta'!$C$2:$E$66,3,0)</f>
        <v>2500</v>
      </c>
      <c r="F371">
        <v>0.1</v>
      </c>
      <c r="G371" s="3">
        <f t="shared" si="9"/>
        <v>250</v>
      </c>
      <c r="H371" s="3">
        <f>VLOOKUP(D371,'Bu Erta'!$C$2:$F$66,4,0)*F371</f>
        <v>300</v>
      </c>
    </row>
    <row r="372" spans="1:8" x14ac:dyDescent="0.35">
      <c r="A372" s="5">
        <v>56</v>
      </c>
      <c r="B372" t="s">
        <v>285</v>
      </c>
      <c r="C372" s="5">
        <v>6</v>
      </c>
      <c r="D372" t="s">
        <v>28</v>
      </c>
      <c r="E372" s="3">
        <f>VLOOKUP(D372,'Bu Erta'!$C$2:$E$66,3,0)</f>
        <v>1200</v>
      </c>
      <c r="F372">
        <f>5.2+0.6</f>
        <v>5.8</v>
      </c>
      <c r="G372" s="3">
        <f t="shared" si="9"/>
        <v>6960</v>
      </c>
      <c r="H372" s="3">
        <f>VLOOKUP(D372,'Bu Erta'!$C$2:$F$66,4,0)*F372</f>
        <v>7540</v>
      </c>
    </row>
    <row r="373" spans="1:8" x14ac:dyDescent="0.35">
      <c r="B373" t="s">
        <v>285</v>
      </c>
      <c r="D373" t="s">
        <v>49</v>
      </c>
      <c r="E373" s="3">
        <f>VLOOKUP(D373,'Bu Erta'!$C$2:$E$66,3,0)</f>
        <v>800</v>
      </c>
      <c r="F373">
        <f>1+0.45</f>
        <v>1.45</v>
      </c>
      <c r="G373" s="3">
        <f t="shared" si="9"/>
        <v>1160</v>
      </c>
      <c r="H373" s="3">
        <f>VLOOKUP(D373,'Bu Erta'!$C$2:$F$66,4,0)*F373</f>
        <v>1305</v>
      </c>
    </row>
    <row r="374" spans="1:8" x14ac:dyDescent="0.35">
      <c r="B374" t="s">
        <v>285</v>
      </c>
      <c r="D374" t="s">
        <v>42</v>
      </c>
      <c r="E374" s="3">
        <f>VLOOKUP(D374,'Bu Erta'!$C$2:$E$66,3,0)</f>
        <v>1000</v>
      </c>
      <c r="F374">
        <v>1.1000000000000001</v>
      </c>
      <c r="G374" s="3">
        <f t="shared" si="9"/>
        <v>1100</v>
      </c>
      <c r="H374" s="3">
        <f>VLOOKUP(D374,'Bu Erta'!$C$2:$F$66,4,0)*F374</f>
        <v>1320</v>
      </c>
    </row>
    <row r="375" spans="1:8" x14ac:dyDescent="0.35">
      <c r="A375" s="5">
        <v>57</v>
      </c>
      <c r="B375" t="s">
        <v>102</v>
      </c>
      <c r="C375" s="1">
        <v>4</v>
      </c>
      <c r="D375" t="s">
        <v>42</v>
      </c>
      <c r="E375" s="3">
        <f>VLOOKUP(D375,'Bu Erta'!$C$2:$E$66,3,0)</f>
        <v>1000</v>
      </c>
      <c r="F375">
        <v>2.8</v>
      </c>
      <c r="G375" s="3">
        <f t="shared" si="9"/>
        <v>2800</v>
      </c>
      <c r="H375" s="3">
        <f>VLOOKUP(D375,'Bu Erta'!$C$2:$F$66,4,0)*F375</f>
        <v>3360</v>
      </c>
    </row>
    <row r="376" spans="1:8" x14ac:dyDescent="0.35">
      <c r="B376" t="s">
        <v>102</v>
      </c>
      <c r="D376" t="s">
        <v>23</v>
      </c>
      <c r="E376" s="3">
        <f>VLOOKUP(D376,'Bu Erta'!$C$2:$E$66,3,0)</f>
        <v>300</v>
      </c>
      <c r="F376">
        <f>0.5+0.35</f>
        <v>0.85</v>
      </c>
      <c r="G376" s="3">
        <f t="shared" si="9"/>
        <v>255</v>
      </c>
      <c r="H376" s="3">
        <f>VLOOKUP(D376,'Bu Erta'!$C$2:$F$66,4,0)*F376</f>
        <v>340</v>
      </c>
    </row>
    <row r="377" spans="1:8" x14ac:dyDescent="0.35">
      <c r="B377" t="s">
        <v>102</v>
      </c>
      <c r="D377" t="s">
        <v>27</v>
      </c>
      <c r="E377" s="3">
        <f>VLOOKUP(D377,'Bu Erta'!$C$2:$E$66,3,0)</f>
        <v>2800</v>
      </c>
      <c r="F377">
        <f>1.2+0.5</f>
        <v>1.7</v>
      </c>
      <c r="G377" s="3">
        <f t="shared" si="9"/>
        <v>4760</v>
      </c>
      <c r="H377" s="3">
        <f>VLOOKUP(D377,'Bu Erta'!$C$2:$F$66,4,0)*F377</f>
        <v>5270</v>
      </c>
    </row>
    <row r="378" spans="1:8" x14ac:dyDescent="0.35">
      <c r="B378" t="s">
        <v>102</v>
      </c>
      <c r="D378" t="s">
        <v>7</v>
      </c>
      <c r="E378" s="3">
        <f>VLOOKUP(D378,'Bu Erta'!$C$2:$E$66,3,0)</f>
        <v>1400</v>
      </c>
      <c r="F378">
        <f>1.4+0.6+0.2</f>
        <v>2.2000000000000002</v>
      </c>
      <c r="G378" s="3">
        <f t="shared" si="9"/>
        <v>3080.0000000000005</v>
      </c>
      <c r="H378" s="3">
        <f>VLOOKUP(D378,'Bu Erta'!$C$2:$F$66,4,0)*F378</f>
        <v>3520.0000000000005</v>
      </c>
    </row>
    <row r="379" spans="1:8" x14ac:dyDescent="0.35">
      <c r="B379" t="s">
        <v>102</v>
      </c>
      <c r="D379" t="s">
        <v>17</v>
      </c>
      <c r="E379" s="3">
        <f>VLOOKUP(D379,'Bu Erta'!$C$2:$E$66,3,0)</f>
        <v>8000</v>
      </c>
      <c r="F379">
        <f>0.25+0.25</f>
        <v>0.5</v>
      </c>
      <c r="G379" s="3">
        <f t="shared" si="9"/>
        <v>4000</v>
      </c>
      <c r="H379" s="3">
        <f>VLOOKUP(D379,'Bu Erta'!$C$2:$F$66,4,0)*F379</f>
        <v>4250</v>
      </c>
    </row>
    <row r="380" spans="1:8" x14ac:dyDescent="0.35">
      <c r="B380" t="s">
        <v>102</v>
      </c>
      <c r="D380" t="s">
        <v>60</v>
      </c>
      <c r="E380" s="3">
        <f>VLOOKUP(D380,'Bu Erta'!$C$2:$E$66,3,0)</f>
        <v>1200</v>
      </c>
      <c r="F380">
        <v>0.65</v>
      </c>
      <c r="G380" s="3">
        <f t="shared" si="9"/>
        <v>780</v>
      </c>
      <c r="H380" s="3">
        <f>VLOOKUP(D380,'Bu Erta'!$C$2:$F$66,4,0)*F380</f>
        <v>975</v>
      </c>
    </row>
    <row r="381" spans="1:8" x14ac:dyDescent="0.35">
      <c r="B381" t="s">
        <v>102</v>
      </c>
      <c r="D381" t="s">
        <v>69</v>
      </c>
      <c r="E381" s="3">
        <f>VLOOKUP(D381,'Bu Erta'!$C$2:$E$66,3,0)</f>
        <v>2500</v>
      </c>
      <c r="F381">
        <v>0.3</v>
      </c>
      <c r="G381" s="3">
        <f t="shared" si="9"/>
        <v>750</v>
      </c>
      <c r="H381" s="3">
        <f>VLOOKUP(D381,'Bu Erta'!$C$2:$F$66,4,0)*F381</f>
        <v>900</v>
      </c>
    </row>
    <row r="382" spans="1:8" x14ac:dyDescent="0.35">
      <c r="B382" t="s">
        <v>102</v>
      </c>
      <c r="D382" t="s">
        <v>88</v>
      </c>
      <c r="E382" s="3">
        <f>VLOOKUP(D382,'Bu Erta'!$C$2:$E$66,3,0)</f>
        <v>300</v>
      </c>
      <c r="F382">
        <v>0.45</v>
      </c>
      <c r="G382" s="3">
        <f t="shared" si="9"/>
        <v>135</v>
      </c>
      <c r="H382" s="3">
        <f>VLOOKUP(D382,'Bu Erta'!$C$2:$F$66,4,0)*F382</f>
        <v>180</v>
      </c>
    </row>
    <row r="383" spans="1:8" x14ac:dyDescent="0.35">
      <c r="B383" t="s">
        <v>102</v>
      </c>
      <c r="D383" t="s">
        <v>19</v>
      </c>
      <c r="E383" s="3">
        <f>VLOOKUP(D383,'Bu Erta'!$C$2:$E$66,3,0)</f>
        <v>200</v>
      </c>
      <c r="F383">
        <v>1.2</v>
      </c>
      <c r="G383" s="3">
        <f t="shared" si="9"/>
        <v>240</v>
      </c>
      <c r="H383" s="3">
        <f>VLOOKUP(D383,'Bu Erta'!$C$2:$F$66,4,0)*F383</f>
        <v>360</v>
      </c>
    </row>
    <row r="384" spans="1:8" x14ac:dyDescent="0.35">
      <c r="B384" t="s">
        <v>102</v>
      </c>
      <c r="D384" t="s">
        <v>22</v>
      </c>
      <c r="E384" s="3">
        <f>VLOOKUP(D384,'Bu Erta'!$C$2:$E$66,3,0)</f>
        <v>2500</v>
      </c>
      <c r="F384">
        <v>10.050000000000001</v>
      </c>
      <c r="G384" s="3">
        <f t="shared" si="9"/>
        <v>25125</v>
      </c>
      <c r="H384" s="3">
        <f>VLOOKUP(D384,'Bu Erta'!$C$2:$F$66,4,0)*F384</f>
        <v>30150.000000000004</v>
      </c>
    </row>
    <row r="385" spans="1:8" x14ac:dyDescent="0.35">
      <c r="A385" s="5">
        <v>58</v>
      </c>
      <c r="B385" t="s">
        <v>113</v>
      </c>
      <c r="C385" s="1">
        <v>5</v>
      </c>
      <c r="D385" t="s">
        <v>19</v>
      </c>
      <c r="E385" s="3">
        <f>VLOOKUP(D385,'Bu Erta'!$C$2:$E$66,3,0)</f>
        <v>200</v>
      </c>
      <c r="F385">
        <v>0.15</v>
      </c>
      <c r="G385" s="3">
        <f t="shared" si="9"/>
        <v>30</v>
      </c>
      <c r="H385" s="3">
        <f>VLOOKUP(D385,'Bu Erta'!$C$2:$F$66,4,0)*F385</f>
        <v>45</v>
      </c>
    </row>
    <row r="386" spans="1:8" x14ac:dyDescent="0.35">
      <c r="B386" t="s">
        <v>113</v>
      </c>
      <c r="D386" t="s">
        <v>88</v>
      </c>
      <c r="E386" s="3">
        <f>VLOOKUP(D386,'Bu Erta'!$C$2:$E$66,3,0)</f>
        <v>300</v>
      </c>
      <c r="F386">
        <v>0.15</v>
      </c>
      <c r="G386" s="3">
        <f t="shared" si="9"/>
        <v>45</v>
      </c>
      <c r="H386" s="3">
        <f>VLOOKUP(D386,'Bu Erta'!$C$2:$F$66,4,0)*F386</f>
        <v>60</v>
      </c>
    </row>
    <row r="387" spans="1:8" x14ac:dyDescent="0.35">
      <c r="B387" t="s">
        <v>113</v>
      </c>
      <c r="D387" t="s">
        <v>23</v>
      </c>
      <c r="E387" s="3">
        <f>VLOOKUP(D387,'Bu Erta'!$C$2:$E$66,3,0)</f>
        <v>300</v>
      </c>
      <c r="F387">
        <v>0.7</v>
      </c>
      <c r="G387" s="3">
        <f t="shared" si="9"/>
        <v>210</v>
      </c>
      <c r="H387" s="3">
        <f>VLOOKUP(D387,'Bu Erta'!$C$2:$F$66,4,0)*F387</f>
        <v>280</v>
      </c>
    </row>
    <row r="388" spans="1:8" x14ac:dyDescent="0.35">
      <c r="B388" t="s">
        <v>113</v>
      </c>
      <c r="D388" t="s">
        <v>31</v>
      </c>
      <c r="E388" s="3">
        <f>VLOOKUP(D388,'Bu Erta'!$C$2:$E$66,3,0)</f>
        <v>1000</v>
      </c>
      <c r="F388">
        <f>0.2+0.4</f>
        <v>0.60000000000000009</v>
      </c>
      <c r="G388" s="3">
        <f t="shared" ref="G388:G405" si="10">E388*F388</f>
        <v>600.00000000000011</v>
      </c>
      <c r="H388" s="3">
        <f>VLOOKUP(D388,'Bu Erta'!$C$2:$F$66,4,0)*F388</f>
        <v>660.00000000000011</v>
      </c>
    </row>
    <row r="389" spans="1:8" x14ac:dyDescent="0.35">
      <c r="B389" t="s">
        <v>113</v>
      </c>
      <c r="D389" t="s">
        <v>69</v>
      </c>
      <c r="E389" s="3">
        <f>VLOOKUP(D389,'Bu Erta'!$C$2:$E$66,3,0)</f>
        <v>2500</v>
      </c>
      <c r="F389">
        <v>0.15</v>
      </c>
      <c r="G389" s="3">
        <f t="shared" si="10"/>
        <v>375</v>
      </c>
      <c r="H389" s="3">
        <f>VLOOKUP(D389,'Bu Erta'!$C$2:$F$66,4,0)*F389</f>
        <v>450</v>
      </c>
    </row>
    <row r="390" spans="1:8" x14ac:dyDescent="0.35">
      <c r="B390" t="s">
        <v>113</v>
      </c>
      <c r="D390" t="s">
        <v>39</v>
      </c>
      <c r="E390" s="3">
        <f>VLOOKUP(D390,'Bu Erta'!$C$2:$E$66,3,0)</f>
        <v>150</v>
      </c>
      <c r="F390">
        <v>0.95</v>
      </c>
      <c r="G390" s="3">
        <f t="shared" si="10"/>
        <v>142.5</v>
      </c>
      <c r="H390" s="3">
        <f>VLOOKUP(D390,'Bu Erta'!$C$2:$F$66,4,0)*F390</f>
        <v>190</v>
      </c>
    </row>
    <row r="391" spans="1:8" x14ac:dyDescent="0.35">
      <c r="A391" s="5">
        <v>59</v>
      </c>
      <c r="B391" t="s">
        <v>89</v>
      </c>
      <c r="C391" s="1">
        <v>4</v>
      </c>
      <c r="D391" t="s">
        <v>23</v>
      </c>
      <c r="E391" s="3">
        <f>VLOOKUP(D391,'Bu Erta'!$C$2:$E$66,3,0)</f>
        <v>300</v>
      </c>
      <c r="F391">
        <f>0.25+0.55</f>
        <v>0.8</v>
      </c>
      <c r="G391" s="3">
        <f t="shared" si="10"/>
        <v>240</v>
      </c>
      <c r="H391" s="3">
        <f>VLOOKUP(D391,'Bu Erta'!$C$2:$F$66,4,0)*F391</f>
        <v>320</v>
      </c>
    </row>
    <row r="392" spans="1:8" x14ac:dyDescent="0.35">
      <c r="B392" t="s">
        <v>89</v>
      </c>
      <c r="D392" t="s">
        <v>88</v>
      </c>
      <c r="E392" s="3">
        <f>VLOOKUP(D392,'Bu Erta'!$C$2:$E$66,3,0)</f>
        <v>300</v>
      </c>
      <c r="F392">
        <v>0.35</v>
      </c>
      <c r="G392" s="3">
        <f t="shared" si="10"/>
        <v>105</v>
      </c>
      <c r="H392" s="3">
        <f>VLOOKUP(D392,'Bu Erta'!$C$2:$F$66,4,0)*F392</f>
        <v>140</v>
      </c>
    </row>
    <row r="393" spans="1:8" x14ac:dyDescent="0.35">
      <c r="B393" t="s">
        <v>89</v>
      </c>
      <c r="D393" t="s">
        <v>34</v>
      </c>
      <c r="E393" s="3">
        <f>VLOOKUP(D393,'Bu Erta'!$C$2:$E$66,3,0)</f>
        <v>3500</v>
      </c>
      <c r="F393">
        <v>0.35</v>
      </c>
      <c r="G393" s="3">
        <f t="shared" si="10"/>
        <v>1225</v>
      </c>
      <c r="H393" s="3">
        <f>VLOOKUP(D393,'Bu Erta'!$C$2:$F$66,4,0)*F393</f>
        <v>1260</v>
      </c>
    </row>
    <row r="394" spans="1:8" x14ac:dyDescent="0.35">
      <c r="B394" t="s">
        <v>89</v>
      </c>
      <c r="D394" t="s">
        <v>27</v>
      </c>
      <c r="E394" s="3">
        <f>VLOOKUP(D394,'Bu Erta'!$C$2:$E$66,3,0)</f>
        <v>2800</v>
      </c>
      <c r="F394">
        <v>0.95</v>
      </c>
      <c r="G394" s="3">
        <f t="shared" si="10"/>
        <v>2660</v>
      </c>
      <c r="H394" s="3">
        <f>VLOOKUP(D394,'Bu Erta'!$C$2:$F$66,4,0)*F394</f>
        <v>2945</v>
      </c>
    </row>
    <row r="395" spans="1:8" x14ac:dyDescent="0.35">
      <c r="B395" t="s">
        <v>89</v>
      </c>
      <c r="D395" t="s">
        <v>19</v>
      </c>
      <c r="E395" s="3">
        <f>VLOOKUP(D395,'Bu Erta'!$C$2:$E$66,3,0)</f>
        <v>200</v>
      </c>
      <c r="F395">
        <v>1</v>
      </c>
      <c r="G395" s="3">
        <f t="shared" si="10"/>
        <v>200</v>
      </c>
      <c r="H395" s="3">
        <f>VLOOKUP(D395,'Bu Erta'!$C$2:$F$66,4,0)*F395</f>
        <v>300</v>
      </c>
    </row>
    <row r="396" spans="1:8" x14ac:dyDescent="0.35">
      <c r="B396" t="s">
        <v>89</v>
      </c>
      <c r="D396" t="s">
        <v>7</v>
      </c>
      <c r="E396" s="3">
        <f>VLOOKUP(D396,'Bu Erta'!$C$2:$E$66,3,0)</f>
        <v>1400</v>
      </c>
      <c r="F396">
        <v>1</v>
      </c>
      <c r="G396" s="3">
        <f t="shared" si="10"/>
        <v>1400</v>
      </c>
      <c r="H396" s="3">
        <f>VLOOKUP(D396,'Bu Erta'!$C$2:$F$66,4,0)*F396</f>
        <v>1600</v>
      </c>
    </row>
    <row r="397" spans="1:8" x14ac:dyDescent="0.35">
      <c r="B397" t="s">
        <v>89</v>
      </c>
      <c r="D397" t="s">
        <v>42</v>
      </c>
      <c r="E397" s="3">
        <f>VLOOKUP(D397,'Bu Erta'!$C$2:$E$66,3,0)</f>
        <v>1000</v>
      </c>
      <c r="F397">
        <v>0.45</v>
      </c>
      <c r="G397" s="3">
        <f t="shared" si="10"/>
        <v>450</v>
      </c>
      <c r="H397" s="3">
        <f>VLOOKUP(D397,'Bu Erta'!$C$2:$F$66,4,0)*F397</f>
        <v>540</v>
      </c>
    </row>
    <row r="398" spans="1:8" x14ac:dyDescent="0.35">
      <c r="A398" s="5">
        <v>60</v>
      </c>
      <c r="B398" t="s">
        <v>116</v>
      </c>
      <c r="C398" s="1">
        <v>2</v>
      </c>
      <c r="D398" t="s">
        <v>31</v>
      </c>
      <c r="E398" s="3">
        <f>VLOOKUP(D398,'Bu Erta'!$C$2:$E$66,3,0)</f>
        <v>1000</v>
      </c>
      <c r="F398">
        <f>0.8+0.3</f>
        <v>1.1000000000000001</v>
      </c>
      <c r="G398" s="3">
        <f t="shared" si="10"/>
        <v>1100</v>
      </c>
      <c r="H398" s="3">
        <f>VLOOKUP(D398,'Bu Erta'!$C$2:$F$66,4,0)*F398</f>
        <v>1210</v>
      </c>
    </row>
    <row r="399" spans="1:8" x14ac:dyDescent="0.35">
      <c r="B399" t="s">
        <v>116</v>
      </c>
      <c r="D399" t="s">
        <v>42</v>
      </c>
      <c r="E399" s="3">
        <f>VLOOKUP(D399,'Bu Erta'!$C$2:$E$66,3,0)</f>
        <v>1000</v>
      </c>
      <c r="F399">
        <v>0.1</v>
      </c>
      <c r="G399" s="3">
        <f t="shared" si="10"/>
        <v>100</v>
      </c>
      <c r="H399" s="3">
        <f>VLOOKUP(D399,'Bu Erta'!$C$2:$F$66,4,0)*F399</f>
        <v>120</v>
      </c>
    </row>
    <row r="400" spans="1:8" x14ac:dyDescent="0.35">
      <c r="B400" t="s">
        <v>116</v>
      </c>
      <c r="D400" t="s">
        <v>7</v>
      </c>
      <c r="E400" s="3">
        <f>VLOOKUP(D400,'Bu Erta'!$C$2:$E$66,3,0)</f>
        <v>1400</v>
      </c>
      <c r="F400">
        <f>0.2+0.15+0.1</f>
        <v>0.44999999999999996</v>
      </c>
      <c r="G400" s="3">
        <f t="shared" si="10"/>
        <v>629.99999999999989</v>
      </c>
      <c r="H400" s="3">
        <f>VLOOKUP(D400,'Bu Erta'!$C$2:$F$66,4,0)*F400</f>
        <v>719.99999999999989</v>
      </c>
    </row>
    <row r="401" spans="1:8" x14ac:dyDescent="0.35">
      <c r="B401" t="s">
        <v>116</v>
      </c>
      <c r="D401" t="s">
        <v>41</v>
      </c>
      <c r="E401" s="3">
        <f>VLOOKUP(D401,'Bu Erta'!$C$2:$E$66,3,0)</f>
        <v>1500</v>
      </c>
      <c r="F401">
        <v>0.85</v>
      </c>
      <c r="G401" s="3">
        <f t="shared" si="10"/>
        <v>1275</v>
      </c>
      <c r="H401" s="3">
        <f>VLOOKUP(D401,'Bu Erta'!$C$2:$F$66,4,0)*F401</f>
        <v>1700</v>
      </c>
    </row>
    <row r="402" spans="1:8" x14ac:dyDescent="0.35">
      <c r="B402" t="s">
        <v>116</v>
      </c>
      <c r="D402" t="s">
        <v>24</v>
      </c>
      <c r="E402" s="3">
        <f>VLOOKUP(D402,'Bu Erta'!$C$2:$E$66,3,0)</f>
        <v>150</v>
      </c>
      <c r="F402">
        <v>0.15</v>
      </c>
      <c r="G402" s="3">
        <f t="shared" si="10"/>
        <v>22.5</v>
      </c>
      <c r="H402" s="3">
        <f>VLOOKUP(D402,'Bu Erta'!$C$2:$F$66,4,0)*F402</f>
        <v>30</v>
      </c>
    </row>
    <row r="403" spans="1:8" x14ac:dyDescent="0.35">
      <c r="B403" t="s">
        <v>116</v>
      </c>
      <c r="D403" t="s">
        <v>25</v>
      </c>
      <c r="E403" s="3">
        <f>VLOOKUP(D403,'Bu Erta'!$C$2:$E$66,3,0)</f>
        <v>1600</v>
      </c>
      <c r="F403">
        <v>1</v>
      </c>
      <c r="G403" s="3">
        <f t="shared" si="10"/>
        <v>1600</v>
      </c>
      <c r="H403" s="3">
        <f>VLOOKUP(D403,'Bu Erta'!$C$2:$F$66,4,0)*F403</f>
        <v>1700</v>
      </c>
    </row>
    <row r="404" spans="1:8" x14ac:dyDescent="0.35">
      <c r="A404" s="5">
        <v>61</v>
      </c>
      <c r="B404" t="s">
        <v>188</v>
      </c>
      <c r="C404" s="1">
        <v>7</v>
      </c>
      <c r="D404" t="s">
        <v>42</v>
      </c>
      <c r="E404" s="3">
        <f>VLOOKUP(D404,'Bu Erta'!$C$2:$E$66,3,0)</f>
        <v>1000</v>
      </c>
      <c r="F404">
        <v>9.75</v>
      </c>
      <c r="G404" s="3">
        <f t="shared" si="10"/>
        <v>9750</v>
      </c>
      <c r="H404" s="3">
        <f>VLOOKUP(D404,'Bu Erta'!$C$2:$F$66,4,0)*F404</f>
        <v>11700</v>
      </c>
    </row>
    <row r="405" spans="1:8" x14ac:dyDescent="0.35">
      <c r="B405" t="s">
        <v>188</v>
      </c>
      <c r="D405" t="s">
        <v>19</v>
      </c>
      <c r="E405" s="3">
        <f>VLOOKUP(D405,'Bu Erta'!$C$2:$E$66,3,0)</f>
        <v>200</v>
      </c>
      <c r="F405">
        <v>1.3</v>
      </c>
      <c r="G405" s="3">
        <f t="shared" si="10"/>
        <v>260</v>
      </c>
      <c r="H405" s="3">
        <f>VLOOKUP(D405,'Bu Erta'!$C$2:$F$66,4,0)*F405</f>
        <v>390</v>
      </c>
    </row>
    <row r="406" spans="1:8" x14ac:dyDescent="0.35">
      <c r="B406" t="s">
        <v>188</v>
      </c>
      <c r="D406" t="s">
        <v>69</v>
      </c>
      <c r="E406" s="3">
        <f>VLOOKUP(D406,'Bu Erta'!$C$2:$E$66,3,0)</f>
        <v>2500</v>
      </c>
      <c r="F406">
        <v>0.2</v>
      </c>
      <c r="G406" s="3">
        <f t="shared" ref="G406:G445" si="11">E406*F406</f>
        <v>500</v>
      </c>
      <c r="H406" s="3">
        <f>VLOOKUP(D406,'Bu Erta'!$C$2:$F$66,4,0)*F406</f>
        <v>600</v>
      </c>
    </row>
    <row r="407" spans="1:8" x14ac:dyDescent="0.35">
      <c r="B407" t="s">
        <v>188</v>
      </c>
      <c r="D407" t="s">
        <v>27</v>
      </c>
      <c r="E407" s="3">
        <f>VLOOKUP(D407,'Bu Erta'!$C$2:$E$66,3,0)</f>
        <v>2800</v>
      </c>
      <c r="F407">
        <v>1.1499999999999999</v>
      </c>
      <c r="G407" s="3">
        <f t="shared" si="11"/>
        <v>3219.9999999999995</v>
      </c>
      <c r="H407" s="3">
        <f>VLOOKUP(D407,'Bu Erta'!$C$2:$F$66,4,0)*F407</f>
        <v>3564.9999999999995</v>
      </c>
    </row>
    <row r="408" spans="1:8" x14ac:dyDescent="0.35">
      <c r="B408" t="s">
        <v>188</v>
      </c>
      <c r="D408" t="s">
        <v>34</v>
      </c>
      <c r="E408" s="3">
        <f>VLOOKUP(D408,'Bu Erta'!$C$2:$E$66,3,0)</f>
        <v>3500</v>
      </c>
      <c r="F408">
        <v>0.5</v>
      </c>
      <c r="G408" s="3">
        <f t="shared" si="11"/>
        <v>1750</v>
      </c>
      <c r="H408" s="3">
        <f>VLOOKUP(D408,'Bu Erta'!$C$2:$F$66,4,0)*F408</f>
        <v>1800</v>
      </c>
    </row>
    <row r="409" spans="1:8" x14ac:dyDescent="0.35">
      <c r="B409" t="s">
        <v>188</v>
      </c>
      <c r="D409" t="s">
        <v>7</v>
      </c>
      <c r="E409" s="3">
        <f>VLOOKUP(D409,'Bu Erta'!$C$2:$E$66,3,0)</f>
        <v>1400</v>
      </c>
      <c r="F409">
        <f>0.95+1</f>
        <v>1.95</v>
      </c>
      <c r="G409" s="3">
        <f t="shared" si="11"/>
        <v>2730</v>
      </c>
      <c r="H409" s="3">
        <f>VLOOKUP(D409,'Bu Erta'!$C$2:$F$66,4,0)*F409</f>
        <v>3120</v>
      </c>
    </row>
    <row r="410" spans="1:8" x14ac:dyDescent="0.35">
      <c r="B410" t="s">
        <v>188</v>
      </c>
      <c r="D410" t="s">
        <v>24</v>
      </c>
      <c r="E410" s="3">
        <f>VLOOKUP(D410,'Bu Erta'!$C$2:$E$66,3,0)</f>
        <v>150</v>
      </c>
      <c r="F410">
        <v>0.35</v>
      </c>
      <c r="G410" s="3">
        <f t="shared" si="11"/>
        <v>52.5</v>
      </c>
      <c r="H410" s="3">
        <f>VLOOKUP(D410,'Bu Erta'!$C$2:$F$66,4,0)*F410</f>
        <v>70</v>
      </c>
    </row>
    <row r="411" spans="1:8" x14ac:dyDescent="0.35">
      <c r="B411" t="s">
        <v>188</v>
      </c>
      <c r="D411" t="s">
        <v>88</v>
      </c>
      <c r="E411" s="3">
        <f>VLOOKUP(D411,'Bu Erta'!$C$2:$E$66,3,0)</f>
        <v>300</v>
      </c>
      <c r="F411">
        <v>1.2</v>
      </c>
      <c r="G411" s="3">
        <f t="shared" si="11"/>
        <v>360</v>
      </c>
      <c r="H411" s="3">
        <f>VLOOKUP(D411,'Bu Erta'!$C$2:$F$66,4,0)*F411</f>
        <v>480</v>
      </c>
    </row>
    <row r="412" spans="1:8" x14ac:dyDescent="0.35">
      <c r="B412" t="s">
        <v>188</v>
      </c>
      <c r="D412" t="s">
        <v>6</v>
      </c>
      <c r="E412" s="3">
        <f>VLOOKUP(D412,'Bu Erta'!$C$2:$E$66,3,0)</f>
        <v>2000</v>
      </c>
      <c r="F412">
        <v>0.6</v>
      </c>
      <c r="G412" s="3">
        <f t="shared" si="11"/>
        <v>1200</v>
      </c>
      <c r="H412" s="3">
        <f>VLOOKUP(D412,'Bu Erta'!$C$2:$F$66,4,0)*F412</f>
        <v>1500</v>
      </c>
    </row>
    <row r="413" spans="1:8" x14ac:dyDescent="0.35">
      <c r="B413" t="s">
        <v>188</v>
      </c>
      <c r="D413" t="s">
        <v>40</v>
      </c>
      <c r="E413" s="3">
        <f>VLOOKUP(D413,'Bu Erta'!$C$2:$E$66,3,0)</f>
        <v>1800</v>
      </c>
      <c r="F413">
        <v>0.8</v>
      </c>
      <c r="G413" s="3">
        <f t="shared" si="11"/>
        <v>1440</v>
      </c>
      <c r="H413" s="3">
        <f>VLOOKUP(D413,'Bu Erta'!$C$2:$F$66,4,0)*F413</f>
        <v>1600</v>
      </c>
    </row>
    <row r="414" spans="1:8" x14ac:dyDescent="0.35">
      <c r="A414" s="5">
        <v>62</v>
      </c>
      <c r="B414" t="s">
        <v>241</v>
      </c>
      <c r="C414" s="5">
        <v>7</v>
      </c>
      <c r="D414" t="s">
        <v>23</v>
      </c>
      <c r="E414" s="3">
        <f>VLOOKUP(D414,'Bu Erta'!$C$2:$E$66,3,0)</f>
        <v>300</v>
      </c>
      <c r="F414">
        <f>1.5+0.5</f>
        <v>2</v>
      </c>
      <c r="G414" s="3">
        <f t="shared" si="11"/>
        <v>600</v>
      </c>
      <c r="H414" s="3">
        <f>VLOOKUP(D414,'Bu Erta'!$C$2:$F$66,4,0)*F414</f>
        <v>800</v>
      </c>
    </row>
    <row r="415" spans="1:8" x14ac:dyDescent="0.35">
      <c r="B415" t="s">
        <v>241</v>
      </c>
      <c r="D415" t="s">
        <v>7</v>
      </c>
      <c r="E415" s="3">
        <f>VLOOKUP(D415,'Bu Erta'!$C$2:$E$66,3,0)</f>
        <v>1400</v>
      </c>
      <c r="F415">
        <v>0.1</v>
      </c>
      <c r="G415" s="3">
        <f t="shared" si="11"/>
        <v>140</v>
      </c>
      <c r="H415" s="3">
        <f>VLOOKUP(D415,'Bu Erta'!$C$2:$F$66,4,0)*F415</f>
        <v>160</v>
      </c>
    </row>
    <row r="416" spans="1:8" x14ac:dyDescent="0.35">
      <c r="B416" t="s">
        <v>241</v>
      </c>
      <c r="D416" t="s">
        <v>17</v>
      </c>
      <c r="E416" s="3">
        <f>VLOOKUP(D416,'Bu Erta'!$C$2:$E$66,3,0)</f>
        <v>8000</v>
      </c>
      <c r="F416">
        <v>0.2</v>
      </c>
      <c r="G416" s="3">
        <f t="shared" si="11"/>
        <v>1600</v>
      </c>
      <c r="H416" s="3">
        <f>VLOOKUP(D416,'Bu Erta'!$C$2:$F$66,4,0)*F416</f>
        <v>1700</v>
      </c>
    </row>
    <row r="417" spans="1:8" x14ac:dyDescent="0.35">
      <c r="B417" t="s">
        <v>241</v>
      </c>
      <c r="D417" t="s">
        <v>19</v>
      </c>
      <c r="E417" s="3">
        <f>VLOOKUP(D417,'Bu Erta'!$C$2:$E$66,3,0)</f>
        <v>200</v>
      </c>
      <c r="F417">
        <v>1.05</v>
      </c>
      <c r="G417" s="3">
        <f t="shared" si="11"/>
        <v>210</v>
      </c>
      <c r="H417" s="3">
        <f>VLOOKUP(D417,'Bu Erta'!$C$2:$F$66,4,0)*F417</f>
        <v>315</v>
      </c>
    </row>
    <row r="418" spans="1:8" x14ac:dyDescent="0.35">
      <c r="A418" s="5">
        <v>63</v>
      </c>
      <c r="B418" t="s">
        <v>114</v>
      </c>
      <c r="C418" s="1">
        <v>4</v>
      </c>
      <c r="D418" t="s">
        <v>25</v>
      </c>
      <c r="E418" s="3">
        <f>VLOOKUP(D418,'Bu Erta'!$C$2:$E$66,3,0)</f>
        <v>1600</v>
      </c>
      <c r="F418">
        <f>0.2+1.4+0.7</f>
        <v>2.2999999999999998</v>
      </c>
      <c r="G418" s="3">
        <f t="shared" si="11"/>
        <v>3679.9999999999995</v>
      </c>
      <c r="H418" s="3">
        <f>VLOOKUP(D418,'Bu Erta'!$C$2:$F$66,4,0)*F418</f>
        <v>3909.9999999999995</v>
      </c>
    </row>
    <row r="419" spans="1:8" x14ac:dyDescent="0.35">
      <c r="B419" t="s">
        <v>114</v>
      </c>
      <c r="D419" t="s">
        <v>41</v>
      </c>
      <c r="E419" s="3">
        <f>VLOOKUP(D419,'Bu Erta'!$C$2:$E$66,3,0)</f>
        <v>1500</v>
      </c>
      <c r="F419">
        <v>0.2</v>
      </c>
      <c r="G419" s="3">
        <f t="shared" si="11"/>
        <v>300</v>
      </c>
      <c r="H419" s="3">
        <f>VLOOKUP(D419,'Bu Erta'!$C$2:$F$66,4,0)*F419</f>
        <v>400</v>
      </c>
    </row>
    <row r="420" spans="1:8" x14ac:dyDescent="0.35">
      <c r="B420" t="s">
        <v>114</v>
      </c>
      <c r="D420" t="s">
        <v>42</v>
      </c>
      <c r="E420" s="3">
        <f>VLOOKUP(D420,'Bu Erta'!$C$2:$E$66,3,0)</f>
        <v>1000</v>
      </c>
      <c r="F420">
        <v>2.4</v>
      </c>
      <c r="G420" s="3">
        <f t="shared" si="11"/>
        <v>2400</v>
      </c>
      <c r="H420" s="3">
        <f>VLOOKUP(D420,'Bu Erta'!$C$2:$F$66,4,0)*F420</f>
        <v>2880</v>
      </c>
    </row>
    <row r="421" spans="1:8" x14ac:dyDescent="0.35">
      <c r="B421" t="s">
        <v>114</v>
      </c>
      <c r="D421" t="s">
        <v>23</v>
      </c>
      <c r="E421" s="3">
        <f>VLOOKUP(D421,'Bu Erta'!$C$2:$E$66,3,0)</f>
        <v>300</v>
      </c>
      <c r="F421">
        <v>0.8</v>
      </c>
      <c r="G421" s="3">
        <f t="shared" si="11"/>
        <v>240</v>
      </c>
      <c r="H421" s="3">
        <f>VLOOKUP(D421,'Bu Erta'!$C$2:$F$66,4,0)*F421</f>
        <v>320</v>
      </c>
    </row>
    <row r="422" spans="1:8" x14ac:dyDescent="0.35">
      <c r="B422" t="s">
        <v>114</v>
      </c>
      <c r="D422" t="s">
        <v>37</v>
      </c>
      <c r="E422" s="3">
        <f>VLOOKUP(D422,'Bu Erta'!$C$2:$E$66,3,0)</f>
        <v>1600</v>
      </c>
      <c r="F422">
        <v>0.65</v>
      </c>
      <c r="G422" s="3">
        <f t="shared" si="11"/>
        <v>1040</v>
      </c>
      <c r="H422" s="3">
        <f>VLOOKUP(D422,'Bu Erta'!$C$2:$F$66,4,0)*F422</f>
        <v>1300</v>
      </c>
    </row>
    <row r="423" spans="1:8" x14ac:dyDescent="0.35">
      <c r="B423" t="s">
        <v>114</v>
      </c>
      <c r="D423" t="s">
        <v>19</v>
      </c>
      <c r="E423" s="3">
        <f>VLOOKUP(D423,'Bu Erta'!$C$2:$E$66,3,0)</f>
        <v>200</v>
      </c>
      <c r="F423">
        <f>2+2.35+2.35+2.1</f>
        <v>8.7999999999999989</v>
      </c>
      <c r="G423" s="3">
        <f t="shared" si="11"/>
        <v>1759.9999999999998</v>
      </c>
      <c r="H423" s="3">
        <f>VLOOKUP(D423,'Bu Erta'!$C$2:$F$66,4,0)*F423</f>
        <v>2639.9999999999995</v>
      </c>
    </row>
    <row r="424" spans="1:8" x14ac:dyDescent="0.35">
      <c r="B424" t="s">
        <v>114</v>
      </c>
      <c r="D424" t="s">
        <v>24</v>
      </c>
      <c r="E424" s="3">
        <f>VLOOKUP(D424,'Bu Erta'!$C$2:$E$66,3,0)</f>
        <v>150</v>
      </c>
      <c r="F424">
        <v>0.7</v>
      </c>
      <c r="G424" s="3">
        <f t="shared" si="11"/>
        <v>105</v>
      </c>
      <c r="H424" s="3">
        <f>VLOOKUP(D424,'Bu Erta'!$C$2:$F$66,4,0)*F424</f>
        <v>140</v>
      </c>
    </row>
    <row r="425" spans="1:8" x14ac:dyDescent="0.35">
      <c r="B425" t="s">
        <v>114</v>
      </c>
      <c r="D425" t="s">
        <v>68</v>
      </c>
      <c r="E425" s="3">
        <f>VLOOKUP(D425,'Bu Erta'!$C$2:$E$66,3,0)</f>
        <v>150</v>
      </c>
      <c r="F425">
        <v>0.95</v>
      </c>
      <c r="G425" s="3">
        <f t="shared" si="11"/>
        <v>142.5</v>
      </c>
      <c r="H425" s="3">
        <f>VLOOKUP(D425,'Bu Erta'!$C$2:$F$66,4,0)*F425</f>
        <v>190</v>
      </c>
    </row>
    <row r="426" spans="1:8" x14ac:dyDescent="0.35">
      <c r="A426" s="5">
        <v>64</v>
      </c>
      <c r="B426" t="s">
        <v>97</v>
      </c>
      <c r="C426" s="1">
        <v>4</v>
      </c>
      <c r="D426" t="s">
        <v>42</v>
      </c>
      <c r="E426" s="3">
        <f>VLOOKUP(D426,'Bu Erta'!$C$2:$E$66,3,0)</f>
        <v>1000</v>
      </c>
      <c r="F426">
        <v>3.65</v>
      </c>
      <c r="G426" s="3">
        <f t="shared" si="11"/>
        <v>3650</v>
      </c>
      <c r="H426" s="3">
        <f>VLOOKUP(D426,'Bu Erta'!$C$2:$F$66,4,0)*F426</f>
        <v>4380</v>
      </c>
    </row>
    <row r="427" spans="1:8" x14ac:dyDescent="0.35">
      <c r="B427" t="s">
        <v>97</v>
      </c>
      <c r="D427" t="s">
        <v>19</v>
      </c>
      <c r="E427" s="3">
        <f>VLOOKUP(D427,'Bu Erta'!$C$2:$E$66,3,0)</f>
        <v>200</v>
      </c>
      <c r="F427">
        <f>1.45+1.05</f>
        <v>2.5</v>
      </c>
      <c r="G427" s="3">
        <f t="shared" si="11"/>
        <v>500</v>
      </c>
      <c r="H427" s="3">
        <f>VLOOKUP(D427,'Bu Erta'!$C$2:$F$66,4,0)*F427</f>
        <v>750</v>
      </c>
    </row>
    <row r="428" spans="1:8" x14ac:dyDescent="0.35">
      <c r="B428" t="s">
        <v>97</v>
      </c>
      <c r="D428" t="s">
        <v>61</v>
      </c>
      <c r="E428" s="3">
        <f>VLOOKUP(D428,'Bu Erta'!$C$2:$E$66,3,0)</f>
        <v>800</v>
      </c>
      <c r="F428">
        <v>0.65</v>
      </c>
      <c r="G428" s="3">
        <f t="shared" si="11"/>
        <v>520</v>
      </c>
      <c r="H428" s="3">
        <f>VLOOKUP(D428,'Bu Erta'!$C$2:$F$66,4,0)*F428</f>
        <v>585</v>
      </c>
    </row>
    <row r="429" spans="1:8" x14ac:dyDescent="0.35">
      <c r="B429" t="s">
        <v>97</v>
      </c>
      <c r="D429" t="s">
        <v>88</v>
      </c>
      <c r="E429" s="3">
        <f>VLOOKUP(D429,'Bu Erta'!$C$2:$E$66,3,0)</f>
        <v>300</v>
      </c>
      <c r="F429">
        <v>1.9</v>
      </c>
      <c r="G429" s="3">
        <f t="shared" si="11"/>
        <v>570</v>
      </c>
      <c r="H429" s="3">
        <f>VLOOKUP(D429,'Bu Erta'!$C$2:$F$66,4,0)*F429</f>
        <v>760</v>
      </c>
    </row>
    <row r="430" spans="1:8" x14ac:dyDescent="0.35">
      <c r="B430" t="s">
        <v>97</v>
      </c>
      <c r="D430" t="s">
        <v>23</v>
      </c>
      <c r="E430" s="3">
        <f>VLOOKUP(D430,'Bu Erta'!$C$2:$E$66,3,0)</f>
        <v>300</v>
      </c>
      <c r="F430">
        <v>2.35</v>
      </c>
      <c r="G430" s="3">
        <f t="shared" si="11"/>
        <v>705</v>
      </c>
      <c r="H430" s="3">
        <f>VLOOKUP(D430,'Bu Erta'!$C$2:$F$66,4,0)*F430</f>
        <v>940</v>
      </c>
    </row>
    <row r="431" spans="1:8" x14ac:dyDescent="0.35">
      <c r="B431" t="s">
        <v>97</v>
      </c>
      <c r="D431" t="s">
        <v>7</v>
      </c>
      <c r="E431" s="3">
        <f>VLOOKUP(D431,'Bu Erta'!$C$2:$E$66,3,0)</f>
        <v>1400</v>
      </c>
      <c r="F431">
        <v>1.65</v>
      </c>
      <c r="G431" s="3">
        <f t="shared" ref="G431" si="12">E431*F431</f>
        <v>2310</v>
      </c>
      <c r="H431" s="3">
        <f>VLOOKUP(D431,'Bu Erta'!$C$2:$F$66,4,0)*F431</f>
        <v>2640</v>
      </c>
    </row>
    <row r="432" spans="1:8" x14ac:dyDescent="0.35">
      <c r="A432" s="5">
        <v>65</v>
      </c>
      <c r="B432" t="s">
        <v>200</v>
      </c>
      <c r="C432" s="1" t="s">
        <v>201</v>
      </c>
      <c r="D432" t="s">
        <v>21</v>
      </c>
      <c r="E432" s="3">
        <f>VLOOKUP(D432,'Bu Erta'!$C$2:$E$66,3,0)</f>
        <v>150</v>
      </c>
      <c r="F432">
        <v>2.2000000000000002</v>
      </c>
      <c r="G432" s="3">
        <f t="shared" ref="G432:G434" si="13">E432*F432</f>
        <v>330</v>
      </c>
      <c r="H432" s="3">
        <f>VLOOKUP(D432,'Bu Erta'!$C$2:$F$66,4,0)*F432</f>
        <v>440.00000000000006</v>
      </c>
    </row>
    <row r="433" spans="1:8" x14ac:dyDescent="0.35">
      <c r="B433" t="s">
        <v>200</v>
      </c>
      <c r="C433" s="1"/>
      <c r="D433" t="s">
        <v>65</v>
      </c>
      <c r="E433" s="3">
        <f>VLOOKUP(D433,'Bu Erta'!$C$2:$E$66,3,0)</f>
        <v>150</v>
      </c>
      <c r="F433">
        <v>0.65</v>
      </c>
      <c r="G433" s="3">
        <f t="shared" si="13"/>
        <v>97.5</v>
      </c>
      <c r="H433" s="3">
        <f>VLOOKUP(D433,'Bu Erta'!$C$2:$F$66,4,0)*F433</f>
        <v>130</v>
      </c>
    </row>
    <row r="434" spans="1:8" x14ac:dyDescent="0.35">
      <c r="B434" t="s">
        <v>200</v>
      </c>
      <c r="C434" s="1"/>
      <c r="D434" t="s">
        <v>42</v>
      </c>
      <c r="E434" s="3">
        <f>VLOOKUP(D434,'Bu Erta'!$C$2:$E$66,3,0)</f>
        <v>1000</v>
      </c>
      <c r="F434">
        <v>0.75</v>
      </c>
      <c r="G434" s="3">
        <f t="shared" si="13"/>
        <v>750</v>
      </c>
      <c r="H434" s="3">
        <f>VLOOKUP(D434,'Bu Erta'!$C$2:$F$66,4,0)*F434</f>
        <v>900</v>
      </c>
    </row>
    <row r="435" spans="1:8" x14ac:dyDescent="0.35">
      <c r="A435" s="5">
        <v>66</v>
      </c>
      <c r="B435" s="69" t="s">
        <v>219</v>
      </c>
      <c r="C435" s="1" t="s">
        <v>201</v>
      </c>
      <c r="D435" t="s">
        <v>42</v>
      </c>
      <c r="E435" s="3">
        <f>VLOOKUP(D435,'Bu Erta'!$C$2:$E$66,3,0)</f>
        <v>1000</v>
      </c>
      <c r="F435">
        <f>1.4+1.45</f>
        <v>2.8499999999999996</v>
      </c>
      <c r="G435" s="3">
        <f t="shared" ref="G435:G437" si="14">E435*F435</f>
        <v>2849.9999999999995</v>
      </c>
      <c r="H435" s="3">
        <f>VLOOKUP(D435,'Bu Erta'!$C$2:$F$66,4,0)*F435</f>
        <v>3419.9999999999995</v>
      </c>
    </row>
    <row r="436" spans="1:8" x14ac:dyDescent="0.35">
      <c r="B436" s="69" t="s">
        <v>219</v>
      </c>
      <c r="D436" t="s">
        <v>23</v>
      </c>
      <c r="E436" s="3">
        <f>VLOOKUP(D436,'Bu Erta'!$C$2:$E$66,3,0)</f>
        <v>300</v>
      </c>
      <c r="F436">
        <v>0.25</v>
      </c>
      <c r="G436" s="3">
        <f t="shared" si="14"/>
        <v>75</v>
      </c>
      <c r="H436" s="3">
        <f>VLOOKUP(D436,'Bu Erta'!$C$2:$F$66,4,0)*F436</f>
        <v>100</v>
      </c>
    </row>
    <row r="437" spans="1:8" x14ac:dyDescent="0.35">
      <c r="B437" s="69" t="s">
        <v>219</v>
      </c>
      <c r="D437" t="s">
        <v>31</v>
      </c>
      <c r="E437" s="3">
        <f>VLOOKUP(D437,'Bu Erta'!$C$2:$E$66,3,0)</f>
        <v>1000</v>
      </c>
      <c r="F437">
        <v>8.4</v>
      </c>
      <c r="G437" s="3">
        <f t="shared" si="14"/>
        <v>8400</v>
      </c>
      <c r="H437" s="3">
        <f>VLOOKUP(D437,'Bu Erta'!$C$2:$F$66,4,0)*F437</f>
        <v>9240</v>
      </c>
    </row>
    <row r="438" spans="1:8" x14ac:dyDescent="0.35">
      <c r="B438" s="69" t="s">
        <v>219</v>
      </c>
      <c r="D438" t="s">
        <v>34</v>
      </c>
      <c r="E438" s="3">
        <f>VLOOKUP(D438,'Bu Erta'!$C$2:$E$66,3,0)</f>
        <v>3500</v>
      </c>
      <c r="F438">
        <v>2</v>
      </c>
      <c r="G438" s="3">
        <f t="shared" ref="G438:G444" si="15">E438*F438</f>
        <v>7000</v>
      </c>
      <c r="H438" s="3">
        <f>VLOOKUP(D438,'Bu Erta'!$C$2:$F$66,4,0)*F438</f>
        <v>7200</v>
      </c>
    </row>
    <row r="439" spans="1:8" x14ac:dyDescent="0.35">
      <c r="B439" s="69" t="s">
        <v>219</v>
      </c>
      <c r="D439" t="s">
        <v>17</v>
      </c>
      <c r="E439" s="3">
        <f>VLOOKUP(D439,'Bu Erta'!$C$2:$E$66,3,0)</f>
        <v>8000</v>
      </c>
      <c r="F439">
        <v>0.25</v>
      </c>
      <c r="G439" s="3">
        <f t="shared" si="15"/>
        <v>2000</v>
      </c>
      <c r="H439" s="3">
        <f>VLOOKUP(D439,'Bu Erta'!$C$2:$F$66,4,0)*F439</f>
        <v>2125</v>
      </c>
    </row>
    <row r="440" spans="1:8" x14ac:dyDescent="0.35">
      <c r="B440" s="69" t="s">
        <v>219</v>
      </c>
      <c r="D440" t="s">
        <v>41</v>
      </c>
      <c r="E440" s="3">
        <f>VLOOKUP(D440,'Bu Erta'!$C$2:$E$66,3,0)</f>
        <v>1500</v>
      </c>
      <c r="F440">
        <v>0.15</v>
      </c>
      <c r="G440" s="3">
        <f t="shared" si="15"/>
        <v>225</v>
      </c>
      <c r="H440" s="3">
        <f>VLOOKUP(D440,'Bu Erta'!$C$2:$F$66,4,0)*F440</f>
        <v>300</v>
      </c>
    </row>
    <row r="441" spans="1:8" x14ac:dyDescent="0.35">
      <c r="B441" s="69" t="s">
        <v>219</v>
      </c>
      <c r="D441" t="s">
        <v>7</v>
      </c>
      <c r="E441" s="3">
        <f>VLOOKUP(D441,'Bu Erta'!$C$2:$E$66,3,0)</f>
        <v>1400</v>
      </c>
      <c r="F441">
        <v>0.3</v>
      </c>
      <c r="G441" s="3">
        <f t="shared" si="15"/>
        <v>420</v>
      </c>
      <c r="H441" s="3">
        <f>VLOOKUP(D441,'Bu Erta'!$C$2:$F$66,4,0)*F441</f>
        <v>480</v>
      </c>
    </row>
    <row r="442" spans="1:8" x14ac:dyDescent="0.35">
      <c r="B442" s="69" t="s">
        <v>219</v>
      </c>
      <c r="D442" t="s">
        <v>37</v>
      </c>
      <c r="E442" s="3">
        <f>VLOOKUP(D442,'Bu Erta'!$C$2:$E$66,3,0)</f>
        <v>1600</v>
      </c>
      <c r="F442">
        <v>0.95</v>
      </c>
      <c r="G442" s="3">
        <f t="shared" si="15"/>
        <v>1520</v>
      </c>
      <c r="H442" s="3">
        <f>VLOOKUP(D442,'Bu Erta'!$C$2:$F$66,4,0)*F442</f>
        <v>1900</v>
      </c>
    </row>
    <row r="443" spans="1:8" x14ac:dyDescent="0.35">
      <c r="B443" s="69" t="s">
        <v>219</v>
      </c>
      <c r="D443" t="s">
        <v>27</v>
      </c>
      <c r="E443" s="3">
        <f>VLOOKUP(D443,'Bu Erta'!$C$2:$E$66,3,0)</f>
        <v>2800</v>
      </c>
      <c r="F443">
        <v>3.4</v>
      </c>
      <c r="G443" s="3">
        <f t="shared" si="15"/>
        <v>9520</v>
      </c>
      <c r="H443" s="3">
        <f>VLOOKUP(D443,'Bu Erta'!$C$2:$F$66,4,0)*F443</f>
        <v>10540</v>
      </c>
    </row>
    <row r="444" spans="1:8" x14ac:dyDescent="0.35">
      <c r="B444" s="69" t="s">
        <v>219</v>
      </c>
      <c r="D444" t="s">
        <v>19</v>
      </c>
      <c r="E444" s="3">
        <f>VLOOKUP(D444,'Bu Erta'!$C$2:$E$66,3,0)</f>
        <v>200</v>
      </c>
      <c r="F444">
        <v>0.6</v>
      </c>
      <c r="G444" s="3">
        <f t="shared" si="15"/>
        <v>120</v>
      </c>
      <c r="H444" s="3">
        <f>VLOOKUP(D444,'Bu Erta'!$C$2:$F$66,4,0)*F444</f>
        <v>180</v>
      </c>
    </row>
    <row r="445" spans="1:8" x14ac:dyDescent="0.35">
      <c r="B445" s="69" t="s">
        <v>219</v>
      </c>
      <c r="D445" t="s">
        <v>69</v>
      </c>
      <c r="E445" s="3">
        <f>VLOOKUP(D445,'Bu Erta'!$C$2:$E$66,3,0)</f>
        <v>2500</v>
      </c>
      <c r="F445">
        <v>0.4</v>
      </c>
      <c r="G445" s="3">
        <f t="shared" si="11"/>
        <v>1000</v>
      </c>
      <c r="H445" s="3">
        <f>VLOOKUP(D445,'Bu Erta'!$C$2:$F$66,4,0)*F445</f>
        <v>1200</v>
      </c>
    </row>
    <row r="446" spans="1:8" x14ac:dyDescent="0.35">
      <c r="E446" s="3"/>
      <c r="F446">
        <f>SUM(F3:F445)</f>
        <v>652.8300000000005</v>
      </c>
      <c r="G446" s="3">
        <f t="shared" ref="G446:H446" si="16">SUM(G3:G445)</f>
        <v>765996</v>
      </c>
      <c r="H446" s="3">
        <f t="shared" si="16"/>
        <v>886274</v>
      </c>
    </row>
    <row r="447" spans="1:8" x14ac:dyDescent="0.35">
      <c r="E447" s="3"/>
      <c r="G447" s="3"/>
      <c r="H447" s="3"/>
    </row>
    <row r="448" spans="1:8" x14ac:dyDescent="0.35">
      <c r="E448" s="3"/>
      <c r="G448" s="3"/>
      <c r="H448" s="3"/>
    </row>
    <row r="449" spans="5:8" x14ac:dyDescent="0.35">
      <c r="E449" s="3"/>
      <c r="G449" s="3"/>
      <c r="H449" s="3"/>
    </row>
    <row r="450" spans="5:8" x14ac:dyDescent="0.35">
      <c r="E450" s="3"/>
      <c r="G450" s="3"/>
      <c r="H450" s="3"/>
    </row>
    <row r="451" spans="5:8" x14ac:dyDescent="0.35">
      <c r="E451" s="3"/>
      <c r="G451" s="3"/>
      <c r="H451" s="3"/>
    </row>
    <row r="452" spans="5:8" x14ac:dyDescent="0.35">
      <c r="E452" s="3"/>
      <c r="G452" s="3"/>
      <c r="H452" s="3"/>
    </row>
    <row r="453" spans="5:8" x14ac:dyDescent="0.35">
      <c r="E453" s="3"/>
      <c r="G453" s="3"/>
      <c r="H453" s="3"/>
    </row>
    <row r="454" spans="5:8" x14ac:dyDescent="0.35">
      <c r="E454" s="3"/>
      <c r="G454" s="3"/>
      <c r="H454" s="3"/>
    </row>
    <row r="455" spans="5:8" x14ac:dyDescent="0.35">
      <c r="E455" s="3"/>
      <c r="G455" s="3"/>
      <c r="H455" s="3"/>
    </row>
    <row r="456" spans="5:8" x14ac:dyDescent="0.35">
      <c r="E456" s="3"/>
      <c r="G456" s="3"/>
      <c r="H456" s="3"/>
    </row>
    <row r="457" spans="5:8" x14ac:dyDescent="0.35">
      <c r="E457" s="3"/>
      <c r="G457" s="3"/>
      <c r="H457" s="3"/>
    </row>
    <row r="458" spans="5:8" x14ac:dyDescent="0.35">
      <c r="E458" s="3"/>
      <c r="G458" s="3"/>
      <c r="H458" s="3"/>
    </row>
    <row r="459" spans="5:8" x14ac:dyDescent="0.35">
      <c r="E459" s="3"/>
      <c r="G459" s="3"/>
      <c r="H459" s="3"/>
    </row>
    <row r="460" spans="5:8" x14ac:dyDescent="0.35">
      <c r="E460" s="3"/>
      <c r="G460" s="3"/>
      <c r="H460" s="3"/>
    </row>
    <row r="461" spans="5:8" x14ac:dyDescent="0.35">
      <c r="E461" s="3"/>
      <c r="G461" s="3"/>
      <c r="H461" s="3"/>
    </row>
    <row r="462" spans="5:8" x14ac:dyDescent="0.35">
      <c r="E462" s="3"/>
      <c r="G462" s="3"/>
      <c r="H462" s="3"/>
    </row>
    <row r="463" spans="5:8" x14ac:dyDescent="0.35">
      <c r="E463" s="3"/>
      <c r="G463" s="3"/>
      <c r="H463" s="3"/>
    </row>
    <row r="464" spans="5:8" x14ac:dyDescent="0.35">
      <c r="E464" s="3"/>
      <c r="G464" s="3"/>
      <c r="H464" s="3"/>
    </row>
    <row r="465" spans="5:8" x14ac:dyDescent="0.35">
      <c r="E465" s="3"/>
      <c r="G465" s="3"/>
      <c r="H465" s="3"/>
    </row>
    <row r="466" spans="5:8" x14ac:dyDescent="0.35">
      <c r="E466" s="3"/>
      <c r="G466" s="3"/>
      <c r="H466" s="3"/>
    </row>
    <row r="467" spans="5:8" x14ac:dyDescent="0.35">
      <c r="E467" s="3"/>
      <c r="G467" s="3"/>
      <c r="H467" s="3"/>
    </row>
    <row r="468" spans="5:8" x14ac:dyDescent="0.35">
      <c r="E468" s="3"/>
      <c r="G468" s="3"/>
      <c r="H468" s="3"/>
    </row>
    <row r="469" spans="5:8" x14ac:dyDescent="0.35">
      <c r="E469" s="3"/>
      <c r="G469" s="3"/>
      <c r="H469" s="3"/>
    </row>
    <row r="470" spans="5:8" x14ac:dyDescent="0.35">
      <c r="E470" s="3"/>
      <c r="G470" s="3"/>
      <c r="H470" s="3"/>
    </row>
    <row r="471" spans="5:8" x14ac:dyDescent="0.35">
      <c r="E471" s="3"/>
      <c r="G471" s="3"/>
      <c r="H471" s="3"/>
    </row>
    <row r="472" spans="5:8" x14ac:dyDescent="0.35">
      <c r="E472" s="3"/>
      <c r="G472" s="3"/>
      <c r="H472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8436-3287-499F-A5A2-EEC975B2FC42}">
  <dimension ref="A1:AB338"/>
  <sheetViews>
    <sheetView topLeftCell="F44" zoomScale="66" zoomScaleNormal="80" workbookViewId="0">
      <selection activeCell="J2" sqref="J2"/>
    </sheetView>
  </sheetViews>
  <sheetFormatPr defaultRowHeight="14.5" x14ac:dyDescent="0.35"/>
  <cols>
    <col min="1" max="1" width="8.7265625" style="5"/>
    <col min="2" max="2" width="16.26953125" bestFit="1" customWidth="1"/>
    <col min="3" max="3" width="8.7265625" style="5"/>
    <col min="4" max="4" width="23.6328125" bestFit="1" customWidth="1"/>
    <col min="7" max="7" width="11.81640625" bestFit="1" customWidth="1"/>
    <col min="10" max="10" width="16.7265625" bestFit="1" customWidth="1"/>
    <col min="11" max="11" width="9.36328125" bestFit="1" customWidth="1"/>
    <col min="12" max="12" width="18.453125" style="3" bestFit="1" customWidth="1"/>
    <col min="15" max="15" width="23.6328125" bestFit="1" customWidth="1"/>
    <col min="16" max="16" width="9.1796875" bestFit="1" customWidth="1"/>
    <col min="17" max="17" width="13.453125" customWidth="1"/>
    <col min="18" max="18" width="12.90625" customWidth="1"/>
    <col min="19" max="19" width="12.1796875" customWidth="1"/>
    <col min="21" max="21" width="23.6328125" bestFit="1" customWidth="1"/>
    <col min="22" max="22" width="9.1796875" bestFit="1" customWidth="1"/>
    <col min="23" max="23" width="13.453125" customWidth="1"/>
    <col min="24" max="24" width="12.90625" customWidth="1"/>
    <col min="25" max="25" width="12.1796875" customWidth="1"/>
    <col min="26" max="26" width="24.1796875" bestFit="1" customWidth="1"/>
    <col min="27" max="27" width="11.81640625" bestFit="1" customWidth="1"/>
    <col min="28" max="28" width="18.453125" bestFit="1" customWidth="1"/>
  </cols>
  <sheetData>
    <row r="1" spans="1:28" x14ac:dyDescent="0.35">
      <c r="N1" s="40" t="s">
        <v>131</v>
      </c>
      <c r="Q1" t="s">
        <v>265</v>
      </c>
      <c r="T1" s="40" t="s">
        <v>169</v>
      </c>
      <c r="W1" t="s">
        <v>265</v>
      </c>
      <c r="AB1" s="3"/>
    </row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s="4" t="s">
        <v>82</v>
      </c>
      <c r="N2" s="49" t="s">
        <v>8</v>
      </c>
      <c r="O2" s="50" t="s">
        <v>128</v>
      </c>
      <c r="P2" s="51" t="s">
        <v>1</v>
      </c>
      <c r="Q2" s="50" t="s">
        <v>0</v>
      </c>
      <c r="R2" s="51" t="s">
        <v>3</v>
      </c>
      <c r="S2" s="86"/>
      <c r="T2" s="49" t="s">
        <v>8</v>
      </c>
      <c r="U2" s="50" t="s">
        <v>128</v>
      </c>
      <c r="V2" s="51" t="s">
        <v>1</v>
      </c>
      <c r="W2" s="50" t="s">
        <v>0</v>
      </c>
      <c r="X2" s="51" t="s">
        <v>3</v>
      </c>
      <c r="Y2" s="86"/>
      <c r="Z2" s="68" t="s">
        <v>170</v>
      </c>
      <c r="AA2" t="s">
        <v>171</v>
      </c>
      <c r="AB2" s="4" t="s">
        <v>82</v>
      </c>
    </row>
    <row r="3" spans="1:28" x14ac:dyDescent="0.35">
      <c r="A3" s="108">
        <v>1</v>
      </c>
      <c r="B3" t="s">
        <v>185</v>
      </c>
      <c r="C3" s="108">
        <v>4</v>
      </c>
      <c r="D3" t="s">
        <v>40</v>
      </c>
      <c r="E3" s="3">
        <f>VLOOKUP(D3,'Bu Erta'!$C$2:$E$66,3,0)</f>
        <v>1800</v>
      </c>
      <c r="F3">
        <v>3.45</v>
      </c>
      <c r="G3" s="3">
        <f>E3*F3</f>
        <v>6210</v>
      </c>
      <c r="H3" s="3">
        <f>VLOOKUP(D3,'Bu Erta'!$C$2:$F$66,4,0)*F3</f>
        <v>6900</v>
      </c>
      <c r="J3" s="69" t="s">
        <v>200</v>
      </c>
      <c r="K3">
        <v>0</v>
      </c>
      <c r="L3" s="4">
        <v>45602.5</v>
      </c>
      <c r="N3" s="44">
        <v>1</v>
      </c>
      <c r="O3" s="17" t="s">
        <v>13</v>
      </c>
      <c r="P3" s="52">
        <f>VLOOKUP(O3,'Bu Erta'!$C$2:$F$66,4,0)</f>
        <v>1500</v>
      </c>
      <c r="Q3" s="53">
        <f t="shared" ref="Q3:Q8" si="0">SUMIF($D$3:$D$331,O3,$F$3:$F$331)</f>
        <v>0</v>
      </c>
      <c r="R3" s="52">
        <f>P3*Q3</f>
        <v>0</v>
      </c>
      <c r="S3" s="9"/>
      <c r="T3" s="44">
        <v>1</v>
      </c>
      <c r="U3" s="17" t="s">
        <v>13</v>
      </c>
      <c r="V3" s="52">
        <f>VLOOKUP(U3,'Bu Erta'!$C$2:$F$66,4,0)</f>
        <v>1500</v>
      </c>
      <c r="W3" s="53"/>
      <c r="X3" s="52">
        <f>V3*W3</f>
        <v>0</v>
      </c>
      <c r="Y3" s="9"/>
      <c r="Z3" s="69" t="s">
        <v>17</v>
      </c>
      <c r="AA3">
        <v>0.5</v>
      </c>
      <c r="AB3" s="4">
        <v>4000</v>
      </c>
    </row>
    <row r="4" spans="1:28" x14ac:dyDescent="0.35">
      <c r="A4" s="106"/>
      <c r="B4" t="s">
        <v>185</v>
      </c>
      <c r="C4" s="106"/>
      <c r="D4" t="s">
        <v>41</v>
      </c>
      <c r="E4" s="3">
        <f>VLOOKUP(D4,'Bu Erta'!$C$2:$E$66,3,0)</f>
        <v>1500</v>
      </c>
      <c r="F4">
        <v>0.15</v>
      </c>
      <c r="G4" s="3">
        <f t="shared" ref="G4:G61" si="1">E4*F4</f>
        <v>225</v>
      </c>
      <c r="H4" s="3">
        <f>VLOOKUP(D4,'Bu Erta'!$C$2:$F$66,4,0)*F4</f>
        <v>300</v>
      </c>
      <c r="J4" s="69" t="s">
        <v>195</v>
      </c>
      <c r="K4">
        <v>1</v>
      </c>
      <c r="L4" s="4">
        <v>9665</v>
      </c>
      <c r="N4" s="44">
        <v>2</v>
      </c>
      <c r="O4" s="17" t="s">
        <v>14</v>
      </c>
      <c r="P4" s="52">
        <f>VLOOKUP(O4,'Bu Erta'!$C$2:$F$66,4,0)</f>
        <v>100000</v>
      </c>
      <c r="Q4" s="53">
        <f t="shared" si="0"/>
        <v>0</v>
      </c>
      <c r="R4" s="52">
        <f t="shared" ref="R4:R66" si="2">P4*Q4</f>
        <v>0</v>
      </c>
      <c r="S4" s="9"/>
      <c r="T4" s="44">
        <v>2</v>
      </c>
      <c r="U4" s="17" t="s">
        <v>14</v>
      </c>
      <c r="V4" s="52">
        <f>VLOOKUP(U4,'Bu Erta'!$C$2:$F$66,4,0)</f>
        <v>100000</v>
      </c>
      <c r="W4" s="53"/>
      <c r="X4" s="52">
        <f t="shared" ref="X4:X66" si="3">V4*W4</f>
        <v>0</v>
      </c>
      <c r="Y4" s="9"/>
      <c r="Z4" s="69" t="s">
        <v>19</v>
      </c>
      <c r="AA4">
        <v>22.5</v>
      </c>
      <c r="AB4" s="4">
        <v>4500</v>
      </c>
    </row>
    <row r="5" spans="1:28" x14ac:dyDescent="0.35">
      <c r="A5" s="106"/>
      <c r="B5" t="s">
        <v>185</v>
      </c>
      <c r="C5" s="106"/>
      <c r="D5" t="s">
        <v>24</v>
      </c>
      <c r="E5" s="3">
        <f>VLOOKUP(D5,'Bu Erta'!$C$2:$E$66,3,0)</f>
        <v>150</v>
      </c>
      <c r="F5">
        <f>0.35+0.25</f>
        <v>0.6</v>
      </c>
      <c r="G5" s="3">
        <f t="shared" si="1"/>
        <v>90</v>
      </c>
      <c r="H5" s="3">
        <f>VLOOKUP(D5,'Bu Erta'!$C$2:$F$66,4,0)*F5</f>
        <v>120</v>
      </c>
      <c r="J5" s="69" t="s">
        <v>193</v>
      </c>
      <c r="K5">
        <v>1</v>
      </c>
      <c r="L5" s="4">
        <v>1860</v>
      </c>
      <c r="N5" s="44">
        <v>3</v>
      </c>
      <c r="O5" s="17" t="s">
        <v>15</v>
      </c>
      <c r="P5" s="52">
        <f>VLOOKUP(O5,'Bu Erta'!$C$2:$F$66,4,0)</f>
        <v>40000</v>
      </c>
      <c r="Q5" s="53">
        <f t="shared" si="0"/>
        <v>0</v>
      </c>
      <c r="R5" s="52">
        <f t="shared" si="2"/>
        <v>0</v>
      </c>
      <c r="S5" s="9"/>
      <c r="T5" s="44">
        <v>3</v>
      </c>
      <c r="U5" s="17" t="s">
        <v>15</v>
      </c>
      <c r="V5" s="52">
        <f>VLOOKUP(U5,'Bu Erta'!$C$2:$F$66,4,0)</f>
        <v>40000</v>
      </c>
      <c r="W5" s="53"/>
      <c r="X5" s="52">
        <f t="shared" si="3"/>
        <v>0</v>
      </c>
      <c r="Y5" s="9"/>
      <c r="Z5" s="69" t="s">
        <v>22</v>
      </c>
      <c r="AA5">
        <v>28.599999999999998</v>
      </c>
      <c r="AB5" s="4">
        <v>71500</v>
      </c>
    </row>
    <row r="6" spans="1:28" x14ac:dyDescent="0.35">
      <c r="A6" s="106"/>
      <c r="B6" t="s">
        <v>185</v>
      </c>
      <c r="C6" s="106"/>
      <c r="D6" t="s">
        <v>42</v>
      </c>
      <c r="E6" s="3">
        <f>VLOOKUP(D6,'Bu Erta'!$C$2:$E$66,3,0)</f>
        <v>1000</v>
      </c>
      <c r="F6">
        <v>0.25</v>
      </c>
      <c r="G6" s="3">
        <f t="shared" si="1"/>
        <v>250</v>
      </c>
      <c r="H6" s="3">
        <f>VLOOKUP(D6,'Bu Erta'!$C$2:$F$66,4,0)*F6</f>
        <v>300</v>
      </c>
      <c r="J6" s="69" t="s">
        <v>143</v>
      </c>
      <c r="K6">
        <v>1</v>
      </c>
      <c r="L6" s="4">
        <v>2115</v>
      </c>
      <c r="N6" s="44">
        <v>4</v>
      </c>
      <c r="O6" s="17" t="s">
        <v>16</v>
      </c>
      <c r="P6" s="52">
        <f>VLOOKUP(O6,'Bu Erta'!$C$2:$F$66,4,0)</f>
        <v>6500</v>
      </c>
      <c r="Q6" s="53">
        <f t="shared" si="0"/>
        <v>0</v>
      </c>
      <c r="R6" s="52">
        <f t="shared" si="2"/>
        <v>0</v>
      </c>
      <c r="S6" s="9"/>
      <c r="T6" s="44">
        <v>4</v>
      </c>
      <c r="U6" s="17" t="s">
        <v>16</v>
      </c>
      <c r="V6" s="52">
        <f>VLOOKUP(U6,'Bu Erta'!$C$2:$F$66,4,0)</f>
        <v>6500</v>
      </c>
      <c r="W6" s="53"/>
      <c r="X6" s="52">
        <f t="shared" si="3"/>
        <v>0</v>
      </c>
      <c r="Y6" s="9"/>
      <c r="Z6" s="69" t="s">
        <v>23</v>
      </c>
      <c r="AA6">
        <v>27.849999999999998</v>
      </c>
      <c r="AB6" s="4">
        <v>8355</v>
      </c>
    </row>
    <row r="7" spans="1:28" x14ac:dyDescent="0.35">
      <c r="A7" s="106"/>
      <c r="B7" t="s">
        <v>185</v>
      </c>
      <c r="C7" s="106"/>
      <c r="D7" t="s">
        <v>19</v>
      </c>
      <c r="E7" s="3">
        <f>VLOOKUP(D7,'Bu Erta'!$C$2:$E$66,3,0)</f>
        <v>200</v>
      </c>
      <c r="F7">
        <v>1.6</v>
      </c>
      <c r="G7" s="3">
        <f t="shared" si="1"/>
        <v>320</v>
      </c>
      <c r="H7" s="3">
        <f>VLOOKUP(D7,'Bu Erta'!$C$2:$F$66,4,0)*F7</f>
        <v>480</v>
      </c>
      <c r="J7" s="69" t="s">
        <v>217</v>
      </c>
      <c r="K7">
        <v>1</v>
      </c>
      <c r="L7" s="4">
        <v>3800</v>
      </c>
      <c r="N7" s="44">
        <v>5</v>
      </c>
      <c r="O7" s="17" t="s">
        <v>17</v>
      </c>
      <c r="P7" s="52">
        <f>VLOOKUP(O7,'Bu Erta'!$C$2:$F$66,4,0)</f>
        <v>8500</v>
      </c>
      <c r="Q7" s="53">
        <f t="shared" si="0"/>
        <v>0.5</v>
      </c>
      <c r="R7" s="52">
        <f t="shared" si="2"/>
        <v>4250</v>
      </c>
      <c r="S7" s="9"/>
      <c r="T7" s="44">
        <v>5</v>
      </c>
      <c r="U7" s="17" t="s">
        <v>17</v>
      </c>
      <c r="V7" s="52">
        <f>VLOOKUP(U7,'Bu Erta'!$C$2:$F$66,4,0)</f>
        <v>8500</v>
      </c>
      <c r="W7" s="53"/>
      <c r="X7" s="52">
        <f t="shared" si="3"/>
        <v>0</v>
      </c>
      <c r="Y7" s="9"/>
      <c r="Z7" s="69" t="s">
        <v>25</v>
      </c>
      <c r="AA7">
        <v>9.9499999999999993</v>
      </c>
      <c r="AB7" s="4">
        <v>15920</v>
      </c>
    </row>
    <row r="8" spans="1:28" x14ac:dyDescent="0.35">
      <c r="A8" s="106"/>
      <c r="B8" t="s">
        <v>185</v>
      </c>
      <c r="C8" s="106"/>
      <c r="D8" t="s">
        <v>7</v>
      </c>
      <c r="E8" s="3">
        <f>VLOOKUP(D8,'Bu Erta'!$C$2:$E$66,3,0)</f>
        <v>1400</v>
      </c>
      <c r="F8">
        <v>0.7</v>
      </c>
      <c r="G8" s="3">
        <f t="shared" si="1"/>
        <v>979.99999999999989</v>
      </c>
      <c r="H8" s="3">
        <f>VLOOKUP(D8,'Bu Erta'!$C$2:$F$66,4,0)*F8</f>
        <v>1120</v>
      </c>
      <c r="J8" s="69" t="s">
        <v>284</v>
      </c>
      <c r="K8">
        <v>2</v>
      </c>
      <c r="L8" s="4">
        <v>3637.5</v>
      </c>
      <c r="N8" s="44">
        <v>6</v>
      </c>
      <c r="O8" s="17" t="s">
        <v>18</v>
      </c>
      <c r="P8" s="52">
        <f>VLOOKUP(O8,'Bu Erta'!$C$2:$F$66,4,0)</f>
        <v>4000</v>
      </c>
      <c r="Q8" s="53">
        <f t="shared" si="0"/>
        <v>0</v>
      </c>
      <c r="R8" s="52">
        <f t="shared" si="2"/>
        <v>0</v>
      </c>
      <c r="S8" s="9"/>
      <c r="T8" s="44">
        <v>6</v>
      </c>
      <c r="U8" s="17" t="s">
        <v>18</v>
      </c>
      <c r="V8" s="52">
        <f>VLOOKUP(U8,'Bu Erta'!$C$2:$F$66,4,0)</f>
        <v>4000</v>
      </c>
      <c r="W8" s="53"/>
      <c r="X8" s="52">
        <f t="shared" si="3"/>
        <v>0</v>
      </c>
      <c r="Y8" s="9"/>
      <c r="Z8" s="69" t="s">
        <v>24</v>
      </c>
      <c r="AA8">
        <v>203.45000000000002</v>
      </c>
      <c r="AB8" s="4">
        <v>30517.500000000004</v>
      </c>
    </row>
    <row r="9" spans="1:28" x14ac:dyDescent="0.35">
      <c r="A9" s="106"/>
      <c r="B9" t="s">
        <v>185</v>
      </c>
      <c r="C9" s="106"/>
      <c r="D9" t="s">
        <v>31</v>
      </c>
      <c r="E9" s="3">
        <f>VLOOKUP(D9,'Bu Erta'!$C$2:$E$66,3,0)</f>
        <v>1000</v>
      </c>
      <c r="F9">
        <f>1.75+1.65</f>
        <v>3.4</v>
      </c>
      <c r="G9" s="3">
        <f t="shared" si="1"/>
        <v>3400</v>
      </c>
      <c r="H9" s="3">
        <f>VLOOKUP(D9,'Bu Erta'!$C$2:$F$66,4,0)*F9</f>
        <v>3740</v>
      </c>
      <c r="J9" s="69" t="s">
        <v>127</v>
      </c>
      <c r="K9">
        <v>2</v>
      </c>
      <c r="L9" s="4">
        <v>15655</v>
      </c>
      <c r="N9" s="44">
        <v>7</v>
      </c>
      <c r="O9" s="17" t="s">
        <v>19</v>
      </c>
      <c r="P9" s="52">
        <f>VLOOKUP(O9,'Bu Erta'!$C$2:$F$66,4,0)</f>
        <v>300</v>
      </c>
      <c r="Q9" s="53">
        <f>SUMIF($D$3:$D$331,O9,$F$3:$F$331)+4.75</f>
        <v>27.25</v>
      </c>
      <c r="R9" s="52">
        <f t="shared" si="2"/>
        <v>8175</v>
      </c>
      <c r="S9" s="9"/>
      <c r="T9" s="44">
        <v>7</v>
      </c>
      <c r="U9" s="17" t="s">
        <v>19</v>
      </c>
      <c r="V9" s="52">
        <f>VLOOKUP(U9,'Bu Erta'!$C$2:$F$66,4,0)</f>
        <v>300</v>
      </c>
      <c r="W9" s="53"/>
      <c r="X9" s="52">
        <f t="shared" si="3"/>
        <v>0</v>
      </c>
      <c r="Y9" s="9"/>
      <c r="Z9" s="69" t="s">
        <v>27</v>
      </c>
      <c r="AA9">
        <v>11.099999999999998</v>
      </c>
      <c r="AB9" s="4">
        <v>31080</v>
      </c>
    </row>
    <row r="10" spans="1:28" x14ac:dyDescent="0.35">
      <c r="A10" s="106">
        <v>2</v>
      </c>
      <c r="B10" t="s">
        <v>105</v>
      </c>
      <c r="C10" s="106">
        <v>4</v>
      </c>
      <c r="D10" t="s">
        <v>19</v>
      </c>
      <c r="E10" s="3">
        <f>VLOOKUP(D10,'Bu Erta'!$C$2:$E$66,3,0)</f>
        <v>200</v>
      </c>
      <c r="F10">
        <v>0.3</v>
      </c>
      <c r="G10" s="3">
        <f t="shared" si="1"/>
        <v>60</v>
      </c>
      <c r="H10" s="3">
        <f>VLOOKUP(D10,'Bu Erta'!$C$2:$F$66,4,0)*F10</f>
        <v>90</v>
      </c>
      <c r="J10" s="69" t="s">
        <v>175</v>
      </c>
      <c r="K10">
        <v>2</v>
      </c>
      <c r="L10" s="4">
        <v>5040</v>
      </c>
      <c r="N10" s="44">
        <v>8</v>
      </c>
      <c r="O10" s="17" t="s">
        <v>20</v>
      </c>
      <c r="P10" s="52">
        <f>VLOOKUP(O10,'Bu Erta'!$C$2:$F$66,4,0)</f>
        <v>8000</v>
      </c>
      <c r="Q10" s="53">
        <f>SUMIF($D$3:$D$331,O10,$F$3:$F$331)</f>
        <v>0</v>
      </c>
      <c r="R10" s="52">
        <f t="shared" si="2"/>
        <v>0</v>
      </c>
      <c r="S10" s="9"/>
      <c r="T10" s="44">
        <v>8</v>
      </c>
      <c r="U10" s="17" t="s">
        <v>20</v>
      </c>
      <c r="V10" s="52">
        <f>VLOOKUP(U10,'Bu Erta'!$C$2:$F$66,4,0)</f>
        <v>8000</v>
      </c>
      <c r="W10" s="53"/>
      <c r="X10" s="52">
        <f t="shared" si="3"/>
        <v>0</v>
      </c>
      <c r="Y10" s="9"/>
      <c r="Z10" s="69" t="s">
        <v>28</v>
      </c>
      <c r="AA10">
        <v>56.349999999999994</v>
      </c>
      <c r="AB10" s="4">
        <v>67620</v>
      </c>
    </row>
    <row r="11" spans="1:28" x14ac:dyDescent="0.35">
      <c r="A11" s="106"/>
      <c r="B11" t="s">
        <v>105</v>
      </c>
      <c r="C11" s="106"/>
      <c r="D11" t="s">
        <v>88</v>
      </c>
      <c r="E11" s="3">
        <f>VLOOKUP(D11,'Bu Erta'!$C$2:$E$66,3,0)</f>
        <v>300</v>
      </c>
      <c r="F11">
        <v>0.1</v>
      </c>
      <c r="G11" s="3">
        <f t="shared" si="1"/>
        <v>30</v>
      </c>
      <c r="H11" s="3">
        <f>VLOOKUP(D11,'Bu Erta'!$C$2:$F$66,4,0)*F11</f>
        <v>40</v>
      </c>
      <c r="J11" s="69" t="s">
        <v>244</v>
      </c>
      <c r="K11">
        <v>2</v>
      </c>
      <c r="L11" s="4">
        <v>3390</v>
      </c>
      <c r="N11" s="44">
        <v>9</v>
      </c>
      <c r="O11" s="17" t="s">
        <v>21</v>
      </c>
      <c r="P11" s="52">
        <f>VLOOKUP(O11,'Bu Erta'!$C$2:$F$66,4,0)</f>
        <v>200</v>
      </c>
      <c r="Q11" s="53">
        <f>SUMIF($D$3:$D$331,O11,$F$3:$F$331)</f>
        <v>0</v>
      </c>
      <c r="R11" s="52">
        <f t="shared" si="2"/>
        <v>0</v>
      </c>
      <c r="S11" s="9"/>
      <c r="T11" s="44">
        <v>9</v>
      </c>
      <c r="U11" s="17" t="s">
        <v>21</v>
      </c>
      <c r="V11" s="52">
        <f>VLOOKUP(U11,'Bu Erta'!$C$2:$F$66,4,0)</f>
        <v>200</v>
      </c>
      <c r="W11" s="53"/>
      <c r="X11" s="52">
        <f t="shared" si="3"/>
        <v>0</v>
      </c>
      <c r="Y11" s="9"/>
      <c r="Z11" s="69" t="s">
        <v>29</v>
      </c>
      <c r="AA11">
        <v>0.1</v>
      </c>
      <c r="AB11" s="4">
        <v>500</v>
      </c>
    </row>
    <row r="12" spans="1:28" x14ac:dyDescent="0.35">
      <c r="A12" s="106"/>
      <c r="B12" t="s">
        <v>105</v>
      </c>
      <c r="C12" s="106"/>
      <c r="D12" t="s">
        <v>27</v>
      </c>
      <c r="E12" s="3">
        <f>VLOOKUP(D12,'Bu Erta'!$C$2:$E$66,3,0)</f>
        <v>2800</v>
      </c>
      <c r="F12">
        <v>0.35</v>
      </c>
      <c r="G12" s="3">
        <f t="shared" si="1"/>
        <v>979.99999999999989</v>
      </c>
      <c r="H12" s="3">
        <f>VLOOKUP(D12,'Bu Erta'!$C$2:$F$66,4,0)*F12</f>
        <v>1085</v>
      </c>
      <c r="J12" s="69" t="s">
        <v>260</v>
      </c>
      <c r="K12">
        <v>2</v>
      </c>
      <c r="L12" s="4">
        <v>2900</v>
      </c>
      <c r="N12" s="44">
        <v>10</v>
      </c>
      <c r="O12" s="17" t="s">
        <v>22</v>
      </c>
      <c r="P12" s="52">
        <f>VLOOKUP(O12,'Bu Erta'!$C$2:$F$66,4,0)</f>
        <v>3000</v>
      </c>
      <c r="Q12" s="53">
        <f>SUMIF($D$3:$D$331,O12,$F$3:$F$331)-27</f>
        <v>1.5999999999999979</v>
      </c>
      <c r="R12" s="52">
        <f t="shared" si="2"/>
        <v>4799.9999999999936</v>
      </c>
      <c r="S12" s="9"/>
      <c r="T12" s="44">
        <v>10</v>
      </c>
      <c r="U12" s="17" t="s">
        <v>22</v>
      </c>
      <c r="V12" s="52">
        <v>4200</v>
      </c>
      <c r="W12" s="53">
        <v>27.4</v>
      </c>
      <c r="X12" s="52">
        <f t="shared" si="3"/>
        <v>115080</v>
      </c>
      <c r="Y12" s="9"/>
      <c r="Z12" s="69" t="s">
        <v>7</v>
      </c>
      <c r="AA12">
        <v>37.75</v>
      </c>
      <c r="AB12" s="4">
        <v>52850</v>
      </c>
    </row>
    <row r="13" spans="1:28" x14ac:dyDescent="0.35">
      <c r="A13" s="106"/>
      <c r="B13" t="s">
        <v>105</v>
      </c>
      <c r="C13" s="106"/>
      <c r="D13" t="s">
        <v>41</v>
      </c>
      <c r="E13" s="3">
        <f>VLOOKUP(D13,'Bu Erta'!$C$2:$E$66,3,0)</f>
        <v>1500</v>
      </c>
      <c r="F13">
        <v>0.25</v>
      </c>
      <c r="G13" s="3">
        <f t="shared" si="1"/>
        <v>375</v>
      </c>
      <c r="H13" s="3">
        <f>VLOOKUP(D13,'Bu Erta'!$C$2:$F$66,4,0)*F13</f>
        <v>500</v>
      </c>
      <c r="J13" s="69" t="s">
        <v>5</v>
      </c>
      <c r="K13">
        <v>2</v>
      </c>
      <c r="L13" s="4">
        <v>12010</v>
      </c>
      <c r="N13" s="44">
        <v>11</v>
      </c>
      <c r="O13" s="17" t="s">
        <v>23</v>
      </c>
      <c r="P13" s="52">
        <f>VLOOKUP(O13,'Bu Erta'!$C$2:$F$66,4,0)</f>
        <v>400</v>
      </c>
      <c r="Q13" s="53">
        <f>SUMIF($D$3:$D$331,O13,$F$3:$F$331)</f>
        <v>27.849999999999998</v>
      </c>
      <c r="R13" s="52">
        <f t="shared" si="2"/>
        <v>11140</v>
      </c>
      <c r="S13" s="9"/>
      <c r="T13" s="44">
        <v>11</v>
      </c>
      <c r="U13" s="17" t="s">
        <v>23</v>
      </c>
      <c r="V13" s="52">
        <f>VLOOKUP(U13,'Bu Erta'!$C$2:$F$66,4,0)</f>
        <v>400</v>
      </c>
      <c r="W13" s="53"/>
      <c r="X13" s="52">
        <f t="shared" si="3"/>
        <v>0</v>
      </c>
      <c r="Y13" s="9"/>
      <c r="Z13" s="69" t="s">
        <v>31</v>
      </c>
      <c r="AA13">
        <v>65.75</v>
      </c>
      <c r="AB13" s="4">
        <v>65750</v>
      </c>
    </row>
    <row r="14" spans="1:28" x14ac:dyDescent="0.35">
      <c r="A14" s="106"/>
      <c r="B14" t="s">
        <v>105</v>
      </c>
      <c r="C14" s="106"/>
      <c r="D14" t="s">
        <v>24</v>
      </c>
      <c r="E14" s="3">
        <f>VLOOKUP(D14,'Bu Erta'!$C$2:$E$66,3,0)</f>
        <v>150</v>
      </c>
      <c r="F14">
        <v>0.7</v>
      </c>
      <c r="G14" s="3">
        <f t="shared" si="1"/>
        <v>105</v>
      </c>
      <c r="H14" s="3">
        <f>VLOOKUP(D14,'Bu Erta'!$C$2:$F$66,4,0)*F14</f>
        <v>140</v>
      </c>
      <c r="J14" s="69" t="s">
        <v>262</v>
      </c>
      <c r="K14">
        <v>2</v>
      </c>
      <c r="L14" s="4">
        <v>63000</v>
      </c>
      <c r="N14" s="44">
        <v>12</v>
      </c>
      <c r="O14" s="17" t="s">
        <v>25</v>
      </c>
      <c r="P14" s="52">
        <f>VLOOKUP(O14,'Bu Erta'!$C$2:$F$66,4,0)</f>
        <v>1700</v>
      </c>
      <c r="Q14" s="53">
        <f>SUMIF($D$3:$D$331,O14,$F$3:$F$331)-5.55</f>
        <v>4.3999999999999995</v>
      </c>
      <c r="R14" s="52">
        <f t="shared" si="2"/>
        <v>7479.9999999999991</v>
      </c>
      <c r="S14" s="9"/>
      <c r="T14" s="44">
        <v>12</v>
      </c>
      <c r="U14" s="17" t="s">
        <v>25</v>
      </c>
      <c r="V14" s="52">
        <f>VLOOKUP(U14,'Bu Erta'!$C$2:$F$66,4,0)</f>
        <v>1700</v>
      </c>
      <c r="W14" s="53"/>
      <c r="X14" s="52">
        <f t="shared" si="3"/>
        <v>0</v>
      </c>
      <c r="Y14" s="9"/>
      <c r="Z14" s="69" t="s">
        <v>32</v>
      </c>
      <c r="AA14">
        <v>1</v>
      </c>
      <c r="AB14" s="4">
        <v>4000</v>
      </c>
    </row>
    <row r="15" spans="1:28" x14ac:dyDescent="0.35">
      <c r="A15" s="106"/>
      <c r="B15" t="s">
        <v>105</v>
      </c>
      <c r="C15" s="106"/>
      <c r="D15" t="s">
        <v>23</v>
      </c>
      <c r="E15" s="3">
        <f>VLOOKUP(D15,'Bu Erta'!$C$2:$E$66,3,0)</f>
        <v>300</v>
      </c>
      <c r="F15">
        <v>0.7</v>
      </c>
      <c r="G15" s="3">
        <f t="shared" si="1"/>
        <v>210</v>
      </c>
      <c r="H15" s="3">
        <f>VLOOKUP(D15,'Bu Erta'!$C$2:$F$66,4,0)*F15</f>
        <v>280</v>
      </c>
      <c r="J15" s="69" t="s">
        <v>116</v>
      </c>
      <c r="K15">
        <v>2</v>
      </c>
      <c r="L15" s="4">
        <v>2300</v>
      </c>
      <c r="N15" s="44">
        <v>13</v>
      </c>
      <c r="O15" s="17" t="s">
        <v>24</v>
      </c>
      <c r="P15" s="52">
        <f>VLOOKUP(O15,'Bu Erta'!$C$2:$F$66,4,0)</f>
        <v>200</v>
      </c>
      <c r="Q15" s="53">
        <f>SUMIF($D$3:$D$331,O15,$F$3:$F$331)</f>
        <v>203.45000000000002</v>
      </c>
      <c r="R15" s="52">
        <f t="shared" si="2"/>
        <v>40690</v>
      </c>
      <c r="S15" s="9"/>
      <c r="T15" s="44">
        <v>13</v>
      </c>
      <c r="U15" s="17" t="s">
        <v>24</v>
      </c>
      <c r="V15" s="52">
        <f>VLOOKUP(U15,'Bu Erta'!$C$2:$F$66,4,0)</f>
        <v>200</v>
      </c>
      <c r="W15" s="53"/>
      <c r="X15" s="52">
        <f t="shared" si="3"/>
        <v>0</v>
      </c>
      <c r="Y15" s="9"/>
      <c r="Z15" s="69" t="s">
        <v>34</v>
      </c>
      <c r="AA15">
        <v>4.6500000000000004</v>
      </c>
      <c r="AB15" s="4">
        <v>16275</v>
      </c>
    </row>
    <row r="16" spans="1:28" x14ac:dyDescent="0.35">
      <c r="A16" s="106"/>
      <c r="B16" t="s">
        <v>105</v>
      </c>
      <c r="C16" s="106"/>
      <c r="D16" t="s">
        <v>7</v>
      </c>
      <c r="E16" s="3">
        <f>VLOOKUP(D16,'Bu Erta'!$C$2:$E$66,3,0)</f>
        <v>1400</v>
      </c>
      <c r="F16">
        <v>1.75</v>
      </c>
      <c r="G16" s="3">
        <f t="shared" si="1"/>
        <v>2450</v>
      </c>
      <c r="H16" s="3">
        <f>VLOOKUP(D16,'Bu Erta'!$C$2:$F$66,4,0)*F16</f>
        <v>2800</v>
      </c>
      <c r="J16" s="69" t="s">
        <v>216</v>
      </c>
      <c r="K16">
        <v>2</v>
      </c>
      <c r="L16" s="4">
        <v>2602.5</v>
      </c>
      <c r="N16" s="44">
        <v>14</v>
      </c>
      <c r="O16" s="17" t="s">
        <v>26</v>
      </c>
      <c r="P16" s="52">
        <f>VLOOKUP(O16,'Bu Erta'!$C$2:$F$66,4,0)</f>
        <v>1000</v>
      </c>
      <c r="Q16" s="53">
        <f>SUMIF($D$3:$D$331,O16,$F$3:$F$331)</f>
        <v>0</v>
      </c>
      <c r="R16" s="52">
        <f t="shared" si="2"/>
        <v>0</v>
      </c>
      <c r="S16" s="9"/>
      <c r="T16" s="44">
        <v>14</v>
      </c>
      <c r="U16" s="17" t="s">
        <v>26</v>
      </c>
      <c r="V16" s="52">
        <f>VLOOKUP(U16,'Bu Erta'!$C$2:$F$66,4,0)</f>
        <v>1000</v>
      </c>
      <c r="W16" s="53"/>
      <c r="X16" s="52">
        <f t="shared" si="3"/>
        <v>0</v>
      </c>
      <c r="Y16" s="9"/>
      <c r="Z16" s="69" t="s">
        <v>36</v>
      </c>
      <c r="AA16">
        <v>6.8000000000000007</v>
      </c>
      <c r="AB16" s="4">
        <v>4080</v>
      </c>
    </row>
    <row r="17" spans="1:28" x14ac:dyDescent="0.35">
      <c r="A17" s="106"/>
      <c r="B17" t="s">
        <v>105</v>
      </c>
      <c r="C17" s="106"/>
      <c r="D17" t="s">
        <v>36</v>
      </c>
      <c r="E17" s="3">
        <f>VLOOKUP(D17,'Bu Erta'!$C$2:$E$66,3,0)</f>
        <v>600</v>
      </c>
      <c r="F17">
        <f>2.2+0.85</f>
        <v>3.0500000000000003</v>
      </c>
      <c r="G17" s="3">
        <f t="shared" si="1"/>
        <v>1830.0000000000002</v>
      </c>
      <c r="H17" s="3">
        <f>VLOOKUP(D17,'Bu Erta'!$C$2:$F$66,4,0)*F17</f>
        <v>1982.5000000000002</v>
      </c>
      <c r="J17" s="69" t="s">
        <v>261</v>
      </c>
      <c r="K17">
        <v>2</v>
      </c>
      <c r="L17" s="4">
        <v>18522.5</v>
      </c>
      <c r="N17" s="44">
        <v>15</v>
      </c>
      <c r="O17" s="17" t="s">
        <v>27</v>
      </c>
      <c r="P17" s="52">
        <f>VLOOKUP(O17,'Bu Erta'!$C$2:$F$66,4,0)</f>
        <v>3100</v>
      </c>
      <c r="Q17" s="53">
        <f>SUMIF($D$3:$D$331,O17,$F$3:$F$331)+5.55+0.4</f>
        <v>17.049999999999997</v>
      </c>
      <c r="R17" s="52">
        <f t="shared" si="2"/>
        <v>52854.999999999993</v>
      </c>
      <c r="S17" s="9"/>
      <c r="T17" s="44">
        <v>15</v>
      </c>
      <c r="U17" s="17" t="s">
        <v>27</v>
      </c>
      <c r="V17" s="52">
        <f>VLOOKUP(U17,'Bu Erta'!$C$2:$F$66,4,0)</f>
        <v>3100</v>
      </c>
      <c r="W17" s="53"/>
      <c r="X17" s="52">
        <f t="shared" si="3"/>
        <v>0</v>
      </c>
      <c r="Y17" s="9"/>
      <c r="Z17" s="69" t="s">
        <v>37</v>
      </c>
      <c r="AA17">
        <v>0.6</v>
      </c>
      <c r="AB17" s="4">
        <v>960</v>
      </c>
    </row>
    <row r="18" spans="1:28" x14ac:dyDescent="0.35">
      <c r="A18" s="106">
        <v>3</v>
      </c>
      <c r="B18" t="s">
        <v>187</v>
      </c>
      <c r="C18" s="106">
        <v>4</v>
      </c>
      <c r="D18" t="s">
        <v>42</v>
      </c>
      <c r="E18" s="3">
        <f>VLOOKUP(D18,'Bu Erta'!$C$2:$E$66,3,0)</f>
        <v>1000</v>
      </c>
      <c r="F18">
        <v>4.8</v>
      </c>
      <c r="G18" s="3">
        <f t="shared" si="1"/>
        <v>4800</v>
      </c>
      <c r="H18" s="3">
        <f>VLOOKUP(D18,'Bu Erta'!$C$2:$F$66,4,0)*F18</f>
        <v>5760</v>
      </c>
      <c r="J18" s="69" t="s">
        <v>178</v>
      </c>
      <c r="K18">
        <v>3</v>
      </c>
      <c r="L18" s="4">
        <v>15530</v>
      </c>
      <c r="N18" s="44">
        <v>16</v>
      </c>
      <c r="O18" s="17" t="s">
        <v>28</v>
      </c>
      <c r="P18" s="52">
        <f>VLOOKUP(O18,'Bu Erta'!$C$2:$F$66,4,0)</f>
        <v>1300</v>
      </c>
      <c r="Q18" s="53">
        <f>SUMIF($D$3:$D$331,O18,$F$3:$F$331)</f>
        <v>56.349999999999994</v>
      </c>
      <c r="R18" s="52">
        <f t="shared" si="2"/>
        <v>73254.999999999985</v>
      </c>
      <c r="S18" s="9"/>
      <c r="T18" s="44">
        <v>16</v>
      </c>
      <c r="U18" s="17" t="s">
        <v>28</v>
      </c>
      <c r="V18" s="52">
        <f>VLOOKUP(U18,'Bu Erta'!$C$2:$F$66,4,0)</f>
        <v>1300</v>
      </c>
      <c r="W18" s="53"/>
      <c r="X18" s="52">
        <f t="shared" si="3"/>
        <v>0</v>
      </c>
      <c r="Y18" s="9"/>
      <c r="Z18" s="69" t="s">
        <v>38</v>
      </c>
      <c r="AA18">
        <v>0.35</v>
      </c>
      <c r="AB18" s="4">
        <v>489.99999999999994</v>
      </c>
    </row>
    <row r="19" spans="1:28" x14ac:dyDescent="0.35">
      <c r="A19" s="106"/>
      <c r="B19" t="s">
        <v>187</v>
      </c>
      <c r="C19" s="106"/>
      <c r="D19" t="s">
        <v>49</v>
      </c>
      <c r="E19" s="3">
        <f>VLOOKUP(D19,'Bu Erta'!$C$2:$E$66,3,0)</f>
        <v>800</v>
      </c>
      <c r="F19">
        <v>1.05</v>
      </c>
      <c r="G19" s="3">
        <f t="shared" si="1"/>
        <v>840</v>
      </c>
      <c r="H19" s="3">
        <f>VLOOKUP(D19,'Bu Erta'!$C$2:$F$66,4,0)*F19</f>
        <v>945</v>
      </c>
      <c r="J19" s="69" t="s">
        <v>76</v>
      </c>
      <c r="K19">
        <v>3</v>
      </c>
      <c r="L19" s="4">
        <v>11070</v>
      </c>
      <c r="N19" s="44">
        <v>17</v>
      </c>
      <c r="O19" s="17" t="s">
        <v>29</v>
      </c>
      <c r="P19" s="52">
        <f>VLOOKUP(O19,'Bu Erta'!$C$2:$F$66,4,0)</f>
        <v>6000</v>
      </c>
      <c r="Q19" s="53">
        <f>SUMIF($D$3:$D$331,O19,$F$3:$F$331)</f>
        <v>0.1</v>
      </c>
      <c r="R19" s="52">
        <f t="shared" si="2"/>
        <v>600</v>
      </c>
      <c r="S19" s="9"/>
      <c r="T19" s="44">
        <v>17</v>
      </c>
      <c r="U19" s="17" t="s">
        <v>29</v>
      </c>
      <c r="V19" s="52">
        <f>VLOOKUP(U19,'Bu Erta'!$C$2:$F$66,4,0)</f>
        <v>6000</v>
      </c>
      <c r="W19" s="53"/>
      <c r="X19" s="52">
        <f t="shared" si="3"/>
        <v>0</v>
      </c>
      <c r="Y19" s="9"/>
      <c r="Z19" s="69" t="s">
        <v>40</v>
      </c>
      <c r="AA19">
        <v>14.540000000000001</v>
      </c>
      <c r="AB19" s="4">
        <v>26172</v>
      </c>
    </row>
    <row r="20" spans="1:28" x14ac:dyDescent="0.35">
      <c r="A20" s="106"/>
      <c r="B20" t="s">
        <v>187</v>
      </c>
      <c r="C20" s="106"/>
      <c r="D20" t="s">
        <v>65</v>
      </c>
      <c r="E20" s="3">
        <f>VLOOKUP(D20,'Bu Erta'!$C$2:$E$66,3,0)</f>
        <v>150</v>
      </c>
      <c r="F20">
        <v>0.3</v>
      </c>
      <c r="G20" s="3">
        <f t="shared" si="1"/>
        <v>45</v>
      </c>
      <c r="H20" s="3">
        <f>VLOOKUP(D20,'Bu Erta'!$C$2:$F$66,4,0)*F20</f>
        <v>60</v>
      </c>
      <c r="J20" s="69" t="s">
        <v>147</v>
      </c>
      <c r="K20">
        <v>3</v>
      </c>
      <c r="L20" s="4">
        <v>5085</v>
      </c>
      <c r="N20" s="44">
        <v>18</v>
      </c>
      <c r="O20" s="17" t="s">
        <v>30</v>
      </c>
      <c r="P20" s="52">
        <f>VLOOKUP(O20,'Bu Erta'!$C$2:$F$66,4,0)</f>
        <v>15000</v>
      </c>
      <c r="Q20" s="53">
        <f>SUMIF($D$3:$D$331,O20,$F$3:$F$331)</f>
        <v>0</v>
      </c>
      <c r="R20" s="52">
        <f t="shared" si="2"/>
        <v>0</v>
      </c>
      <c r="S20" s="9"/>
      <c r="T20" s="44">
        <v>18</v>
      </c>
      <c r="U20" s="17" t="s">
        <v>30</v>
      </c>
      <c r="V20" s="52">
        <f>VLOOKUP(U20,'Bu Erta'!$C$2:$F$66,4,0)</f>
        <v>15000</v>
      </c>
      <c r="W20" s="53"/>
      <c r="X20" s="52">
        <f t="shared" si="3"/>
        <v>0</v>
      </c>
      <c r="Y20" s="9"/>
      <c r="Z20" s="69" t="s">
        <v>41</v>
      </c>
      <c r="AA20">
        <v>6.299999999999998</v>
      </c>
      <c r="AB20" s="4">
        <v>9450</v>
      </c>
    </row>
    <row r="21" spans="1:28" x14ac:dyDescent="0.35">
      <c r="A21" s="106"/>
      <c r="B21" t="s">
        <v>187</v>
      </c>
      <c r="C21" s="106"/>
      <c r="D21" t="s">
        <v>31</v>
      </c>
      <c r="E21" s="3">
        <f>VLOOKUP(D21,'Bu Erta'!$C$2:$E$66,3,0)</f>
        <v>1000</v>
      </c>
      <c r="F21">
        <v>0.65</v>
      </c>
      <c r="G21" s="3">
        <f t="shared" si="1"/>
        <v>650</v>
      </c>
      <c r="H21" s="3">
        <f>VLOOKUP(D21,'Bu Erta'!$C$2:$F$66,4,0)*F21</f>
        <v>715</v>
      </c>
      <c r="J21" s="69" t="s">
        <v>90</v>
      </c>
      <c r="K21">
        <v>3</v>
      </c>
      <c r="L21" s="4">
        <v>4540</v>
      </c>
      <c r="N21" s="44">
        <v>19</v>
      </c>
      <c r="O21" s="17" t="s">
        <v>7</v>
      </c>
      <c r="P21" s="52">
        <f>VLOOKUP(O21,'Bu Erta'!$C$2:$F$66,4,0)</f>
        <v>1600</v>
      </c>
      <c r="Q21" s="53">
        <f>SUMIF($D$3:$D$331,O21,$F$3:$F$331)</f>
        <v>37.75</v>
      </c>
      <c r="R21" s="52">
        <f t="shared" si="2"/>
        <v>60400</v>
      </c>
      <c r="S21" s="9"/>
      <c r="T21" s="44">
        <v>19</v>
      </c>
      <c r="U21" s="17" t="s">
        <v>7</v>
      </c>
      <c r="V21" s="52">
        <f>VLOOKUP(U21,'Bu Erta'!$C$2:$F$66,4,0)</f>
        <v>1600</v>
      </c>
      <c r="W21" s="53"/>
      <c r="X21" s="52">
        <f t="shared" si="3"/>
        <v>0</v>
      </c>
      <c r="Y21" s="9"/>
      <c r="Z21" s="69" t="s">
        <v>42</v>
      </c>
      <c r="AA21">
        <v>66</v>
      </c>
      <c r="AB21" s="4">
        <v>66000</v>
      </c>
    </row>
    <row r="22" spans="1:28" x14ac:dyDescent="0.35">
      <c r="A22" s="106">
        <v>4</v>
      </c>
      <c r="B22" t="s">
        <v>135</v>
      </c>
      <c r="C22" s="106">
        <v>4</v>
      </c>
      <c r="D22" t="s">
        <v>88</v>
      </c>
      <c r="E22" s="3">
        <f>VLOOKUP(D22,'Bu Erta'!$C$2:$E$66,3,0)</f>
        <v>300</v>
      </c>
      <c r="F22">
        <v>0.55000000000000004</v>
      </c>
      <c r="G22" s="3">
        <f t="shared" si="1"/>
        <v>165</v>
      </c>
      <c r="H22" s="3">
        <f>VLOOKUP(D22,'Bu Erta'!$C$2:$F$66,4,0)*F22</f>
        <v>220.00000000000003</v>
      </c>
      <c r="J22" s="69" t="s">
        <v>259</v>
      </c>
      <c r="K22">
        <v>3</v>
      </c>
      <c r="L22" s="4">
        <v>2380</v>
      </c>
      <c r="N22" s="44">
        <v>20</v>
      </c>
      <c r="O22" s="17" t="s">
        <v>31</v>
      </c>
      <c r="P22" s="52">
        <f>VLOOKUP(O22,'Bu Erta'!$C$2:$F$66,4,0)</f>
        <v>1100</v>
      </c>
      <c r="Q22" s="53">
        <f>SUMIF($D$3:$D$331,O22,$F$3:$F$331)-1.6-0.4-4.75-1.25-2-0.35-0.25</f>
        <v>55.150000000000006</v>
      </c>
      <c r="R22" s="52">
        <f t="shared" si="2"/>
        <v>60665.000000000007</v>
      </c>
      <c r="S22" s="9"/>
      <c r="T22" s="44">
        <v>20</v>
      </c>
      <c r="U22" s="17" t="s">
        <v>31</v>
      </c>
      <c r="V22" s="52">
        <f>VLOOKUP(U22,'Bu Erta'!$C$2:$F$66,4,0)</f>
        <v>1100</v>
      </c>
      <c r="W22" s="53"/>
      <c r="X22" s="52">
        <f t="shared" si="3"/>
        <v>0</v>
      </c>
      <c r="Y22" s="9"/>
      <c r="Z22" s="69" t="s">
        <v>44</v>
      </c>
      <c r="AA22">
        <v>3.8</v>
      </c>
      <c r="AB22" s="4">
        <v>1520</v>
      </c>
    </row>
    <row r="23" spans="1:28" x14ac:dyDescent="0.35">
      <c r="A23" s="106"/>
      <c r="B23" t="s">
        <v>135</v>
      </c>
      <c r="C23" s="106"/>
      <c r="D23" t="s">
        <v>19</v>
      </c>
      <c r="E23" s="3">
        <f>VLOOKUP(D23,'Bu Erta'!$C$2:$E$66,3,0)</f>
        <v>200</v>
      </c>
      <c r="F23">
        <f>1.15+0.85</f>
        <v>2</v>
      </c>
      <c r="G23" s="3">
        <f t="shared" si="1"/>
        <v>400</v>
      </c>
      <c r="H23" s="3">
        <f>VLOOKUP(D23,'Bu Erta'!$C$2:$F$66,4,0)*F23</f>
        <v>600</v>
      </c>
      <c r="J23" s="69" t="s">
        <v>109</v>
      </c>
      <c r="K23">
        <v>4</v>
      </c>
      <c r="L23" s="4">
        <v>9167.5</v>
      </c>
      <c r="N23" s="44">
        <v>21</v>
      </c>
      <c r="O23" s="17" t="s">
        <v>32</v>
      </c>
      <c r="P23" s="52">
        <f>VLOOKUP(O23,'Bu Erta'!$C$2:$F$66,4,0)</f>
        <v>5000</v>
      </c>
      <c r="Q23" s="53">
        <f>SUMIF($D$3:$D$331,O23,$F$3:$F$331)</f>
        <v>1</v>
      </c>
      <c r="R23" s="52">
        <f t="shared" si="2"/>
        <v>5000</v>
      </c>
      <c r="S23" s="9"/>
      <c r="T23" s="44">
        <v>21</v>
      </c>
      <c r="U23" s="17" t="s">
        <v>32</v>
      </c>
      <c r="V23" s="52">
        <f>VLOOKUP(U23,'Bu Erta'!$C$2:$F$66,4,0)</f>
        <v>5000</v>
      </c>
      <c r="W23" s="53"/>
      <c r="X23" s="52">
        <f t="shared" si="3"/>
        <v>0</v>
      </c>
      <c r="Y23" s="9"/>
      <c r="Z23" s="69" t="s">
        <v>46</v>
      </c>
      <c r="AA23">
        <v>2.25</v>
      </c>
      <c r="AB23" s="4">
        <v>3150</v>
      </c>
    </row>
    <row r="24" spans="1:28" x14ac:dyDescent="0.35">
      <c r="A24" s="106"/>
      <c r="B24" t="s">
        <v>135</v>
      </c>
      <c r="C24" s="106"/>
      <c r="D24" t="s">
        <v>61</v>
      </c>
      <c r="E24" s="3">
        <f>VLOOKUP(D24,'Bu Erta'!$C$2:$E$66,3,0)</f>
        <v>800</v>
      </c>
      <c r="F24">
        <v>0.35</v>
      </c>
      <c r="G24" s="3">
        <f t="shared" si="1"/>
        <v>280</v>
      </c>
      <c r="H24" s="3">
        <f>VLOOKUP(D24,'Bu Erta'!$C$2:$F$66,4,0)*F24</f>
        <v>315</v>
      </c>
      <c r="J24" s="69" t="s">
        <v>118</v>
      </c>
      <c r="K24">
        <v>4</v>
      </c>
      <c r="L24" s="4">
        <v>2882.5</v>
      </c>
      <c r="N24" s="44">
        <v>22</v>
      </c>
      <c r="O24" s="17" t="s">
        <v>33</v>
      </c>
      <c r="P24" s="52">
        <f>VLOOKUP(O24,'Bu Erta'!$C$2:$F$66,4,0)</f>
        <v>1400</v>
      </c>
      <c r="Q24" s="53">
        <f>SUMIF($D$3:$D$331,O24,$F$3:$F$331)</f>
        <v>0</v>
      </c>
      <c r="R24" s="52">
        <f t="shared" si="2"/>
        <v>0</v>
      </c>
      <c r="S24" s="9"/>
      <c r="T24" s="44">
        <v>22</v>
      </c>
      <c r="U24" s="17" t="s">
        <v>33</v>
      </c>
      <c r="V24" s="52">
        <f>VLOOKUP(U24,'Bu Erta'!$C$2:$F$66,4,0)</f>
        <v>1400</v>
      </c>
      <c r="W24" s="53"/>
      <c r="X24" s="52">
        <f t="shared" si="3"/>
        <v>0</v>
      </c>
      <c r="Y24" s="9"/>
      <c r="Z24" s="69" t="s">
        <v>48</v>
      </c>
      <c r="AA24">
        <v>3</v>
      </c>
      <c r="AB24" s="4">
        <v>39000</v>
      </c>
    </row>
    <row r="25" spans="1:28" x14ac:dyDescent="0.35">
      <c r="A25" s="106"/>
      <c r="B25" t="s">
        <v>135</v>
      </c>
      <c r="C25" s="106"/>
      <c r="D25" t="s">
        <v>27</v>
      </c>
      <c r="E25" s="3">
        <f>VLOOKUP(D25,'Bu Erta'!$C$2:$E$66,3,0)</f>
        <v>2800</v>
      </c>
      <c r="F25">
        <v>0.5</v>
      </c>
      <c r="G25" s="3">
        <f t="shared" si="1"/>
        <v>1400</v>
      </c>
      <c r="H25" s="3">
        <f>VLOOKUP(D25,'Bu Erta'!$C$2:$F$66,4,0)*F25</f>
        <v>1550</v>
      </c>
      <c r="J25" s="69" t="s">
        <v>245</v>
      </c>
      <c r="K25">
        <v>4</v>
      </c>
      <c r="L25" s="4">
        <v>15857.5</v>
      </c>
      <c r="N25" s="44">
        <v>23</v>
      </c>
      <c r="O25" s="17" t="s">
        <v>34</v>
      </c>
      <c r="P25" s="52">
        <f>VLOOKUP(O25,'Bu Erta'!$C$2:$F$66,4,0)</f>
        <v>3600</v>
      </c>
      <c r="Q25" s="53">
        <f>SUMIF($D$3:$D$331,O25,$F$3:$F$331)+1.6</f>
        <v>6.25</v>
      </c>
      <c r="R25" s="52">
        <f t="shared" si="2"/>
        <v>22500</v>
      </c>
      <c r="S25" s="9"/>
      <c r="T25" s="44">
        <v>23</v>
      </c>
      <c r="U25" s="17" t="s">
        <v>34</v>
      </c>
      <c r="V25" s="52">
        <f>VLOOKUP(U25,'Bu Erta'!$C$2:$F$66,4,0)</f>
        <v>3600</v>
      </c>
      <c r="W25" s="53"/>
      <c r="X25" s="52">
        <f t="shared" si="3"/>
        <v>0</v>
      </c>
      <c r="Y25" s="9"/>
      <c r="Z25" s="69" t="s">
        <v>49</v>
      </c>
      <c r="AA25">
        <v>10.75</v>
      </c>
      <c r="AB25" s="4">
        <v>8600</v>
      </c>
    </row>
    <row r="26" spans="1:28" x14ac:dyDescent="0.35">
      <c r="A26" s="106"/>
      <c r="B26" t="s">
        <v>135</v>
      </c>
      <c r="C26" s="106"/>
      <c r="D26" t="s">
        <v>34</v>
      </c>
      <c r="E26" s="3">
        <f>VLOOKUP(D26,'Bu Erta'!$C$2:$E$66,3,0)</f>
        <v>3500</v>
      </c>
      <c r="F26">
        <v>0.2</v>
      </c>
      <c r="G26" s="3">
        <f t="shared" si="1"/>
        <v>700</v>
      </c>
      <c r="H26" s="3">
        <f>VLOOKUP(D26,'Bu Erta'!$C$2:$F$66,4,0)*F26</f>
        <v>720</v>
      </c>
      <c r="J26" s="69" t="s">
        <v>135</v>
      </c>
      <c r="K26">
        <v>4</v>
      </c>
      <c r="L26" s="4">
        <v>8145</v>
      </c>
      <c r="N26" s="44">
        <v>24</v>
      </c>
      <c r="O26" s="17" t="s">
        <v>35</v>
      </c>
      <c r="P26" s="52">
        <f>VLOOKUP(O26,'Bu Erta'!$C$2:$F$66,4,0)</f>
        <v>2000</v>
      </c>
      <c r="Q26" s="53">
        <f>SUMIF($D$3:$D$331,O26,$F$3:$F$331)</f>
        <v>0</v>
      </c>
      <c r="R26" s="52">
        <f t="shared" si="2"/>
        <v>0</v>
      </c>
      <c r="S26" s="9"/>
      <c r="T26" s="44">
        <v>24</v>
      </c>
      <c r="U26" s="17" t="s">
        <v>35</v>
      </c>
      <c r="V26" s="52">
        <f>VLOOKUP(U26,'Bu Erta'!$C$2:$F$66,4,0)</f>
        <v>2000</v>
      </c>
      <c r="W26" s="53"/>
      <c r="X26" s="52">
        <f t="shared" si="3"/>
        <v>0</v>
      </c>
      <c r="Y26" s="9"/>
      <c r="Z26" s="69" t="s">
        <v>51</v>
      </c>
      <c r="AA26">
        <v>1</v>
      </c>
      <c r="AB26" s="4">
        <v>50000</v>
      </c>
    </row>
    <row r="27" spans="1:28" x14ac:dyDescent="0.35">
      <c r="A27" s="106"/>
      <c r="B27" t="s">
        <v>135</v>
      </c>
      <c r="C27" s="106"/>
      <c r="D27" t="s">
        <v>31</v>
      </c>
      <c r="E27" s="3">
        <f>VLOOKUP(D27,'Bu Erta'!$C$2:$E$66,3,0)</f>
        <v>1000</v>
      </c>
      <c r="F27">
        <f>0.7+2.4</f>
        <v>3.0999999999999996</v>
      </c>
      <c r="G27" s="3">
        <f t="shared" si="1"/>
        <v>3099.9999999999995</v>
      </c>
      <c r="H27" s="3">
        <f>VLOOKUP(D27,'Bu Erta'!$C$2:$F$66,4,0)*F27</f>
        <v>3409.9999999999995</v>
      </c>
      <c r="J27" s="69" t="s">
        <v>137</v>
      </c>
      <c r="K27">
        <v>4</v>
      </c>
      <c r="L27" s="4">
        <v>1010</v>
      </c>
      <c r="N27" s="44">
        <v>25</v>
      </c>
      <c r="O27" s="17" t="s">
        <v>36</v>
      </c>
      <c r="P27" s="52">
        <f>VLOOKUP(O27,'Bu Erta'!$C$2:$F$66,4,0)</f>
        <v>650</v>
      </c>
      <c r="Q27" s="53">
        <f>SUMIF($D$3:$D$331,O27,$F$3:$F$331)</f>
        <v>6.8000000000000007</v>
      </c>
      <c r="R27" s="52">
        <f t="shared" si="2"/>
        <v>4420.0000000000009</v>
      </c>
      <c r="S27" s="9"/>
      <c r="T27" s="44">
        <v>25</v>
      </c>
      <c r="U27" s="17" t="s">
        <v>36</v>
      </c>
      <c r="V27" s="52">
        <f>VLOOKUP(U27,'Bu Erta'!$C$2:$F$66,4,0)</f>
        <v>650</v>
      </c>
      <c r="W27" s="53"/>
      <c r="X27" s="52">
        <f t="shared" si="3"/>
        <v>0</v>
      </c>
      <c r="Y27" s="9"/>
      <c r="Z27" s="69" t="s">
        <v>56</v>
      </c>
      <c r="AA27">
        <v>8</v>
      </c>
      <c r="AB27" s="4">
        <v>32000</v>
      </c>
    </row>
    <row r="28" spans="1:28" x14ac:dyDescent="0.35">
      <c r="A28" s="106"/>
      <c r="B28" t="s">
        <v>135</v>
      </c>
      <c r="C28" s="106"/>
      <c r="D28" t="s">
        <v>42</v>
      </c>
      <c r="E28" s="3">
        <f>VLOOKUP(D28,'Bu Erta'!$C$2:$E$66,3,0)</f>
        <v>1000</v>
      </c>
      <c r="F28">
        <v>2.1</v>
      </c>
      <c r="G28" s="3">
        <f t="shared" si="1"/>
        <v>2100</v>
      </c>
      <c r="H28" s="3">
        <f>VLOOKUP(D28,'Bu Erta'!$C$2:$F$66,4,0)*F28</f>
        <v>2520</v>
      </c>
      <c r="J28" s="69" t="s">
        <v>87</v>
      </c>
      <c r="K28">
        <v>4</v>
      </c>
      <c r="L28" s="4">
        <v>11490</v>
      </c>
      <c r="N28" s="44">
        <v>26</v>
      </c>
      <c r="O28" s="17" t="s">
        <v>37</v>
      </c>
      <c r="P28" s="52">
        <f>VLOOKUP(O28,'Bu Erta'!$C$2:$F$66,4,0)</f>
        <v>2000</v>
      </c>
      <c r="Q28" s="53">
        <f>SUMIF($D$3:$D$331,O28,$F$3:$F$331)+1.25</f>
        <v>1.85</v>
      </c>
      <c r="R28" s="52">
        <f t="shared" si="2"/>
        <v>3700</v>
      </c>
      <c r="S28" s="9"/>
      <c r="T28" s="44">
        <v>26</v>
      </c>
      <c r="U28" s="17" t="s">
        <v>37</v>
      </c>
      <c r="V28" s="52">
        <f>VLOOKUP(U28,'Bu Erta'!$C$2:$F$66,4,0)</f>
        <v>2000</v>
      </c>
      <c r="W28" s="53"/>
      <c r="X28" s="52">
        <f t="shared" si="3"/>
        <v>0</v>
      </c>
      <c r="Y28" s="9"/>
      <c r="Z28" s="69" t="s">
        <v>88</v>
      </c>
      <c r="AA28">
        <v>10.549999999999999</v>
      </c>
      <c r="AB28" s="4">
        <v>3165</v>
      </c>
    </row>
    <row r="29" spans="1:28" x14ac:dyDescent="0.35">
      <c r="A29" s="106">
        <v>5</v>
      </c>
      <c r="B29" t="s">
        <v>180</v>
      </c>
      <c r="C29" s="106">
        <v>4</v>
      </c>
      <c r="D29" t="s">
        <v>31</v>
      </c>
      <c r="E29" s="3">
        <f>VLOOKUP(D29,'Bu Erta'!$C$2:$E$66,3,0)</f>
        <v>1000</v>
      </c>
      <c r="F29">
        <f>2.25+1.85</f>
        <v>4.0999999999999996</v>
      </c>
      <c r="G29" s="3">
        <f t="shared" si="1"/>
        <v>4100</v>
      </c>
      <c r="H29" s="3">
        <f>VLOOKUP(D29,'Bu Erta'!$C$2:$F$66,4,0)*F29</f>
        <v>4510</v>
      </c>
      <c r="J29" s="69" t="s">
        <v>102</v>
      </c>
      <c r="K29">
        <v>4</v>
      </c>
      <c r="L29" s="4">
        <v>9142.5</v>
      </c>
      <c r="N29" s="44">
        <v>27</v>
      </c>
      <c r="O29" s="17" t="s">
        <v>38</v>
      </c>
      <c r="P29" s="52">
        <f>VLOOKUP(O29,'Bu Erta'!$C$2:$F$66,4,0)</f>
        <v>1600</v>
      </c>
      <c r="Q29" s="53">
        <f>SUMIF($D$3:$D$331,O29,$F$3:$F$331)</f>
        <v>0.35</v>
      </c>
      <c r="R29" s="52">
        <f t="shared" si="2"/>
        <v>560</v>
      </c>
      <c r="S29" s="9"/>
      <c r="T29" s="44">
        <v>27</v>
      </c>
      <c r="U29" s="17" t="s">
        <v>38</v>
      </c>
      <c r="V29" s="52">
        <f>VLOOKUP(U29,'Bu Erta'!$C$2:$F$66,4,0)</f>
        <v>1600</v>
      </c>
      <c r="W29" s="53"/>
      <c r="X29" s="52">
        <f t="shared" si="3"/>
        <v>0</v>
      </c>
      <c r="Y29" s="9"/>
      <c r="Z29" s="69" t="s">
        <v>6</v>
      </c>
      <c r="AA29">
        <v>1.7999999999999998</v>
      </c>
      <c r="AB29" s="4">
        <v>3600</v>
      </c>
    </row>
    <row r="30" spans="1:28" x14ac:dyDescent="0.35">
      <c r="A30" s="106"/>
      <c r="B30" t="s">
        <v>180</v>
      </c>
      <c r="C30" s="106"/>
      <c r="D30" t="s">
        <v>40</v>
      </c>
      <c r="E30" s="3">
        <f>VLOOKUP(D30,'Bu Erta'!$C$2:$E$66,3,0)</f>
        <v>1800</v>
      </c>
      <c r="F30">
        <v>1.1000000000000001</v>
      </c>
      <c r="G30" s="3">
        <f t="shared" si="1"/>
        <v>1980.0000000000002</v>
      </c>
      <c r="H30" s="3">
        <f>VLOOKUP(D30,'Bu Erta'!$C$2:$F$66,4,0)*F30</f>
        <v>2200</v>
      </c>
      <c r="J30" s="69" t="s">
        <v>89</v>
      </c>
      <c r="K30">
        <v>4</v>
      </c>
      <c r="L30" s="4">
        <v>8575</v>
      </c>
      <c r="N30" s="44">
        <v>28</v>
      </c>
      <c r="O30" s="17" t="s">
        <v>39</v>
      </c>
      <c r="P30" s="52">
        <f>VLOOKUP(O30,'Bu Erta'!$C$2:$F$66,4,0)</f>
        <v>200</v>
      </c>
      <c r="Q30" s="53">
        <f>SUMIF($D$3:$D$331,O30,$F$3:$F$331)</f>
        <v>0</v>
      </c>
      <c r="R30" s="52">
        <f t="shared" si="2"/>
        <v>0</v>
      </c>
      <c r="S30" s="9"/>
      <c r="T30" s="44">
        <v>28</v>
      </c>
      <c r="U30" s="17" t="s">
        <v>39</v>
      </c>
      <c r="V30" s="52">
        <f>VLOOKUP(U30,'Bu Erta'!$C$2:$F$66,4,0)</f>
        <v>200</v>
      </c>
      <c r="W30" s="53"/>
      <c r="X30" s="52">
        <f t="shared" si="3"/>
        <v>0</v>
      </c>
      <c r="Y30" s="9"/>
      <c r="Z30" s="69" t="s">
        <v>60</v>
      </c>
      <c r="AA30">
        <v>0.4</v>
      </c>
      <c r="AB30" s="4">
        <v>480</v>
      </c>
    </row>
    <row r="31" spans="1:28" x14ac:dyDescent="0.35">
      <c r="A31" s="106"/>
      <c r="B31" t="s">
        <v>180</v>
      </c>
      <c r="C31" s="106"/>
      <c r="D31" t="s">
        <v>17</v>
      </c>
      <c r="E31" s="3">
        <f>VLOOKUP(D31,'Bu Erta'!$C$2:$E$66,3,0)</f>
        <v>8000</v>
      </c>
      <c r="F31">
        <v>0.4</v>
      </c>
      <c r="G31" s="3">
        <f t="shared" si="1"/>
        <v>3200</v>
      </c>
      <c r="H31" s="3">
        <f>VLOOKUP(D31,'Bu Erta'!$C$2:$F$66,4,0)*F31</f>
        <v>3400</v>
      </c>
      <c r="J31" s="69" t="s">
        <v>134</v>
      </c>
      <c r="K31">
        <v>4</v>
      </c>
      <c r="L31" s="4">
        <v>4657.5</v>
      </c>
      <c r="N31" s="44">
        <v>29</v>
      </c>
      <c r="O31" s="17" t="s">
        <v>77</v>
      </c>
      <c r="P31" s="52">
        <f>VLOOKUP(O31,'Bu Erta'!$C$2:$F$66,4,0)</f>
        <v>800</v>
      </c>
      <c r="Q31" s="53">
        <f>SUMIF($D$3:$D$331,O31,$F$3:$F$331)</f>
        <v>0</v>
      </c>
      <c r="R31" s="52">
        <f t="shared" si="2"/>
        <v>0</v>
      </c>
      <c r="S31" s="9"/>
      <c r="T31" s="44">
        <v>29</v>
      </c>
      <c r="U31" s="17" t="s">
        <v>77</v>
      </c>
      <c r="V31" s="52">
        <f>VLOOKUP(U31,'Bu Erta'!$C$2:$F$66,4,0)</f>
        <v>800</v>
      </c>
      <c r="W31" s="53"/>
      <c r="X31" s="52">
        <f t="shared" si="3"/>
        <v>0</v>
      </c>
      <c r="Y31" s="9"/>
      <c r="Z31" s="69" t="s">
        <v>61</v>
      </c>
      <c r="AA31">
        <v>1.8000000000000003</v>
      </c>
      <c r="AB31" s="4">
        <v>1440</v>
      </c>
    </row>
    <row r="32" spans="1:28" x14ac:dyDescent="0.35">
      <c r="A32" s="106">
        <v>6</v>
      </c>
      <c r="B32" t="s">
        <v>100</v>
      </c>
      <c r="C32" s="106">
        <v>4</v>
      </c>
      <c r="D32" t="s">
        <v>24</v>
      </c>
      <c r="E32" s="3">
        <f>VLOOKUP(D32,'Bu Erta'!$C$2:$E$66,3,0)</f>
        <v>150</v>
      </c>
      <c r="F32">
        <v>3</v>
      </c>
      <c r="G32" s="3">
        <f t="shared" si="1"/>
        <v>450</v>
      </c>
      <c r="H32" s="3">
        <f>VLOOKUP(D32,'Bu Erta'!$C$2:$F$66,4,0)*F32</f>
        <v>600</v>
      </c>
      <c r="J32" s="69" t="s">
        <v>140</v>
      </c>
      <c r="K32">
        <v>4</v>
      </c>
      <c r="L32" s="4">
        <v>14410</v>
      </c>
      <c r="N32" s="44">
        <v>30</v>
      </c>
      <c r="O32" s="17" t="s">
        <v>40</v>
      </c>
      <c r="P32" s="52">
        <f>VLOOKUP(O32,'Bu Erta'!$C$2:$F$66,4,0)</f>
        <v>2000</v>
      </c>
      <c r="Q32" s="53">
        <f>SUMIF($D$3:$D$331,O32,$F$3:$F$331)</f>
        <v>14.540000000000001</v>
      </c>
      <c r="R32" s="52">
        <f t="shared" si="2"/>
        <v>29080.000000000004</v>
      </c>
      <c r="S32" s="9"/>
      <c r="T32" s="44">
        <v>30</v>
      </c>
      <c r="U32" s="17" t="s">
        <v>40</v>
      </c>
      <c r="V32" s="52">
        <f>VLOOKUP(U32,'Bu Erta'!$C$2:$F$66,4,0)</f>
        <v>2000</v>
      </c>
      <c r="W32" s="53"/>
      <c r="X32" s="52">
        <f t="shared" si="3"/>
        <v>0</v>
      </c>
      <c r="Y32" s="9"/>
      <c r="Z32" s="69" t="s">
        <v>62</v>
      </c>
      <c r="AA32">
        <v>1.1499999999999999</v>
      </c>
      <c r="AB32" s="4">
        <v>459.99999999999994</v>
      </c>
    </row>
    <row r="33" spans="1:28" x14ac:dyDescent="0.35">
      <c r="A33" s="106"/>
      <c r="B33" t="s">
        <v>100</v>
      </c>
      <c r="C33" s="106"/>
      <c r="D33" t="s">
        <v>7</v>
      </c>
      <c r="E33" s="3">
        <f>VLOOKUP(D33,'Bu Erta'!$C$2:$E$66,3,0)</f>
        <v>1400</v>
      </c>
      <c r="F33">
        <v>2</v>
      </c>
      <c r="G33" s="3">
        <f t="shared" si="1"/>
        <v>2800</v>
      </c>
      <c r="H33" s="3">
        <f>VLOOKUP(D33,'Bu Erta'!$C$2:$F$66,4,0)*F33</f>
        <v>3200</v>
      </c>
      <c r="J33" s="69" t="s">
        <v>182</v>
      </c>
      <c r="K33">
        <v>4</v>
      </c>
      <c r="L33" s="4">
        <v>5100</v>
      </c>
      <c r="N33" s="44">
        <v>31</v>
      </c>
      <c r="O33" s="17" t="s">
        <v>41</v>
      </c>
      <c r="P33" s="52">
        <f>VLOOKUP(O33,'Bu Erta'!$C$2:$F$66,4,0)</f>
        <v>2000</v>
      </c>
      <c r="Q33" s="53">
        <f>SUMIF($D$3:$D$331,O33,$F$3:$F$331)+2</f>
        <v>8.2999999999999972</v>
      </c>
      <c r="R33" s="52">
        <f t="shared" si="2"/>
        <v>16599.999999999993</v>
      </c>
      <c r="S33" s="9"/>
      <c r="T33" s="44">
        <v>31</v>
      </c>
      <c r="U33" s="17" t="s">
        <v>41</v>
      </c>
      <c r="V33" s="52">
        <f>VLOOKUP(U33,'Bu Erta'!$C$2:$F$66,4,0)</f>
        <v>2000</v>
      </c>
      <c r="W33" s="53"/>
      <c r="X33" s="52">
        <f t="shared" si="3"/>
        <v>0</v>
      </c>
      <c r="Y33" s="9"/>
      <c r="Z33" s="69" t="s">
        <v>63</v>
      </c>
      <c r="AA33">
        <v>0.15</v>
      </c>
      <c r="AB33" s="4">
        <v>120</v>
      </c>
    </row>
    <row r="34" spans="1:28" x14ac:dyDescent="0.35">
      <c r="A34" s="106"/>
      <c r="B34" t="s">
        <v>100</v>
      </c>
      <c r="C34" s="106"/>
      <c r="D34" t="s">
        <v>41</v>
      </c>
      <c r="E34" s="3">
        <f>VLOOKUP(D34,'Bu Erta'!$C$2:$E$66,3,0)</f>
        <v>1500</v>
      </c>
      <c r="F34">
        <v>0.2</v>
      </c>
      <c r="G34" s="3">
        <f t="shared" si="1"/>
        <v>300</v>
      </c>
      <c r="H34" s="3">
        <f>VLOOKUP(D34,'Bu Erta'!$C$2:$F$66,4,0)*F34</f>
        <v>400</v>
      </c>
      <c r="J34" s="69" t="s">
        <v>192</v>
      </c>
      <c r="K34">
        <v>4</v>
      </c>
      <c r="L34" s="4">
        <v>7695</v>
      </c>
      <c r="N34" s="44">
        <v>32</v>
      </c>
      <c r="O34" s="17" t="s">
        <v>42</v>
      </c>
      <c r="P34" s="52">
        <f>VLOOKUP(O34,'Bu Erta'!$C$2:$F$66,4,0)</f>
        <v>1200</v>
      </c>
      <c r="Q34" s="53">
        <f t="shared" ref="Q34:Q39" si="4">SUMIF($D$3:$D$331,O34,$F$3:$F$331)</f>
        <v>66</v>
      </c>
      <c r="R34" s="52">
        <f t="shared" si="2"/>
        <v>79200</v>
      </c>
      <c r="S34" s="9"/>
      <c r="T34" s="44">
        <v>32</v>
      </c>
      <c r="U34" s="17" t="s">
        <v>42</v>
      </c>
      <c r="V34" s="52">
        <f>VLOOKUP(U34,'Bu Erta'!$C$2:$F$66,4,0)</f>
        <v>1200</v>
      </c>
      <c r="W34" s="53"/>
      <c r="X34" s="52">
        <f t="shared" si="3"/>
        <v>0</v>
      </c>
      <c r="Y34" s="9"/>
      <c r="Z34" s="69" t="s">
        <v>65</v>
      </c>
      <c r="AA34">
        <v>1.2999999999999998</v>
      </c>
      <c r="AB34" s="4">
        <v>195</v>
      </c>
    </row>
    <row r="35" spans="1:28" x14ac:dyDescent="0.35">
      <c r="A35" s="106"/>
      <c r="B35" t="s">
        <v>100</v>
      </c>
      <c r="C35" s="106"/>
      <c r="D35" t="s">
        <v>31</v>
      </c>
      <c r="E35" s="3">
        <f>VLOOKUP(D35,'Bu Erta'!$C$2:$E$66,3,0)</f>
        <v>1000</v>
      </c>
      <c r="F35">
        <v>1.05</v>
      </c>
      <c r="G35" s="3">
        <f t="shared" si="1"/>
        <v>1050</v>
      </c>
      <c r="H35" s="3">
        <f>VLOOKUP(D35,'Bu Erta'!$C$2:$F$66,4,0)*F35</f>
        <v>1155</v>
      </c>
      <c r="J35" s="69" t="s">
        <v>136</v>
      </c>
      <c r="K35">
        <v>4</v>
      </c>
      <c r="L35" s="4">
        <v>11700</v>
      </c>
      <c r="N35" s="44">
        <v>33</v>
      </c>
      <c r="O35" s="17" t="s">
        <v>43</v>
      </c>
      <c r="P35" s="52">
        <f>VLOOKUP(O35,'Bu Erta'!$C$2:$F$66,4,0)</f>
        <v>500</v>
      </c>
      <c r="Q35" s="53">
        <f t="shared" si="4"/>
        <v>0</v>
      </c>
      <c r="R35" s="52">
        <f t="shared" si="2"/>
        <v>0</v>
      </c>
      <c r="S35" s="9"/>
      <c r="T35" s="44">
        <v>33</v>
      </c>
      <c r="U35" s="17" t="s">
        <v>43</v>
      </c>
      <c r="V35" s="52">
        <f>VLOOKUP(U35,'Bu Erta'!$C$2:$F$66,4,0)</f>
        <v>500</v>
      </c>
      <c r="W35" s="53"/>
      <c r="X35" s="52">
        <f t="shared" si="3"/>
        <v>0</v>
      </c>
      <c r="Y35" s="9"/>
      <c r="Z35" s="69" t="s">
        <v>69</v>
      </c>
      <c r="AA35">
        <v>1.2500000000000002</v>
      </c>
      <c r="AB35" s="4">
        <v>3125</v>
      </c>
    </row>
    <row r="36" spans="1:28" x14ac:dyDescent="0.35">
      <c r="A36" s="106"/>
      <c r="B36" t="s">
        <v>100</v>
      </c>
      <c r="C36" s="106"/>
      <c r="D36" t="s">
        <v>23</v>
      </c>
      <c r="E36" s="3">
        <f>VLOOKUP(D36,'Bu Erta'!$C$2:$E$66,3,0)</f>
        <v>300</v>
      </c>
      <c r="F36">
        <v>0.1</v>
      </c>
      <c r="G36" s="3">
        <f t="shared" si="1"/>
        <v>30</v>
      </c>
      <c r="H36" s="3">
        <f>VLOOKUP(D36,'Bu Erta'!$C$2:$F$66,4,0)*F36</f>
        <v>40</v>
      </c>
      <c r="J36" s="69" t="s">
        <v>94</v>
      </c>
      <c r="K36">
        <v>4</v>
      </c>
      <c r="L36" s="4">
        <v>1610</v>
      </c>
      <c r="N36" s="44">
        <v>34</v>
      </c>
      <c r="O36" s="17" t="s">
        <v>44</v>
      </c>
      <c r="P36" s="52">
        <f>VLOOKUP(O36,'Bu Erta'!$C$2:$F$66,4,0)</f>
        <v>500</v>
      </c>
      <c r="Q36" s="53">
        <f t="shared" si="4"/>
        <v>3.8</v>
      </c>
      <c r="R36" s="52">
        <f t="shared" si="2"/>
        <v>1900</v>
      </c>
      <c r="S36" s="9"/>
      <c r="T36" s="44">
        <v>34</v>
      </c>
      <c r="U36" s="17" t="s">
        <v>44</v>
      </c>
      <c r="V36" s="52">
        <f>VLOOKUP(U36,'Bu Erta'!$C$2:$F$66,4,0)</f>
        <v>500</v>
      </c>
      <c r="W36" s="53"/>
      <c r="X36" s="52">
        <f t="shared" si="3"/>
        <v>0</v>
      </c>
      <c r="Y36" s="9"/>
      <c r="Z36" s="69" t="s">
        <v>70</v>
      </c>
      <c r="AA36">
        <v>1.4500000000000002</v>
      </c>
      <c r="AB36" s="4">
        <v>5075</v>
      </c>
    </row>
    <row r="37" spans="1:28" x14ac:dyDescent="0.35">
      <c r="A37" s="106"/>
      <c r="B37" t="s">
        <v>100</v>
      </c>
      <c r="C37" s="106"/>
      <c r="D37" t="s">
        <v>19</v>
      </c>
      <c r="E37" s="3">
        <f>VLOOKUP(D37,'Bu Erta'!$C$2:$E$66,3,0)</f>
        <v>200</v>
      </c>
      <c r="F37">
        <v>0.55000000000000004</v>
      </c>
      <c r="G37" s="3">
        <f t="shared" si="1"/>
        <v>110.00000000000001</v>
      </c>
      <c r="H37" s="3">
        <f>VLOOKUP(D37,'Bu Erta'!$C$2:$F$66,4,0)*F37</f>
        <v>165</v>
      </c>
      <c r="J37" s="69" t="s">
        <v>85</v>
      </c>
      <c r="K37">
        <v>4</v>
      </c>
      <c r="L37" s="4">
        <v>3920</v>
      </c>
      <c r="N37" s="44">
        <v>35</v>
      </c>
      <c r="O37" s="17" t="s">
        <v>45</v>
      </c>
      <c r="P37" s="52">
        <f>VLOOKUP(O37,'Bu Erta'!$C$2:$F$66,4,0)</f>
        <v>800</v>
      </c>
      <c r="Q37" s="53">
        <f t="shared" si="4"/>
        <v>0</v>
      </c>
      <c r="R37" s="52">
        <f t="shared" si="2"/>
        <v>0</v>
      </c>
      <c r="S37" s="9"/>
      <c r="T37" s="44">
        <v>35</v>
      </c>
      <c r="U37" s="17" t="s">
        <v>45</v>
      </c>
      <c r="V37" s="52">
        <f>VLOOKUP(U37,'Bu Erta'!$C$2:$F$66,4,0)</f>
        <v>800</v>
      </c>
      <c r="W37" s="53"/>
      <c r="X37" s="52">
        <f t="shared" si="3"/>
        <v>0</v>
      </c>
      <c r="Y37" s="9"/>
      <c r="Z37" s="69" t="s">
        <v>71</v>
      </c>
      <c r="AA37">
        <v>1</v>
      </c>
      <c r="AB37" s="4">
        <v>8000</v>
      </c>
    </row>
    <row r="38" spans="1:28" x14ac:dyDescent="0.35">
      <c r="A38" s="106"/>
      <c r="B38" t="s">
        <v>100</v>
      </c>
      <c r="C38" s="106"/>
      <c r="D38" t="s">
        <v>28</v>
      </c>
      <c r="E38" s="3">
        <f>VLOOKUP(D38,'Bu Erta'!$C$2:$E$66,3,0)</f>
        <v>1200</v>
      </c>
      <c r="F38">
        <v>0.7</v>
      </c>
      <c r="G38" s="3">
        <f t="shared" si="1"/>
        <v>840</v>
      </c>
      <c r="H38" s="3">
        <f>VLOOKUP(D38,'Bu Erta'!$C$2:$F$66,4,0)*F38</f>
        <v>909.99999999999989</v>
      </c>
      <c r="J38" s="69" t="s">
        <v>132</v>
      </c>
      <c r="K38">
        <v>4</v>
      </c>
      <c r="L38" s="4">
        <v>2830</v>
      </c>
      <c r="N38" s="44">
        <v>36</v>
      </c>
      <c r="O38" s="17" t="s">
        <v>46</v>
      </c>
      <c r="P38" s="52">
        <f>VLOOKUP(O38,'Bu Erta'!$C$2:$F$66,4,0)</f>
        <v>1500</v>
      </c>
      <c r="Q38" s="53">
        <f t="shared" si="4"/>
        <v>2.25</v>
      </c>
      <c r="R38" s="52">
        <f t="shared" si="2"/>
        <v>3375</v>
      </c>
      <c r="S38" s="9"/>
      <c r="T38" s="44">
        <v>36</v>
      </c>
      <c r="U38" s="17" t="s">
        <v>46</v>
      </c>
      <c r="V38" s="52">
        <f>VLOOKUP(U38,'Bu Erta'!$C$2:$F$66,4,0)</f>
        <v>1500</v>
      </c>
      <c r="W38" s="53"/>
      <c r="X38" s="52">
        <f t="shared" si="3"/>
        <v>0</v>
      </c>
      <c r="Y38" s="9"/>
      <c r="Z38" s="69" t="s">
        <v>81</v>
      </c>
      <c r="AA38">
        <v>613.78999999999985</v>
      </c>
      <c r="AB38" s="4">
        <v>639949.5</v>
      </c>
    </row>
    <row r="39" spans="1:28" x14ac:dyDescent="0.35">
      <c r="A39" s="106">
        <v>7</v>
      </c>
      <c r="B39" t="s">
        <v>87</v>
      </c>
      <c r="C39" s="106">
        <v>4</v>
      </c>
      <c r="D39" t="s">
        <v>42</v>
      </c>
      <c r="E39" s="3">
        <f>VLOOKUP(D39,'Bu Erta'!$C$2:$E$66,3,0)</f>
        <v>1000</v>
      </c>
      <c r="F39">
        <v>0.85</v>
      </c>
      <c r="G39" s="3">
        <f t="shared" si="1"/>
        <v>850</v>
      </c>
      <c r="H39" s="3">
        <f>VLOOKUP(D39,'Bu Erta'!$C$2:$F$66,4,0)*F39</f>
        <v>1020</v>
      </c>
      <c r="J39" s="69" t="s">
        <v>180</v>
      </c>
      <c r="K39">
        <v>4</v>
      </c>
      <c r="L39" s="4">
        <v>9280</v>
      </c>
      <c r="N39" s="44">
        <v>37</v>
      </c>
      <c r="O39" s="17" t="s">
        <v>47</v>
      </c>
      <c r="P39" s="52">
        <f>VLOOKUP(O39,'Bu Erta'!$C$2:$F$66,4,0)</f>
        <v>1500</v>
      </c>
      <c r="Q39" s="53">
        <f t="shared" si="4"/>
        <v>0</v>
      </c>
      <c r="R39" s="52">
        <f t="shared" si="2"/>
        <v>0</v>
      </c>
      <c r="S39" s="9"/>
      <c r="T39" s="44">
        <v>37</v>
      </c>
      <c r="U39" s="17" t="s">
        <v>47</v>
      </c>
      <c r="V39" s="52">
        <f>VLOOKUP(U39,'Bu Erta'!$C$2:$F$66,4,0)</f>
        <v>1500</v>
      </c>
      <c r="W39" s="53"/>
      <c r="X39" s="52">
        <f t="shared" si="3"/>
        <v>0</v>
      </c>
      <c r="Y39" s="9"/>
      <c r="AB39" s="3"/>
    </row>
    <row r="40" spans="1:28" x14ac:dyDescent="0.35">
      <c r="A40" s="106"/>
      <c r="B40" t="s">
        <v>87</v>
      </c>
      <c r="C40" s="106"/>
      <c r="D40" t="s">
        <v>19</v>
      </c>
      <c r="E40" s="3">
        <f>VLOOKUP(D40,'Bu Erta'!$C$2:$E$66,3,0)</f>
        <v>200</v>
      </c>
      <c r="F40">
        <v>0.3</v>
      </c>
      <c r="G40" s="3">
        <f t="shared" si="1"/>
        <v>60</v>
      </c>
      <c r="H40" s="3">
        <f>VLOOKUP(D40,'Bu Erta'!$C$2:$F$66,4,0)*F40</f>
        <v>90</v>
      </c>
      <c r="J40" s="69" t="s">
        <v>148</v>
      </c>
      <c r="K40">
        <v>4</v>
      </c>
      <c r="L40" s="4">
        <v>27050</v>
      </c>
      <c r="N40" s="44">
        <v>38</v>
      </c>
      <c r="O40" s="17" t="s">
        <v>48</v>
      </c>
      <c r="P40" s="52">
        <f>VLOOKUP(O40,'Bu Erta'!$C$2:$F$66,4,0)</f>
        <v>15000</v>
      </c>
      <c r="Q40" s="53">
        <f>SUMIF($D$3:$D$331,O40,$F$3:$F$331)-1</f>
        <v>2</v>
      </c>
      <c r="R40" s="52">
        <f t="shared" si="2"/>
        <v>30000</v>
      </c>
      <c r="S40" t="s">
        <v>264</v>
      </c>
      <c r="T40" s="44">
        <v>38</v>
      </c>
      <c r="U40" s="17" t="s">
        <v>48</v>
      </c>
      <c r="V40" s="52">
        <f>VLOOKUP(U40,'Bu Erta'!$C$2:$F$66,4,0)</f>
        <v>15000</v>
      </c>
      <c r="W40" s="53"/>
      <c r="X40" s="52">
        <f t="shared" si="3"/>
        <v>0</v>
      </c>
      <c r="AB40" s="3"/>
    </row>
    <row r="41" spans="1:28" x14ac:dyDescent="0.35">
      <c r="A41" s="106"/>
      <c r="B41" t="s">
        <v>87</v>
      </c>
      <c r="C41" s="106"/>
      <c r="D41" t="s">
        <v>61</v>
      </c>
      <c r="E41" s="3">
        <f>VLOOKUP(D41,'Bu Erta'!$C$2:$E$66,3,0)</f>
        <v>800</v>
      </c>
      <c r="F41">
        <v>0.15</v>
      </c>
      <c r="G41" s="3">
        <f t="shared" si="1"/>
        <v>120</v>
      </c>
      <c r="H41" s="3">
        <f>VLOOKUP(D41,'Bu Erta'!$C$2:$F$66,4,0)*F41</f>
        <v>135</v>
      </c>
      <c r="J41" s="69" t="s">
        <v>185</v>
      </c>
      <c r="K41">
        <v>4</v>
      </c>
      <c r="L41" s="4">
        <v>11475</v>
      </c>
      <c r="N41" s="44">
        <v>39</v>
      </c>
      <c r="O41" s="17" t="s">
        <v>49</v>
      </c>
      <c r="P41" s="52">
        <f>VLOOKUP(O41,'Bu Erta'!$C$2:$F$66,4,0)</f>
        <v>900</v>
      </c>
      <c r="Q41" s="53">
        <f>SUMIF($D$3:$D$331,O41,$F$3:$F$331)</f>
        <v>10.75</v>
      </c>
      <c r="R41" s="52">
        <f t="shared" si="2"/>
        <v>9675</v>
      </c>
      <c r="S41" s="9"/>
      <c r="T41" s="44">
        <v>39</v>
      </c>
      <c r="U41" s="17" t="s">
        <v>49</v>
      </c>
      <c r="V41" s="52">
        <f>VLOOKUP(U41,'Bu Erta'!$C$2:$F$66,4,0)</f>
        <v>900</v>
      </c>
      <c r="W41" s="53"/>
      <c r="X41" s="52">
        <f t="shared" si="3"/>
        <v>0</v>
      </c>
      <c r="Y41" s="9"/>
      <c r="AB41" s="3"/>
    </row>
    <row r="42" spans="1:28" x14ac:dyDescent="0.35">
      <c r="A42" s="106"/>
      <c r="B42" t="s">
        <v>87</v>
      </c>
      <c r="C42" s="106"/>
      <c r="D42" t="s">
        <v>41</v>
      </c>
      <c r="E42" s="3">
        <f>VLOOKUP(D42,'Bu Erta'!$C$2:$E$66,3,0)</f>
        <v>1500</v>
      </c>
      <c r="F42">
        <v>0.65</v>
      </c>
      <c r="G42" s="3">
        <f t="shared" si="1"/>
        <v>975</v>
      </c>
      <c r="H42" s="3">
        <f>VLOOKUP(D42,'Bu Erta'!$C$2:$F$66,4,0)*F42</f>
        <v>1300</v>
      </c>
      <c r="J42" s="69" t="s">
        <v>106</v>
      </c>
      <c r="K42">
        <v>4</v>
      </c>
      <c r="L42" s="4">
        <v>3832.5</v>
      </c>
      <c r="N42" s="44">
        <v>40</v>
      </c>
      <c r="O42" s="17" t="s">
        <v>50</v>
      </c>
      <c r="P42" s="52">
        <f>VLOOKUP(O42,'Bu Erta'!$C$2:$F$66,4,0)</f>
        <v>45000</v>
      </c>
      <c r="Q42" s="53">
        <f>SUMIF($D$3:$D$331,O42,$F$3:$F$331)</f>
        <v>0</v>
      </c>
      <c r="R42" s="52">
        <f t="shared" si="2"/>
        <v>0</v>
      </c>
      <c r="S42" s="9"/>
      <c r="T42" s="44">
        <v>40</v>
      </c>
      <c r="U42" s="17" t="s">
        <v>50</v>
      </c>
      <c r="V42" s="52">
        <f>VLOOKUP(U42,'Bu Erta'!$C$2:$F$66,4,0)</f>
        <v>45000</v>
      </c>
      <c r="W42" s="53"/>
      <c r="X42" s="52">
        <f t="shared" si="3"/>
        <v>0</v>
      </c>
      <c r="Y42" s="9"/>
      <c r="AB42" s="3"/>
    </row>
    <row r="43" spans="1:28" x14ac:dyDescent="0.35">
      <c r="A43" s="106"/>
      <c r="B43" t="s">
        <v>87</v>
      </c>
      <c r="C43" s="106"/>
      <c r="D43" t="s">
        <v>69</v>
      </c>
      <c r="E43" s="3">
        <f>VLOOKUP(D43,'Bu Erta'!$C$2:$E$66,3,0)</f>
        <v>2500</v>
      </c>
      <c r="F43">
        <v>0.2</v>
      </c>
      <c r="G43" s="3">
        <f t="shared" si="1"/>
        <v>500</v>
      </c>
      <c r="H43" s="3">
        <f>VLOOKUP(D43,'Bu Erta'!$C$2:$F$66,4,0)*F43</f>
        <v>600</v>
      </c>
      <c r="J43" s="69" t="s">
        <v>105</v>
      </c>
      <c r="K43">
        <v>4</v>
      </c>
      <c r="L43" s="4">
        <v>6040</v>
      </c>
      <c r="N43" s="44">
        <v>41</v>
      </c>
      <c r="O43" s="17" t="s">
        <v>51</v>
      </c>
      <c r="P43" s="52">
        <f>VLOOKUP(O43,'Bu Erta'!$C$2:$F$66,4,0)</f>
        <v>55000</v>
      </c>
      <c r="Q43" s="53">
        <f>SUMIF($D$3:$D$331,O43,$F$3:$F$331)-1</f>
        <v>0</v>
      </c>
      <c r="R43" s="52">
        <f t="shared" si="2"/>
        <v>0</v>
      </c>
      <c r="S43" s="9" t="s">
        <v>264</v>
      </c>
      <c r="T43" s="44">
        <v>41</v>
      </c>
      <c r="U43" s="17" t="s">
        <v>51</v>
      </c>
      <c r="V43" s="52">
        <f>VLOOKUP(U43,'Bu Erta'!$C$2:$F$66,4,0)</f>
        <v>55000</v>
      </c>
      <c r="W43" s="53"/>
      <c r="X43" s="52">
        <f t="shared" si="3"/>
        <v>0</v>
      </c>
      <c r="Y43" s="9"/>
      <c r="AB43" s="3"/>
    </row>
    <row r="44" spans="1:28" x14ac:dyDescent="0.35">
      <c r="A44" s="106"/>
      <c r="B44" t="s">
        <v>87</v>
      </c>
      <c r="C44" s="106"/>
      <c r="D44" t="s">
        <v>25</v>
      </c>
      <c r="E44" s="3">
        <f>VLOOKUP(D44,'Bu Erta'!$C$2:$E$66,3,0)</f>
        <v>1600</v>
      </c>
      <c r="F44">
        <v>0.75</v>
      </c>
      <c r="G44" s="3">
        <f t="shared" si="1"/>
        <v>1200</v>
      </c>
      <c r="H44" s="3">
        <f>VLOOKUP(D44,'Bu Erta'!$C$2:$F$66,4,0)*F44</f>
        <v>1275</v>
      </c>
      <c r="J44" s="69" t="s">
        <v>100</v>
      </c>
      <c r="K44">
        <v>4</v>
      </c>
      <c r="L44" s="4">
        <v>5580</v>
      </c>
      <c r="N44" s="44">
        <v>42</v>
      </c>
      <c r="O44" s="17" t="s">
        <v>52</v>
      </c>
      <c r="P44" s="52">
        <f>VLOOKUP(O44,'Bu Erta'!$C$2:$F$66,4,0)</f>
        <v>30000</v>
      </c>
      <c r="Q44" s="53">
        <f t="shared" ref="Q44:Q60" si="5">SUMIF($D$3:$D$331,O44,$F$3:$F$331)</f>
        <v>0</v>
      </c>
      <c r="R44" s="52">
        <f t="shared" si="2"/>
        <v>0</v>
      </c>
      <c r="S44" s="9"/>
      <c r="T44" s="44">
        <v>42</v>
      </c>
      <c r="U44" s="17" t="s">
        <v>52</v>
      </c>
      <c r="V44" s="52">
        <f>VLOOKUP(U44,'Bu Erta'!$C$2:$F$66,4,0)</f>
        <v>30000</v>
      </c>
      <c r="W44" s="53"/>
      <c r="X44" s="52">
        <f t="shared" si="3"/>
        <v>0</v>
      </c>
      <c r="Y44" s="9"/>
      <c r="AB44" s="3"/>
    </row>
    <row r="45" spans="1:28" x14ac:dyDescent="0.35">
      <c r="A45" s="106"/>
      <c r="B45" t="s">
        <v>87</v>
      </c>
      <c r="C45" s="106"/>
      <c r="D45" t="s">
        <v>27</v>
      </c>
      <c r="E45" s="3">
        <f>VLOOKUP(D45,'Bu Erta'!$C$2:$E$66,3,0)</f>
        <v>2800</v>
      </c>
      <c r="F45">
        <f>0.7+0.3</f>
        <v>1</v>
      </c>
      <c r="G45" s="3">
        <f t="shared" si="1"/>
        <v>2800</v>
      </c>
      <c r="H45" s="3">
        <f>VLOOKUP(D45,'Bu Erta'!$C$2:$F$66,4,0)*F45</f>
        <v>3100</v>
      </c>
      <c r="J45" s="69" t="s">
        <v>133</v>
      </c>
      <c r="K45">
        <v>4</v>
      </c>
      <c r="L45" s="4">
        <v>8065</v>
      </c>
      <c r="N45" s="44">
        <v>43</v>
      </c>
      <c r="O45" s="17" t="s">
        <v>53</v>
      </c>
      <c r="P45" s="52">
        <f>VLOOKUP(O45,'Bu Erta'!$C$2:$F$66,4,0)</f>
        <v>12000</v>
      </c>
      <c r="Q45" s="53">
        <f t="shared" si="5"/>
        <v>0</v>
      </c>
      <c r="R45" s="52">
        <f t="shared" si="2"/>
        <v>0</v>
      </c>
      <c r="S45" s="9"/>
      <c r="T45" s="44">
        <v>43</v>
      </c>
      <c r="U45" s="17" t="s">
        <v>53</v>
      </c>
      <c r="V45" s="52">
        <f>VLOOKUP(U45,'Bu Erta'!$C$2:$F$66,4,0)</f>
        <v>12000</v>
      </c>
      <c r="W45" s="53"/>
      <c r="X45" s="52">
        <f t="shared" si="3"/>
        <v>0</v>
      </c>
      <c r="Y45" s="9"/>
      <c r="AB45" s="3"/>
    </row>
    <row r="46" spans="1:28" x14ac:dyDescent="0.35">
      <c r="A46" s="106"/>
      <c r="B46" t="s">
        <v>87</v>
      </c>
      <c r="C46" s="106"/>
      <c r="D46" t="s">
        <v>24</v>
      </c>
      <c r="E46" s="3">
        <f>VLOOKUP(D46,'Bu Erta'!$C$2:$E$66,3,0)</f>
        <v>150</v>
      </c>
      <c r="F46">
        <v>1.3</v>
      </c>
      <c r="G46" s="3">
        <f t="shared" si="1"/>
        <v>195</v>
      </c>
      <c r="H46" s="3">
        <f>VLOOKUP(D46,'Bu Erta'!$C$2:$F$66,4,0)*F46</f>
        <v>260</v>
      </c>
      <c r="J46" s="69" t="s">
        <v>187</v>
      </c>
      <c r="K46">
        <v>4</v>
      </c>
      <c r="L46" s="4">
        <v>6335</v>
      </c>
      <c r="N46" s="44">
        <v>44</v>
      </c>
      <c r="O46" s="17" t="s">
        <v>54</v>
      </c>
      <c r="P46" s="52">
        <f>VLOOKUP(O46,'Bu Erta'!$C$2:$F$66,4,0)</f>
        <v>650</v>
      </c>
      <c r="Q46" s="53">
        <f t="shared" si="5"/>
        <v>0</v>
      </c>
      <c r="R46" s="52">
        <f t="shared" si="2"/>
        <v>0</v>
      </c>
      <c r="S46" s="9"/>
      <c r="T46" s="44">
        <v>44</v>
      </c>
      <c r="U46" s="17" t="s">
        <v>54</v>
      </c>
      <c r="V46" s="52">
        <f>VLOOKUP(U46,'Bu Erta'!$C$2:$F$66,4,0)</f>
        <v>650</v>
      </c>
      <c r="W46" s="53"/>
      <c r="X46" s="52">
        <f t="shared" si="3"/>
        <v>0</v>
      </c>
      <c r="Y46" s="9"/>
      <c r="AB46" s="3"/>
    </row>
    <row r="47" spans="1:28" x14ac:dyDescent="0.35">
      <c r="A47" s="106"/>
      <c r="B47" t="s">
        <v>87</v>
      </c>
      <c r="C47" s="106"/>
      <c r="D47" t="s">
        <v>7</v>
      </c>
      <c r="E47" s="3">
        <f>VLOOKUP(D47,'Bu Erta'!$C$2:$E$66,3,0)</f>
        <v>1400</v>
      </c>
      <c r="F47">
        <f>1.25+0.3+0.15</f>
        <v>1.7</v>
      </c>
      <c r="G47" s="3">
        <f t="shared" si="1"/>
        <v>2380</v>
      </c>
      <c r="H47" s="3">
        <f>VLOOKUP(D47,'Bu Erta'!$C$2:$F$66,4,0)*F47</f>
        <v>2720</v>
      </c>
      <c r="J47" s="69" t="s">
        <v>86</v>
      </c>
      <c r="K47">
        <v>4</v>
      </c>
      <c r="L47" s="4">
        <v>7690</v>
      </c>
      <c r="N47" s="44">
        <v>45</v>
      </c>
      <c r="O47" s="17" t="s">
        <v>55</v>
      </c>
      <c r="P47" s="52">
        <f>VLOOKUP(O47,'Bu Erta'!$C$2:$F$66,4,0)</f>
        <v>40000</v>
      </c>
      <c r="Q47" s="53">
        <f t="shared" si="5"/>
        <v>0</v>
      </c>
      <c r="R47" s="52">
        <f t="shared" si="2"/>
        <v>0</v>
      </c>
      <c r="S47" s="9"/>
      <c r="T47" s="44">
        <v>45</v>
      </c>
      <c r="U47" s="17" t="s">
        <v>55</v>
      </c>
      <c r="V47" s="52">
        <f>VLOOKUP(U47,'Bu Erta'!$C$2:$F$66,4,0)</f>
        <v>40000</v>
      </c>
      <c r="W47" s="53"/>
      <c r="X47" s="52">
        <f t="shared" si="3"/>
        <v>0</v>
      </c>
      <c r="Y47" s="9"/>
      <c r="AB47" s="3"/>
    </row>
    <row r="48" spans="1:28" x14ac:dyDescent="0.35">
      <c r="A48" s="106"/>
      <c r="B48" t="s">
        <v>87</v>
      </c>
      <c r="C48" s="106"/>
      <c r="D48" t="s">
        <v>23</v>
      </c>
      <c r="E48" s="3">
        <f>VLOOKUP(D48,'Bu Erta'!$C$2:$E$66,3,0)</f>
        <v>300</v>
      </c>
      <c r="F48">
        <v>1.1499999999999999</v>
      </c>
      <c r="G48" s="3">
        <f t="shared" si="1"/>
        <v>345</v>
      </c>
      <c r="H48" s="3">
        <f>VLOOKUP(D48,'Bu Erta'!$C$2:$F$66,4,0)*F48</f>
        <v>459.99999999999994</v>
      </c>
      <c r="J48" s="69" t="s">
        <v>152</v>
      </c>
      <c r="K48">
        <v>4</v>
      </c>
      <c r="L48" s="4">
        <v>13540</v>
      </c>
      <c r="N48" s="44">
        <v>46</v>
      </c>
      <c r="O48" s="17" t="s">
        <v>56</v>
      </c>
      <c r="P48" s="52">
        <f>VLOOKUP(O48,'Bu Erta'!$C$2:$F$66,4,0)</f>
        <v>5500</v>
      </c>
      <c r="Q48" s="53">
        <f t="shared" si="5"/>
        <v>8</v>
      </c>
      <c r="R48" s="52">
        <f t="shared" si="2"/>
        <v>44000</v>
      </c>
      <c r="S48" s="9"/>
      <c r="T48" s="44">
        <v>46</v>
      </c>
      <c r="U48" s="17" t="s">
        <v>56</v>
      </c>
      <c r="V48" s="52">
        <f>VLOOKUP(U48,'Bu Erta'!$C$2:$F$66,4,0)</f>
        <v>5500</v>
      </c>
      <c r="W48" s="53"/>
      <c r="X48" s="52">
        <f t="shared" si="3"/>
        <v>0</v>
      </c>
      <c r="Y48" s="9"/>
      <c r="AB48" s="3"/>
    </row>
    <row r="49" spans="1:28" x14ac:dyDescent="0.35">
      <c r="A49" s="106"/>
      <c r="B49" t="s">
        <v>87</v>
      </c>
      <c r="C49" s="106"/>
      <c r="D49" t="s">
        <v>22</v>
      </c>
      <c r="E49" s="3">
        <f>VLOOKUP(D49,'Bu Erta'!$C$2:$E$66,3,0)</f>
        <v>2500</v>
      </c>
      <c r="F49">
        <v>0.25</v>
      </c>
      <c r="G49" s="3">
        <f t="shared" si="1"/>
        <v>625</v>
      </c>
      <c r="H49" s="3">
        <f>VLOOKUP(D49,'Bu Erta'!$C$2:$F$66,4,0)*F49</f>
        <v>750</v>
      </c>
      <c r="J49" s="69" t="s">
        <v>189</v>
      </c>
      <c r="K49">
        <v>5</v>
      </c>
      <c r="L49" s="4">
        <v>30015</v>
      </c>
      <c r="N49" s="44">
        <v>47</v>
      </c>
      <c r="O49" s="17" t="s">
        <v>88</v>
      </c>
      <c r="P49" s="52">
        <f>VLOOKUP(O49,'Bu Erta'!$C$2:$F$66,4,0)</f>
        <v>400</v>
      </c>
      <c r="Q49" s="53">
        <f t="shared" si="5"/>
        <v>10.549999999999999</v>
      </c>
      <c r="R49" s="52">
        <f t="shared" si="2"/>
        <v>4220</v>
      </c>
      <c r="S49" s="9"/>
      <c r="T49" s="44">
        <v>47</v>
      </c>
      <c r="U49" s="17" t="s">
        <v>88</v>
      </c>
      <c r="V49" s="52">
        <f>VLOOKUP(U49,'Bu Erta'!$C$2:$F$66,4,0)</f>
        <v>400</v>
      </c>
      <c r="W49" s="53"/>
      <c r="X49" s="52">
        <f t="shared" si="3"/>
        <v>0</v>
      </c>
      <c r="Y49" s="9"/>
      <c r="AB49" s="3"/>
    </row>
    <row r="50" spans="1:28" x14ac:dyDescent="0.35">
      <c r="A50" s="106"/>
      <c r="B50" t="s">
        <v>87</v>
      </c>
      <c r="C50" s="106"/>
      <c r="D50" t="s">
        <v>40</v>
      </c>
      <c r="E50" s="3">
        <f>VLOOKUP(D50,'Bu Erta'!$C$2:$E$66,3,0)</f>
        <v>1800</v>
      </c>
      <c r="F50">
        <v>0.8</v>
      </c>
      <c r="G50" s="3">
        <f t="shared" si="1"/>
        <v>1440</v>
      </c>
      <c r="H50" s="3">
        <f>VLOOKUP(D50,'Bu Erta'!$C$2:$F$66,4,0)*F50</f>
        <v>1600</v>
      </c>
      <c r="J50" s="69" t="s">
        <v>111</v>
      </c>
      <c r="K50">
        <v>5</v>
      </c>
      <c r="L50" s="4">
        <v>11630</v>
      </c>
      <c r="N50" s="44">
        <v>48</v>
      </c>
      <c r="O50" s="17" t="s">
        <v>57</v>
      </c>
      <c r="P50" s="52">
        <f>VLOOKUP(O50,'Bu Erta'!$C$2:$F$66,4,0)</f>
        <v>10000</v>
      </c>
      <c r="Q50" s="53">
        <f t="shared" si="5"/>
        <v>0</v>
      </c>
      <c r="R50" s="52">
        <f t="shared" si="2"/>
        <v>0</v>
      </c>
      <c r="S50" s="9"/>
      <c r="T50" s="44">
        <v>48</v>
      </c>
      <c r="U50" s="17" t="s">
        <v>57</v>
      </c>
      <c r="V50" s="52">
        <f>VLOOKUP(U50,'Bu Erta'!$C$2:$F$66,4,0)</f>
        <v>10000</v>
      </c>
      <c r="W50" s="53"/>
      <c r="X50" s="52">
        <f t="shared" si="3"/>
        <v>0</v>
      </c>
      <c r="Y50" s="9"/>
      <c r="AB50" s="3"/>
    </row>
    <row r="51" spans="1:28" x14ac:dyDescent="0.35">
      <c r="A51" s="106">
        <v>8</v>
      </c>
      <c r="B51" t="s">
        <v>134</v>
      </c>
      <c r="C51" s="106">
        <v>4</v>
      </c>
      <c r="D51" t="s">
        <v>42</v>
      </c>
      <c r="E51" s="3">
        <f>VLOOKUP(D51,'Bu Erta'!$C$2:$E$66,3,0)</f>
        <v>1000</v>
      </c>
      <c r="F51">
        <v>1.1000000000000001</v>
      </c>
      <c r="G51" s="3">
        <f t="shared" si="1"/>
        <v>1100</v>
      </c>
      <c r="H51" s="3">
        <f>VLOOKUP(D51,'Bu Erta'!$C$2:$F$66,4,0)*F51</f>
        <v>1320</v>
      </c>
      <c r="J51" s="69" t="s">
        <v>299</v>
      </c>
      <c r="K51">
        <v>6</v>
      </c>
      <c r="L51" s="4">
        <v>64760</v>
      </c>
      <c r="N51" s="44">
        <v>49</v>
      </c>
      <c r="O51" s="17" t="s">
        <v>58</v>
      </c>
      <c r="P51" s="52">
        <f>VLOOKUP(O51,'Bu Erta'!$C$2:$F$66,4,0)</f>
        <v>15000</v>
      </c>
      <c r="Q51" s="53">
        <f t="shared" si="5"/>
        <v>0</v>
      </c>
      <c r="R51" s="52">
        <f t="shared" si="2"/>
        <v>0</v>
      </c>
      <c r="S51" s="9"/>
      <c r="T51" s="44">
        <v>49</v>
      </c>
      <c r="U51" s="17" t="s">
        <v>58</v>
      </c>
      <c r="V51" s="52">
        <f>VLOOKUP(U51,'Bu Erta'!$C$2:$F$66,4,0)</f>
        <v>15000</v>
      </c>
      <c r="W51" s="53"/>
      <c r="X51" s="52">
        <f t="shared" si="3"/>
        <v>0</v>
      </c>
      <c r="Y51" s="9"/>
      <c r="AB51" s="3"/>
    </row>
    <row r="52" spans="1:28" x14ac:dyDescent="0.35">
      <c r="A52" s="106"/>
      <c r="B52" t="s">
        <v>134</v>
      </c>
      <c r="C52" s="106"/>
      <c r="D52" t="s">
        <v>23</v>
      </c>
      <c r="E52" s="3">
        <f>VLOOKUP(D52,'Bu Erta'!$C$2:$E$66,3,0)</f>
        <v>300</v>
      </c>
      <c r="F52">
        <v>0.7</v>
      </c>
      <c r="G52" s="3">
        <f t="shared" si="1"/>
        <v>210</v>
      </c>
      <c r="H52" s="3">
        <f>VLOOKUP(D52,'Bu Erta'!$C$2:$F$66,4,0)*F52</f>
        <v>280</v>
      </c>
      <c r="J52" s="69" t="s">
        <v>241</v>
      </c>
      <c r="K52">
        <v>7</v>
      </c>
      <c r="L52" s="4">
        <v>4940</v>
      </c>
      <c r="N52" s="44">
        <v>50</v>
      </c>
      <c r="O52" s="17" t="s">
        <v>6</v>
      </c>
      <c r="P52" s="52">
        <f>VLOOKUP(O52,'Bu Erta'!$C$2:$F$66,4,0)</f>
        <v>2500</v>
      </c>
      <c r="Q52" s="53">
        <f t="shared" si="5"/>
        <v>1.7999999999999998</v>
      </c>
      <c r="R52" s="52">
        <f t="shared" si="2"/>
        <v>4500</v>
      </c>
      <c r="S52" s="9"/>
      <c r="T52" s="44">
        <v>50</v>
      </c>
      <c r="U52" s="17" t="s">
        <v>6</v>
      </c>
      <c r="V52" s="52">
        <f>VLOOKUP(U52,'Bu Erta'!$C$2:$F$66,4,0)</f>
        <v>2500</v>
      </c>
      <c r="W52" s="53"/>
      <c r="X52" s="52">
        <f t="shared" si="3"/>
        <v>0</v>
      </c>
      <c r="Y52" s="9"/>
      <c r="AB52" s="3"/>
    </row>
    <row r="53" spans="1:28" x14ac:dyDescent="0.35">
      <c r="A53" s="106"/>
      <c r="B53" t="s">
        <v>134</v>
      </c>
      <c r="C53" s="106"/>
      <c r="D53" t="s">
        <v>19</v>
      </c>
      <c r="E53" s="3">
        <f>VLOOKUP(D53,'Bu Erta'!$C$2:$E$66,3,0)</f>
        <v>200</v>
      </c>
      <c r="F53">
        <v>0.9</v>
      </c>
      <c r="G53" s="3">
        <f t="shared" si="1"/>
        <v>180</v>
      </c>
      <c r="H53" s="3">
        <f>VLOOKUP(D53,'Bu Erta'!$C$2:$F$66,4,0)*F53</f>
        <v>270</v>
      </c>
      <c r="J53" s="69" t="s">
        <v>294</v>
      </c>
      <c r="K53">
        <v>7</v>
      </c>
      <c r="L53" s="4">
        <v>71137</v>
      </c>
      <c r="N53" s="44">
        <v>51</v>
      </c>
      <c r="O53" s="17" t="s">
        <v>59</v>
      </c>
      <c r="P53" s="52">
        <f>VLOOKUP(O53,'Bu Erta'!$C$2:$F$66,4,0)</f>
        <v>600</v>
      </c>
      <c r="Q53" s="53">
        <f t="shared" si="5"/>
        <v>0</v>
      </c>
      <c r="R53" s="52">
        <f t="shared" si="2"/>
        <v>0</v>
      </c>
      <c r="S53" s="9"/>
      <c r="T53" s="44">
        <v>51</v>
      </c>
      <c r="U53" s="17" t="s">
        <v>59</v>
      </c>
      <c r="V53" s="52">
        <f>VLOOKUP(U53,'Bu Erta'!$C$2:$F$66,4,0)</f>
        <v>600</v>
      </c>
      <c r="W53" s="53"/>
      <c r="X53" s="52">
        <f t="shared" si="3"/>
        <v>0</v>
      </c>
      <c r="Y53" s="9"/>
      <c r="AB53" s="3"/>
    </row>
    <row r="54" spans="1:28" x14ac:dyDescent="0.35">
      <c r="A54" s="106"/>
      <c r="B54" t="s">
        <v>134</v>
      </c>
      <c r="C54" s="106"/>
      <c r="D54" t="s">
        <v>88</v>
      </c>
      <c r="E54" s="3">
        <f>VLOOKUP(D54,'Bu Erta'!$C$2:$E$66,3,0)</f>
        <v>300</v>
      </c>
      <c r="F54">
        <v>0.35</v>
      </c>
      <c r="G54" s="3">
        <f t="shared" si="1"/>
        <v>105</v>
      </c>
      <c r="H54" s="3">
        <f>VLOOKUP(D54,'Bu Erta'!$C$2:$F$66,4,0)*F54</f>
        <v>140</v>
      </c>
      <c r="J54" s="69" t="s">
        <v>188</v>
      </c>
      <c r="K54">
        <v>7</v>
      </c>
      <c r="L54" s="4">
        <v>4820</v>
      </c>
      <c r="N54" s="44">
        <v>52</v>
      </c>
      <c r="O54" s="17" t="s">
        <v>60</v>
      </c>
      <c r="P54" s="52">
        <f>VLOOKUP(O54,'Bu Erta'!$C$2:$F$66,4,0)</f>
        <v>1500</v>
      </c>
      <c r="Q54" s="53">
        <f t="shared" si="5"/>
        <v>0.4</v>
      </c>
      <c r="R54" s="52">
        <f t="shared" si="2"/>
        <v>600</v>
      </c>
      <c r="S54" s="9"/>
      <c r="T54" s="44">
        <v>52</v>
      </c>
      <c r="U54" s="17" t="s">
        <v>60</v>
      </c>
      <c r="V54" s="52">
        <f>VLOOKUP(U54,'Bu Erta'!$C$2:$F$66,4,0)</f>
        <v>1500</v>
      </c>
      <c r="W54" s="53"/>
      <c r="X54" s="52">
        <f t="shared" si="3"/>
        <v>0</v>
      </c>
      <c r="Y54" s="9"/>
      <c r="AB54" s="3"/>
    </row>
    <row r="55" spans="1:28" x14ac:dyDescent="0.35">
      <c r="A55" s="106"/>
      <c r="B55" t="s">
        <v>134</v>
      </c>
      <c r="C55" s="106"/>
      <c r="D55" t="s">
        <v>25</v>
      </c>
      <c r="E55" s="3">
        <f>VLOOKUP(D55,'Bu Erta'!$C$2:$E$66,3,0)</f>
        <v>1600</v>
      </c>
      <c r="F55">
        <v>0.85</v>
      </c>
      <c r="G55" s="3">
        <f t="shared" si="1"/>
        <v>1360</v>
      </c>
      <c r="H55" s="3">
        <f>VLOOKUP(D55,'Bu Erta'!$C$2:$F$66,4,0)*F55</f>
        <v>1445</v>
      </c>
      <c r="J55" s="69" t="s">
        <v>183</v>
      </c>
      <c r="K55">
        <v>7</v>
      </c>
      <c r="L55" s="4">
        <v>4862.5</v>
      </c>
      <c r="N55" s="44">
        <v>53</v>
      </c>
      <c r="O55" s="17" t="s">
        <v>61</v>
      </c>
      <c r="P55" s="52">
        <f>VLOOKUP(O55,'Bu Erta'!$C$2:$F$66,4,0)</f>
        <v>900</v>
      </c>
      <c r="Q55" s="53">
        <f t="shared" si="5"/>
        <v>1.8000000000000003</v>
      </c>
      <c r="R55" s="52">
        <f t="shared" si="2"/>
        <v>1620.0000000000002</v>
      </c>
      <c r="S55" s="9"/>
      <c r="T55" s="44">
        <v>53</v>
      </c>
      <c r="U55" s="17" t="s">
        <v>61</v>
      </c>
      <c r="V55" s="52">
        <f>VLOOKUP(U55,'Bu Erta'!$C$2:$F$66,4,0)</f>
        <v>900</v>
      </c>
      <c r="W55" s="53"/>
      <c r="X55" s="52">
        <f t="shared" si="3"/>
        <v>0</v>
      </c>
      <c r="Y55" s="9"/>
      <c r="AB55" s="3"/>
    </row>
    <row r="56" spans="1:28" x14ac:dyDescent="0.35">
      <c r="A56" s="106"/>
      <c r="B56" t="s">
        <v>134</v>
      </c>
      <c r="C56" s="106"/>
      <c r="D56" t="s">
        <v>49</v>
      </c>
      <c r="E56" s="3">
        <f>VLOOKUP(D56,'Bu Erta'!$C$2:$E$66,3,0)</f>
        <v>800</v>
      </c>
      <c r="F56">
        <v>0.4</v>
      </c>
      <c r="G56" s="3">
        <f t="shared" si="1"/>
        <v>320</v>
      </c>
      <c r="H56" s="3">
        <f>VLOOKUP(D56,'Bu Erta'!$C$2:$F$66,4,0)*F56</f>
        <v>360</v>
      </c>
      <c r="J56" s="69" t="s">
        <v>81</v>
      </c>
      <c r="K56">
        <v>187</v>
      </c>
      <c r="L56" s="4">
        <v>639949.5</v>
      </c>
      <c r="N56" s="44">
        <v>54</v>
      </c>
      <c r="O56" s="17" t="s">
        <v>62</v>
      </c>
      <c r="P56" s="52">
        <f>VLOOKUP(O56,'Bu Erta'!$C$2:$F$66,4,0)</f>
        <v>500</v>
      </c>
      <c r="Q56" s="53">
        <f t="shared" si="5"/>
        <v>1.1499999999999999</v>
      </c>
      <c r="R56" s="52">
        <f t="shared" si="2"/>
        <v>575</v>
      </c>
      <c r="S56" s="9"/>
      <c r="T56" s="44">
        <v>54</v>
      </c>
      <c r="U56" s="17" t="s">
        <v>62</v>
      </c>
      <c r="V56" s="52">
        <f>VLOOKUP(U56,'Bu Erta'!$C$2:$F$66,4,0)</f>
        <v>500</v>
      </c>
      <c r="W56" s="53"/>
      <c r="X56" s="52">
        <f t="shared" si="3"/>
        <v>0</v>
      </c>
      <c r="Y56" s="9"/>
      <c r="AB56" s="3"/>
    </row>
    <row r="57" spans="1:28" x14ac:dyDescent="0.35">
      <c r="A57" s="106"/>
      <c r="B57" t="s">
        <v>134</v>
      </c>
      <c r="C57" s="106"/>
      <c r="D57" t="s">
        <v>24</v>
      </c>
      <c r="E57" s="3">
        <f>VLOOKUP(D57,'Bu Erta'!$C$2:$E$66,3,0)</f>
        <v>150</v>
      </c>
      <c r="F57">
        <v>0.6</v>
      </c>
      <c r="G57" s="3">
        <f t="shared" si="1"/>
        <v>90</v>
      </c>
      <c r="H57" s="3">
        <f>VLOOKUP(D57,'Bu Erta'!$C$2:$F$66,4,0)*F57</f>
        <v>120</v>
      </c>
      <c r="L57"/>
      <c r="N57" s="44">
        <v>55</v>
      </c>
      <c r="O57" s="17" t="s">
        <v>63</v>
      </c>
      <c r="P57" s="52">
        <f>VLOOKUP(O57,'Bu Erta'!$C$2:$F$66,4,0)</f>
        <v>1000</v>
      </c>
      <c r="Q57" s="53">
        <f t="shared" si="5"/>
        <v>0.15</v>
      </c>
      <c r="R57" s="52">
        <f t="shared" si="2"/>
        <v>150</v>
      </c>
      <c r="S57" s="9"/>
      <c r="T57" s="44">
        <v>55</v>
      </c>
      <c r="U57" s="17" t="s">
        <v>63</v>
      </c>
      <c r="V57" s="52">
        <f>VLOOKUP(U57,'Bu Erta'!$C$2:$F$66,4,0)</f>
        <v>1000</v>
      </c>
      <c r="W57" s="53"/>
      <c r="X57" s="52">
        <f t="shared" si="3"/>
        <v>0</v>
      </c>
      <c r="Y57" s="9"/>
      <c r="AB57" s="3"/>
    </row>
    <row r="58" spans="1:28" x14ac:dyDescent="0.35">
      <c r="A58" s="106"/>
      <c r="B58" t="s">
        <v>134</v>
      </c>
      <c r="C58" s="106"/>
      <c r="D58" t="s">
        <v>65</v>
      </c>
      <c r="E58" s="3">
        <f>VLOOKUP(D58,'Bu Erta'!$C$2:$E$66,3,0)</f>
        <v>150</v>
      </c>
      <c r="F58">
        <v>0.15</v>
      </c>
      <c r="G58" s="3">
        <f t="shared" si="1"/>
        <v>22.5</v>
      </c>
      <c r="H58" s="3">
        <f>VLOOKUP(D58,'Bu Erta'!$C$2:$F$66,4,0)*F58</f>
        <v>30</v>
      </c>
      <c r="N58" s="44">
        <v>56</v>
      </c>
      <c r="O58" s="17" t="s">
        <v>64</v>
      </c>
      <c r="P58" s="52">
        <f>VLOOKUP(O58,'Bu Erta'!$C$2:$F$66,4,0)</f>
        <v>900</v>
      </c>
      <c r="Q58" s="53">
        <f t="shared" si="5"/>
        <v>0</v>
      </c>
      <c r="R58" s="52">
        <f t="shared" si="2"/>
        <v>0</v>
      </c>
      <c r="S58" s="9"/>
      <c r="T58" s="44">
        <v>56</v>
      </c>
      <c r="U58" s="17" t="s">
        <v>64</v>
      </c>
      <c r="V58" s="52">
        <f>VLOOKUP(U58,'Bu Erta'!$C$2:$F$66,4,0)</f>
        <v>900</v>
      </c>
      <c r="W58" s="53"/>
      <c r="X58" s="52">
        <f t="shared" si="3"/>
        <v>0</v>
      </c>
      <c r="Y58" s="9"/>
      <c r="AB58" s="3"/>
    </row>
    <row r="59" spans="1:28" x14ac:dyDescent="0.35">
      <c r="A59" s="106"/>
      <c r="B59" t="s">
        <v>134</v>
      </c>
      <c r="C59" s="106"/>
      <c r="D59" t="s">
        <v>37</v>
      </c>
      <c r="E59" s="3">
        <f>VLOOKUP(D59,'Bu Erta'!$C$2:$E$66,3,0)</f>
        <v>1600</v>
      </c>
      <c r="F59">
        <v>0.2</v>
      </c>
      <c r="G59" s="3">
        <f t="shared" si="1"/>
        <v>320</v>
      </c>
      <c r="H59" s="3">
        <f>VLOOKUP(D59,'Bu Erta'!$C$2:$F$66,4,0)*F59</f>
        <v>400</v>
      </c>
      <c r="N59" s="44">
        <v>57</v>
      </c>
      <c r="O59" s="17" t="s">
        <v>65</v>
      </c>
      <c r="P59" s="52">
        <f>VLOOKUP(O59,'Bu Erta'!$C$2:$F$66,4,0)</f>
        <v>200</v>
      </c>
      <c r="Q59" s="53">
        <f t="shared" si="5"/>
        <v>1.2999999999999998</v>
      </c>
      <c r="R59" s="52">
        <f t="shared" si="2"/>
        <v>259.99999999999994</v>
      </c>
      <c r="S59" s="9"/>
      <c r="T59" s="44">
        <v>57</v>
      </c>
      <c r="U59" s="17" t="s">
        <v>65</v>
      </c>
      <c r="V59" s="52">
        <f>VLOOKUP(U59,'Bu Erta'!$C$2:$F$66,4,0)</f>
        <v>200</v>
      </c>
      <c r="W59" s="53"/>
      <c r="X59" s="52">
        <f t="shared" si="3"/>
        <v>0</v>
      </c>
      <c r="Y59" s="9"/>
      <c r="AB59" s="3"/>
    </row>
    <row r="60" spans="1:28" x14ac:dyDescent="0.35">
      <c r="A60" s="106"/>
      <c r="B60" t="s">
        <v>134</v>
      </c>
      <c r="C60" s="106"/>
      <c r="D60" t="s">
        <v>7</v>
      </c>
      <c r="E60" s="3">
        <f>VLOOKUP(D60,'Bu Erta'!$C$2:$E$66,3,0)</f>
        <v>1400</v>
      </c>
      <c r="F60">
        <v>0.25</v>
      </c>
      <c r="G60" s="3">
        <f t="shared" si="1"/>
        <v>350</v>
      </c>
      <c r="H60" s="3">
        <f>VLOOKUP(D60,'Bu Erta'!$C$2:$F$66,4,0)*F60</f>
        <v>400</v>
      </c>
      <c r="L60" s="3" t="s">
        <v>228</v>
      </c>
      <c r="N60" s="44">
        <v>58</v>
      </c>
      <c r="O60" s="17" t="s">
        <v>66</v>
      </c>
      <c r="P60" s="52">
        <f>VLOOKUP(O60,'Bu Erta'!$C$2:$F$66,4,0)</f>
        <v>55000</v>
      </c>
      <c r="Q60" s="53">
        <f t="shared" si="5"/>
        <v>0</v>
      </c>
      <c r="R60" s="52">
        <f t="shared" si="2"/>
        <v>0</v>
      </c>
      <c r="S60" s="9"/>
      <c r="T60" s="44">
        <v>58</v>
      </c>
      <c r="U60" s="17" t="s">
        <v>66</v>
      </c>
      <c r="V60" s="52">
        <f>VLOOKUP(U60,'Bu Erta'!$C$2:$F$66,4,0)</f>
        <v>55000</v>
      </c>
      <c r="W60" s="53"/>
      <c r="X60" s="52">
        <f t="shared" si="3"/>
        <v>0</v>
      </c>
      <c r="Y60" s="9"/>
      <c r="AB60" s="3"/>
    </row>
    <row r="61" spans="1:28" x14ac:dyDescent="0.35">
      <c r="A61" s="106"/>
      <c r="B61" t="s">
        <v>134</v>
      </c>
      <c r="C61" s="106"/>
      <c r="D61" t="s">
        <v>41</v>
      </c>
      <c r="E61" s="3">
        <f>VLOOKUP(D61,'Bu Erta'!$C$2:$E$66,3,0)</f>
        <v>1500</v>
      </c>
      <c r="F61">
        <v>0.4</v>
      </c>
      <c r="G61" s="3">
        <f t="shared" si="1"/>
        <v>600</v>
      </c>
      <c r="H61" s="3">
        <f>VLOOKUP(D61,'Bu Erta'!$C$2:$F$66,4,0)*F61</f>
        <v>800</v>
      </c>
      <c r="L61" s="3">
        <f>R67+X67-GETPIVOTDATA("Sum of Total Harga",$J$2)</f>
        <v>83075.5</v>
      </c>
      <c r="N61" s="44">
        <v>59</v>
      </c>
      <c r="O61" s="17" t="s">
        <v>67</v>
      </c>
      <c r="P61" s="52">
        <f>VLOOKUP(O61,'Bu Erta'!$C$2:$F$66,4,0)</f>
        <v>3000</v>
      </c>
      <c r="Q61" s="53">
        <f>SUMIF($D$3:$D$331,O61,$F$3:$F$331)+0.25</f>
        <v>0.25</v>
      </c>
      <c r="R61" s="52">
        <f t="shared" si="2"/>
        <v>750</v>
      </c>
      <c r="S61" s="9"/>
      <c r="T61" s="44">
        <v>59</v>
      </c>
      <c r="U61" s="17" t="s">
        <v>67</v>
      </c>
      <c r="V61" s="52">
        <f>VLOOKUP(U61,'Bu Erta'!$C$2:$F$66,4,0)</f>
        <v>3000</v>
      </c>
      <c r="W61" s="53"/>
      <c r="X61" s="52">
        <f t="shared" si="3"/>
        <v>0</v>
      </c>
      <c r="Y61" s="9"/>
      <c r="AB61" s="3"/>
    </row>
    <row r="62" spans="1:28" x14ac:dyDescent="0.35">
      <c r="A62" s="106">
        <v>9</v>
      </c>
      <c r="B62" t="s">
        <v>86</v>
      </c>
      <c r="C62" s="106">
        <v>4</v>
      </c>
      <c r="D62" t="s">
        <v>31</v>
      </c>
      <c r="E62" s="3">
        <f>VLOOKUP(D62,'Bu Erta'!$C$2:$E$66,3,0)</f>
        <v>1000</v>
      </c>
      <c r="F62">
        <f>0.7+5.95</f>
        <v>6.65</v>
      </c>
      <c r="G62" s="3">
        <f t="shared" ref="G62:G125" si="6">E62*F62</f>
        <v>6650</v>
      </c>
      <c r="H62" s="3">
        <f>VLOOKUP(D62,'Bu Erta'!$C$2:$F$66,4,0)*F62</f>
        <v>7315</v>
      </c>
      <c r="N62" s="44">
        <v>60</v>
      </c>
      <c r="O62" s="17" t="s">
        <v>68</v>
      </c>
      <c r="P62" s="52">
        <f>VLOOKUP(O62,'Bu Erta'!$C$2:$F$66,4,0)</f>
        <v>200</v>
      </c>
      <c r="Q62" s="53">
        <f>SUMIF($D$3:$D$331,O62,$F$3:$F$331)</f>
        <v>0</v>
      </c>
      <c r="R62" s="52">
        <f t="shared" si="2"/>
        <v>0</v>
      </c>
      <c r="S62" s="9"/>
      <c r="T62" s="44">
        <v>60</v>
      </c>
      <c r="U62" s="17" t="s">
        <v>68</v>
      </c>
      <c r="V62" s="52">
        <f>VLOOKUP(U62,'Bu Erta'!$C$2:$F$66,4,0)</f>
        <v>200</v>
      </c>
      <c r="W62" s="53"/>
      <c r="X62" s="52">
        <f t="shared" si="3"/>
        <v>0</v>
      </c>
      <c r="Y62" s="9"/>
      <c r="AB62" s="3"/>
    </row>
    <row r="63" spans="1:28" x14ac:dyDescent="0.35">
      <c r="A63" s="106"/>
      <c r="B63" t="s">
        <v>86</v>
      </c>
      <c r="C63" s="106"/>
      <c r="D63" t="s">
        <v>7</v>
      </c>
      <c r="E63" s="3">
        <f>VLOOKUP(D63,'Bu Erta'!$C$2:$E$66,3,0)</f>
        <v>1400</v>
      </c>
      <c r="F63">
        <v>0.6</v>
      </c>
      <c r="G63" s="3">
        <f t="shared" si="6"/>
        <v>840</v>
      </c>
      <c r="H63" s="3">
        <f>VLOOKUP(D63,'Bu Erta'!$C$2:$F$66,4,0)*F63</f>
        <v>960</v>
      </c>
      <c r="N63" s="44">
        <v>61</v>
      </c>
      <c r="O63" s="17" t="s">
        <v>69</v>
      </c>
      <c r="P63" s="52">
        <f>VLOOKUP(O63,'Bu Erta'!$C$2:$F$66,4,0)</f>
        <v>3000</v>
      </c>
      <c r="Q63" s="53">
        <f>SUMIF($D$3:$D$331,O63,$F$3:$F$331)</f>
        <v>1.2500000000000002</v>
      </c>
      <c r="R63" s="52">
        <f t="shared" si="2"/>
        <v>3750.0000000000005</v>
      </c>
      <c r="S63" s="9"/>
      <c r="T63" s="44">
        <v>61</v>
      </c>
      <c r="U63" s="17" t="s">
        <v>69</v>
      </c>
      <c r="V63" s="52">
        <f>VLOOKUP(U63,'Bu Erta'!$C$2:$F$66,4,0)</f>
        <v>3000</v>
      </c>
      <c r="W63" s="53"/>
      <c r="X63" s="52">
        <f t="shared" si="3"/>
        <v>0</v>
      </c>
      <c r="Y63" s="9"/>
      <c r="AB63" s="3"/>
    </row>
    <row r="64" spans="1:28" x14ac:dyDescent="0.35">
      <c r="A64" s="106"/>
      <c r="B64" t="s">
        <v>86</v>
      </c>
      <c r="C64" s="106"/>
      <c r="D64" t="s">
        <v>19</v>
      </c>
      <c r="E64" s="3">
        <f>VLOOKUP(D64,'Bu Erta'!$C$2:$E$66,3,0)</f>
        <v>200</v>
      </c>
      <c r="F64">
        <v>0.1</v>
      </c>
      <c r="G64" s="3">
        <f t="shared" si="6"/>
        <v>20</v>
      </c>
      <c r="H64" s="3">
        <f>VLOOKUP(D64,'Bu Erta'!$C$2:$F$66,4,0)*F64</f>
        <v>30</v>
      </c>
      <c r="N64" s="44">
        <v>62</v>
      </c>
      <c r="O64" s="17" t="s">
        <v>70</v>
      </c>
      <c r="P64" s="52">
        <f>VLOOKUP(O64,'Bu Erta'!$C$2:$F$66,4,0)</f>
        <v>4000</v>
      </c>
      <c r="Q64" s="53">
        <f>SUMIF($D$3:$D$331,O64,$F$3:$F$331)+0.35</f>
        <v>1.8000000000000003</v>
      </c>
      <c r="R64" s="52">
        <f t="shared" si="2"/>
        <v>7200.0000000000009</v>
      </c>
      <c r="S64" s="9"/>
      <c r="T64" s="44">
        <v>62</v>
      </c>
      <c r="U64" s="17" t="s">
        <v>70</v>
      </c>
      <c r="V64" s="52">
        <f>VLOOKUP(U64,'Bu Erta'!$C$2:$F$66,4,0)</f>
        <v>4000</v>
      </c>
      <c r="W64" s="53"/>
      <c r="X64" s="52">
        <f t="shared" si="3"/>
        <v>0</v>
      </c>
      <c r="Y64" s="9"/>
      <c r="AB64" s="3"/>
    </row>
    <row r="65" spans="1:28" x14ac:dyDescent="0.35">
      <c r="A65" s="106"/>
      <c r="B65" t="s">
        <v>86</v>
      </c>
      <c r="C65" s="106"/>
      <c r="D65" t="s">
        <v>88</v>
      </c>
      <c r="E65" s="3">
        <f>VLOOKUP(D65,'Bu Erta'!$C$2:$E$66,3,0)</f>
        <v>300</v>
      </c>
      <c r="F65">
        <v>0.6</v>
      </c>
      <c r="G65" s="3">
        <f t="shared" si="6"/>
        <v>180</v>
      </c>
      <c r="H65" s="3">
        <f>VLOOKUP(D65,'Bu Erta'!$C$2:$F$66,4,0)*F65</f>
        <v>240</v>
      </c>
      <c r="N65" s="44">
        <v>63</v>
      </c>
      <c r="O65" s="17" t="s">
        <v>71</v>
      </c>
      <c r="P65" s="52">
        <f>VLOOKUP(O65,'Bu Erta'!$C$2:$F$66,4,0)</f>
        <v>10000</v>
      </c>
      <c r="Q65" s="53">
        <f>SUMIF($D$3:$D$331,O65,$F$3:$F$331)</f>
        <v>1</v>
      </c>
      <c r="R65" s="52">
        <f t="shared" si="2"/>
        <v>10000</v>
      </c>
      <c r="S65" s="9"/>
      <c r="T65" s="44">
        <v>63</v>
      </c>
      <c r="U65" s="17" t="s">
        <v>71</v>
      </c>
      <c r="V65" s="52">
        <f>VLOOKUP(U65,'Bu Erta'!$C$2:$F$66,4,0)</f>
        <v>10000</v>
      </c>
      <c r="W65" s="53"/>
      <c r="X65" s="52">
        <f t="shared" si="3"/>
        <v>0</v>
      </c>
      <c r="Y65" s="9"/>
      <c r="AB65" s="3"/>
    </row>
    <row r="66" spans="1:28" x14ac:dyDescent="0.35">
      <c r="A66" s="106">
        <v>10</v>
      </c>
      <c r="B66" t="s">
        <v>85</v>
      </c>
      <c r="C66" s="106">
        <v>4</v>
      </c>
      <c r="D66" t="s">
        <v>7</v>
      </c>
      <c r="E66" s="3">
        <f>VLOOKUP(D66,'Bu Erta'!$C$2:$E$66,3,0)</f>
        <v>1400</v>
      </c>
      <c r="F66">
        <v>0.45</v>
      </c>
      <c r="G66" s="3">
        <f t="shared" si="6"/>
        <v>630</v>
      </c>
      <c r="H66" s="3">
        <f>VLOOKUP(D66,'Bu Erta'!$C$2:$F$66,4,0)*F66</f>
        <v>720</v>
      </c>
      <c r="N66" s="44">
        <v>64</v>
      </c>
      <c r="O66" s="17" t="s">
        <v>72</v>
      </c>
      <c r="P66" s="52">
        <f>VLOOKUP(O66,'Bu Erta'!$C$2:$F$66,4,0)</f>
        <v>15000</v>
      </c>
      <c r="Q66" s="53">
        <f>SUMIF($D$3:$D$331,O66,$F$3:$F$331)</f>
        <v>0</v>
      </c>
      <c r="R66" s="52">
        <f t="shared" si="2"/>
        <v>0</v>
      </c>
      <c r="S66" s="9"/>
      <c r="T66" s="44">
        <v>64</v>
      </c>
      <c r="U66" s="17" t="s">
        <v>72</v>
      </c>
      <c r="V66" s="52">
        <f>VLOOKUP(U66,'Bu Erta'!$C$2:$F$66,4,0)</f>
        <v>15000</v>
      </c>
      <c r="W66" s="53"/>
      <c r="X66" s="52">
        <f t="shared" si="3"/>
        <v>0</v>
      </c>
      <c r="Y66" s="9"/>
      <c r="AB66" s="3"/>
    </row>
    <row r="67" spans="1:28" x14ac:dyDescent="0.35">
      <c r="A67" s="106"/>
      <c r="B67" t="s">
        <v>85</v>
      </c>
      <c r="C67" s="106"/>
      <c r="D67" t="s">
        <v>19</v>
      </c>
      <c r="E67" s="3">
        <f>VLOOKUP(D67,'Bu Erta'!$C$2:$E$66,3,0)</f>
        <v>200</v>
      </c>
      <c r="F67">
        <v>0.15</v>
      </c>
      <c r="G67" s="3">
        <f t="shared" si="6"/>
        <v>30</v>
      </c>
      <c r="H67" s="3">
        <f>VLOOKUP(D67,'Bu Erta'!$C$2:$F$66,4,0)*F67</f>
        <v>45</v>
      </c>
      <c r="N67" s="17"/>
      <c r="O67" s="17"/>
      <c r="P67" s="54" t="s">
        <v>130</v>
      </c>
      <c r="Q67" s="54">
        <f>SUM(Q3:Q66)</f>
        <v>584.78999999999985</v>
      </c>
      <c r="R67" s="87">
        <f>SUM(R3:R66)</f>
        <v>607945</v>
      </c>
      <c r="S67" s="74"/>
      <c r="T67" s="17"/>
      <c r="U67" s="17"/>
      <c r="V67" s="54" t="s">
        <v>130</v>
      </c>
      <c r="W67" s="54">
        <f>SUM(W3:W66)</f>
        <v>27.4</v>
      </c>
      <c r="X67" s="55">
        <f>SUM(X3:X66)</f>
        <v>115080</v>
      </c>
      <c r="Y67" s="74"/>
      <c r="AB67" s="3"/>
    </row>
    <row r="68" spans="1:28" x14ac:dyDescent="0.35">
      <c r="A68" s="106"/>
      <c r="B68" t="s">
        <v>85</v>
      </c>
      <c r="C68" s="106"/>
      <c r="D68" t="s">
        <v>88</v>
      </c>
      <c r="E68" s="3">
        <f>VLOOKUP(D68,'Bu Erta'!$C$2:$E$66,3,0)</f>
        <v>300</v>
      </c>
      <c r="F68">
        <v>0.15</v>
      </c>
      <c r="G68" s="3">
        <f t="shared" si="6"/>
        <v>45</v>
      </c>
      <c r="H68" s="3">
        <f>VLOOKUP(D68,'Bu Erta'!$C$2:$F$66,4,0)*F68</f>
        <v>60</v>
      </c>
      <c r="R68" s="40"/>
    </row>
    <row r="69" spans="1:28" x14ac:dyDescent="0.35">
      <c r="A69" s="106"/>
      <c r="B69" t="s">
        <v>85</v>
      </c>
      <c r="C69" s="106"/>
      <c r="D69" t="s">
        <v>42</v>
      </c>
      <c r="E69" s="3">
        <f>VLOOKUP(D69,'Bu Erta'!$C$2:$E$66,3,0)</f>
        <v>1000</v>
      </c>
      <c r="F69">
        <v>0.7</v>
      </c>
      <c r="G69" s="3">
        <f t="shared" si="6"/>
        <v>700</v>
      </c>
      <c r="H69" s="3">
        <f>VLOOKUP(D69,'Bu Erta'!$C$2:$F$66,4,0)*F69</f>
        <v>840</v>
      </c>
    </row>
    <row r="70" spans="1:28" x14ac:dyDescent="0.35">
      <c r="A70" s="106"/>
      <c r="B70" t="s">
        <v>85</v>
      </c>
      <c r="C70" s="106"/>
      <c r="D70" t="s">
        <v>23</v>
      </c>
      <c r="E70" s="3">
        <f>VLOOKUP(D70,'Bu Erta'!$C$2:$E$66,3,0)</f>
        <v>300</v>
      </c>
      <c r="F70">
        <v>1.25</v>
      </c>
      <c r="G70" s="3">
        <f t="shared" si="6"/>
        <v>375</v>
      </c>
      <c r="H70" s="3">
        <f>VLOOKUP(D70,'Bu Erta'!$C$2:$F$66,4,0)*F70</f>
        <v>500</v>
      </c>
      <c r="T70" s="78"/>
    </row>
    <row r="71" spans="1:28" x14ac:dyDescent="0.35">
      <c r="A71" s="106"/>
      <c r="B71" t="s">
        <v>85</v>
      </c>
      <c r="C71" s="106"/>
      <c r="D71" t="s">
        <v>24</v>
      </c>
      <c r="E71" s="3">
        <f>VLOOKUP(D71,'Bu Erta'!$C$2:$E$66,3,0)</f>
        <v>150</v>
      </c>
      <c r="F71">
        <v>3.6</v>
      </c>
      <c r="G71" s="3">
        <f t="shared" si="6"/>
        <v>540</v>
      </c>
      <c r="H71" s="3">
        <f>VLOOKUP(D71,'Bu Erta'!$C$2:$F$66,4,0)*F71</f>
        <v>720</v>
      </c>
    </row>
    <row r="72" spans="1:28" x14ac:dyDescent="0.35">
      <c r="A72" s="106"/>
      <c r="B72" t="s">
        <v>85</v>
      </c>
      <c r="C72" s="106"/>
      <c r="D72" t="s">
        <v>31</v>
      </c>
      <c r="E72" s="3">
        <f>VLOOKUP(D72,'Bu Erta'!$C$2:$E$66,3,0)</f>
        <v>1000</v>
      </c>
      <c r="F72">
        <v>1.6</v>
      </c>
      <c r="G72" s="3">
        <f t="shared" si="6"/>
        <v>1600</v>
      </c>
      <c r="H72" s="3">
        <f>VLOOKUP(D72,'Bu Erta'!$C$2:$F$66,4,0)*F72</f>
        <v>1760</v>
      </c>
    </row>
    <row r="73" spans="1:28" x14ac:dyDescent="0.35">
      <c r="A73" s="106">
        <v>11</v>
      </c>
      <c r="B73" t="s">
        <v>133</v>
      </c>
      <c r="C73" s="107">
        <v>4</v>
      </c>
      <c r="D73" t="s">
        <v>61</v>
      </c>
      <c r="E73" s="3">
        <f>VLOOKUP(D73,'Bu Erta'!$C$2:$E$66,3,0)</f>
        <v>800</v>
      </c>
      <c r="F73">
        <v>0.5</v>
      </c>
      <c r="G73" s="3">
        <f t="shared" si="6"/>
        <v>400</v>
      </c>
      <c r="H73" s="3">
        <f>VLOOKUP(D73,'Bu Erta'!$C$2:$F$66,4,0)*F73</f>
        <v>450</v>
      </c>
    </row>
    <row r="74" spans="1:28" x14ac:dyDescent="0.35">
      <c r="A74" s="106"/>
      <c r="B74" t="s">
        <v>133</v>
      </c>
      <c r="C74" s="107"/>
      <c r="D74" t="s">
        <v>19</v>
      </c>
      <c r="E74" s="3">
        <f>VLOOKUP(D74,'Bu Erta'!$C$2:$E$66,3,0)</f>
        <v>200</v>
      </c>
      <c r="F74">
        <v>0.55000000000000004</v>
      </c>
      <c r="G74" s="3">
        <f t="shared" si="6"/>
        <v>110.00000000000001</v>
      </c>
      <c r="H74" s="3">
        <f>VLOOKUP(D74,'Bu Erta'!$C$2:$F$66,4,0)*F74</f>
        <v>165</v>
      </c>
    </row>
    <row r="75" spans="1:28" x14ac:dyDescent="0.35">
      <c r="A75" s="106"/>
      <c r="B75" t="s">
        <v>133</v>
      </c>
      <c r="C75" s="107"/>
      <c r="D75" t="s">
        <v>88</v>
      </c>
      <c r="E75" s="3">
        <f>VLOOKUP(D75,'Bu Erta'!$C$2:$E$66,3,0)</f>
        <v>300</v>
      </c>
      <c r="F75">
        <v>0.3</v>
      </c>
      <c r="G75" s="3">
        <f t="shared" si="6"/>
        <v>90</v>
      </c>
      <c r="H75" s="3">
        <f>VLOOKUP(D75,'Bu Erta'!$C$2:$F$66,4,0)*F75</f>
        <v>120</v>
      </c>
    </row>
    <row r="76" spans="1:28" x14ac:dyDescent="0.35">
      <c r="A76" s="106"/>
      <c r="B76" t="s">
        <v>133</v>
      </c>
      <c r="C76" s="107"/>
      <c r="D76" t="s">
        <v>65</v>
      </c>
      <c r="E76" s="3">
        <f>VLOOKUP(D76,'Bu Erta'!$C$2:$E$66,3,0)</f>
        <v>150</v>
      </c>
      <c r="F76">
        <v>0.1</v>
      </c>
      <c r="G76" s="3">
        <f t="shared" si="6"/>
        <v>15</v>
      </c>
      <c r="H76" s="3">
        <f>VLOOKUP(D76,'Bu Erta'!$C$2:$F$66,4,0)*F76</f>
        <v>20</v>
      </c>
    </row>
    <row r="77" spans="1:28" x14ac:dyDescent="0.35">
      <c r="A77" s="106"/>
      <c r="B77" t="s">
        <v>133</v>
      </c>
      <c r="C77" s="107"/>
      <c r="D77" t="s">
        <v>7</v>
      </c>
      <c r="E77" s="3">
        <f>VLOOKUP(D77,'Bu Erta'!$C$2:$E$66,3,0)</f>
        <v>1400</v>
      </c>
      <c r="F77">
        <v>0.4</v>
      </c>
      <c r="G77" s="3">
        <f t="shared" si="6"/>
        <v>560</v>
      </c>
      <c r="H77" s="3">
        <f>VLOOKUP(D77,'Bu Erta'!$C$2:$F$66,4,0)*F77</f>
        <v>640</v>
      </c>
    </row>
    <row r="78" spans="1:28" x14ac:dyDescent="0.35">
      <c r="A78" s="106"/>
      <c r="B78" t="s">
        <v>133</v>
      </c>
      <c r="C78" s="107"/>
      <c r="D78" t="s">
        <v>24</v>
      </c>
      <c r="E78" s="3">
        <f>VLOOKUP(D78,'Bu Erta'!$C$2:$E$66,3,0)</f>
        <v>150</v>
      </c>
      <c r="F78">
        <v>0.4</v>
      </c>
      <c r="G78" s="3">
        <f t="shared" si="6"/>
        <v>60</v>
      </c>
      <c r="H78" s="3">
        <f>VLOOKUP(D78,'Bu Erta'!$C$2:$F$66,4,0)*F78</f>
        <v>80</v>
      </c>
    </row>
    <row r="79" spans="1:28" x14ac:dyDescent="0.35">
      <c r="A79" s="106"/>
      <c r="B79" t="s">
        <v>133</v>
      </c>
      <c r="C79" s="107"/>
      <c r="D79" t="s">
        <v>41</v>
      </c>
      <c r="E79" s="3">
        <f>VLOOKUP(D79,'Bu Erta'!$C$2:$E$66,3,0)</f>
        <v>1500</v>
      </c>
      <c r="F79">
        <v>0.15</v>
      </c>
      <c r="G79" s="3">
        <f t="shared" si="6"/>
        <v>225</v>
      </c>
      <c r="H79" s="3">
        <f>VLOOKUP(D79,'Bu Erta'!$C$2:$F$66,4,0)*F79</f>
        <v>300</v>
      </c>
    </row>
    <row r="80" spans="1:28" x14ac:dyDescent="0.35">
      <c r="A80" s="106"/>
      <c r="B80" t="s">
        <v>133</v>
      </c>
      <c r="C80" s="107"/>
      <c r="D80" t="s">
        <v>6</v>
      </c>
      <c r="E80" s="3">
        <f>VLOOKUP(D80,'Bu Erta'!$C$2:$E$66,3,0)</f>
        <v>2000</v>
      </c>
      <c r="F80">
        <v>0.1</v>
      </c>
      <c r="G80" s="3">
        <f t="shared" si="6"/>
        <v>200</v>
      </c>
      <c r="H80" s="3">
        <f>VLOOKUP(D80,'Bu Erta'!$C$2:$F$66,4,0)*F80</f>
        <v>250</v>
      </c>
    </row>
    <row r="81" spans="1:8" x14ac:dyDescent="0.35">
      <c r="A81" s="106"/>
      <c r="B81" t="s">
        <v>133</v>
      </c>
      <c r="C81" s="107"/>
      <c r="D81" t="s">
        <v>34</v>
      </c>
      <c r="E81" s="3">
        <f>VLOOKUP(D81,'Bu Erta'!$C$2:$E$66,3,0)</f>
        <v>3500</v>
      </c>
      <c r="F81">
        <v>0.1</v>
      </c>
      <c r="G81" s="3">
        <f t="shared" si="6"/>
        <v>350</v>
      </c>
      <c r="H81" s="3">
        <f>VLOOKUP(D81,'Bu Erta'!$C$2:$F$66,4,0)*F81</f>
        <v>360</v>
      </c>
    </row>
    <row r="82" spans="1:8" x14ac:dyDescent="0.35">
      <c r="A82" s="106"/>
      <c r="B82" t="s">
        <v>133</v>
      </c>
      <c r="C82" s="107"/>
      <c r="D82" t="s">
        <v>27</v>
      </c>
      <c r="E82" s="3">
        <f>VLOOKUP(D82,'Bu Erta'!$C$2:$E$66,3,0)</f>
        <v>2800</v>
      </c>
      <c r="F82">
        <v>0.7</v>
      </c>
      <c r="G82" s="3">
        <f t="shared" si="6"/>
        <v>1959.9999999999998</v>
      </c>
      <c r="H82" s="3">
        <f>VLOOKUP(D82,'Bu Erta'!$C$2:$F$66,4,0)*F82</f>
        <v>2170</v>
      </c>
    </row>
    <row r="83" spans="1:8" x14ac:dyDescent="0.35">
      <c r="A83" s="106"/>
      <c r="B83" t="s">
        <v>133</v>
      </c>
      <c r="C83" s="107"/>
      <c r="D83" t="s">
        <v>69</v>
      </c>
      <c r="E83" s="3">
        <f>VLOOKUP(D83,'Bu Erta'!$C$2:$E$66,3,0)</f>
        <v>2500</v>
      </c>
      <c r="F83">
        <v>0.2</v>
      </c>
      <c r="G83" s="3">
        <f t="shared" si="6"/>
        <v>500</v>
      </c>
      <c r="H83" s="3">
        <f>VLOOKUP(D83,'Bu Erta'!$C$2:$F$66,4,0)*F83</f>
        <v>600</v>
      </c>
    </row>
    <row r="84" spans="1:8" x14ac:dyDescent="0.35">
      <c r="A84" s="106"/>
      <c r="B84" t="s">
        <v>133</v>
      </c>
      <c r="C84" s="107"/>
      <c r="D84" t="s">
        <v>70</v>
      </c>
      <c r="E84" s="3">
        <f>VLOOKUP(D84,'Bu Erta'!$C$2:$E$66,3,0)</f>
        <v>3500</v>
      </c>
      <c r="F84">
        <v>0.25</v>
      </c>
      <c r="G84" s="3">
        <f t="shared" si="6"/>
        <v>875</v>
      </c>
      <c r="H84" s="3">
        <f>VLOOKUP(D84,'Bu Erta'!$C$2:$F$66,4,0)*F84</f>
        <v>1000</v>
      </c>
    </row>
    <row r="85" spans="1:8" x14ac:dyDescent="0.35">
      <c r="A85" s="106"/>
      <c r="B85" t="s">
        <v>133</v>
      </c>
      <c r="C85" s="107"/>
      <c r="D85" t="s">
        <v>23</v>
      </c>
      <c r="E85" s="3">
        <f>VLOOKUP(D85,'Bu Erta'!$C$2:$E$66,3,0)</f>
        <v>300</v>
      </c>
      <c r="F85">
        <v>1.4</v>
      </c>
      <c r="G85" s="3">
        <f t="shared" si="6"/>
        <v>420</v>
      </c>
      <c r="H85" s="3">
        <f>VLOOKUP(D85,'Bu Erta'!$C$2:$F$66,4,0)*F85</f>
        <v>560</v>
      </c>
    </row>
    <row r="86" spans="1:8" x14ac:dyDescent="0.35">
      <c r="A86" s="106"/>
      <c r="B86" t="s">
        <v>133</v>
      </c>
      <c r="C86" s="107"/>
      <c r="D86" t="s">
        <v>42</v>
      </c>
      <c r="E86" s="3">
        <f>VLOOKUP(D86,'Bu Erta'!$C$2:$E$66,3,0)</f>
        <v>1000</v>
      </c>
      <c r="F86">
        <v>2.2999999999999998</v>
      </c>
      <c r="G86" s="3">
        <f t="shared" si="6"/>
        <v>2300</v>
      </c>
      <c r="H86" s="3">
        <f>VLOOKUP(D86,'Bu Erta'!$C$2:$F$66,4,0)*F86</f>
        <v>2760</v>
      </c>
    </row>
    <row r="87" spans="1:8" x14ac:dyDescent="0.35">
      <c r="A87" s="106">
        <v>12</v>
      </c>
      <c r="B87" t="s">
        <v>147</v>
      </c>
      <c r="C87" s="107">
        <v>3</v>
      </c>
      <c r="D87" t="s">
        <v>34</v>
      </c>
      <c r="E87" s="3">
        <f>VLOOKUP(D87,'Bu Erta'!$C$2:$E$66,3,0)</f>
        <v>3500</v>
      </c>
      <c r="F87">
        <v>1.05</v>
      </c>
      <c r="G87" s="3">
        <f t="shared" si="6"/>
        <v>3675</v>
      </c>
      <c r="H87" s="3">
        <f>VLOOKUP(D87,'Bu Erta'!$C$2:$F$66,4,0)*F87</f>
        <v>3780</v>
      </c>
    </row>
    <row r="88" spans="1:8" x14ac:dyDescent="0.35">
      <c r="A88" s="106"/>
      <c r="B88" t="s">
        <v>147</v>
      </c>
      <c r="C88" s="107"/>
      <c r="D88" t="s">
        <v>25</v>
      </c>
      <c r="E88" s="3">
        <f>VLOOKUP(D88,'Bu Erta'!$C$2:$E$66,3,0)</f>
        <v>1600</v>
      </c>
      <c r="F88">
        <f>0.2+0.5</f>
        <v>0.7</v>
      </c>
      <c r="G88" s="3">
        <f t="shared" si="6"/>
        <v>1120</v>
      </c>
      <c r="H88" s="3">
        <f>VLOOKUP(D88,'Bu Erta'!$C$2:$F$66,4,0)*F88</f>
        <v>1190</v>
      </c>
    </row>
    <row r="89" spans="1:8" x14ac:dyDescent="0.35">
      <c r="A89" s="106"/>
      <c r="B89" t="s">
        <v>147</v>
      </c>
      <c r="C89" s="107"/>
      <c r="D89" t="s">
        <v>7</v>
      </c>
      <c r="E89" s="3">
        <f>VLOOKUP(D89,'Bu Erta'!$C$2:$E$66,3,0)</f>
        <v>1400</v>
      </c>
      <c r="F89">
        <v>0.1</v>
      </c>
      <c r="G89" s="3">
        <f t="shared" si="6"/>
        <v>140</v>
      </c>
      <c r="H89" s="3">
        <f>VLOOKUP(D89,'Bu Erta'!$C$2:$F$66,4,0)*F89</f>
        <v>160</v>
      </c>
    </row>
    <row r="90" spans="1:8" x14ac:dyDescent="0.35">
      <c r="A90" s="106"/>
      <c r="B90" t="s">
        <v>147</v>
      </c>
      <c r="C90" s="107"/>
      <c r="D90" t="s">
        <v>19</v>
      </c>
      <c r="E90" s="3">
        <f>VLOOKUP(D90,'Bu Erta'!$C$2:$E$66,3,0)</f>
        <v>200</v>
      </c>
      <c r="F90">
        <v>0.15</v>
      </c>
      <c r="G90" s="3">
        <f t="shared" si="6"/>
        <v>30</v>
      </c>
      <c r="H90" s="3">
        <f>VLOOKUP(D90,'Bu Erta'!$C$2:$F$66,4,0)*F90</f>
        <v>45</v>
      </c>
    </row>
    <row r="91" spans="1:8" x14ac:dyDescent="0.35">
      <c r="A91" s="106"/>
      <c r="B91" t="s">
        <v>147</v>
      </c>
      <c r="C91" s="107"/>
      <c r="D91" t="s">
        <v>88</v>
      </c>
      <c r="E91" s="3">
        <f>VLOOKUP(D91,'Bu Erta'!$C$2:$E$66,3,0)</f>
        <v>300</v>
      </c>
      <c r="F91">
        <v>0.4</v>
      </c>
      <c r="G91" s="3">
        <f t="shared" si="6"/>
        <v>120</v>
      </c>
      <c r="H91" s="3">
        <f>VLOOKUP(D91,'Bu Erta'!$C$2:$F$66,4,0)*F91</f>
        <v>160</v>
      </c>
    </row>
    <row r="92" spans="1:8" x14ac:dyDescent="0.35">
      <c r="A92" s="106">
        <v>13</v>
      </c>
      <c r="B92" t="s">
        <v>175</v>
      </c>
      <c r="C92" s="107">
        <v>2</v>
      </c>
      <c r="D92" t="s">
        <v>88</v>
      </c>
      <c r="E92" s="3">
        <f>VLOOKUP(D92,'Bu Erta'!$C$2:$E$66,3,0)</f>
        <v>300</v>
      </c>
      <c r="F92">
        <v>2.4500000000000002</v>
      </c>
      <c r="G92" s="3">
        <f t="shared" si="6"/>
        <v>735</v>
      </c>
      <c r="H92" s="3">
        <f>VLOOKUP(D92,'Bu Erta'!$C$2:$F$66,4,0)*F92</f>
        <v>980.00000000000011</v>
      </c>
    </row>
    <row r="93" spans="1:8" x14ac:dyDescent="0.35">
      <c r="A93" s="106"/>
      <c r="B93" t="s">
        <v>175</v>
      </c>
      <c r="C93" s="107"/>
      <c r="D93" t="s">
        <v>19</v>
      </c>
      <c r="E93" s="3">
        <f>VLOOKUP(D93,'Bu Erta'!$C$2:$E$66,3,0)</f>
        <v>200</v>
      </c>
      <c r="F93">
        <v>0.5</v>
      </c>
      <c r="G93" s="3">
        <f t="shared" si="6"/>
        <v>100</v>
      </c>
      <c r="H93" s="3">
        <f>VLOOKUP(D93,'Bu Erta'!$C$2:$F$66,4,0)*F93</f>
        <v>150</v>
      </c>
    </row>
    <row r="94" spans="1:8" x14ac:dyDescent="0.35">
      <c r="A94" s="106"/>
      <c r="B94" t="s">
        <v>175</v>
      </c>
      <c r="C94" s="107"/>
      <c r="D94" t="s">
        <v>61</v>
      </c>
      <c r="E94" s="3">
        <f>VLOOKUP(D94,'Bu Erta'!$C$2:$E$66,3,0)</f>
        <v>800</v>
      </c>
      <c r="F94">
        <v>0.1</v>
      </c>
      <c r="G94" s="3">
        <f t="shared" si="6"/>
        <v>80</v>
      </c>
      <c r="H94" s="3">
        <f>VLOOKUP(D94,'Bu Erta'!$C$2:$F$66,4,0)*F94</f>
        <v>90</v>
      </c>
    </row>
    <row r="95" spans="1:8" x14ac:dyDescent="0.35">
      <c r="A95" s="106"/>
      <c r="B95" t="s">
        <v>175</v>
      </c>
      <c r="C95" s="107"/>
      <c r="D95" t="s">
        <v>31</v>
      </c>
      <c r="E95" s="3">
        <f>VLOOKUP(D95,'Bu Erta'!$C$2:$E$66,3,0)</f>
        <v>1000</v>
      </c>
      <c r="F95">
        <f>0.45+1.75</f>
        <v>2.2000000000000002</v>
      </c>
      <c r="G95" s="3">
        <f t="shared" si="6"/>
        <v>2200</v>
      </c>
      <c r="H95" s="3">
        <f>VLOOKUP(D95,'Bu Erta'!$C$2:$F$66,4,0)*F95</f>
        <v>2420</v>
      </c>
    </row>
    <row r="96" spans="1:8" x14ac:dyDescent="0.35">
      <c r="A96" s="106"/>
      <c r="B96" t="s">
        <v>175</v>
      </c>
      <c r="C96" s="107"/>
      <c r="D96" t="s">
        <v>7</v>
      </c>
      <c r="E96" s="3">
        <f>VLOOKUP(D96,'Bu Erta'!$C$2:$E$66,3,0)</f>
        <v>1400</v>
      </c>
      <c r="F96">
        <v>0.35</v>
      </c>
      <c r="G96" s="3">
        <f t="shared" si="6"/>
        <v>489.99999999999994</v>
      </c>
      <c r="H96" s="3">
        <f>VLOOKUP(D96,'Bu Erta'!$C$2:$F$66,4,0)*F96</f>
        <v>560</v>
      </c>
    </row>
    <row r="97" spans="1:8" x14ac:dyDescent="0.35">
      <c r="A97" s="106"/>
      <c r="B97" t="s">
        <v>175</v>
      </c>
      <c r="C97" s="107"/>
      <c r="D97" t="s">
        <v>25</v>
      </c>
      <c r="E97" s="3">
        <f>VLOOKUP(D97,'Bu Erta'!$C$2:$E$66,3,0)</f>
        <v>1600</v>
      </c>
      <c r="F97">
        <f>0.2+0.15</f>
        <v>0.35</v>
      </c>
      <c r="G97" s="3">
        <f t="shared" si="6"/>
        <v>560</v>
      </c>
      <c r="H97" s="3">
        <f>VLOOKUP(D97,'Bu Erta'!$C$2:$F$66,4,0)*F97</f>
        <v>595</v>
      </c>
    </row>
    <row r="98" spans="1:8" x14ac:dyDescent="0.35">
      <c r="A98" s="106"/>
      <c r="B98" t="s">
        <v>175</v>
      </c>
      <c r="C98" s="107"/>
      <c r="D98" t="s">
        <v>23</v>
      </c>
      <c r="E98" s="3">
        <f>VLOOKUP(D98,'Bu Erta'!$C$2:$E$66,3,0)</f>
        <v>300</v>
      </c>
      <c r="F98">
        <v>0.25</v>
      </c>
      <c r="G98" s="3">
        <f t="shared" si="6"/>
        <v>75</v>
      </c>
      <c r="H98" s="3">
        <f>VLOOKUP(D98,'Bu Erta'!$C$2:$F$66,4,0)*F98</f>
        <v>100</v>
      </c>
    </row>
    <row r="99" spans="1:8" x14ac:dyDescent="0.35">
      <c r="A99" s="106"/>
      <c r="B99" t="s">
        <v>175</v>
      </c>
      <c r="C99" s="107"/>
      <c r="D99" t="s">
        <v>42</v>
      </c>
      <c r="E99" s="3">
        <f>VLOOKUP(D99,'Bu Erta'!$C$2:$E$66,3,0)</f>
        <v>1000</v>
      </c>
      <c r="F99">
        <v>0.8</v>
      </c>
      <c r="G99" s="3">
        <f t="shared" si="6"/>
        <v>800</v>
      </c>
      <c r="H99" s="3">
        <f>VLOOKUP(D99,'Bu Erta'!$C$2:$F$66,4,0)*F99</f>
        <v>960</v>
      </c>
    </row>
    <row r="100" spans="1:8" x14ac:dyDescent="0.35">
      <c r="A100" s="106">
        <v>14</v>
      </c>
      <c r="B100" t="s">
        <v>178</v>
      </c>
      <c r="C100" s="107">
        <v>3</v>
      </c>
      <c r="D100" t="s">
        <v>42</v>
      </c>
      <c r="E100" s="3">
        <f>VLOOKUP(D100,'Bu Erta'!$C$2:$E$66,3,0)</f>
        <v>1000</v>
      </c>
      <c r="F100">
        <f>5.7+6.7</f>
        <v>12.4</v>
      </c>
      <c r="G100" s="3">
        <f t="shared" si="6"/>
        <v>12400</v>
      </c>
      <c r="H100" s="3">
        <f>VLOOKUP(D100,'Bu Erta'!$C$2:$F$66,4,0)*F100</f>
        <v>14880</v>
      </c>
    </row>
    <row r="101" spans="1:8" x14ac:dyDescent="0.35">
      <c r="A101" s="106"/>
      <c r="B101" t="s">
        <v>178</v>
      </c>
      <c r="C101" s="107"/>
      <c r="D101" t="s">
        <v>23</v>
      </c>
      <c r="E101" s="3">
        <f>VLOOKUP(D101,'Bu Erta'!$C$2:$E$66,3,0)</f>
        <v>300</v>
      </c>
      <c r="F101">
        <f>1.9+0.2</f>
        <v>2.1</v>
      </c>
      <c r="G101" s="3">
        <f t="shared" si="6"/>
        <v>630</v>
      </c>
      <c r="H101" s="3">
        <f>VLOOKUP(D101,'Bu Erta'!$C$2:$F$66,4,0)*F101</f>
        <v>840</v>
      </c>
    </row>
    <row r="102" spans="1:8" x14ac:dyDescent="0.35">
      <c r="A102" s="106"/>
      <c r="B102" t="s">
        <v>178</v>
      </c>
      <c r="C102" s="107"/>
      <c r="D102" t="s">
        <v>19</v>
      </c>
      <c r="E102" s="3">
        <f>VLOOKUP(D102,'Bu Erta'!$C$2:$E$66,3,0)</f>
        <v>200</v>
      </c>
      <c r="F102">
        <f>0.45+0.6+0.35+0.5</f>
        <v>1.9</v>
      </c>
      <c r="G102" s="3">
        <f t="shared" si="6"/>
        <v>380</v>
      </c>
      <c r="H102" s="3">
        <f>VLOOKUP(D102,'Bu Erta'!$C$2:$F$66,4,0)*F102</f>
        <v>570</v>
      </c>
    </row>
    <row r="103" spans="1:8" x14ac:dyDescent="0.35">
      <c r="A103" s="106"/>
      <c r="B103" t="s">
        <v>178</v>
      </c>
      <c r="C103" s="107"/>
      <c r="D103" t="s">
        <v>88</v>
      </c>
      <c r="E103" s="3">
        <f>VLOOKUP(D103,'Bu Erta'!$C$2:$E$66,3,0)</f>
        <v>300</v>
      </c>
      <c r="F103">
        <v>0.35</v>
      </c>
      <c r="G103" s="3">
        <f t="shared" si="6"/>
        <v>105</v>
      </c>
      <c r="H103" s="3">
        <f>VLOOKUP(D103,'Bu Erta'!$C$2:$F$66,4,0)*F103</f>
        <v>140</v>
      </c>
    </row>
    <row r="104" spans="1:8" x14ac:dyDescent="0.35">
      <c r="A104" s="106"/>
      <c r="B104" t="s">
        <v>178</v>
      </c>
      <c r="C104" s="107"/>
      <c r="D104" t="s">
        <v>25</v>
      </c>
      <c r="E104" s="3">
        <f>VLOOKUP(D104,'Bu Erta'!$C$2:$E$66,3,0)</f>
        <v>1600</v>
      </c>
      <c r="F104">
        <v>0.5</v>
      </c>
      <c r="G104" s="3">
        <f t="shared" si="6"/>
        <v>800</v>
      </c>
      <c r="H104" s="3">
        <f>VLOOKUP(D104,'Bu Erta'!$C$2:$F$66,4,0)*F104</f>
        <v>850</v>
      </c>
    </row>
    <row r="105" spans="1:8" x14ac:dyDescent="0.35">
      <c r="A105" s="106"/>
      <c r="B105" t="s">
        <v>178</v>
      </c>
      <c r="C105" s="107"/>
      <c r="D105" t="s">
        <v>65</v>
      </c>
      <c r="E105" s="3">
        <f>VLOOKUP(D105,'Bu Erta'!$C$2:$E$66,3,0)</f>
        <v>150</v>
      </c>
      <c r="F105">
        <v>0.1</v>
      </c>
      <c r="G105" s="3">
        <f t="shared" si="6"/>
        <v>15</v>
      </c>
      <c r="H105" s="3">
        <f>VLOOKUP(D105,'Bu Erta'!$C$2:$F$66,4,0)*F105</f>
        <v>20</v>
      </c>
    </row>
    <row r="106" spans="1:8" x14ac:dyDescent="0.35">
      <c r="A106" s="106"/>
      <c r="B106" t="s">
        <v>178</v>
      </c>
      <c r="C106" s="107"/>
      <c r="D106" t="s">
        <v>31</v>
      </c>
      <c r="E106" s="3">
        <f>VLOOKUP(D106,'Bu Erta'!$C$2:$E$66,3,0)</f>
        <v>1000</v>
      </c>
      <c r="F106">
        <v>1.2</v>
      </c>
      <c r="G106" s="3">
        <f t="shared" si="6"/>
        <v>1200</v>
      </c>
      <c r="H106" s="3">
        <f>VLOOKUP(D106,'Bu Erta'!$C$2:$F$66,4,0)*F106</f>
        <v>1320</v>
      </c>
    </row>
    <row r="107" spans="1:8" x14ac:dyDescent="0.35">
      <c r="A107" s="106">
        <v>15</v>
      </c>
      <c r="B107" t="s">
        <v>183</v>
      </c>
      <c r="C107" s="107">
        <v>7</v>
      </c>
      <c r="D107" t="s">
        <v>40</v>
      </c>
      <c r="E107" s="3">
        <f>VLOOKUP(D107,'Bu Erta'!$C$2:$E$66,3,0)</f>
        <v>1800</v>
      </c>
      <c r="F107">
        <v>0.7</v>
      </c>
      <c r="G107" s="3">
        <f t="shared" si="6"/>
        <v>1260</v>
      </c>
      <c r="H107" s="3">
        <f>VLOOKUP(D107,'Bu Erta'!$C$2:$F$66,4,0)*F107</f>
        <v>1400</v>
      </c>
    </row>
    <row r="108" spans="1:8" x14ac:dyDescent="0.35">
      <c r="A108" s="106"/>
      <c r="B108" t="s">
        <v>183</v>
      </c>
      <c r="C108" s="107"/>
      <c r="D108" t="s">
        <v>7</v>
      </c>
      <c r="E108" s="3">
        <f>VLOOKUP(D108,'Bu Erta'!$C$2:$E$66,3,0)</f>
        <v>1400</v>
      </c>
      <c r="F108">
        <v>1.1000000000000001</v>
      </c>
      <c r="G108" s="3">
        <f t="shared" si="6"/>
        <v>1540.0000000000002</v>
      </c>
      <c r="H108" s="3">
        <f>VLOOKUP(D108,'Bu Erta'!$C$2:$F$66,4,0)*F108</f>
        <v>1760.0000000000002</v>
      </c>
    </row>
    <row r="109" spans="1:8" x14ac:dyDescent="0.35">
      <c r="A109" s="106"/>
      <c r="B109" t="s">
        <v>183</v>
      </c>
      <c r="C109" s="107"/>
      <c r="D109" t="s">
        <v>27</v>
      </c>
      <c r="E109" s="3">
        <f>VLOOKUP(D109,'Bu Erta'!$C$2:$E$66,3,0)</f>
        <v>2800</v>
      </c>
      <c r="F109">
        <v>0.3</v>
      </c>
      <c r="G109" s="3">
        <f t="shared" si="6"/>
        <v>840</v>
      </c>
      <c r="H109" s="3">
        <f>VLOOKUP(D109,'Bu Erta'!$C$2:$F$66,4,0)*F109</f>
        <v>930</v>
      </c>
    </row>
    <row r="110" spans="1:8" x14ac:dyDescent="0.35">
      <c r="A110" s="106"/>
      <c r="B110" t="s">
        <v>183</v>
      </c>
      <c r="C110" s="107"/>
      <c r="D110" t="s">
        <v>41</v>
      </c>
      <c r="E110" s="3">
        <f>VLOOKUP(D110,'Bu Erta'!$C$2:$E$66,3,0)</f>
        <v>1500</v>
      </c>
      <c r="F110">
        <v>0.25</v>
      </c>
      <c r="G110" s="3">
        <f t="shared" si="6"/>
        <v>375</v>
      </c>
      <c r="H110" s="3">
        <f>VLOOKUP(D110,'Bu Erta'!$C$2:$F$66,4,0)*F110</f>
        <v>500</v>
      </c>
    </row>
    <row r="111" spans="1:8" x14ac:dyDescent="0.35">
      <c r="A111" s="106"/>
      <c r="B111" t="s">
        <v>183</v>
      </c>
      <c r="C111" s="107"/>
      <c r="D111" t="s">
        <v>24</v>
      </c>
      <c r="E111" s="3">
        <f>VLOOKUP(D111,'Bu Erta'!$C$2:$E$66,3,0)</f>
        <v>150</v>
      </c>
      <c r="F111">
        <f>1.3+0.35</f>
        <v>1.65</v>
      </c>
      <c r="G111" s="3">
        <f t="shared" si="6"/>
        <v>247.5</v>
      </c>
      <c r="H111" s="3">
        <f>VLOOKUP(D111,'Bu Erta'!$C$2:$F$66,4,0)*F111</f>
        <v>330</v>
      </c>
    </row>
    <row r="112" spans="1:8" x14ac:dyDescent="0.35">
      <c r="A112" s="106"/>
      <c r="B112" t="s">
        <v>183</v>
      </c>
      <c r="C112" s="107"/>
      <c r="D112" t="s">
        <v>6</v>
      </c>
      <c r="E112" s="3">
        <f>VLOOKUP(D112,'Bu Erta'!$C$2:$E$66,3,0)</f>
        <v>2000</v>
      </c>
      <c r="F112">
        <v>0.3</v>
      </c>
      <c r="G112" s="3">
        <f t="shared" si="6"/>
        <v>600</v>
      </c>
      <c r="H112" s="3">
        <f>VLOOKUP(D112,'Bu Erta'!$C$2:$F$66,4,0)*F112</f>
        <v>750</v>
      </c>
    </row>
    <row r="113" spans="1:8" x14ac:dyDescent="0.35">
      <c r="A113" s="106">
        <v>16</v>
      </c>
      <c r="B113" t="s">
        <v>216</v>
      </c>
      <c r="C113" s="106">
        <v>2</v>
      </c>
      <c r="D113" t="s">
        <v>24</v>
      </c>
      <c r="E113" s="3">
        <f>VLOOKUP(D113,'Bu Erta'!$C$2:$E$66,3,0)</f>
        <v>150</v>
      </c>
      <c r="F113">
        <v>1.75</v>
      </c>
      <c r="G113" s="3">
        <f t="shared" si="6"/>
        <v>262.5</v>
      </c>
      <c r="H113" s="3">
        <f>VLOOKUP(D113,'Bu Erta'!$C$2:$F$66,4,0)*F113</f>
        <v>350</v>
      </c>
    </row>
    <row r="114" spans="1:8" x14ac:dyDescent="0.35">
      <c r="A114" s="106"/>
      <c r="B114" t="s">
        <v>216</v>
      </c>
      <c r="C114" s="106"/>
      <c r="D114" t="s">
        <v>27</v>
      </c>
      <c r="E114" s="3">
        <f>VLOOKUP(D114,'Bu Erta'!$C$2:$E$66,3,0)</f>
        <v>2800</v>
      </c>
      <c r="F114">
        <v>0.35</v>
      </c>
      <c r="G114" s="3">
        <f t="shared" si="6"/>
        <v>979.99999999999989</v>
      </c>
      <c r="H114" s="3">
        <f>VLOOKUP(D114,'Bu Erta'!$C$2:$F$66,4,0)*F114</f>
        <v>1085</v>
      </c>
    </row>
    <row r="115" spans="1:8" x14ac:dyDescent="0.35">
      <c r="A115" s="106"/>
      <c r="B115" t="s">
        <v>216</v>
      </c>
      <c r="C115" s="106"/>
      <c r="D115" t="s">
        <v>7</v>
      </c>
      <c r="E115" s="3">
        <f>VLOOKUP(D115,'Bu Erta'!$C$2:$E$66,3,0)</f>
        <v>1400</v>
      </c>
      <c r="F115">
        <f>0.1+0.15</f>
        <v>0.25</v>
      </c>
      <c r="G115" s="3">
        <f t="shared" si="6"/>
        <v>350</v>
      </c>
      <c r="H115" s="3">
        <f>VLOOKUP(D115,'Bu Erta'!$C$2:$F$66,4,0)*F115</f>
        <v>400</v>
      </c>
    </row>
    <row r="116" spans="1:8" x14ac:dyDescent="0.35">
      <c r="A116" s="106"/>
      <c r="B116" t="s">
        <v>216</v>
      </c>
      <c r="C116" s="106"/>
      <c r="D116" t="s">
        <v>23</v>
      </c>
      <c r="E116" s="3">
        <f>VLOOKUP(D116,'Bu Erta'!$C$2:$E$66,3,0)</f>
        <v>300</v>
      </c>
      <c r="F116">
        <v>0.7</v>
      </c>
      <c r="G116" s="3">
        <f t="shared" si="6"/>
        <v>210</v>
      </c>
      <c r="H116" s="3">
        <f>VLOOKUP(D116,'Bu Erta'!$C$2:$F$66,4,0)*F116</f>
        <v>280</v>
      </c>
    </row>
    <row r="117" spans="1:8" x14ac:dyDescent="0.35">
      <c r="A117" s="106"/>
      <c r="B117" t="s">
        <v>216</v>
      </c>
      <c r="C117" s="106"/>
      <c r="D117" t="s">
        <v>25</v>
      </c>
      <c r="E117" s="3">
        <f>VLOOKUP(D117,'Bu Erta'!$C$2:$E$66,3,0)</f>
        <v>1600</v>
      </c>
      <c r="F117">
        <v>0.5</v>
      </c>
      <c r="G117" s="3">
        <f t="shared" si="6"/>
        <v>800</v>
      </c>
      <c r="H117" s="3">
        <f>VLOOKUP(D117,'Bu Erta'!$C$2:$F$66,4,0)*F117</f>
        <v>850</v>
      </c>
    </row>
    <row r="118" spans="1:8" x14ac:dyDescent="0.35">
      <c r="A118" s="5">
        <v>17</v>
      </c>
      <c r="B118" t="s">
        <v>90</v>
      </c>
      <c r="C118" s="1">
        <v>3</v>
      </c>
      <c r="D118" t="s">
        <v>62</v>
      </c>
      <c r="E118" s="3">
        <f>VLOOKUP(D118,'Bu Erta'!$C$2:$E$66,3,0)</f>
        <v>400</v>
      </c>
      <c r="F118">
        <v>1.1499999999999999</v>
      </c>
      <c r="G118" s="3">
        <f t="shared" si="6"/>
        <v>459.99999999999994</v>
      </c>
      <c r="H118" s="3">
        <f>VLOOKUP(D118,'Bu Erta'!$C$2:$F$66,4,0)*F118</f>
        <v>575</v>
      </c>
    </row>
    <row r="119" spans="1:8" x14ac:dyDescent="0.35">
      <c r="B119" t="s">
        <v>90</v>
      </c>
      <c r="D119" t="s">
        <v>27</v>
      </c>
      <c r="E119" s="3">
        <f>VLOOKUP(D119,'Bu Erta'!$C$2:$E$66,3,0)</f>
        <v>2800</v>
      </c>
      <c r="F119">
        <v>0.55000000000000004</v>
      </c>
      <c r="G119" s="3">
        <f t="shared" si="6"/>
        <v>1540.0000000000002</v>
      </c>
      <c r="H119" s="3">
        <f>VLOOKUP(D119,'Bu Erta'!$C$2:$F$66,4,0)*F119</f>
        <v>1705.0000000000002</v>
      </c>
    </row>
    <row r="120" spans="1:8" x14ac:dyDescent="0.35">
      <c r="B120" t="s">
        <v>90</v>
      </c>
      <c r="D120" t="s">
        <v>19</v>
      </c>
      <c r="E120" s="3">
        <f>VLOOKUP(D120,'Bu Erta'!$C$2:$E$66,3,0)</f>
        <v>200</v>
      </c>
      <c r="F120">
        <v>0.15</v>
      </c>
      <c r="G120" s="3">
        <f t="shared" si="6"/>
        <v>30</v>
      </c>
      <c r="H120" s="3">
        <f>VLOOKUP(D120,'Bu Erta'!$C$2:$F$66,4,0)*F120</f>
        <v>45</v>
      </c>
    </row>
    <row r="121" spans="1:8" x14ac:dyDescent="0.35">
      <c r="B121" t="s">
        <v>90</v>
      </c>
      <c r="D121" t="s">
        <v>7</v>
      </c>
      <c r="E121" s="3">
        <f>VLOOKUP(D121,'Bu Erta'!$C$2:$E$66,3,0)</f>
        <v>1400</v>
      </c>
      <c r="F121">
        <v>1.1499999999999999</v>
      </c>
      <c r="G121" s="3">
        <f t="shared" si="6"/>
        <v>1609.9999999999998</v>
      </c>
      <c r="H121" s="3">
        <f>VLOOKUP(D121,'Bu Erta'!$C$2:$F$66,4,0)*F121</f>
        <v>1839.9999999999998</v>
      </c>
    </row>
    <row r="122" spans="1:8" x14ac:dyDescent="0.35">
      <c r="B122" t="s">
        <v>90</v>
      </c>
      <c r="D122" t="s">
        <v>69</v>
      </c>
      <c r="E122" s="3">
        <f>VLOOKUP(D122,'Bu Erta'!$C$2:$E$66,3,0)</f>
        <v>2500</v>
      </c>
      <c r="F122">
        <v>0.15</v>
      </c>
      <c r="G122" s="3">
        <f t="shared" si="6"/>
        <v>375</v>
      </c>
      <c r="H122" s="3">
        <f>VLOOKUP(D122,'Bu Erta'!$C$2:$F$66,4,0)*F122</f>
        <v>450</v>
      </c>
    </row>
    <row r="123" spans="1:8" x14ac:dyDescent="0.35">
      <c r="B123" t="s">
        <v>90</v>
      </c>
      <c r="D123" t="s">
        <v>70</v>
      </c>
      <c r="E123" s="3">
        <f>VLOOKUP(D123,'Bu Erta'!$C$2:$E$66,3,0)</f>
        <v>3500</v>
      </c>
      <c r="F123">
        <v>0.15</v>
      </c>
      <c r="G123" s="3">
        <f t="shared" si="6"/>
        <v>525</v>
      </c>
      <c r="H123" s="3">
        <f>VLOOKUP(D123,'Bu Erta'!$C$2:$F$66,4,0)*F123</f>
        <v>600</v>
      </c>
    </row>
    <row r="124" spans="1:8" x14ac:dyDescent="0.35">
      <c r="A124" s="5">
        <v>18</v>
      </c>
      <c r="B124" t="s">
        <v>102</v>
      </c>
      <c r="C124" s="5">
        <v>4</v>
      </c>
      <c r="D124" t="s">
        <v>42</v>
      </c>
      <c r="E124" s="3">
        <f>VLOOKUP(D124,'Bu Erta'!$C$2:$E$66,3,0)</f>
        <v>1000</v>
      </c>
      <c r="F124">
        <v>5.2</v>
      </c>
      <c r="G124" s="3">
        <f t="shared" si="6"/>
        <v>5200</v>
      </c>
      <c r="H124" s="3">
        <f>VLOOKUP(D124,'Bu Erta'!$C$2:$F$66,4,0)*F124</f>
        <v>6240</v>
      </c>
    </row>
    <row r="125" spans="1:8" x14ac:dyDescent="0.35">
      <c r="B125" t="s">
        <v>102</v>
      </c>
      <c r="D125" t="s">
        <v>27</v>
      </c>
      <c r="E125" s="3">
        <f>VLOOKUP(D125,'Bu Erta'!$C$2:$E$66,3,0)</f>
        <v>2800</v>
      </c>
      <c r="F125">
        <v>0.25</v>
      </c>
      <c r="G125" s="3">
        <f t="shared" si="6"/>
        <v>700</v>
      </c>
      <c r="H125" s="3">
        <f>VLOOKUP(D125,'Bu Erta'!$C$2:$F$66,4,0)*F125</f>
        <v>775</v>
      </c>
    </row>
    <row r="126" spans="1:8" x14ac:dyDescent="0.35">
      <c r="B126" t="s">
        <v>102</v>
      </c>
      <c r="D126" t="s">
        <v>28</v>
      </c>
      <c r="E126" s="3">
        <f>VLOOKUP(D126,'Bu Erta'!$C$2:$E$66,3,0)</f>
        <v>1200</v>
      </c>
      <c r="F126">
        <v>0.4</v>
      </c>
      <c r="G126" s="3">
        <f t="shared" ref="G126:G132" si="7">E126*F126</f>
        <v>480</v>
      </c>
      <c r="H126" s="3">
        <f>VLOOKUP(D126,'Bu Erta'!$C$2:$F$66,4,0)*F126</f>
        <v>520</v>
      </c>
    </row>
    <row r="127" spans="1:8" x14ac:dyDescent="0.35">
      <c r="B127" t="s">
        <v>102</v>
      </c>
      <c r="D127" t="s">
        <v>69</v>
      </c>
      <c r="E127" s="3">
        <f>VLOOKUP(D127,'Bu Erta'!$C$2:$E$66,3,0)</f>
        <v>2500</v>
      </c>
      <c r="F127">
        <v>0.15</v>
      </c>
      <c r="G127" s="3">
        <f t="shared" si="7"/>
        <v>375</v>
      </c>
      <c r="H127" s="3">
        <f>VLOOKUP(D127,'Bu Erta'!$C$2:$F$66,4,0)*F127</f>
        <v>450</v>
      </c>
    </row>
    <row r="128" spans="1:8" x14ac:dyDescent="0.35">
      <c r="B128" t="s">
        <v>102</v>
      </c>
      <c r="D128" t="s">
        <v>7</v>
      </c>
      <c r="E128" s="3">
        <f>VLOOKUP(D128,'Bu Erta'!$C$2:$E$66,3,0)</f>
        <v>1400</v>
      </c>
      <c r="F128">
        <f>0.8+0.05</f>
        <v>0.85000000000000009</v>
      </c>
      <c r="G128" s="3">
        <f t="shared" si="7"/>
        <v>1190.0000000000002</v>
      </c>
      <c r="H128" s="3">
        <f>VLOOKUP(D128,'Bu Erta'!$C$2:$F$66,4,0)*F128</f>
        <v>1360.0000000000002</v>
      </c>
    </row>
    <row r="129" spans="1:8" x14ac:dyDescent="0.35">
      <c r="B129" t="s">
        <v>102</v>
      </c>
      <c r="D129" t="s">
        <v>6</v>
      </c>
      <c r="E129" s="3">
        <f>VLOOKUP(D129,'Bu Erta'!$C$2:$E$66,3,0)</f>
        <v>2000</v>
      </c>
      <c r="F129">
        <v>0.35</v>
      </c>
      <c r="G129" s="3">
        <f t="shared" si="7"/>
        <v>700</v>
      </c>
      <c r="H129" s="3">
        <f>VLOOKUP(D129,'Bu Erta'!$C$2:$F$66,4,0)*F129</f>
        <v>875</v>
      </c>
    </row>
    <row r="130" spans="1:8" x14ac:dyDescent="0.35">
      <c r="B130" t="s">
        <v>102</v>
      </c>
      <c r="D130" t="s">
        <v>41</v>
      </c>
      <c r="E130" s="3">
        <f>VLOOKUP(D130,'Bu Erta'!$C$2:$E$66,3,0)</f>
        <v>1500</v>
      </c>
      <c r="F130">
        <v>0.15</v>
      </c>
      <c r="G130" s="3">
        <f t="shared" si="7"/>
        <v>225</v>
      </c>
      <c r="H130" s="3">
        <f>VLOOKUP(D130,'Bu Erta'!$C$2:$F$66,4,0)*F130</f>
        <v>300</v>
      </c>
    </row>
    <row r="131" spans="1:8" x14ac:dyDescent="0.35">
      <c r="B131" t="s">
        <v>102</v>
      </c>
      <c r="D131" t="s">
        <v>65</v>
      </c>
      <c r="E131" s="3">
        <f>VLOOKUP(D131,'Bu Erta'!$C$2:$E$66,3,0)</f>
        <v>150</v>
      </c>
      <c r="F131">
        <v>0.15</v>
      </c>
      <c r="G131" s="3">
        <f t="shared" si="7"/>
        <v>22.5</v>
      </c>
      <c r="H131" s="3">
        <f>VLOOKUP(D131,'Bu Erta'!$C$2:$F$66,4,0)*F131</f>
        <v>30</v>
      </c>
    </row>
    <row r="132" spans="1:8" x14ac:dyDescent="0.35">
      <c r="B132" t="s">
        <v>102</v>
      </c>
      <c r="D132" t="s">
        <v>61</v>
      </c>
      <c r="E132" s="3">
        <f>VLOOKUP(D132,'Bu Erta'!$C$2:$E$66,3,0)</f>
        <v>800</v>
      </c>
      <c r="F132">
        <v>0.1</v>
      </c>
      <c r="G132" s="3">
        <f t="shared" si="7"/>
        <v>80</v>
      </c>
      <c r="H132" s="3">
        <f>VLOOKUP(D132,'Bu Erta'!$C$2:$F$66,4,0)*F132</f>
        <v>90</v>
      </c>
    </row>
    <row r="133" spans="1:8" x14ac:dyDescent="0.35">
      <c r="B133" t="s">
        <v>102</v>
      </c>
      <c r="D133" t="s">
        <v>19</v>
      </c>
      <c r="E133" s="3">
        <f>VLOOKUP(D133,'Bu Erta'!$C$2:$E$66,3,0)</f>
        <v>200</v>
      </c>
      <c r="F133">
        <v>0.7</v>
      </c>
      <c r="G133" s="3">
        <f t="shared" ref="G133:G196" si="8">E133*F133</f>
        <v>140</v>
      </c>
      <c r="H133" s="3">
        <f>VLOOKUP(D133,'Bu Erta'!$C$2:$F$66,4,0)*F133</f>
        <v>210</v>
      </c>
    </row>
    <row r="134" spans="1:8" x14ac:dyDescent="0.35">
      <c r="B134" t="s">
        <v>102</v>
      </c>
      <c r="D134" t="s">
        <v>88</v>
      </c>
      <c r="E134" s="3">
        <f>VLOOKUP(D134,'Bu Erta'!$C$2:$E$66,3,0)</f>
        <v>300</v>
      </c>
      <c r="F134">
        <v>0.1</v>
      </c>
      <c r="G134" s="3">
        <f t="shared" si="8"/>
        <v>30</v>
      </c>
      <c r="H134" s="3">
        <f>VLOOKUP(D134,'Bu Erta'!$C$2:$F$66,4,0)*F134</f>
        <v>40</v>
      </c>
    </row>
    <row r="135" spans="1:8" x14ac:dyDescent="0.35">
      <c r="A135" s="5">
        <v>19</v>
      </c>
      <c r="B135" t="s">
        <v>136</v>
      </c>
      <c r="C135" s="1">
        <v>4</v>
      </c>
      <c r="D135" t="s">
        <v>27</v>
      </c>
      <c r="E135" s="3">
        <f>VLOOKUP(D135,'Bu Erta'!$C$2:$E$66,3,0)</f>
        <v>2800</v>
      </c>
      <c r="F135">
        <v>0.8</v>
      </c>
      <c r="G135" s="3">
        <f t="shared" si="8"/>
        <v>2240</v>
      </c>
      <c r="H135" s="3">
        <f>VLOOKUP(D135,'Bu Erta'!$C$2:$F$66,4,0)*F135</f>
        <v>2480</v>
      </c>
    </row>
    <row r="136" spans="1:8" x14ac:dyDescent="0.35">
      <c r="B136" t="s">
        <v>136</v>
      </c>
      <c r="D136" t="s">
        <v>34</v>
      </c>
      <c r="E136" s="3">
        <f>VLOOKUP(D136,'Bu Erta'!$C$2:$E$66,3,0)</f>
        <v>3500</v>
      </c>
      <c r="F136">
        <v>0.45</v>
      </c>
      <c r="G136" s="3">
        <f t="shared" si="8"/>
        <v>1575</v>
      </c>
      <c r="H136" s="3">
        <f>VLOOKUP(D136,'Bu Erta'!$C$2:$F$66,4,0)*F136</f>
        <v>1620</v>
      </c>
    </row>
    <row r="137" spans="1:8" x14ac:dyDescent="0.35">
      <c r="B137" t="s">
        <v>136</v>
      </c>
      <c r="D137" t="s">
        <v>7</v>
      </c>
      <c r="E137" s="3">
        <f>VLOOKUP(D137,'Bu Erta'!$C$2:$E$66,3,0)</f>
        <v>1400</v>
      </c>
      <c r="F137">
        <f>2.7+0.65+1.95</f>
        <v>5.3</v>
      </c>
      <c r="G137" s="3">
        <f t="shared" si="8"/>
        <v>7420</v>
      </c>
      <c r="H137" s="3">
        <f>VLOOKUP(D137,'Bu Erta'!$C$2:$F$66,4,0)*F137</f>
        <v>8480</v>
      </c>
    </row>
    <row r="138" spans="1:8" x14ac:dyDescent="0.35">
      <c r="B138" t="s">
        <v>136</v>
      </c>
      <c r="D138" t="s">
        <v>23</v>
      </c>
      <c r="E138" s="3">
        <f>VLOOKUP(D138,'Bu Erta'!$C$2:$E$66,3,0)</f>
        <v>300</v>
      </c>
      <c r="F138">
        <v>0.85</v>
      </c>
      <c r="G138" s="3">
        <f t="shared" si="8"/>
        <v>255</v>
      </c>
      <c r="H138" s="3">
        <f>VLOOKUP(D138,'Bu Erta'!$C$2:$F$66,4,0)*F138</f>
        <v>340</v>
      </c>
    </row>
    <row r="139" spans="1:8" x14ac:dyDescent="0.35">
      <c r="B139" t="s">
        <v>136</v>
      </c>
      <c r="D139" t="s">
        <v>88</v>
      </c>
      <c r="E139" s="3">
        <f>VLOOKUP(D139,'Bu Erta'!$C$2:$E$66,3,0)</f>
        <v>300</v>
      </c>
      <c r="F139">
        <v>0.3</v>
      </c>
      <c r="G139" s="3">
        <f t="shared" si="8"/>
        <v>90</v>
      </c>
      <c r="H139" s="3">
        <f>VLOOKUP(D139,'Bu Erta'!$C$2:$F$66,4,0)*F139</f>
        <v>120</v>
      </c>
    </row>
    <row r="140" spans="1:8" x14ac:dyDescent="0.35">
      <c r="B140" t="s">
        <v>136</v>
      </c>
      <c r="D140" t="s">
        <v>60</v>
      </c>
      <c r="E140" s="3">
        <f>VLOOKUP(D140,'Bu Erta'!$C$2:$E$66,3,0)</f>
        <v>1200</v>
      </c>
      <c r="F140">
        <v>0.1</v>
      </c>
      <c r="G140" s="3">
        <f t="shared" si="8"/>
        <v>120</v>
      </c>
      <c r="H140" s="3">
        <f>VLOOKUP(D140,'Bu Erta'!$C$2:$F$66,4,0)*F140</f>
        <v>150</v>
      </c>
    </row>
    <row r="141" spans="1:8" x14ac:dyDescent="0.35">
      <c r="A141" s="5">
        <v>20</v>
      </c>
      <c r="B141" t="s">
        <v>189</v>
      </c>
      <c r="C141" s="1">
        <v>5</v>
      </c>
      <c r="D141" t="s">
        <v>42</v>
      </c>
      <c r="E141" s="3">
        <f>VLOOKUP(D141,'Bu Erta'!$C$2:$E$66,3,0)</f>
        <v>1000</v>
      </c>
      <c r="F141">
        <v>5.65</v>
      </c>
      <c r="G141" s="3">
        <f t="shared" si="8"/>
        <v>5650</v>
      </c>
      <c r="H141" s="3">
        <f>VLOOKUP(D141,'Bu Erta'!$C$2:$F$66,4,0)*F141</f>
        <v>6780</v>
      </c>
    </row>
    <row r="142" spans="1:8" x14ac:dyDescent="0.35">
      <c r="B142" t="s">
        <v>189</v>
      </c>
      <c r="D142" t="s">
        <v>27</v>
      </c>
      <c r="E142" s="3">
        <f>VLOOKUP(D142,'Bu Erta'!$C$2:$E$66,3,0)</f>
        <v>2800</v>
      </c>
      <c r="F142">
        <f>0.85+0.3</f>
        <v>1.1499999999999999</v>
      </c>
      <c r="G142" s="3">
        <f t="shared" si="8"/>
        <v>3219.9999999999995</v>
      </c>
      <c r="H142" s="3">
        <f>VLOOKUP(D142,'Bu Erta'!$C$2:$F$66,4,0)*F142</f>
        <v>3564.9999999999995</v>
      </c>
    </row>
    <row r="143" spans="1:8" x14ac:dyDescent="0.35">
      <c r="B143" t="s">
        <v>189</v>
      </c>
      <c r="D143" t="s">
        <v>34</v>
      </c>
      <c r="E143" s="3">
        <f>VLOOKUP(D143,'Bu Erta'!$C$2:$E$66,3,0)</f>
        <v>3500</v>
      </c>
      <c r="F143">
        <v>2.6</v>
      </c>
      <c r="G143" s="3">
        <f t="shared" si="8"/>
        <v>9100</v>
      </c>
      <c r="H143" s="3">
        <f>VLOOKUP(D143,'Bu Erta'!$C$2:$F$66,4,0)*F143</f>
        <v>9360</v>
      </c>
    </row>
    <row r="144" spans="1:8" x14ac:dyDescent="0.35">
      <c r="B144" t="s">
        <v>189</v>
      </c>
      <c r="D144" t="s">
        <v>69</v>
      </c>
      <c r="E144" s="3">
        <f>VLOOKUP(D144,'Bu Erta'!$C$2:$E$66,3,0)</f>
        <v>2500</v>
      </c>
      <c r="F144">
        <v>0.2</v>
      </c>
      <c r="G144" s="3">
        <f t="shared" si="8"/>
        <v>500</v>
      </c>
      <c r="H144" s="3">
        <f>VLOOKUP(D144,'Bu Erta'!$C$2:$F$66,4,0)*F144</f>
        <v>600</v>
      </c>
    </row>
    <row r="145" spans="1:8" x14ac:dyDescent="0.35">
      <c r="B145" t="s">
        <v>189</v>
      </c>
      <c r="D145" t="s">
        <v>19</v>
      </c>
      <c r="E145" s="3">
        <f>VLOOKUP(D145,'Bu Erta'!$C$2:$E$66,3,0)</f>
        <v>200</v>
      </c>
      <c r="F145">
        <v>0.7</v>
      </c>
      <c r="G145" s="3">
        <f t="shared" si="8"/>
        <v>140</v>
      </c>
      <c r="H145" s="3">
        <f>VLOOKUP(D145,'Bu Erta'!$C$2:$F$66,4,0)*F145</f>
        <v>210</v>
      </c>
    </row>
    <row r="146" spans="1:8" x14ac:dyDescent="0.35">
      <c r="B146" t="s">
        <v>189</v>
      </c>
      <c r="D146" t="s">
        <v>61</v>
      </c>
      <c r="E146" s="3">
        <f>VLOOKUP(D146,'Bu Erta'!$C$2:$E$66,3,0)</f>
        <v>800</v>
      </c>
      <c r="F146">
        <v>0.15</v>
      </c>
      <c r="G146" s="3">
        <f t="shared" si="8"/>
        <v>120</v>
      </c>
      <c r="H146" s="3">
        <f>VLOOKUP(D146,'Bu Erta'!$C$2:$F$66,4,0)*F146</f>
        <v>135</v>
      </c>
    </row>
    <row r="147" spans="1:8" x14ac:dyDescent="0.35">
      <c r="B147" t="s">
        <v>189</v>
      </c>
      <c r="D147" t="s">
        <v>7</v>
      </c>
      <c r="E147" s="3">
        <f>VLOOKUP(D147,'Bu Erta'!$C$2:$E$66,3,0)</f>
        <v>1400</v>
      </c>
      <c r="F147">
        <v>1.65</v>
      </c>
      <c r="G147" s="3">
        <f t="shared" si="8"/>
        <v>2310</v>
      </c>
      <c r="H147" s="3">
        <f>VLOOKUP(D147,'Bu Erta'!$C$2:$F$66,4,0)*F147</f>
        <v>2640</v>
      </c>
    </row>
    <row r="148" spans="1:8" x14ac:dyDescent="0.35">
      <c r="B148" t="s">
        <v>189</v>
      </c>
      <c r="D148" t="s">
        <v>40</v>
      </c>
      <c r="E148" s="3">
        <f>VLOOKUP(D148,'Bu Erta'!$C$2:$E$66,3,0)</f>
        <v>1800</v>
      </c>
      <c r="F148">
        <v>0.75</v>
      </c>
      <c r="G148" s="3">
        <f t="shared" si="8"/>
        <v>1350</v>
      </c>
      <c r="H148" s="3">
        <f>VLOOKUP(D148,'Bu Erta'!$C$2:$F$66,4,0)*F148</f>
        <v>1500</v>
      </c>
    </row>
    <row r="149" spans="1:8" x14ac:dyDescent="0.35">
      <c r="B149" t="s">
        <v>189</v>
      </c>
      <c r="D149" t="s">
        <v>22</v>
      </c>
      <c r="E149" s="3">
        <f>VLOOKUP(D149,'Bu Erta'!$C$2:$E$66,3,0)</f>
        <v>2500</v>
      </c>
      <c r="F149">
        <v>3.05</v>
      </c>
      <c r="G149" s="3">
        <f t="shared" si="8"/>
        <v>7625</v>
      </c>
      <c r="H149" s="3">
        <f>VLOOKUP(D149,'Bu Erta'!$C$2:$F$66,4,0)*F149</f>
        <v>9150</v>
      </c>
    </row>
    <row r="150" spans="1:8" x14ac:dyDescent="0.35">
      <c r="A150" s="5">
        <v>21</v>
      </c>
      <c r="B150" t="s">
        <v>76</v>
      </c>
      <c r="C150" s="1">
        <v>3</v>
      </c>
      <c r="D150" t="s">
        <v>27</v>
      </c>
      <c r="E150" s="3">
        <f>VLOOKUP(D150,'Bu Erta'!$C$2:$E$66,3,0)</f>
        <v>2800</v>
      </c>
      <c r="F150">
        <v>0.8</v>
      </c>
      <c r="G150" s="3">
        <f t="shared" si="8"/>
        <v>2240</v>
      </c>
      <c r="H150" s="3">
        <f>VLOOKUP(D150,'Bu Erta'!$C$2:$F$66,4,0)*F150</f>
        <v>2480</v>
      </c>
    </row>
    <row r="151" spans="1:8" x14ac:dyDescent="0.35">
      <c r="B151" t="s">
        <v>76</v>
      </c>
      <c r="D151" t="s">
        <v>61</v>
      </c>
      <c r="E151" s="3">
        <f>VLOOKUP(D151,'Bu Erta'!$C$2:$E$66,3,0)</f>
        <v>800</v>
      </c>
      <c r="F151">
        <v>0.35</v>
      </c>
      <c r="G151" s="3">
        <f t="shared" si="8"/>
        <v>280</v>
      </c>
      <c r="H151" s="3">
        <f>VLOOKUP(D151,'Bu Erta'!$C$2:$F$66,4,0)*F151</f>
        <v>315</v>
      </c>
    </row>
    <row r="152" spans="1:8" x14ac:dyDescent="0.35">
      <c r="B152" t="s">
        <v>76</v>
      </c>
      <c r="D152" t="s">
        <v>88</v>
      </c>
      <c r="E152" s="3">
        <f>VLOOKUP(D152,'Bu Erta'!$C$2:$E$66,3,0)</f>
        <v>300</v>
      </c>
      <c r="F152">
        <v>0.3</v>
      </c>
      <c r="G152" s="3">
        <f t="shared" si="8"/>
        <v>90</v>
      </c>
      <c r="H152" s="3">
        <f>VLOOKUP(D152,'Bu Erta'!$C$2:$F$66,4,0)*F152</f>
        <v>120</v>
      </c>
    </row>
    <row r="153" spans="1:8" x14ac:dyDescent="0.35">
      <c r="B153" t="s">
        <v>76</v>
      </c>
      <c r="D153" t="s">
        <v>37</v>
      </c>
      <c r="E153" s="3">
        <f>VLOOKUP(D153,'Bu Erta'!$C$2:$E$66,3,0)</f>
        <v>1600</v>
      </c>
      <c r="F153">
        <v>0.25</v>
      </c>
      <c r="G153" s="3">
        <f t="shared" si="8"/>
        <v>400</v>
      </c>
      <c r="H153" s="3">
        <f>VLOOKUP(D153,'Bu Erta'!$C$2:$F$66,4,0)*F153</f>
        <v>500</v>
      </c>
    </row>
    <row r="154" spans="1:8" x14ac:dyDescent="0.35">
      <c r="B154" t="s">
        <v>76</v>
      </c>
      <c r="D154" t="s">
        <v>42</v>
      </c>
      <c r="E154" s="3">
        <f>VLOOKUP(D154,'Bu Erta'!$C$2:$E$66,3,0)</f>
        <v>1000</v>
      </c>
      <c r="F154">
        <v>3.55</v>
      </c>
      <c r="G154" s="3">
        <f t="shared" si="8"/>
        <v>3550</v>
      </c>
      <c r="H154" s="3">
        <f>VLOOKUP(D154,'Bu Erta'!$C$2:$F$66,4,0)*F154</f>
        <v>4260</v>
      </c>
    </row>
    <row r="155" spans="1:8" x14ac:dyDescent="0.35">
      <c r="B155" t="s">
        <v>76</v>
      </c>
      <c r="D155" t="s">
        <v>7</v>
      </c>
      <c r="E155" s="3">
        <f>VLOOKUP(D155,'Bu Erta'!$C$2:$E$66,3,0)</f>
        <v>1400</v>
      </c>
      <c r="F155">
        <f>0.1+0.7</f>
        <v>0.79999999999999993</v>
      </c>
      <c r="G155" s="3">
        <f t="shared" si="8"/>
        <v>1120</v>
      </c>
      <c r="H155" s="3">
        <f>VLOOKUP(D155,'Bu Erta'!$C$2:$F$66,4,0)*F155</f>
        <v>1280</v>
      </c>
    </row>
    <row r="156" spans="1:8" x14ac:dyDescent="0.35">
      <c r="B156" t="s">
        <v>76</v>
      </c>
      <c r="D156" t="s">
        <v>34</v>
      </c>
      <c r="E156" s="3">
        <f>VLOOKUP(D156,'Bu Erta'!$C$2:$E$66,3,0)</f>
        <v>3500</v>
      </c>
      <c r="F156">
        <v>0.25</v>
      </c>
      <c r="G156" s="3">
        <f t="shared" si="8"/>
        <v>875</v>
      </c>
      <c r="H156" s="3">
        <f>VLOOKUP(D156,'Bu Erta'!$C$2:$F$66,4,0)*F156</f>
        <v>900</v>
      </c>
    </row>
    <row r="157" spans="1:8" x14ac:dyDescent="0.35">
      <c r="B157" t="s">
        <v>76</v>
      </c>
      <c r="D157" t="s">
        <v>23</v>
      </c>
      <c r="E157" s="3">
        <f>VLOOKUP(D157,'Bu Erta'!$C$2:$E$66,3,0)</f>
        <v>300</v>
      </c>
      <c r="F157">
        <v>1</v>
      </c>
      <c r="G157" s="3">
        <f t="shared" si="8"/>
        <v>300</v>
      </c>
      <c r="H157" s="3">
        <f>VLOOKUP(D157,'Bu Erta'!$C$2:$F$66,4,0)*F157</f>
        <v>400</v>
      </c>
    </row>
    <row r="158" spans="1:8" x14ac:dyDescent="0.35">
      <c r="B158" t="s">
        <v>76</v>
      </c>
      <c r="D158" t="s">
        <v>19</v>
      </c>
      <c r="E158" s="3">
        <f>VLOOKUP(D158,'Bu Erta'!$C$2:$E$66,3,0)</f>
        <v>200</v>
      </c>
      <c r="F158">
        <v>2.15</v>
      </c>
      <c r="G158" s="3">
        <f t="shared" si="8"/>
        <v>430</v>
      </c>
      <c r="H158" s="3">
        <f>VLOOKUP(D158,'Bu Erta'!$C$2:$F$66,4,0)*F158</f>
        <v>645</v>
      </c>
    </row>
    <row r="159" spans="1:8" x14ac:dyDescent="0.35">
      <c r="B159" t="s">
        <v>76</v>
      </c>
      <c r="D159" t="s">
        <v>65</v>
      </c>
      <c r="E159" s="3">
        <f>VLOOKUP(D159,'Bu Erta'!$C$2:$E$66,3,0)</f>
        <v>150</v>
      </c>
      <c r="F159">
        <v>0.2</v>
      </c>
      <c r="G159" s="3">
        <f t="shared" si="8"/>
        <v>30</v>
      </c>
      <c r="H159" s="3">
        <f>VLOOKUP(D159,'Bu Erta'!$C$2:$F$66,4,0)*F159</f>
        <v>40</v>
      </c>
    </row>
    <row r="160" spans="1:8" x14ac:dyDescent="0.35">
      <c r="B160" t="s">
        <v>76</v>
      </c>
      <c r="D160" t="s">
        <v>41</v>
      </c>
      <c r="E160" s="3">
        <f>VLOOKUP(D160,'Bu Erta'!$C$2:$E$66,3,0)</f>
        <v>1500</v>
      </c>
      <c r="F160">
        <v>0.15</v>
      </c>
      <c r="G160" s="3">
        <f t="shared" si="8"/>
        <v>225</v>
      </c>
      <c r="H160" s="3">
        <f>VLOOKUP(D160,'Bu Erta'!$C$2:$F$66,4,0)*F160</f>
        <v>300</v>
      </c>
    </row>
    <row r="161" spans="1:8" x14ac:dyDescent="0.35">
      <c r="B161" t="s">
        <v>76</v>
      </c>
      <c r="D161" t="s">
        <v>17</v>
      </c>
      <c r="E161" s="3">
        <f>VLOOKUP(D161,'Bu Erta'!$C$2:$E$66,3,0)</f>
        <v>8000</v>
      </c>
      <c r="F161">
        <v>0.1</v>
      </c>
      <c r="G161" s="3">
        <f t="shared" si="8"/>
        <v>800</v>
      </c>
      <c r="H161" s="3">
        <f>VLOOKUP(D161,'Bu Erta'!$C$2:$F$66,4,0)*F161</f>
        <v>850</v>
      </c>
    </row>
    <row r="162" spans="1:8" x14ac:dyDescent="0.35">
      <c r="B162" t="s">
        <v>76</v>
      </c>
      <c r="D162" t="s">
        <v>24</v>
      </c>
      <c r="E162" s="3">
        <f>VLOOKUP(D162,'Bu Erta'!$C$2:$E$66,3,0)</f>
        <v>150</v>
      </c>
      <c r="F162">
        <v>1.6</v>
      </c>
      <c r="G162" s="3">
        <f t="shared" si="8"/>
        <v>240</v>
      </c>
      <c r="H162" s="3">
        <f>VLOOKUP(D162,'Bu Erta'!$C$2:$F$66,4,0)*F162</f>
        <v>320</v>
      </c>
    </row>
    <row r="163" spans="1:8" x14ac:dyDescent="0.35">
      <c r="B163" t="s">
        <v>76</v>
      </c>
      <c r="D163" t="s">
        <v>38</v>
      </c>
      <c r="E163" s="3">
        <f>VLOOKUP(D163,'Bu Erta'!$C$2:$E$66,3,0)</f>
        <v>1400</v>
      </c>
      <c r="F163">
        <v>0.35</v>
      </c>
      <c r="G163" s="3">
        <f t="shared" si="8"/>
        <v>489.99999999999994</v>
      </c>
      <c r="H163" s="3">
        <f>VLOOKUP(D163,'Bu Erta'!$C$2:$F$66,4,0)*F163</f>
        <v>560</v>
      </c>
    </row>
    <row r="164" spans="1:8" x14ac:dyDescent="0.35">
      <c r="A164" s="5">
        <v>22</v>
      </c>
      <c r="B164" t="s">
        <v>152</v>
      </c>
      <c r="C164" s="1">
        <v>4</v>
      </c>
      <c r="D164" t="s">
        <v>28</v>
      </c>
      <c r="E164" s="3">
        <f>VLOOKUP(D164,'Bu Erta'!$C$2:$E$66,3,0)</f>
        <v>1200</v>
      </c>
      <c r="F164">
        <v>10.55</v>
      </c>
      <c r="G164" s="3">
        <f t="shared" si="8"/>
        <v>12660</v>
      </c>
      <c r="H164" s="3">
        <f>VLOOKUP(D164,'Bu Erta'!$C$2:$F$66,4,0)*F164</f>
        <v>13715.000000000002</v>
      </c>
    </row>
    <row r="165" spans="1:8" x14ac:dyDescent="0.35">
      <c r="B165" t="s">
        <v>152</v>
      </c>
      <c r="D165" t="s">
        <v>61</v>
      </c>
      <c r="E165" s="3">
        <f>VLOOKUP(D165,'Bu Erta'!$C$2:$E$66,3,0)</f>
        <v>800</v>
      </c>
      <c r="F165">
        <v>0.1</v>
      </c>
      <c r="G165" s="3">
        <f t="shared" si="8"/>
        <v>80</v>
      </c>
      <c r="H165" s="3">
        <f>VLOOKUP(D165,'Bu Erta'!$C$2:$F$66,4,0)*F165</f>
        <v>90</v>
      </c>
    </row>
    <row r="166" spans="1:8" x14ac:dyDescent="0.35">
      <c r="B166" t="s">
        <v>152</v>
      </c>
      <c r="D166" t="s">
        <v>25</v>
      </c>
      <c r="E166" s="3">
        <f>VLOOKUP(D166,'Bu Erta'!$C$2:$E$66,3,0)</f>
        <v>1600</v>
      </c>
      <c r="F166">
        <v>0.1</v>
      </c>
      <c r="G166" s="3">
        <f t="shared" si="8"/>
        <v>160</v>
      </c>
      <c r="H166" s="3">
        <f>VLOOKUP(D166,'Bu Erta'!$C$2:$F$66,4,0)*F166</f>
        <v>170</v>
      </c>
    </row>
    <row r="167" spans="1:8" x14ac:dyDescent="0.35">
      <c r="B167" t="s">
        <v>152</v>
      </c>
      <c r="D167" t="s">
        <v>7</v>
      </c>
      <c r="E167" s="3">
        <f>VLOOKUP(D167,'Bu Erta'!$C$2:$E$66,3,0)</f>
        <v>1400</v>
      </c>
      <c r="F167">
        <v>0.1</v>
      </c>
      <c r="G167" s="3">
        <f t="shared" si="8"/>
        <v>140</v>
      </c>
      <c r="H167" s="3">
        <f>VLOOKUP(D167,'Bu Erta'!$C$2:$F$66,4,0)*F167</f>
        <v>160</v>
      </c>
    </row>
    <row r="168" spans="1:8" x14ac:dyDescent="0.35">
      <c r="B168" t="s">
        <v>152</v>
      </c>
      <c r="D168" t="s">
        <v>42</v>
      </c>
      <c r="E168" s="3">
        <f>VLOOKUP(D168,'Bu Erta'!$C$2:$E$66,3,0)</f>
        <v>1000</v>
      </c>
      <c r="F168">
        <v>0.5</v>
      </c>
      <c r="G168" s="3">
        <f t="shared" si="8"/>
        <v>500</v>
      </c>
      <c r="H168" s="3">
        <f>VLOOKUP(D168,'Bu Erta'!$C$2:$F$66,4,0)*F168</f>
        <v>600</v>
      </c>
    </row>
    <row r="169" spans="1:8" x14ac:dyDescent="0.35">
      <c r="A169" s="5">
        <v>23</v>
      </c>
      <c r="B169" t="s">
        <v>259</v>
      </c>
      <c r="C169" s="5">
        <v>3</v>
      </c>
      <c r="D169" t="s">
        <v>41</v>
      </c>
      <c r="E169" s="3">
        <f>VLOOKUP(D169,'Bu Erta'!$C$2:$E$66,3,0)</f>
        <v>1500</v>
      </c>
      <c r="F169">
        <v>1</v>
      </c>
      <c r="G169" s="3">
        <f t="shared" si="8"/>
        <v>1500</v>
      </c>
      <c r="H169" s="3">
        <f>VLOOKUP(D169,'Bu Erta'!$C$2:$F$66,4,0)*F169</f>
        <v>2000</v>
      </c>
    </row>
    <row r="170" spans="1:8" x14ac:dyDescent="0.35">
      <c r="B170" t="s">
        <v>259</v>
      </c>
      <c r="D170" t="s">
        <v>25</v>
      </c>
      <c r="E170" s="3">
        <f>VLOOKUP(D170,'Bu Erta'!$C$2:$E$66,3,0)</f>
        <v>1600</v>
      </c>
      <c r="F170">
        <v>0.55000000000000004</v>
      </c>
      <c r="G170" s="3">
        <f t="shared" si="8"/>
        <v>880.00000000000011</v>
      </c>
      <c r="H170" s="3">
        <f>VLOOKUP(D170,'Bu Erta'!$C$2:$F$66,4,0)*F170</f>
        <v>935.00000000000011</v>
      </c>
    </row>
    <row r="171" spans="1:8" x14ac:dyDescent="0.35">
      <c r="A171" s="5">
        <v>24</v>
      </c>
      <c r="B171" t="s">
        <v>118</v>
      </c>
      <c r="C171" s="1">
        <v>4</v>
      </c>
      <c r="D171" t="s">
        <v>88</v>
      </c>
      <c r="E171" s="3">
        <f>VLOOKUP(D171,'Bu Erta'!$C$2:$E$66,3,0)</f>
        <v>300</v>
      </c>
      <c r="F171">
        <v>0.3</v>
      </c>
      <c r="G171" s="3">
        <f t="shared" si="8"/>
        <v>90</v>
      </c>
      <c r="H171" s="3">
        <f>VLOOKUP(D171,'Bu Erta'!$C$2:$F$66,4,0)*F171</f>
        <v>120</v>
      </c>
    </row>
    <row r="172" spans="1:8" x14ac:dyDescent="0.35">
      <c r="B172" t="s">
        <v>118</v>
      </c>
      <c r="D172" t="s">
        <v>69</v>
      </c>
      <c r="E172" s="3">
        <f>VLOOKUP(D172,'Bu Erta'!$C$2:$E$66,3,0)</f>
        <v>2500</v>
      </c>
      <c r="F172">
        <v>0.1</v>
      </c>
      <c r="G172" s="3">
        <f t="shared" si="8"/>
        <v>250</v>
      </c>
      <c r="H172" s="3">
        <f>VLOOKUP(D172,'Bu Erta'!$C$2:$F$66,4,0)*F172</f>
        <v>300</v>
      </c>
    </row>
    <row r="173" spans="1:8" x14ac:dyDescent="0.35">
      <c r="B173" t="s">
        <v>118</v>
      </c>
      <c r="D173" t="s">
        <v>41</v>
      </c>
      <c r="E173" s="3">
        <f>VLOOKUP(D173,'Bu Erta'!$C$2:$E$66,3,0)</f>
        <v>1500</v>
      </c>
      <c r="F173">
        <v>0.55000000000000004</v>
      </c>
      <c r="G173" s="3">
        <f t="shared" si="8"/>
        <v>825.00000000000011</v>
      </c>
      <c r="H173" s="3">
        <f>VLOOKUP(D173,'Bu Erta'!$C$2:$F$66,4,0)*F173</f>
        <v>1100</v>
      </c>
    </row>
    <row r="174" spans="1:8" x14ac:dyDescent="0.35">
      <c r="B174" t="s">
        <v>118</v>
      </c>
      <c r="D174" t="s">
        <v>25</v>
      </c>
      <c r="E174" s="3">
        <f>VLOOKUP(D174,'Bu Erta'!$C$2:$E$66,3,0)</f>
        <v>1600</v>
      </c>
      <c r="F174">
        <v>0.2</v>
      </c>
      <c r="G174" s="3">
        <f t="shared" si="8"/>
        <v>320</v>
      </c>
      <c r="H174" s="3">
        <f>VLOOKUP(D174,'Bu Erta'!$C$2:$F$66,4,0)*F174</f>
        <v>340</v>
      </c>
    </row>
    <row r="175" spans="1:8" x14ac:dyDescent="0.35">
      <c r="B175" t="s">
        <v>118</v>
      </c>
      <c r="D175" t="s">
        <v>7</v>
      </c>
      <c r="E175" s="3">
        <f>VLOOKUP(D175,'Bu Erta'!$C$2:$E$66,3,0)</f>
        <v>1400</v>
      </c>
      <c r="F175">
        <v>0.2</v>
      </c>
      <c r="G175" s="3">
        <f t="shared" si="8"/>
        <v>280</v>
      </c>
      <c r="H175" s="3">
        <f>VLOOKUP(D175,'Bu Erta'!$C$2:$F$66,4,0)*F175</f>
        <v>320</v>
      </c>
    </row>
    <row r="176" spans="1:8" x14ac:dyDescent="0.35">
      <c r="B176" t="s">
        <v>118</v>
      </c>
      <c r="D176" t="s">
        <v>19</v>
      </c>
      <c r="E176" s="3">
        <f>VLOOKUP(D176,'Bu Erta'!$C$2:$E$66,3,0)</f>
        <v>200</v>
      </c>
      <c r="F176">
        <v>0.2</v>
      </c>
      <c r="G176" s="3">
        <f t="shared" si="8"/>
        <v>40</v>
      </c>
      <c r="H176" s="3">
        <f>VLOOKUP(D176,'Bu Erta'!$C$2:$F$66,4,0)*F176</f>
        <v>60</v>
      </c>
    </row>
    <row r="177" spans="1:8" x14ac:dyDescent="0.35">
      <c r="B177" t="s">
        <v>118</v>
      </c>
      <c r="D177" t="s">
        <v>65</v>
      </c>
      <c r="E177" s="3">
        <f>VLOOKUP(D177,'Bu Erta'!$C$2:$E$66,3,0)</f>
        <v>150</v>
      </c>
      <c r="F177">
        <v>0.15</v>
      </c>
      <c r="G177" s="3">
        <f t="shared" si="8"/>
        <v>22.5</v>
      </c>
      <c r="H177" s="3">
        <f>VLOOKUP(D177,'Bu Erta'!$C$2:$F$66,4,0)*F177</f>
        <v>30</v>
      </c>
    </row>
    <row r="178" spans="1:8" x14ac:dyDescent="0.35">
      <c r="B178" t="s">
        <v>118</v>
      </c>
      <c r="D178" t="s">
        <v>42</v>
      </c>
      <c r="E178" s="3">
        <f>VLOOKUP(D178,'Bu Erta'!$C$2:$E$66,3,0)</f>
        <v>1000</v>
      </c>
      <c r="F178">
        <v>0.95</v>
      </c>
      <c r="G178" s="3">
        <f t="shared" si="8"/>
        <v>950</v>
      </c>
      <c r="H178" s="3">
        <f>VLOOKUP(D178,'Bu Erta'!$C$2:$F$66,4,0)*F178</f>
        <v>1140</v>
      </c>
    </row>
    <row r="179" spans="1:8" x14ac:dyDescent="0.35">
      <c r="B179" t="s">
        <v>118</v>
      </c>
      <c r="D179" t="s">
        <v>23</v>
      </c>
      <c r="E179" s="3">
        <f>VLOOKUP(D179,'Bu Erta'!$C$2:$E$66,3,0)</f>
        <v>300</v>
      </c>
      <c r="F179">
        <v>0.35</v>
      </c>
      <c r="G179" s="3">
        <f t="shared" si="8"/>
        <v>105</v>
      </c>
      <c r="H179" s="3">
        <f>VLOOKUP(D179,'Bu Erta'!$C$2:$F$66,4,0)*F179</f>
        <v>140</v>
      </c>
    </row>
    <row r="180" spans="1:8" x14ac:dyDescent="0.35">
      <c r="A180" s="5">
        <v>25</v>
      </c>
      <c r="B180" t="s">
        <v>89</v>
      </c>
      <c r="C180" s="5">
        <v>4</v>
      </c>
      <c r="D180" t="s">
        <v>19</v>
      </c>
      <c r="E180" s="3">
        <f>VLOOKUP(D180,'Bu Erta'!$C$2:$E$66,3,0)</f>
        <v>200</v>
      </c>
      <c r="F180">
        <v>0.95</v>
      </c>
      <c r="G180" s="3">
        <f t="shared" si="8"/>
        <v>190</v>
      </c>
      <c r="H180" s="3">
        <f>VLOOKUP(D180,'Bu Erta'!$C$2:$F$66,4,0)*F180</f>
        <v>285</v>
      </c>
    </row>
    <row r="181" spans="1:8" x14ac:dyDescent="0.35">
      <c r="B181" t="s">
        <v>89</v>
      </c>
      <c r="D181" t="s">
        <v>27</v>
      </c>
      <c r="E181" s="3">
        <f>VLOOKUP(D181,'Bu Erta'!$C$2:$E$66,3,0)</f>
        <v>2800</v>
      </c>
      <c r="F181">
        <f>0.4+0.35</f>
        <v>0.75</v>
      </c>
      <c r="G181" s="3">
        <f t="shared" si="8"/>
        <v>2100</v>
      </c>
      <c r="H181" s="3">
        <f>VLOOKUP(D181,'Bu Erta'!$C$2:$F$66,4,0)*F181</f>
        <v>2325</v>
      </c>
    </row>
    <row r="182" spans="1:8" x14ac:dyDescent="0.35">
      <c r="B182" t="s">
        <v>89</v>
      </c>
      <c r="D182" t="s">
        <v>88</v>
      </c>
      <c r="E182" s="3">
        <f>VLOOKUP(D182,'Bu Erta'!$C$2:$E$66,3,0)</f>
        <v>300</v>
      </c>
      <c r="F182">
        <v>0.35</v>
      </c>
      <c r="G182" s="3">
        <f t="shared" si="8"/>
        <v>105</v>
      </c>
      <c r="H182" s="3">
        <f>VLOOKUP(D182,'Bu Erta'!$C$2:$F$66,4,0)*F182</f>
        <v>140</v>
      </c>
    </row>
    <row r="183" spans="1:8" x14ac:dyDescent="0.35">
      <c r="B183" t="s">
        <v>89</v>
      </c>
      <c r="D183" t="s">
        <v>23</v>
      </c>
      <c r="E183" s="3">
        <f>VLOOKUP(D183,'Bu Erta'!$C$2:$E$66,3,0)</f>
        <v>300</v>
      </c>
      <c r="F183">
        <v>0.8</v>
      </c>
      <c r="G183" s="3">
        <f t="shared" si="8"/>
        <v>240</v>
      </c>
      <c r="H183" s="3">
        <f>VLOOKUP(D183,'Bu Erta'!$C$2:$F$66,4,0)*F183</f>
        <v>320</v>
      </c>
    </row>
    <row r="184" spans="1:8" x14ac:dyDescent="0.35">
      <c r="B184" t="s">
        <v>89</v>
      </c>
      <c r="D184" t="s">
        <v>25</v>
      </c>
      <c r="E184" s="3">
        <f>VLOOKUP(D184,'Bu Erta'!$C$2:$E$66,3,0)</f>
        <v>1600</v>
      </c>
      <c r="F184">
        <v>0.15</v>
      </c>
      <c r="G184" s="3">
        <f t="shared" si="8"/>
        <v>240</v>
      </c>
      <c r="H184" s="3">
        <f>VLOOKUP(D184,'Bu Erta'!$C$2:$F$66,4,0)*F184</f>
        <v>255</v>
      </c>
    </row>
    <row r="185" spans="1:8" x14ac:dyDescent="0.35">
      <c r="B185" t="s">
        <v>89</v>
      </c>
      <c r="D185" t="s">
        <v>7</v>
      </c>
      <c r="E185" s="3">
        <f>VLOOKUP(D185,'Bu Erta'!$C$2:$E$66,3,0)</f>
        <v>1400</v>
      </c>
      <c r="F185">
        <f>0.45+2.55</f>
        <v>3</v>
      </c>
      <c r="G185" s="3">
        <f t="shared" si="8"/>
        <v>4200</v>
      </c>
      <c r="H185" s="3">
        <f>VLOOKUP(D185,'Bu Erta'!$C$2:$F$66,4,0)*F185</f>
        <v>4800</v>
      </c>
    </row>
    <row r="186" spans="1:8" x14ac:dyDescent="0.35">
      <c r="B186" t="s">
        <v>89</v>
      </c>
      <c r="D186" t="s">
        <v>69</v>
      </c>
      <c r="E186" s="3">
        <f>VLOOKUP(D186,'Bu Erta'!$C$2:$E$66,3,0)</f>
        <v>2500</v>
      </c>
      <c r="F186">
        <v>0.25</v>
      </c>
      <c r="G186" s="3">
        <f t="shared" si="8"/>
        <v>625</v>
      </c>
      <c r="H186" s="3">
        <f>VLOOKUP(D186,'Bu Erta'!$C$2:$F$66,4,0)*F186</f>
        <v>750</v>
      </c>
    </row>
    <row r="187" spans="1:8" x14ac:dyDescent="0.35">
      <c r="B187" t="s">
        <v>89</v>
      </c>
      <c r="D187" t="s">
        <v>70</v>
      </c>
      <c r="E187" s="3">
        <f>VLOOKUP(D187,'Bu Erta'!$C$2:$E$66,3,0)</f>
        <v>3500</v>
      </c>
      <c r="F187">
        <v>0.25</v>
      </c>
      <c r="G187" s="3">
        <f t="shared" si="8"/>
        <v>875</v>
      </c>
      <c r="H187" s="3">
        <f>VLOOKUP(D187,'Bu Erta'!$C$2:$F$66,4,0)*F187</f>
        <v>1000</v>
      </c>
    </row>
    <row r="188" spans="1:8" x14ac:dyDescent="0.35">
      <c r="A188" s="5">
        <v>26</v>
      </c>
      <c r="B188" t="s">
        <v>260</v>
      </c>
      <c r="C188" s="5">
        <v>2</v>
      </c>
      <c r="D188" t="s">
        <v>22</v>
      </c>
      <c r="E188" s="3">
        <f>VLOOKUP(D188,'Bu Erta'!$C$2:$E$66,3,0)</f>
        <v>2500</v>
      </c>
      <c r="F188">
        <v>0.2</v>
      </c>
      <c r="G188" s="3">
        <f t="shared" si="8"/>
        <v>500</v>
      </c>
      <c r="H188" s="3">
        <f>VLOOKUP(D188,'Bu Erta'!$C$2:$F$66,4,0)*F188</f>
        <v>600</v>
      </c>
    </row>
    <row r="189" spans="1:8" x14ac:dyDescent="0.35">
      <c r="B189" t="s">
        <v>260</v>
      </c>
      <c r="D189" t="s">
        <v>31</v>
      </c>
      <c r="E189" s="3">
        <f>VLOOKUP(D189,'Bu Erta'!$C$2:$E$66,3,0)</f>
        <v>1000</v>
      </c>
      <c r="F189">
        <v>2.4</v>
      </c>
      <c r="G189" s="3">
        <f t="shared" si="8"/>
        <v>2400</v>
      </c>
      <c r="H189" s="3">
        <f>VLOOKUP(D189,'Bu Erta'!$C$2:$F$66,4,0)*F189</f>
        <v>2640</v>
      </c>
    </row>
    <row r="190" spans="1:8" x14ac:dyDescent="0.35">
      <c r="A190" s="5">
        <v>27</v>
      </c>
      <c r="B190" t="s">
        <v>217</v>
      </c>
      <c r="C190" s="5">
        <v>1</v>
      </c>
      <c r="D190" t="s">
        <v>19</v>
      </c>
      <c r="E190" s="3">
        <f>VLOOKUP(D190,'Bu Erta'!$C$2:$E$66,3,0)</f>
        <v>200</v>
      </c>
      <c r="F190">
        <f>0.7+0.65</f>
        <v>1.35</v>
      </c>
      <c r="G190" s="3">
        <f t="shared" si="8"/>
        <v>270</v>
      </c>
      <c r="H190" s="3">
        <f>VLOOKUP(D190,'Bu Erta'!$C$2:$F$66,4,0)*F190</f>
        <v>405</v>
      </c>
    </row>
    <row r="191" spans="1:8" x14ac:dyDescent="0.35">
      <c r="B191" t="s">
        <v>217</v>
      </c>
      <c r="D191" t="s">
        <v>41</v>
      </c>
      <c r="E191" s="3">
        <f>VLOOKUP(D191,'Bu Erta'!$C$2:$E$66,3,0)</f>
        <v>1500</v>
      </c>
      <c r="F191">
        <v>0.35</v>
      </c>
      <c r="G191" s="3">
        <f t="shared" si="8"/>
        <v>525</v>
      </c>
      <c r="H191" s="3">
        <f>VLOOKUP(D191,'Bu Erta'!$C$2:$F$66,4,0)*F191</f>
        <v>700</v>
      </c>
    </row>
    <row r="192" spans="1:8" x14ac:dyDescent="0.35">
      <c r="B192" t="s">
        <v>217</v>
      </c>
      <c r="D192" t="s">
        <v>31</v>
      </c>
      <c r="E192" s="3">
        <f>VLOOKUP(D192,'Bu Erta'!$C$2:$E$66,3,0)</f>
        <v>1000</v>
      </c>
      <c r="F192">
        <v>0.7</v>
      </c>
      <c r="G192" s="3">
        <f t="shared" si="8"/>
        <v>700</v>
      </c>
      <c r="H192" s="3">
        <f>VLOOKUP(D192,'Bu Erta'!$C$2:$F$66,4,0)*F192</f>
        <v>770</v>
      </c>
    </row>
    <row r="193" spans="1:8" x14ac:dyDescent="0.35">
      <c r="B193" t="s">
        <v>217</v>
      </c>
      <c r="D193" t="s">
        <v>23</v>
      </c>
      <c r="E193" s="3">
        <f>VLOOKUP(D193,'Bu Erta'!$C$2:$E$66,3,0)</f>
        <v>300</v>
      </c>
      <c r="F193">
        <v>5.4</v>
      </c>
      <c r="G193" s="3">
        <f t="shared" si="8"/>
        <v>1620</v>
      </c>
      <c r="H193" s="3">
        <f>VLOOKUP(D193,'Bu Erta'!$C$2:$F$66,4,0)*F193</f>
        <v>2160</v>
      </c>
    </row>
    <row r="194" spans="1:8" x14ac:dyDescent="0.35">
      <c r="B194" t="s">
        <v>217</v>
      </c>
      <c r="D194" t="s">
        <v>88</v>
      </c>
      <c r="E194" s="3">
        <f>VLOOKUP(D194,'Bu Erta'!$C$2:$E$66,3,0)</f>
        <v>300</v>
      </c>
      <c r="F194">
        <v>0.65</v>
      </c>
      <c r="G194" s="3">
        <f t="shared" si="8"/>
        <v>195</v>
      </c>
      <c r="H194" s="3">
        <f>VLOOKUP(D194,'Bu Erta'!$C$2:$F$66,4,0)*F194</f>
        <v>260</v>
      </c>
    </row>
    <row r="195" spans="1:8" x14ac:dyDescent="0.35">
      <c r="B195" t="s">
        <v>217</v>
      </c>
      <c r="D195" t="s">
        <v>7</v>
      </c>
      <c r="E195" s="3">
        <f>VLOOKUP(D195,'Bu Erta'!$C$2:$E$66,3,0)</f>
        <v>1400</v>
      </c>
      <c r="F195">
        <v>0.35</v>
      </c>
      <c r="G195" s="3">
        <f t="shared" si="8"/>
        <v>489.99999999999994</v>
      </c>
      <c r="H195" s="3">
        <f>VLOOKUP(D195,'Bu Erta'!$C$2:$F$66,4,0)*F195</f>
        <v>560</v>
      </c>
    </row>
    <row r="196" spans="1:8" x14ac:dyDescent="0.35">
      <c r="A196" s="5">
        <v>28</v>
      </c>
      <c r="B196" t="s">
        <v>148</v>
      </c>
      <c r="C196" s="1">
        <v>4</v>
      </c>
      <c r="D196" t="s">
        <v>56</v>
      </c>
      <c r="E196" s="3">
        <f>VLOOKUP(D196,'Bu Erta'!$C$2:$E$66,3,0)</f>
        <v>4000</v>
      </c>
      <c r="F196">
        <v>4.25</v>
      </c>
      <c r="G196" s="3">
        <f t="shared" si="8"/>
        <v>17000</v>
      </c>
      <c r="H196" s="3">
        <f>VLOOKUP(D196,'Bu Erta'!$C$2:$F$66,4,0)*F196</f>
        <v>23375</v>
      </c>
    </row>
    <row r="197" spans="1:8" x14ac:dyDescent="0.35">
      <c r="B197" t="s">
        <v>148</v>
      </c>
      <c r="D197" t="s">
        <v>49</v>
      </c>
      <c r="E197" s="3">
        <f>VLOOKUP(D197,'Bu Erta'!$C$2:$E$66,3,0)</f>
        <v>800</v>
      </c>
      <c r="F197">
        <v>8.8000000000000007</v>
      </c>
      <c r="G197" s="3">
        <f t="shared" ref="G197:G260" si="9">E197*F197</f>
        <v>7040.0000000000009</v>
      </c>
      <c r="H197" s="3">
        <f>VLOOKUP(D197,'Bu Erta'!$C$2:$F$66,4,0)*F197</f>
        <v>7920.0000000000009</v>
      </c>
    </row>
    <row r="198" spans="1:8" x14ac:dyDescent="0.35">
      <c r="B198" t="s">
        <v>148</v>
      </c>
      <c r="D198" t="s">
        <v>46</v>
      </c>
      <c r="E198" s="3">
        <f>VLOOKUP(D198,'Bu Erta'!$C$2:$E$66,3,0)</f>
        <v>1400</v>
      </c>
      <c r="F198">
        <v>0.85</v>
      </c>
      <c r="G198" s="3">
        <f t="shared" si="9"/>
        <v>1190</v>
      </c>
      <c r="H198" s="3">
        <f>VLOOKUP(D198,'Bu Erta'!$C$2:$F$66,4,0)*F198</f>
        <v>1275</v>
      </c>
    </row>
    <row r="199" spans="1:8" x14ac:dyDescent="0.35">
      <c r="B199" t="s">
        <v>148</v>
      </c>
      <c r="D199" t="s">
        <v>31</v>
      </c>
      <c r="E199" s="3">
        <f>VLOOKUP(D199,'Bu Erta'!$C$2:$E$66,3,0)</f>
        <v>1000</v>
      </c>
      <c r="F199">
        <v>0.3</v>
      </c>
      <c r="G199" s="3">
        <f t="shared" si="9"/>
        <v>300</v>
      </c>
      <c r="H199" s="3">
        <f>VLOOKUP(D199,'Bu Erta'!$C$2:$F$66,4,0)*F199</f>
        <v>330</v>
      </c>
    </row>
    <row r="200" spans="1:8" x14ac:dyDescent="0.35">
      <c r="B200" t="s">
        <v>148</v>
      </c>
      <c r="D200" t="s">
        <v>44</v>
      </c>
      <c r="E200" s="3">
        <f>VLOOKUP(D200,'Bu Erta'!$C$2:$E$66,3,0)</f>
        <v>400</v>
      </c>
      <c r="F200">
        <v>3.8</v>
      </c>
      <c r="G200" s="3">
        <f t="shared" si="9"/>
        <v>1520</v>
      </c>
      <c r="H200" s="3">
        <f>VLOOKUP(D200,'Bu Erta'!$C$2:$F$66,4,0)*F200</f>
        <v>1900</v>
      </c>
    </row>
    <row r="201" spans="1:8" x14ac:dyDescent="0.35">
      <c r="A201" s="5">
        <v>29</v>
      </c>
      <c r="B201" t="s">
        <v>193</v>
      </c>
      <c r="C201" s="5">
        <v>1</v>
      </c>
      <c r="D201" t="s">
        <v>31</v>
      </c>
      <c r="E201" s="3">
        <f>VLOOKUP(D201,'Bu Erta'!$C$2:$E$66,3,0)</f>
        <v>1000</v>
      </c>
      <c r="F201">
        <v>0.45</v>
      </c>
      <c r="G201" s="3">
        <f t="shared" si="9"/>
        <v>450</v>
      </c>
      <c r="H201" s="3">
        <f>VLOOKUP(D201,'Bu Erta'!$C$2:$F$66,4,0)*F201</f>
        <v>495</v>
      </c>
    </row>
    <row r="202" spans="1:8" x14ac:dyDescent="0.35">
      <c r="B202" t="s">
        <v>193</v>
      </c>
      <c r="D202" t="s">
        <v>24</v>
      </c>
      <c r="E202" s="3">
        <f>VLOOKUP(D202,'Bu Erta'!$C$2:$E$66,3,0)</f>
        <v>150</v>
      </c>
      <c r="F202">
        <v>0.2</v>
      </c>
      <c r="G202" s="3">
        <f t="shared" si="9"/>
        <v>30</v>
      </c>
      <c r="H202" s="3">
        <f>VLOOKUP(D202,'Bu Erta'!$C$2:$F$66,4,0)*F202</f>
        <v>40</v>
      </c>
    </row>
    <row r="203" spans="1:8" x14ac:dyDescent="0.35">
      <c r="B203" t="s">
        <v>193</v>
      </c>
      <c r="D203" t="s">
        <v>23</v>
      </c>
      <c r="E203" s="3">
        <f>VLOOKUP(D203,'Bu Erta'!$C$2:$E$66,3,0)</f>
        <v>300</v>
      </c>
      <c r="F203">
        <v>0.2</v>
      </c>
      <c r="G203" s="3">
        <f t="shared" si="9"/>
        <v>60</v>
      </c>
      <c r="H203" s="3">
        <f>VLOOKUP(D203,'Bu Erta'!$C$2:$F$66,4,0)*F203</f>
        <v>80</v>
      </c>
    </row>
    <row r="204" spans="1:8" x14ac:dyDescent="0.35">
      <c r="B204" t="s">
        <v>193</v>
      </c>
      <c r="D204" t="s">
        <v>19</v>
      </c>
      <c r="E204" s="3">
        <f>VLOOKUP(D204,'Bu Erta'!$C$2:$E$66,3,0)</f>
        <v>200</v>
      </c>
      <c r="F204">
        <v>0.35</v>
      </c>
      <c r="G204" s="3">
        <f t="shared" si="9"/>
        <v>70</v>
      </c>
      <c r="H204" s="3">
        <f>VLOOKUP(D204,'Bu Erta'!$C$2:$F$66,4,0)*F204</f>
        <v>105</v>
      </c>
    </row>
    <row r="205" spans="1:8" x14ac:dyDescent="0.35">
      <c r="B205" t="s">
        <v>193</v>
      </c>
      <c r="D205" t="s">
        <v>42</v>
      </c>
      <c r="E205" s="3">
        <f>VLOOKUP(D205,'Bu Erta'!$C$2:$E$66,3,0)</f>
        <v>1000</v>
      </c>
      <c r="F205">
        <v>1.25</v>
      </c>
      <c r="G205" s="3">
        <f t="shared" si="9"/>
        <v>1250</v>
      </c>
      <c r="H205" s="3">
        <f>VLOOKUP(D205,'Bu Erta'!$C$2:$F$66,4,0)*F205</f>
        <v>1500</v>
      </c>
    </row>
    <row r="206" spans="1:8" x14ac:dyDescent="0.35">
      <c r="A206" s="5">
        <v>30</v>
      </c>
      <c r="B206" t="s">
        <v>5</v>
      </c>
      <c r="C206" s="5">
        <v>2</v>
      </c>
      <c r="D206" t="s">
        <v>27</v>
      </c>
      <c r="E206" s="3">
        <f>VLOOKUP(D206,'Bu Erta'!$C$2:$E$66,3,0)</f>
        <v>2800</v>
      </c>
      <c r="F206">
        <v>0.7</v>
      </c>
      <c r="G206" s="3">
        <f t="shared" si="9"/>
        <v>1959.9999999999998</v>
      </c>
      <c r="H206" s="3">
        <f>VLOOKUP(D206,'Bu Erta'!$C$2:$F$66,4,0)*F206</f>
        <v>2170</v>
      </c>
    </row>
    <row r="207" spans="1:8" x14ac:dyDescent="0.35">
      <c r="B207" t="s">
        <v>5</v>
      </c>
      <c r="D207" t="s">
        <v>42</v>
      </c>
      <c r="E207" s="3">
        <f>VLOOKUP(D207,'Bu Erta'!$C$2:$E$66,3,0)</f>
        <v>1000</v>
      </c>
      <c r="F207">
        <v>1.25</v>
      </c>
      <c r="G207" s="3">
        <f t="shared" si="9"/>
        <v>1250</v>
      </c>
      <c r="H207" s="3">
        <f>VLOOKUP(D207,'Bu Erta'!$C$2:$F$66,4,0)*F207</f>
        <v>1500</v>
      </c>
    </row>
    <row r="208" spans="1:8" x14ac:dyDescent="0.35">
      <c r="B208" t="s">
        <v>5</v>
      </c>
      <c r="D208" t="s">
        <v>56</v>
      </c>
      <c r="E208" s="3">
        <f>VLOOKUP(D208,'Bu Erta'!$C$2:$E$66,3,0)</f>
        <v>4000</v>
      </c>
      <c r="F208">
        <v>2.2000000000000002</v>
      </c>
      <c r="G208" s="3">
        <f t="shared" si="9"/>
        <v>8800</v>
      </c>
      <c r="H208" s="3">
        <f>VLOOKUP(D208,'Bu Erta'!$C$2:$F$66,4,0)*F208</f>
        <v>12100.000000000002</v>
      </c>
    </row>
    <row r="209" spans="1:8" x14ac:dyDescent="0.35">
      <c r="A209" s="5">
        <v>31</v>
      </c>
      <c r="B209" t="s">
        <v>127</v>
      </c>
      <c r="C209" s="1">
        <v>2</v>
      </c>
      <c r="D209" t="s">
        <v>27</v>
      </c>
      <c r="E209" s="3">
        <f>VLOOKUP(D209,'Bu Erta'!$C$2:$E$66,3,0)</f>
        <v>2800</v>
      </c>
      <c r="F209">
        <v>1.45</v>
      </c>
      <c r="G209" s="3">
        <f t="shared" si="9"/>
        <v>4060</v>
      </c>
      <c r="H209" s="3">
        <f>VLOOKUP(D209,'Bu Erta'!$C$2:$F$66,4,0)*F209</f>
        <v>4495</v>
      </c>
    </row>
    <row r="210" spans="1:8" x14ac:dyDescent="0.35">
      <c r="B210" t="s">
        <v>127</v>
      </c>
      <c r="D210" t="s">
        <v>31</v>
      </c>
      <c r="E210" s="3">
        <f>VLOOKUP(D210,'Bu Erta'!$C$2:$E$66,3,0)</f>
        <v>1000</v>
      </c>
      <c r="F210">
        <f>0.65+0.65</f>
        <v>1.3</v>
      </c>
      <c r="G210" s="3">
        <f t="shared" si="9"/>
        <v>1300</v>
      </c>
      <c r="H210" s="3">
        <f>VLOOKUP(D210,'Bu Erta'!$C$2:$F$66,4,0)*F210</f>
        <v>1430</v>
      </c>
    </row>
    <row r="211" spans="1:8" x14ac:dyDescent="0.35">
      <c r="B211" t="s">
        <v>127</v>
      </c>
      <c r="D211" t="s">
        <v>7</v>
      </c>
      <c r="E211" s="3">
        <f>VLOOKUP(D211,'Bu Erta'!$C$2:$E$66,3,0)</f>
        <v>1400</v>
      </c>
      <c r="F211">
        <f>1.05+0.45+0.3</f>
        <v>1.8</v>
      </c>
      <c r="G211" s="3">
        <f t="shared" si="9"/>
        <v>2520</v>
      </c>
      <c r="H211" s="3">
        <f>VLOOKUP(D211,'Bu Erta'!$C$2:$F$66,4,0)*F211</f>
        <v>2880</v>
      </c>
    </row>
    <row r="212" spans="1:8" x14ac:dyDescent="0.35">
      <c r="B212" t="s">
        <v>127</v>
      </c>
      <c r="D212" t="s">
        <v>37</v>
      </c>
      <c r="E212" s="3">
        <f>VLOOKUP(D212,'Bu Erta'!$C$2:$E$66,3,0)</f>
        <v>1600</v>
      </c>
      <c r="F212">
        <v>0.15</v>
      </c>
      <c r="G212" s="3">
        <f t="shared" si="9"/>
        <v>240</v>
      </c>
      <c r="H212" s="3">
        <f>VLOOKUP(D212,'Bu Erta'!$C$2:$F$66,4,0)*F212</f>
        <v>300</v>
      </c>
    </row>
    <row r="213" spans="1:8" x14ac:dyDescent="0.35">
      <c r="B213" t="s">
        <v>127</v>
      </c>
      <c r="D213" t="s">
        <v>40</v>
      </c>
      <c r="E213" s="3">
        <f>VLOOKUP(D213,'Bu Erta'!$C$2:$E$66,3,0)</f>
        <v>1800</v>
      </c>
      <c r="F213">
        <v>0.9</v>
      </c>
      <c r="G213" s="3">
        <f t="shared" si="9"/>
        <v>1620</v>
      </c>
      <c r="H213" s="3">
        <f>VLOOKUP(D213,'Bu Erta'!$C$2:$F$66,4,0)*F213</f>
        <v>1800</v>
      </c>
    </row>
    <row r="214" spans="1:8" x14ac:dyDescent="0.35">
      <c r="B214" t="s">
        <v>127</v>
      </c>
      <c r="D214" t="s">
        <v>42</v>
      </c>
      <c r="E214" s="3">
        <f>VLOOKUP(D214,'Bu Erta'!$C$2:$E$66,3,0)</f>
        <v>1000</v>
      </c>
      <c r="F214">
        <v>3.25</v>
      </c>
      <c r="G214" s="3">
        <f t="shared" si="9"/>
        <v>3250</v>
      </c>
      <c r="H214" s="3">
        <f>VLOOKUP(D214,'Bu Erta'!$C$2:$F$66,4,0)*F214</f>
        <v>3900</v>
      </c>
    </row>
    <row r="215" spans="1:8" x14ac:dyDescent="0.35">
      <c r="B215" t="s">
        <v>127</v>
      </c>
      <c r="D215" t="s">
        <v>19</v>
      </c>
      <c r="E215" s="3">
        <f>VLOOKUP(D215,'Bu Erta'!$C$2:$E$66,3,0)</f>
        <v>200</v>
      </c>
      <c r="F215">
        <v>1.25</v>
      </c>
      <c r="G215" s="3">
        <f t="shared" si="9"/>
        <v>250</v>
      </c>
      <c r="H215" s="3">
        <f>VLOOKUP(D215,'Bu Erta'!$C$2:$F$66,4,0)*F215</f>
        <v>375</v>
      </c>
    </row>
    <row r="216" spans="1:8" x14ac:dyDescent="0.35">
      <c r="B216" t="s">
        <v>127</v>
      </c>
      <c r="D216" t="s">
        <v>70</v>
      </c>
      <c r="E216" s="3">
        <f>VLOOKUP(D216,'Bu Erta'!$C$2:$E$66,3,0)</f>
        <v>3500</v>
      </c>
      <c r="F216">
        <f>0.15+0.15</f>
        <v>0.3</v>
      </c>
      <c r="G216" s="3">
        <f t="shared" si="9"/>
        <v>1050</v>
      </c>
      <c r="H216" s="3">
        <f>VLOOKUP(D216,'Bu Erta'!$C$2:$F$66,4,0)*F216</f>
        <v>1200</v>
      </c>
    </row>
    <row r="217" spans="1:8" x14ac:dyDescent="0.35">
      <c r="B217" t="s">
        <v>127</v>
      </c>
      <c r="D217" t="s">
        <v>88</v>
      </c>
      <c r="E217" s="3">
        <f>VLOOKUP(D217,'Bu Erta'!$C$2:$E$66,3,0)</f>
        <v>300</v>
      </c>
      <c r="F217">
        <v>0.25</v>
      </c>
      <c r="G217" s="3">
        <f t="shared" si="9"/>
        <v>75</v>
      </c>
      <c r="H217" s="3">
        <f>VLOOKUP(D217,'Bu Erta'!$C$2:$F$66,4,0)*F217</f>
        <v>100</v>
      </c>
    </row>
    <row r="218" spans="1:8" x14ac:dyDescent="0.35">
      <c r="B218" t="s">
        <v>127</v>
      </c>
      <c r="D218" t="s">
        <v>41</v>
      </c>
      <c r="E218" s="3">
        <f>VLOOKUP(D218,'Bu Erta'!$C$2:$E$66,3,0)</f>
        <v>1500</v>
      </c>
      <c r="F218">
        <v>0.35</v>
      </c>
      <c r="G218" s="3">
        <f t="shared" si="9"/>
        <v>525</v>
      </c>
      <c r="H218" s="3">
        <f>VLOOKUP(D218,'Bu Erta'!$C$2:$F$66,4,0)*F218</f>
        <v>700</v>
      </c>
    </row>
    <row r="219" spans="1:8" x14ac:dyDescent="0.35">
      <c r="B219" t="s">
        <v>127</v>
      </c>
      <c r="D219" t="s">
        <v>23</v>
      </c>
      <c r="E219" s="3">
        <f>VLOOKUP(D219,'Bu Erta'!$C$2:$E$66,3,0)</f>
        <v>300</v>
      </c>
      <c r="F219">
        <f>1.65+0.8+0.1</f>
        <v>2.5500000000000003</v>
      </c>
      <c r="G219" s="3">
        <f t="shared" si="9"/>
        <v>765.00000000000011</v>
      </c>
      <c r="H219" s="3">
        <f>VLOOKUP(D219,'Bu Erta'!$C$2:$F$66,4,0)*F219</f>
        <v>1020.0000000000001</v>
      </c>
    </row>
    <row r="220" spans="1:8" x14ac:dyDescent="0.35">
      <c r="A220" s="5">
        <v>32</v>
      </c>
      <c r="B220" t="s">
        <v>284</v>
      </c>
      <c r="C220" s="5">
        <v>2</v>
      </c>
      <c r="D220" t="s">
        <v>41</v>
      </c>
      <c r="E220" s="3">
        <f>VLOOKUP(D220,'Bu Erta'!$C$2:$E$66,3,0)</f>
        <v>1500</v>
      </c>
      <c r="F220">
        <v>0.7</v>
      </c>
      <c r="G220" s="3">
        <f t="shared" si="9"/>
        <v>1050</v>
      </c>
      <c r="H220" s="3">
        <f>VLOOKUP(D220,'Bu Erta'!$C$2:$F$66,4,0)*F220</f>
        <v>1400</v>
      </c>
    </row>
    <row r="221" spans="1:8" x14ac:dyDescent="0.35">
      <c r="B221" t="s">
        <v>284</v>
      </c>
      <c r="D221" t="s">
        <v>24</v>
      </c>
      <c r="E221" s="3">
        <f>VLOOKUP(D221,'Bu Erta'!$C$2:$E$66,3,0)</f>
        <v>150</v>
      </c>
      <c r="F221">
        <v>4.05</v>
      </c>
      <c r="G221" s="3">
        <f t="shared" si="9"/>
        <v>607.5</v>
      </c>
      <c r="H221" s="3">
        <f>VLOOKUP(D221,'Bu Erta'!$C$2:$F$66,4,0)*F221</f>
        <v>810</v>
      </c>
    </row>
    <row r="222" spans="1:8" x14ac:dyDescent="0.35">
      <c r="B222" t="s">
        <v>284</v>
      </c>
      <c r="D222" t="s">
        <v>31</v>
      </c>
      <c r="E222" s="3">
        <f>VLOOKUP(D222,'Bu Erta'!$C$2:$E$66,3,0)</f>
        <v>1000</v>
      </c>
      <c r="F222">
        <f>0.35+0.8</f>
        <v>1.1499999999999999</v>
      </c>
      <c r="G222" s="3">
        <f t="shared" si="9"/>
        <v>1150</v>
      </c>
      <c r="H222" s="3">
        <f>VLOOKUP(D222,'Bu Erta'!$C$2:$F$66,4,0)*F222</f>
        <v>1265</v>
      </c>
    </row>
    <row r="223" spans="1:8" x14ac:dyDescent="0.35">
      <c r="B223" t="s">
        <v>284</v>
      </c>
      <c r="D223" t="s">
        <v>25</v>
      </c>
      <c r="E223" s="3">
        <f>VLOOKUP(D223,'Bu Erta'!$C$2:$E$66,3,0)</f>
        <v>1600</v>
      </c>
      <c r="F223">
        <v>0.3</v>
      </c>
      <c r="G223" s="3">
        <f t="shared" si="9"/>
        <v>480</v>
      </c>
      <c r="H223" s="3">
        <f>VLOOKUP(D223,'Bu Erta'!$C$2:$F$66,4,0)*F223</f>
        <v>510</v>
      </c>
    </row>
    <row r="224" spans="1:8" x14ac:dyDescent="0.35">
      <c r="B224" t="s">
        <v>284</v>
      </c>
      <c r="D224" t="s">
        <v>70</v>
      </c>
      <c r="E224" s="3">
        <f>VLOOKUP(D224,'Bu Erta'!$C$2:$E$66,3,0)</f>
        <v>3500</v>
      </c>
      <c r="F224">
        <v>0.1</v>
      </c>
      <c r="G224" s="3">
        <f t="shared" si="9"/>
        <v>350</v>
      </c>
      <c r="H224" s="3">
        <f>VLOOKUP(D224,'Bu Erta'!$C$2:$F$66,4,0)*F224</f>
        <v>400</v>
      </c>
    </row>
    <row r="225" spans="1:8" x14ac:dyDescent="0.35">
      <c r="A225" s="5">
        <v>33</v>
      </c>
      <c r="B225" t="s">
        <v>195</v>
      </c>
      <c r="C225" s="5">
        <v>1</v>
      </c>
      <c r="D225" t="s">
        <v>31</v>
      </c>
      <c r="E225" s="3">
        <f>VLOOKUP(D225,'Bu Erta'!$C$2:$E$66,3,0)</f>
        <v>1000</v>
      </c>
      <c r="F225">
        <v>2.2999999999999998</v>
      </c>
      <c r="G225" s="3">
        <f t="shared" si="9"/>
        <v>2300</v>
      </c>
      <c r="H225" s="3">
        <f>VLOOKUP(D225,'Bu Erta'!$C$2:$F$66,4,0)*F225</f>
        <v>2530</v>
      </c>
    </row>
    <row r="226" spans="1:8" x14ac:dyDescent="0.35">
      <c r="B226" t="s">
        <v>195</v>
      </c>
      <c r="D226" t="s">
        <v>88</v>
      </c>
      <c r="E226" s="3">
        <f>VLOOKUP(D226,'Bu Erta'!$C$2:$E$66,3,0)</f>
        <v>300</v>
      </c>
      <c r="F226">
        <v>1.1499999999999999</v>
      </c>
      <c r="G226" s="3">
        <f t="shared" si="9"/>
        <v>345</v>
      </c>
      <c r="H226" s="3">
        <f>VLOOKUP(D226,'Bu Erta'!$C$2:$F$66,4,0)*F226</f>
        <v>459.99999999999994</v>
      </c>
    </row>
    <row r="227" spans="1:8" x14ac:dyDescent="0.35">
      <c r="B227" t="s">
        <v>195</v>
      </c>
      <c r="D227" t="s">
        <v>42</v>
      </c>
      <c r="E227" s="3">
        <f>VLOOKUP(D227,'Bu Erta'!$C$2:$E$66,3,0)</f>
        <v>1000</v>
      </c>
      <c r="F227">
        <v>2.7</v>
      </c>
      <c r="G227" s="3">
        <f t="shared" si="9"/>
        <v>2700</v>
      </c>
      <c r="H227" s="3">
        <f>VLOOKUP(D227,'Bu Erta'!$C$2:$F$66,4,0)*F227</f>
        <v>3240</v>
      </c>
    </row>
    <row r="228" spans="1:8" x14ac:dyDescent="0.35">
      <c r="B228" t="s">
        <v>195</v>
      </c>
      <c r="D228" t="s">
        <v>40</v>
      </c>
      <c r="E228" s="3">
        <f>VLOOKUP(D228,'Bu Erta'!$C$2:$E$66,3,0)</f>
        <v>1800</v>
      </c>
      <c r="F228">
        <v>2.4</v>
      </c>
      <c r="G228" s="3">
        <f t="shared" si="9"/>
        <v>4320</v>
      </c>
      <c r="H228" s="3">
        <f>VLOOKUP(D228,'Bu Erta'!$C$2:$F$66,4,0)*F228</f>
        <v>4800</v>
      </c>
    </row>
    <row r="229" spans="1:8" x14ac:dyDescent="0.35">
      <c r="A229" s="5">
        <v>34</v>
      </c>
      <c r="B229" t="s">
        <v>137</v>
      </c>
      <c r="C229" s="1">
        <v>4</v>
      </c>
      <c r="D229" t="s">
        <v>19</v>
      </c>
      <c r="E229" s="3">
        <f>VLOOKUP(D229,'Bu Erta'!$C$2:$E$66,3,0)</f>
        <v>200</v>
      </c>
      <c r="F229">
        <f>0.2+0.1</f>
        <v>0.30000000000000004</v>
      </c>
      <c r="G229" s="3">
        <f t="shared" si="9"/>
        <v>60.000000000000007</v>
      </c>
      <c r="H229" s="3">
        <f>VLOOKUP(D229,'Bu Erta'!$C$2:$F$66,4,0)*F229</f>
        <v>90.000000000000014</v>
      </c>
    </row>
    <row r="230" spans="1:8" x14ac:dyDescent="0.35">
      <c r="B230" t="s">
        <v>137</v>
      </c>
      <c r="D230" t="s">
        <v>88</v>
      </c>
      <c r="E230" s="3">
        <f>VLOOKUP(D230,'Bu Erta'!$C$2:$E$66,3,0)</f>
        <v>300</v>
      </c>
      <c r="F230">
        <v>0.3</v>
      </c>
      <c r="G230" s="3">
        <f t="shared" si="9"/>
        <v>90</v>
      </c>
      <c r="H230" s="3">
        <f>VLOOKUP(D230,'Bu Erta'!$C$2:$F$66,4,0)*F230</f>
        <v>120</v>
      </c>
    </row>
    <row r="231" spans="1:8" x14ac:dyDescent="0.35">
      <c r="B231" t="s">
        <v>137</v>
      </c>
      <c r="D231" t="s">
        <v>23</v>
      </c>
      <c r="E231" s="3">
        <f>VLOOKUP(D231,'Bu Erta'!$C$2:$E$66,3,0)</f>
        <v>300</v>
      </c>
      <c r="F231">
        <v>0.1</v>
      </c>
      <c r="G231" s="3">
        <f t="shared" si="9"/>
        <v>30</v>
      </c>
      <c r="H231" s="3">
        <f>VLOOKUP(D231,'Bu Erta'!$C$2:$F$66,4,0)*F231</f>
        <v>40</v>
      </c>
    </row>
    <row r="232" spans="1:8" x14ac:dyDescent="0.35">
      <c r="B232" t="s">
        <v>137</v>
      </c>
      <c r="D232" t="s">
        <v>42</v>
      </c>
      <c r="E232" s="3">
        <f>VLOOKUP(D232,'Bu Erta'!$C$2:$E$66,3,0)</f>
        <v>1000</v>
      </c>
      <c r="F232">
        <v>0.4</v>
      </c>
      <c r="G232" s="3">
        <f t="shared" si="9"/>
        <v>400</v>
      </c>
      <c r="H232" s="3">
        <f>VLOOKUP(D232,'Bu Erta'!$C$2:$F$66,4,0)*F232</f>
        <v>480</v>
      </c>
    </row>
    <row r="233" spans="1:8" x14ac:dyDescent="0.35">
      <c r="B233" t="s">
        <v>137</v>
      </c>
      <c r="D233" t="s">
        <v>31</v>
      </c>
      <c r="E233" s="3">
        <f>VLOOKUP(D233,'Bu Erta'!$C$2:$E$66,3,0)</f>
        <v>1000</v>
      </c>
      <c r="F233">
        <v>0.25</v>
      </c>
      <c r="G233" s="3">
        <f t="shared" si="9"/>
        <v>250</v>
      </c>
      <c r="H233" s="3">
        <f>VLOOKUP(D233,'Bu Erta'!$C$2:$F$66,4,0)*F233</f>
        <v>275</v>
      </c>
    </row>
    <row r="234" spans="1:8" x14ac:dyDescent="0.35">
      <c r="B234" t="s">
        <v>137</v>
      </c>
      <c r="D234" t="s">
        <v>24</v>
      </c>
      <c r="E234" s="3">
        <f>VLOOKUP(D234,'Bu Erta'!$C$2:$E$66,3,0)</f>
        <v>150</v>
      </c>
      <c r="F234">
        <v>0.2</v>
      </c>
      <c r="G234" s="3">
        <f t="shared" si="9"/>
        <v>30</v>
      </c>
      <c r="H234" s="3">
        <f>VLOOKUP(D234,'Bu Erta'!$C$2:$F$66,4,0)*F234</f>
        <v>40</v>
      </c>
    </row>
    <row r="235" spans="1:8" x14ac:dyDescent="0.35">
      <c r="B235" t="s">
        <v>137</v>
      </c>
      <c r="D235" t="s">
        <v>41</v>
      </c>
      <c r="E235" s="3">
        <f>VLOOKUP(D235,'Bu Erta'!$C$2:$E$66,3,0)</f>
        <v>1500</v>
      </c>
      <c r="F235">
        <v>0.1</v>
      </c>
      <c r="G235" s="3">
        <f t="shared" si="9"/>
        <v>150</v>
      </c>
      <c r="H235" s="3">
        <f>VLOOKUP(D235,'Bu Erta'!$C$2:$F$66,4,0)*F235</f>
        <v>200</v>
      </c>
    </row>
    <row r="236" spans="1:8" x14ac:dyDescent="0.35">
      <c r="A236" s="5">
        <v>35</v>
      </c>
      <c r="B236" t="s">
        <v>116</v>
      </c>
      <c r="C236" s="1">
        <v>2</v>
      </c>
      <c r="D236" t="s">
        <v>7</v>
      </c>
      <c r="E236" s="3">
        <f>VLOOKUP(D236,'Bu Erta'!$C$2:$E$66,3,0)</f>
        <v>1400</v>
      </c>
      <c r="F236">
        <v>0.35</v>
      </c>
      <c r="G236" s="3">
        <f t="shared" si="9"/>
        <v>489.99999999999994</v>
      </c>
      <c r="H236" s="3">
        <f>VLOOKUP(D236,'Bu Erta'!$C$2:$F$66,4,0)*F236</f>
        <v>560</v>
      </c>
    </row>
    <row r="237" spans="1:8" x14ac:dyDescent="0.35">
      <c r="B237" t="s">
        <v>116</v>
      </c>
      <c r="D237" t="s">
        <v>25</v>
      </c>
      <c r="E237" s="3">
        <f>VLOOKUP(D237,'Bu Erta'!$C$2:$E$66,3,0)</f>
        <v>1600</v>
      </c>
      <c r="F237">
        <v>0.85</v>
      </c>
      <c r="G237" s="3">
        <f t="shared" si="9"/>
        <v>1360</v>
      </c>
      <c r="H237" s="3">
        <f>VLOOKUP(D237,'Bu Erta'!$C$2:$F$66,4,0)*F237</f>
        <v>1445</v>
      </c>
    </row>
    <row r="238" spans="1:8" x14ac:dyDescent="0.35">
      <c r="B238" t="s">
        <v>116</v>
      </c>
      <c r="D238" t="s">
        <v>42</v>
      </c>
      <c r="E238" s="3">
        <f>VLOOKUP(D238,'Bu Erta'!$C$2:$E$66,3,0)</f>
        <v>1000</v>
      </c>
      <c r="F238">
        <v>0.45</v>
      </c>
      <c r="G238" s="3">
        <f t="shared" si="9"/>
        <v>450</v>
      </c>
      <c r="H238" s="3">
        <f>VLOOKUP(D238,'Bu Erta'!$C$2:$F$66,4,0)*F238</f>
        <v>540</v>
      </c>
    </row>
    <row r="239" spans="1:8" x14ac:dyDescent="0.35">
      <c r="A239" s="5">
        <v>36</v>
      </c>
      <c r="B239" t="s">
        <v>294</v>
      </c>
      <c r="C239" s="5">
        <v>7</v>
      </c>
      <c r="D239" t="s">
        <v>25</v>
      </c>
      <c r="E239" s="3">
        <f>VLOOKUP(D239,'Bu Erta'!$C$2:$E$66,3,0)</f>
        <v>1600</v>
      </c>
      <c r="F239">
        <v>1.9</v>
      </c>
      <c r="G239" s="3">
        <f t="shared" si="9"/>
        <v>3040</v>
      </c>
      <c r="H239" s="3">
        <f>VLOOKUP(D239,'Bu Erta'!$C$2:$F$66,4,0)*F239</f>
        <v>3230</v>
      </c>
    </row>
    <row r="240" spans="1:8" x14ac:dyDescent="0.35">
      <c r="B240" t="s">
        <v>294</v>
      </c>
      <c r="D240" t="s">
        <v>22</v>
      </c>
      <c r="E240" s="3">
        <f>VLOOKUP(D240,'Bu Erta'!$C$2:$E$66,3,0)</f>
        <v>2500</v>
      </c>
      <c r="F240">
        <f>13.9+5.05</f>
        <v>18.95</v>
      </c>
      <c r="G240" s="3">
        <f t="shared" si="9"/>
        <v>47375</v>
      </c>
      <c r="H240" s="3">
        <f>VLOOKUP(D240,'Bu Erta'!$C$2:$F$66,4,0)*F240</f>
        <v>56850</v>
      </c>
    </row>
    <row r="241" spans="1:8" x14ac:dyDescent="0.35">
      <c r="B241" t="s">
        <v>294</v>
      </c>
      <c r="D241" t="s">
        <v>40</v>
      </c>
      <c r="E241" s="3">
        <f>VLOOKUP(D241,'Bu Erta'!$C$2:$E$66,3,0)</f>
        <v>1800</v>
      </c>
      <c r="F241">
        <f>1.09+0.2+2.65</f>
        <v>3.94</v>
      </c>
      <c r="G241" s="3">
        <f t="shared" si="9"/>
        <v>7092</v>
      </c>
      <c r="H241" s="3">
        <f>VLOOKUP(D241,'Bu Erta'!$C$2:$F$66,4,0)*F241</f>
        <v>7880</v>
      </c>
    </row>
    <row r="242" spans="1:8" x14ac:dyDescent="0.35">
      <c r="B242" t="s">
        <v>294</v>
      </c>
      <c r="D242" t="s">
        <v>48</v>
      </c>
      <c r="E242" s="3">
        <f>VLOOKUP(D242,'Bu Erta'!$C$2:$E$66,3,0)</f>
        <v>13000</v>
      </c>
      <c r="F242">
        <v>1</v>
      </c>
      <c r="G242" s="3">
        <f t="shared" si="9"/>
        <v>13000</v>
      </c>
      <c r="H242" s="3">
        <f>VLOOKUP(D242,'Bu Erta'!$C$2:$F$66,4,0)*F242</f>
        <v>15000</v>
      </c>
    </row>
    <row r="243" spans="1:8" x14ac:dyDescent="0.35">
      <c r="B243" t="s">
        <v>294</v>
      </c>
      <c r="D243" t="s">
        <v>7</v>
      </c>
      <c r="E243" s="3">
        <f>VLOOKUP(D243,'Bu Erta'!$C$2:$E$66,3,0)</f>
        <v>1400</v>
      </c>
      <c r="F243">
        <v>0.45</v>
      </c>
      <c r="G243" s="3">
        <f t="shared" si="9"/>
        <v>630</v>
      </c>
      <c r="H243" s="3">
        <f>VLOOKUP(D243,'Bu Erta'!$C$2:$F$66,4,0)*F243</f>
        <v>720</v>
      </c>
    </row>
    <row r="244" spans="1:8" x14ac:dyDescent="0.35">
      <c r="A244" s="5">
        <v>37</v>
      </c>
      <c r="B244" t="s">
        <v>132</v>
      </c>
      <c r="C244" s="1">
        <v>4</v>
      </c>
      <c r="D244" t="s">
        <v>19</v>
      </c>
      <c r="E244" s="3">
        <f>VLOOKUP(D244,'Bu Erta'!$C$2:$E$66,3,0)</f>
        <v>200</v>
      </c>
      <c r="F244">
        <v>0.5</v>
      </c>
      <c r="G244" s="3">
        <f t="shared" si="9"/>
        <v>100</v>
      </c>
      <c r="H244" s="3">
        <f>VLOOKUP(D244,'Bu Erta'!$C$2:$F$66,4,0)*F244</f>
        <v>150</v>
      </c>
    </row>
    <row r="245" spans="1:8" x14ac:dyDescent="0.35">
      <c r="B245" t="s">
        <v>132</v>
      </c>
      <c r="D245" t="s">
        <v>7</v>
      </c>
      <c r="E245" s="3">
        <f>VLOOKUP(D245,'Bu Erta'!$C$2:$E$66,3,0)</f>
        <v>1400</v>
      </c>
      <c r="F245">
        <v>0.65</v>
      </c>
      <c r="G245" s="3">
        <f t="shared" si="9"/>
        <v>910</v>
      </c>
      <c r="H245" s="3">
        <f>VLOOKUP(D245,'Bu Erta'!$C$2:$F$66,4,0)*F245</f>
        <v>1040</v>
      </c>
    </row>
    <row r="246" spans="1:8" x14ac:dyDescent="0.35">
      <c r="B246" t="s">
        <v>132</v>
      </c>
      <c r="D246" t="s">
        <v>27</v>
      </c>
      <c r="E246" s="3">
        <f>VLOOKUP(D246,'Bu Erta'!$C$2:$E$66,3,0)</f>
        <v>2800</v>
      </c>
      <c r="F246">
        <v>0.65</v>
      </c>
      <c r="G246" s="3">
        <f t="shared" si="9"/>
        <v>1820</v>
      </c>
      <c r="H246" s="3">
        <f>VLOOKUP(D246,'Bu Erta'!$C$2:$F$66,4,0)*F246</f>
        <v>2015</v>
      </c>
    </row>
    <row r="247" spans="1:8" x14ac:dyDescent="0.35">
      <c r="A247" s="5">
        <v>38</v>
      </c>
      <c r="B247" t="s">
        <v>244</v>
      </c>
      <c r="C247" s="5">
        <v>2</v>
      </c>
      <c r="D247" t="s">
        <v>42</v>
      </c>
      <c r="E247" s="3">
        <f>VLOOKUP(D247,'Bu Erta'!$C$2:$E$66,3,0)</f>
        <v>1000</v>
      </c>
      <c r="F247">
        <v>1.4</v>
      </c>
      <c r="G247" s="3">
        <f t="shared" si="9"/>
        <v>1400</v>
      </c>
      <c r="H247" s="3">
        <f>VLOOKUP(D247,'Bu Erta'!$C$2:$F$66,4,0)*F247</f>
        <v>1680</v>
      </c>
    </row>
    <row r="248" spans="1:8" x14ac:dyDescent="0.35">
      <c r="B248" t="s">
        <v>244</v>
      </c>
      <c r="D248" t="s">
        <v>31</v>
      </c>
      <c r="E248" s="3">
        <f>VLOOKUP(D248,'Bu Erta'!$C$2:$E$66,3,0)</f>
        <v>1000</v>
      </c>
      <c r="F248">
        <v>0.6</v>
      </c>
      <c r="G248" s="3">
        <f t="shared" si="9"/>
        <v>600</v>
      </c>
      <c r="H248" s="3">
        <f>VLOOKUP(D248,'Bu Erta'!$C$2:$F$66,4,0)*F248</f>
        <v>660</v>
      </c>
    </row>
    <row r="249" spans="1:8" x14ac:dyDescent="0.35">
      <c r="B249" t="s">
        <v>244</v>
      </c>
      <c r="D249" t="s">
        <v>7</v>
      </c>
      <c r="E249" s="3">
        <f>VLOOKUP(D249,'Bu Erta'!$C$2:$E$66,3,0)</f>
        <v>1400</v>
      </c>
      <c r="F249">
        <v>0.2</v>
      </c>
      <c r="G249" s="3">
        <f t="shared" si="9"/>
        <v>280</v>
      </c>
      <c r="H249" s="3">
        <f>VLOOKUP(D249,'Bu Erta'!$C$2:$F$66,4,0)*F249</f>
        <v>320</v>
      </c>
    </row>
    <row r="250" spans="1:8" x14ac:dyDescent="0.35">
      <c r="B250" t="s">
        <v>244</v>
      </c>
      <c r="D250" t="s">
        <v>19</v>
      </c>
      <c r="E250" s="3">
        <f>VLOOKUP(D250,'Bu Erta'!$C$2:$E$66,3,0)</f>
        <v>200</v>
      </c>
      <c r="F250">
        <v>0.6</v>
      </c>
      <c r="G250" s="3">
        <f t="shared" si="9"/>
        <v>120</v>
      </c>
      <c r="H250" s="3">
        <f>VLOOKUP(D250,'Bu Erta'!$C$2:$F$66,4,0)*F250</f>
        <v>180</v>
      </c>
    </row>
    <row r="251" spans="1:8" x14ac:dyDescent="0.35">
      <c r="B251" t="s">
        <v>244</v>
      </c>
      <c r="D251" t="s">
        <v>24</v>
      </c>
      <c r="E251" s="3">
        <f>VLOOKUP(D251,'Bu Erta'!$C$2:$E$66,3,0)</f>
        <v>150</v>
      </c>
      <c r="F251">
        <v>6.6</v>
      </c>
      <c r="G251" s="3">
        <f t="shared" si="9"/>
        <v>990</v>
      </c>
      <c r="H251" s="3">
        <f>VLOOKUP(D251,'Bu Erta'!$C$2:$F$66,4,0)*F251</f>
        <v>1320</v>
      </c>
    </row>
    <row r="252" spans="1:8" x14ac:dyDescent="0.35">
      <c r="A252" s="5">
        <v>39</v>
      </c>
      <c r="B252" t="s">
        <v>261</v>
      </c>
      <c r="C252" s="5">
        <v>2</v>
      </c>
      <c r="D252" t="s">
        <v>23</v>
      </c>
      <c r="E252" s="3">
        <f>VLOOKUP(D252,'Bu Erta'!$C$2:$E$66,3,0)</f>
        <v>300</v>
      </c>
      <c r="F252">
        <v>0.15</v>
      </c>
      <c r="G252" s="3">
        <f t="shared" si="9"/>
        <v>45</v>
      </c>
      <c r="H252" s="3">
        <f>VLOOKUP(D252,'Bu Erta'!$C$2:$F$66,4,0)*F252</f>
        <v>60</v>
      </c>
    </row>
    <row r="253" spans="1:8" x14ac:dyDescent="0.35">
      <c r="B253" t="s">
        <v>261</v>
      </c>
      <c r="D253" t="s">
        <v>28</v>
      </c>
      <c r="E253" s="3">
        <f>VLOOKUP(D253,'Bu Erta'!$C$2:$E$66,3,0)</f>
        <v>1200</v>
      </c>
      <c r="F253">
        <v>14.65</v>
      </c>
      <c r="G253" s="3">
        <f t="shared" si="9"/>
        <v>17580</v>
      </c>
      <c r="H253" s="3">
        <f>VLOOKUP(D253,'Bu Erta'!$C$2:$F$66,4,0)*F253</f>
        <v>19045</v>
      </c>
    </row>
    <row r="254" spans="1:8" x14ac:dyDescent="0.35">
      <c r="B254" t="s">
        <v>261</v>
      </c>
      <c r="D254" t="s">
        <v>24</v>
      </c>
      <c r="E254" s="3">
        <f>VLOOKUP(D254,'Bu Erta'!$C$2:$E$66,3,0)</f>
        <v>150</v>
      </c>
      <c r="F254">
        <v>0.15</v>
      </c>
      <c r="G254" s="3">
        <f t="shared" si="9"/>
        <v>22.5</v>
      </c>
      <c r="H254" s="3">
        <f>VLOOKUP(D254,'Bu Erta'!$C$2:$F$66,4,0)*F254</f>
        <v>30</v>
      </c>
    </row>
    <row r="255" spans="1:8" x14ac:dyDescent="0.35">
      <c r="B255" t="s">
        <v>261</v>
      </c>
      <c r="D255" t="s">
        <v>22</v>
      </c>
      <c r="E255" s="3">
        <f>VLOOKUP(D255,'Bu Erta'!$C$2:$E$66,3,0)</f>
        <v>2500</v>
      </c>
      <c r="F255">
        <v>0.35</v>
      </c>
      <c r="G255" s="3">
        <f t="shared" si="9"/>
        <v>875</v>
      </c>
      <c r="H255" s="3">
        <f>VLOOKUP(D255,'Bu Erta'!$C$2:$F$66,4,0)*F255</f>
        <v>1050</v>
      </c>
    </row>
    <row r="256" spans="1:8" x14ac:dyDescent="0.35">
      <c r="A256" s="5">
        <v>40</v>
      </c>
      <c r="B256" t="s">
        <v>241</v>
      </c>
      <c r="C256" s="5">
        <v>7</v>
      </c>
      <c r="D256" t="s">
        <v>42</v>
      </c>
      <c r="E256" s="3">
        <f>VLOOKUP(D256,'Bu Erta'!$C$2:$E$66,3,0)</f>
        <v>1000</v>
      </c>
      <c r="F256">
        <v>0.45</v>
      </c>
      <c r="G256" s="3">
        <f t="shared" si="9"/>
        <v>450</v>
      </c>
      <c r="H256" s="3">
        <f>VLOOKUP(D256,'Bu Erta'!$C$2:$F$66,4,0)*F256</f>
        <v>540</v>
      </c>
    </row>
    <row r="257" spans="1:8" x14ac:dyDescent="0.35">
      <c r="B257" t="s">
        <v>241</v>
      </c>
      <c r="D257" t="s">
        <v>23</v>
      </c>
      <c r="E257" s="3">
        <f>VLOOKUP(D257,'Bu Erta'!$C$2:$E$66,3,0)</f>
        <v>300</v>
      </c>
      <c r="F257">
        <v>3.15</v>
      </c>
      <c r="G257" s="3">
        <f t="shared" si="9"/>
        <v>945</v>
      </c>
      <c r="H257" s="3">
        <f>VLOOKUP(D257,'Bu Erta'!$C$2:$F$66,4,0)*F257</f>
        <v>1260</v>
      </c>
    </row>
    <row r="258" spans="1:8" x14ac:dyDescent="0.35">
      <c r="B258" t="s">
        <v>241</v>
      </c>
      <c r="D258" t="s">
        <v>46</v>
      </c>
      <c r="E258" s="3">
        <f>VLOOKUP(D258,'Bu Erta'!$C$2:$E$66,3,0)</f>
        <v>1400</v>
      </c>
      <c r="F258">
        <v>1.4</v>
      </c>
      <c r="G258" s="3">
        <f t="shared" si="9"/>
        <v>1959.9999999999998</v>
      </c>
      <c r="H258" s="3">
        <f>VLOOKUP(D258,'Bu Erta'!$C$2:$F$66,4,0)*F258</f>
        <v>2100</v>
      </c>
    </row>
    <row r="259" spans="1:8" x14ac:dyDescent="0.35">
      <c r="B259" t="s">
        <v>241</v>
      </c>
      <c r="D259" t="s">
        <v>7</v>
      </c>
      <c r="E259" s="3">
        <f>VLOOKUP(D259,'Bu Erta'!$C$2:$E$66,3,0)</f>
        <v>1400</v>
      </c>
      <c r="F259">
        <v>0.5</v>
      </c>
      <c r="G259" s="3">
        <f t="shared" si="9"/>
        <v>700</v>
      </c>
      <c r="H259" s="3">
        <f>VLOOKUP(D259,'Bu Erta'!$C$2:$F$66,4,0)*F259</f>
        <v>800</v>
      </c>
    </row>
    <row r="260" spans="1:8" x14ac:dyDescent="0.35">
      <c r="B260" t="s">
        <v>241</v>
      </c>
      <c r="D260" t="s">
        <v>22</v>
      </c>
      <c r="E260" s="3">
        <f>VLOOKUP(D260,'Bu Erta'!$C$2:$E$66,3,0)</f>
        <v>2500</v>
      </c>
      <c r="F260">
        <v>0.15</v>
      </c>
      <c r="G260" s="3">
        <f t="shared" si="9"/>
        <v>375</v>
      </c>
      <c r="H260" s="3">
        <f>VLOOKUP(D260,'Bu Erta'!$C$2:$F$66,4,0)*F260</f>
        <v>450</v>
      </c>
    </row>
    <row r="261" spans="1:8" x14ac:dyDescent="0.35">
      <c r="B261" t="s">
        <v>241</v>
      </c>
      <c r="D261" t="s">
        <v>25</v>
      </c>
      <c r="E261" s="3">
        <f>VLOOKUP(D261,'Bu Erta'!$C$2:$E$66,3,0)</f>
        <v>1600</v>
      </c>
      <c r="F261">
        <v>0.2</v>
      </c>
      <c r="G261" s="3">
        <f t="shared" ref="G261:G306" si="10">E261*F261</f>
        <v>320</v>
      </c>
      <c r="H261" s="3">
        <f>VLOOKUP(D261,'Bu Erta'!$C$2:$F$66,4,0)*F261</f>
        <v>340</v>
      </c>
    </row>
    <row r="262" spans="1:8" x14ac:dyDescent="0.35">
      <c r="B262" t="s">
        <v>241</v>
      </c>
      <c r="D262" t="s">
        <v>19</v>
      </c>
      <c r="E262" s="3">
        <f>VLOOKUP(D262,'Bu Erta'!$C$2:$E$66,3,0)</f>
        <v>200</v>
      </c>
      <c r="F262">
        <f>0.6+0.35</f>
        <v>0.95</v>
      </c>
      <c r="G262" s="3">
        <f t="shared" si="10"/>
        <v>190</v>
      </c>
      <c r="H262" s="3">
        <f>VLOOKUP(D262,'Bu Erta'!$C$2:$F$66,4,0)*F262</f>
        <v>285</v>
      </c>
    </row>
    <row r="263" spans="1:8" x14ac:dyDescent="0.35">
      <c r="A263" s="5">
        <v>41</v>
      </c>
      <c r="B263" t="s">
        <v>109</v>
      </c>
      <c r="C263" s="1">
        <v>4</v>
      </c>
      <c r="D263" t="s">
        <v>24</v>
      </c>
      <c r="E263" s="3">
        <f>VLOOKUP(D263,'Bu Erta'!$C$2:$E$66,3,0)</f>
        <v>150</v>
      </c>
      <c r="F263">
        <v>5.25</v>
      </c>
      <c r="G263" s="3">
        <f t="shared" si="10"/>
        <v>787.5</v>
      </c>
      <c r="H263" s="3">
        <f>VLOOKUP(D263,'Bu Erta'!$C$2:$F$66,4,0)*F263</f>
        <v>1050</v>
      </c>
    </row>
    <row r="264" spans="1:8" x14ac:dyDescent="0.35">
      <c r="B264" t="s">
        <v>109</v>
      </c>
      <c r="D264" t="s">
        <v>27</v>
      </c>
      <c r="E264" s="3">
        <f>VLOOKUP(D264,'Bu Erta'!$C$2:$E$66,3,0)</f>
        <v>2800</v>
      </c>
      <c r="F264">
        <v>0.35</v>
      </c>
      <c r="G264" s="3">
        <f t="shared" si="10"/>
        <v>979.99999999999989</v>
      </c>
      <c r="H264" s="3">
        <f>VLOOKUP(D264,'Bu Erta'!$C$2:$F$66,4,0)*F264</f>
        <v>1085</v>
      </c>
    </row>
    <row r="265" spans="1:8" x14ac:dyDescent="0.35">
      <c r="B265" t="s">
        <v>109</v>
      </c>
      <c r="D265" t="s">
        <v>25</v>
      </c>
      <c r="E265" s="3">
        <f>VLOOKUP(D265,'Bu Erta'!$C$2:$E$66,3,0)</f>
        <v>1600</v>
      </c>
      <c r="F265">
        <v>0.4</v>
      </c>
      <c r="G265" s="3">
        <f t="shared" si="10"/>
        <v>640</v>
      </c>
      <c r="H265" s="3">
        <f>VLOOKUP(D265,'Bu Erta'!$C$2:$F$66,4,0)*F265</f>
        <v>680</v>
      </c>
    </row>
    <row r="266" spans="1:8" x14ac:dyDescent="0.35">
      <c r="B266" t="s">
        <v>109</v>
      </c>
      <c r="D266" t="s">
        <v>42</v>
      </c>
      <c r="E266" s="3">
        <f>VLOOKUP(D266,'Bu Erta'!$C$2:$E$66,3,0)</f>
        <v>1000</v>
      </c>
      <c r="F266">
        <v>0.9</v>
      </c>
      <c r="G266" s="3">
        <f t="shared" si="10"/>
        <v>900</v>
      </c>
      <c r="H266" s="3">
        <f>VLOOKUP(D266,'Bu Erta'!$C$2:$F$66,4,0)*F266</f>
        <v>1080</v>
      </c>
    </row>
    <row r="267" spans="1:8" x14ac:dyDescent="0.35">
      <c r="B267" t="s">
        <v>109</v>
      </c>
      <c r="D267" t="s">
        <v>23</v>
      </c>
      <c r="E267" s="3">
        <f>VLOOKUP(D267,'Bu Erta'!$C$2:$E$66,3,0)</f>
        <v>300</v>
      </c>
      <c r="F267">
        <f>0.55+0.15+0.2</f>
        <v>0.90000000000000013</v>
      </c>
      <c r="G267" s="3">
        <f t="shared" si="10"/>
        <v>270.00000000000006</v>
      </c>
      <c r="H267" s="3">
        <f>VLOOKUP(D267,'Bu Erta'!$C$2:$F$66,4,0)*F267</f>
        <v>360.00000000000006</v>
      </c>
    </row>
    <row r="268" spans="1:8" x14ac:dyDescent="0.35">
      <c r="B268" t="s">
        <v>109</v>
      </c>
      <c r="D268" t="s">
        <v>41</v>
      </c>
      <c r="E268" s="3">
        <f>VLOOKUP(D268,'Bu Erta'!$C$2:$E$66,3,0)</f>
        <v>1500</v>
      </c>
      <c r="F268">
        <v>0.6</v>
      </c>
      <c r="G268" s="3">
        <f t="shared" si="10"/>
        <v>900</v>
      </c>
      <c r="H268" s="3">
        <f>VLOOKUP(D268,'Bu Erta'!$C$2:$F$66,4,0)*F268</f>
        <v>1200</v>
      </c>
    </row>
    <row r="269" spans="1:8" x14ac:dyDescent="0.35">
      <c r="B269" t="s">
        <v>109</v>
      </c>
      <c r="D269" t="s">
        <v>6</v>
      </c>
      <c r="E269" s="3">
        <f>VLOOKUP(D269,'Bu Erta'!$C$2:$E$66,3,0)</f>
        <v>2000</v>
      </c>
      <c r="F269">
        <v>0.7</v>
      </c>
      <c r="G269" s="3">
        <f t="shared" si="10"/>
        <v>1400</v>
      </c>
      <c r="H269" s="3">
        <f>VLOOKUP(D269,'Bu Erta'!$C$2:$F$66,4,0)*F269</f>
        <v>1750</v>
      </c>
    </row>
    <row r="270" spans="1:8" x14ac:dyDescent="0.35">
      <c r="B270" t="s">
        <v>109</v>
      </c>
      <c r="D270" t="s">
        <v>70</v>
      </c>
      <c r="E270" s="3">
        <f>VLOOKUP(D270,'Bu Erta'!$C$2:$E$66,3,0)</f>
        <v>3500</v>
      </c>
      <c r="F270">
        <v>0.4</v>
      </c>
      <c r="G270" s="3">
        <f t="shared" si="10"/>
        <v>1400</v>
      </c>
      <c r="H270" s="3">
        <f>VLOOKUP(D270,'Bu Erta'!$C$2:$F$66,4,0)*F270</f>
        <v>1600</v>
      </c>
    </row>
    <row r="271" spans="1:8" x14ac:dyDescent="0.35">
      <c r="B271" t="s">
        <v>109</v>
      </c>
      <c r="D271" t="s">
        <v>7</v>
      </c>
      <c r="E271" s="3">
        <f>VLOOKUP(D271,'Bu Erta'!$C$2:$E$66,3,0)</f>
        <v>1400</v>
      </c>
      <c r="F271">
        <v>1.05</v>
      </c>
      <c r="G271" s="3">
        <f t="shared" si="10"/>
        <v>1470</v>
      </c>
      <c r="H271" s="3">
        <f>VLOOKUP(D271,'Bu Erta'!$C$2:$F$66,4,0)*F271</f>
        <v>1680</v>
      </c>
    </row>
    <row r="272" spans="1:8" x14ac:dyDescent="0.35">
      <c r="B272" t="s">
        <v>109</v>
      </c>
      <c r="D272" t="s">
        <v>88</v>
      </c>
      <c r="E272" s="3">
        <f>VLOOKUP(D272,'Bu Erta'!$C$2:$E$66,3,0)</f>
        <v>300</v>
      </c>
      <c r="F272">
        <f>1.05+0.15+0.2</f>
        <v>1.4</v>
      </c>
      <c r="G272" s="3">
        <f t="shared" si="10"/>
        <v>420</v>
      </c>
      <c r="H272" s="3">
        <f>VLOOKUP(D272,'Bu Erta'!$C$2:$F$66,4,0)*F272</f>
        <v>560</v>
      </c>
    </row>
    <row r="273" spans="1:8" x14ac:dyDescent="0.35">
      <c r="A273" s="5">
        <v>42</v>
      </c>
      <c r="B273" t="s">
        <v>94</v>
      </c>
      <c r="C273" s="1">
        <v>4</v>
      </c>
      <c r="D273" t="s">
        <v>42</v>
      </c>
      <c r="E273" s="3">
        <f>VLOOKUP(D273,'Bu Erta'!$C$2:$E$66,3,0)</f>
        <v>1000</v>
      </c>
      <c r="F273">
        <v>1</v>
      </c>
      <c r="G273" s="3">
        <f t="shared" si="10"/>
        <v>1000</v>
      </c>
      <c r="H273" s="3">
        <f>VLOOKUP(D273,'Bu Erta'!$C$2:$F$66,4,0)*F273</f>
        <v>1200</v>
      </c>
    </row>
    <row r="274" spans="1:8" x14ac:dyDescent="0.35">
      <c r="B274" t="s">
        <v>94</v>
      </c>
      <c r="D274" t="s">
        <v>49</v>
      </c>
      <c r="E274" s="3">
        <f>VLOOKUP(D274,'Bu Erta'!$C$2:$E$66,3,0)</f>
        <v>800</v>
      </c>
      <c r="F274">
        <v>0.5</v>
      </c>
      <c r="G274" s="3">
        <f t="shared" si="10"/>
        <v>400</v>
      </c>
      <c r="H274" s="3">
        <f>VLOOKUP(D274,'Bu Erta'!$C$2:$F$66,4,0)*F274</f>
        <v>450</v>
      </c>
    </row>
    <row r="275" spans="1:8" x14ac:dyDescent="0.35">
      <c r="B275" t="s">
        <v>94</v>
      </c>
      <c r="D275" t="s">
        <v>19</v>
      </c>
      <c r="E275" s="3">
        <f>VLOOKUP(D275,'Bu Erta'!$C$2:$E$66,3,0)</f>
        <v>200</v>
      </c>
      <c r="F275">
        <v>0.3</v>
      </c>
      <c r="G275" s="3">
        <f t="shared" si="10"/>
        <v>60</v>
      </c>
      <c r="H275" s="3">
        <f>VLOOKUP(D275,'Bu Erta'!$C$2:$F$66,4,0)*F275</f>
        <v>90</v>
      </c>
    </row>
    <row r="276" spans="1:8" x14ac:dyDescent="0.35">
      <c r="B276" t="s">
        <v>94</v>
      </c>
      <c r="D276" t="s">
        <v>31</v>
      </c>
      <c r="E276" s="3">
        <f>VLOOKUP(D276,'Bu Erta'!$C$2:$E$66,3,0)</f>
        <v>1000</v>
      </c>
      <c r="F276">
        <v>0.15</v>
      </c>
      <c r="G276" s="3">
        <f t="shared" si="10"/>
        <v>150</v>
      </c>
      <c r="H276" s="3">
        <f>VLOOKUP(D276,'Bu Erta'!$C$2:$F$66,4,0)*F276</f>
        <v>165</v>
      </c>
    </row>
    <row r="277" spans="1:8" x14ac:dyDescent="0.35">
      <c r="A277" s="5">
        <v>43</v>
      </c>
      <c r="B277" t="s">
        <v>140</v>
      </c>
      <c r="C277" s="1">
        <v>4</v>
      </c>
      <c r="D277" t="s">
        <v>42</v>
      </c>
      <c r="E277" s="3">
        <f>VLOOKUP(D277,'Bu Erta'!$C$2:$E$66,3,0)</f>
        <v>1000</v>
      </c>
      <c r="F277">
        <v>1.5</v>
      </c>
      <c r="G277" s="3">
        <f t="shared" si="10"/>
        <v>1500</v>
      </c>
      <c r="H277" s="3">
        <f>VLOOKUP(D277,'Bu Erta'!$C$2:$F$66,4,0)*F277</f>
        <v>1800</v>
      </c>
    </row>
    <row r="278" spans="1:8" x14ac:dyDescent="0.35">
      <c r="B278" t="s">
        <v>140</v>
      </c>
      <c r="D278" t="s">
        <v>24</v>
      </c>
      <c r="E278" s="3">
        <f>VLOOKUP(D278,'Bu Erta'!$C$2:$E$66,3,0)</f>
        <v>150</v>
      </c>
      <c r="F278">
        <v>0.7</v>
      </c>
      <c r="G278" s="3">
        <f t="shared" si="10"/>
        <v>105</v>
      </c>
      <c r="H278" s="3">
        <f>VLOOKUP(D278,'Bu Erta'!$C$2:$F$66,4,0)*F278</f>
        <v>140</v>
      </c>
    </row>
    <row r="279" spans="1:8" x14ac:dyDescent="0.35">
      <c r="B279" t="s">
        <v>140</v>
      </c>
      <c r="D279" t="s">
        <v>25</v>
      </c>
      <c r="E279" s="3">
        <f>VLOOKUP(D279,'Bu Erta'!$C$2:$E$66,3,0)</f>
        <v>1600</v>
      </c>
      <c r="F279">
        <f>0.2+1.15</f>
        <v>1.3499999999999999</v>
      </c>
      <c r="G279" s="3">
        <f t="shared" si="10"/>
        <v>2160</v>
      </c>
      <c r="H279" s="3">
        <f>VLOOKUP(D279,'Bu Erta'!$C$2:$F$66,4,0)*F279</f>
        <v>2295</v>
      </c>
    </row>
    <row r="280" spans="1:8" x14ac:dyDescent="0.35">
      <c r="B280" t="s">
        <v>140</v>
      </c>
      <c r="D280" t="s">
        <v>7</v>
      </c>
      <c r="E280" s="3">
        <f>VLOOKUP(D280,'Bu Erta'!$C$2:$E$66,3,0)</f>
        <v>1400</v>
      </c>
      <c r="F280">
        <f>2.55+1.6+0.5+0.3</f>
        <v>4.95</v>
      </c>
      <c r="G280" s="3">
        <f t="shared" si="10"/>
        <v>6930</v>
      </c>
      <c r="H280" s="3">
        <f>VLOOKUP(D280,'Bu Erta'!$C$2:$F$66,4,0)*F280</f>
        <v>7920</v>
      </c>
    </row>
    <row r="281" spans="1:8" x14ac:dyDescent="0.35">
      <c r="B281" t="s">
        <v>140</v>
      </c>
      <c r="D281" t="s">
        <v>23</v>
      </c>
      <c r="E281" s="3">
        <f>VLOOKUP(D281,'Bu Erta'!$C$2:$E$66,3,0)</f>
        <v>300</v>
      </c>
      <c r="F281">
        <v>0.9</v>
      </c>
      <c r="G281" s="3">
        <f t="shared" si="10"/>
        <v>270</v>
      </c>
      <c r="H281" s="3">
        <f>VLOOKUP(D281,'Bu Erta'!$C$2:$F$66,4,0)*F281</f>
        <v>360</v>
      </c>
    </row>
    <row r="282" spans="1:8" x14ac:dyDescent="0.35">
      <c r="B282" t="s">
        <v>140</v>
      </c>
      <c r="D282" t="s">
        <v>36</v>
      </c>
      <c r="E282" s="3">
        <f>VLOOKUP(D282,'Bu Erta'!$C$2:$E$66,3,0)</f>
        <v>600</v>
      </c>
      <c r="F282">
        <v>3.75</v>
      </c>
      <c r="G282" s="3">
        <f t="shared" si="10"/>
        <v>2250</v>
      </c>
      <c r="H282" s="3">
        <f>VLOOKUP(D282,'Bu Erta'!$C$2:$F$66,4,0)*F282</f>
        <v>2437.5</v>
      </c>
    </row>
    <row r="283" spans="1:8" x14ac:dyDescent="0.35">
      <c r="B283" t="s">
        <v>140</v>
      </c>
      <c r="D283" t="s">
        <v>22</v>
      </c>
      <c r="E283" s="3">
        <f>VLOOKUP(D283,'Bu Erta'!$C$2:$E$66,3,0)</f>
        <v>2500</v>
      </c>
      <c r="F283">
        <v>0.15</v>
      </c>
      <c r="G283" s="3">
        <f t="shared" si="10"/>
        <v>375</v>
      </c>
      <c r="H283" s="3">
        <f>VLOOKUP(D283,'Bu Erta'!$C$2:$F$66,4,0)*F283</f>
        <v>450</v>
      </c>
    </row>
    <row r="284" spans="1:8" x14ac:dyDescent="0.35">
      <c r="B284" t="s">
        <v>140</v>
      </c>
      <c r="D284" t="s">
        <v>63</v>
      </c>
      <c r="E284" s="3">
        <f>VLOOKUP(D284,'Bu Erta'!$C$2:$E$66,3,0)</f>
        <v>800</v>
      </c>
      <c r="F284">
        <v>0.15</v>
      </c>
      <c r="G284" s="3">
        <f t="shared" si="10"/>
        <v>120</v>
      </c>
      <c r="H284" s="3">
        <f>VLOOKUP(D284,'Bu Erta'!$C$2:$F$66,4,0)*F284</f>
        <v>150</v>
      </c>
    </row>
    <row r="285" spans="1:8" x14ac:dyDescent="0.35">
      <c r="B285" t="s">
        <v>140</v>
      </c>
      <c r="D285" t="s">
        <v>6</v>
      </c>
      <c r="E285" s="3">
        <f>VLOOKUP(D285,'Bu Erta'!$C$2:$E$66,3,0)</f>
        <v>2000</v>
      </c>
      <c r="F285">
        <v>0.35</v>
      </c>
      <c r="G285" s="3">
        <f t="shared" si="10"/>
        <v>700</v>
      </c>
      <c r="H285" s="3">
        <f>VLOOKUP(D285,'Bu Erta'!$C$2:$F$66,4,0)*F285</f>
        <v>875</v>
      </c>
    </row>
    <row r="286" spans="1:8" x14ac:dyDescent="0.35">
      <c r="A286" s="5">
        <v>44</v>
      </c>
      <c r="B286" t="s">
        <v>143</v>
      </c>
      <c r="C286" s="1">
        <v>1</v>
      </c>
      <c r="D286" t="s">
        <v>31</v>
      </c>
      <c r="E286" s="3">
        <f>VLOOKUP(D286,'Bu Erta'!$C$2:$E$66,3,0)</f>
        <v>1000</v>
      </c>
      <c r="F286">
        <f>0.55+0.75</f>
        <v>1.3</v>
      </c>
      <c r="G286" s="3">
        <f t="shared" si="10"/>
        <v>1300</v>
      </c>
      <c r="H286" s="3">
        <f>VLOOKUP(D286,'Bu Erta'!$C$2:$F$66,4,0)*F286</f>
        <v>1430</v>
      </c>
    </row>
    <row r="287" spans="1:8" x14ac:dyDescent="0.35">
      <c r="B287" t="s">
        <v>143</v>
      </c>
      <c r="D287" t="s">
        <v>19</v>
      </c>
      <c r="E287" s="3">
        <f>VLOOKUP(D287,'Bu Erta'!$C$2:$E$66,3,0)</f>
        <v>200</v>
      </c>
      <c r="F287">
        <v>0.55000000000000004</v>
      </c>
      <c r="G287" s="3">
        <f t="shared" si="10"/>
        <v>110.00000000000001</v>
      </c>
      <c r="H287" s="3">
        <f>VLOOKUP(D287,'Bu Erta'!$C$2:$F$66,4,0)*F287</f>
        <v>165</v>
      </c>
    </row>
    <row r="288" spans="1:8" x14ac:dyDescent="0.35">
      <c r="B288" t="s">
        <v>143</v>
      </c>
      <c r="D288" t="s">
        <v>23</v>
      </c>
      <c r="E288" s="3">
        <f>VLOOKUP(D288,'Bu Erta'!$C$2:$E$66,3,0)</f>
        <v>300</v>
      </c>
      <c r="F288">
        <f>0.15+0.7</f>
        <v>0.85</v>
      </c>
      <c r="G288" s="3">
        <f t="shared" si="10"/>
        <v>255</v>
      </c>
      <c r="H288" s="3">
        <f>VLOOKUP(D288,'Bu Erta'!$C$2:$F$66,4,0)*F288</f>
        <v>340</v>
      </c>
    </row>
    <row r="289" spans="1:8" x14ac:dyDescent="0.35">
      <c r="B289" t="s">
        <v>143</v>
      </c>
      <c r="D289" t="s">
        <v>40</v>
      </c>
      <c r="E289" s="3">
        <f>VLOOKUP(D289,'Bu Erta'!$C$2:$E$66,3,0)</f>
        <v>1800</v>
      </c>
      <c r="F289">
        <v>0.25</v>
      </c>
      <c r="G289" s="3">
        <f t="shared" si="10"/>
        <v>450</v>
      </c>
      <c r="H289" s="3">
        <f>VLOOKUP(D289,'Bu Erta'!$C$2:$F$66,4,0)*F289</f>
        <v>500</v>
      </c>
    </row>
    <row r="290" spans="1:8" x14ac:dyDescent="0.35">
      <c r="A290" s="5">
        <v>45</v>
      </c>
      <c r="B290" t="s">
        <v>111</v>
      </c>
      <c r="C290" s="1">
        <v>5</v>
      </c>
      <c r="D290" t="s">
        <v>88</v>
      </c>
      <c r="E290" s="3">
        <f>VLOOKUP(D290,'Bu Erta'!$C$2:$E$66,3,0)</f>
        <v>300</v>
      </c>
      <c r="F290">
        <v>0.2</v>
      </c>
      <c r="G290" s="3">
        <f t="shared" si="10"/>
        <v>60</v>
      </c>
      <c r="H290" s="3">
        <f>VLOOKUP(D290,'Bu Erta'!$C$2:$F$66,4,0)*F290</f>
        <v>80</v>
      </c>
    </row>
    <row r="291" spans="1:8" x14ac:dyDescent="0.35">
      <c r="B291" t="s">
        <v>111</v>
      </c>
      <c r="D291" t="s">
        <v>19</v>
      </c>
      <c r="E291" s="3">
        <f>VLOOKUP(D291,'Bu Erta'!$C$2:$E$66,3,0)</f>
        <v>200</v>
      </c>
      <c r="F291">
        <v>0.9</v>
      </c>
      <c r="G291" s="3">
        <f t="shared" si="10"/>
        <v>180</v>
      </c>
      <c r="H291" s="3">
        <f>VLOOKUP(D291,'Bu Erta'!$C$2:$F$66,4,0)*F291</f>
        <v>270</v>
      </c>
    </row>
    <row r="292" spans="1:8" x14ac:dyDescent="0.35">
      <c r="B292" t="s">
        <v>111</v>
      </c>
      <c r="D292" t="s">
        <v>31</v>
      </c>
      <c r="E292" s="3">
        <f>VLOOKUP(D292,'Bu Erta'!$C$2:$E$66,3,0)</f>
        <v>1000</v>
      </c>
      <c r="F292">
        <f>0.25+7.05</f>
        <v>7.3</v>
      </c>
      <c r="G292" s="3">
        <f t="shared" si="10"/>
        <v>7300</v>
      </c>
      <c r="H292" s="3">
        <f>VLOOKUP(D292,'Bu Erta'!$C$2:$F$66,4,0)*F292</f>
        <v>8030</v>
      </c>
    </row>
    <row r="293" spans="1:8" x14ac:dyDescent="0.35">
      <c r="B293" t="s">
        <v>111</v>
      </c>
      <c r="D293" t="s">
        <v>27</v>
      </c>
      <c r="E293" s="3">
        <f>VLOOKUP(D293,'Bu Erta'!$C$2:$E$66,3,0)</f>
        <v>2800</v>
      </c>
      <c r="F293">
        <v>0.45</v>
      </c>
      <c r="G293" s="3">
        <f t="shared" si="10"/>
        <v>1260</v>
      </c>
      <c r="H293" s="3">
        <f>VLOOKUP(D293,'Bu Erta'!$C$2:$F$66,4,0)*F293</f>
        <v>1395</v>
      </c>
    </row>
    <row r="294" spans="1:8" x14ac:dyDescent="0.35">
      <c r="B294" t="s">
        <v>111</v>
      </c>
      <c r="D294" t="s">
        <v>29</v>
      </c>
      <c r="E294" s="3">
        <f>VLOOKUP(D294,'Bu Erta'!$C$2:$E$66,3,0)</f>
        <v>5000</v>
      </c>
      <c r="F294">
        <v>0.1</v>
      </c>
      <c r="G294" s="3">
        <f t="shared" si="10"/>
        <v>500</v>
      </c>
      <c r="H294" s="3">
        <f>VLOOKUP(D294,'Bu Erta'!$C$2:$F$66,4,0)*F294</f>
        <v>600</v>
      </c>
    </row>
    <row r="295" spans="1:8" x14ac:dyDescent="0.35">
      <c r="B295" t="s">
        <v>111</v>
      </c>
      <c r="D295" t="s">
        <v>42</v>
      </c>
      <c r="E295" s="3">
        <f>VLOOKUP(D295,'Bu Erta'!$C$2:$E$66,3,0)</f>
        <v>1000</v>
      </c>
      <c r="F295">
        <v>1.85</v>
      </c>
      <c r="G295" s="3">
        <f t="shared" si="10"/>
        <v>1850</v>
      </c>
      <c r="H295" s="3">
        <f>VLOOKUP(D295,'Bu Erta'!$C$2:$F$66,4,0)*F295</f>
        <v>2220</v>
      </c>
    </row>
    <row r="296" spans="1:8" x14ac:dyDescent="0.35">
      <c r="B296" t="s">
        <v>111</v>
      </c>
      <c r="D296" t="s">
        <v>23</v>
      </c>
      <c r="E296" s="3">
        <f>VLOOKUP(D296,'Bu Erta'!$C$2:$E$66,3,0)</f>
        <v>300</v>
      </c>
      <c r="F296">
        <v>1.6</v>
      </c>
      <c r="G296" s="3">
        <f t="shared" si="10"/>
        <v>480</v>
      </c>
      <c r="H296" s="3">
        <f>VLOOKUP(D296,'Bu Erta'!$C$2:$F$66,4,0)*F296</f>
        <v>640</v>
      </c>
    </row>
    <row r="297" spans="1:8" x14ac:dyDescent="0.35">
      <c r="A297" s="5">
        <v>46</v>
      </c>
      <c r="B297" t="s">
        <v>262</v>
      </c>
      <c r="C297" s="5">
        <v>2</v>
      </c>
      <c r="D297" t="s">
        <v>51</v>
      </c>
      <c r="E297" s="3">
        <f>VLOOKUP(D297,'Bu Erta'!$C$2:$E$66,3,0)</f>
        <v>50000</v>
      </c>
      <c r="F297">
        <v>1</v>
      </c>
      <c r="G297" s="3">
        <f t="shared" si="10"/>
        <v>50000</v>
      </c>
      <c r="H297" s="3">
        <f>VLOOKUP(D297,'Bu Erta'!$C$2:$F$66,4,0)*F297</f>
        <v>55000</v>
      </c>
    </row>
    <row r="298" spans="1:8" x14ac:dyDescent="0.35">
      <c r="B298" t="s">
        <v>262</v>
      </c>
      <c r="D298" t="s">
        <v>48</v>
      </c>
      <c r="E298" s="3">
        <f>VLOOKUP(D298,'Bu Erta'!$C$2:$E$66,3,0)</f>
        <v>13000</v>
      </c>
      <c r="F298">
        <v>1</v>
      </c>
      <c r="G298" s="3">
        <f t="shared" si="10"/>
        <v>13000</v>
      </c>
      <c r="H298" s="3">
        <f>VLOOKUP(D298,'Bu Erta'!$C$2:$F$66,4,0)*F298</f>
        <v>15000</v>
      </c>
    </row>
    <row r="299" spans="1:8" x14ac:dyDescent="0.35">
      <c r="A299" s="5">
        <v>47</v>
      </c>
      <c r="B299" t="s">
        <v>245</v>
      </c>
      <c r="C299" s="5">
        <v>4</v>
      </c>
      <c r="D299" t="s">
        <v>28</v>
      </c>
      <c r="E299" s="3">
        <f>VLOOKUP(D299,'Bu Erta'!$C$2:$E$66,3,0)</f>
        <v>1200</v>
      </c>
      <c r="F299">
        <v>10.25</v>
      </c>
      <c r="G299" s="3">
        <f t="shared" si="10"/>
        <v>12300</v>
      </c>
      <c r="H299" s="3">
        <f>VLOOKUP(D299,'Bu Erta'!$C$2:$F$66,4,0)*F299</f>
        <v>13325</v>
      </c>
    </row>
    <row r="300" spans="1:8" x14ac:dyDescent="0.35">
      <c r="B300" t="s">
        <v>245</v>
      </c>
      <c r="D300" t="s">
        <v>42</v>
      </c>
      <c r="E300" s="3">
        <f>VLOOKUP(D300,'Bu Erta'!$C$2:$E$66,3,0)</f>
        <v>1000</v>
      </c>
      <c r="F300">
        <v>1.05</v>
      </c>
      <c r="G300" s="3">
        <f t="shared" si="10"/>
        <v>1050</v>
      </c>
      <c r="H300" s="3">
        <f>VLOOKUP(D300,'Bu Erta'!$C$2:$F$66,4,0)*F300</f>
        <v>1260</v>
      </c>
    </row>
    <row r="301" spans="1:8" x14ac:dyDescent="0.35">
      <c r="B301" t="s">
        <v>245</v>
      </c>
      <c r="D301" t="s">
        <v>19</v>
      </c>
      <c r="E301" s="3">
        <f>VLOOKUP(D301,'Bu Erta'!$C$2:$E$66,3,0)</f>
        <v>200</v>
      </c>
      <c r="F301">
        <v>0.35</v>
      </c>
      <c r="G301" s="3">
        <f t="shared" si="10"/>
        <v>70</v>
      </c>
      <c r="H301" s="3">
        <f>VLOOKUP(D301,'Bu Erta'!$C$2:$F$66,4,0)*F301</f>
        <v>105</v>
      </c>
    </row>
    <row r="302" spans="1:8" x14ac:dyDescent="0.35">
      <c r="B302" t="s">
        <v>245</v>
      </c>
      <c r="D302" t="s">
        <v>23</v>
      </c>
      <c r="E302" s="3">
        <f>VLOOKUP(D302,'Bu Erta'!$C$2:$E$66,3,0)</f>
        <v>300</v>
      </c>
      <c r="F302">
        <v>0.15</v>
      </c>
      <c r="G302" s="3">
        <f t="shared" si="10"/>
        <v>45</v>
      </c>
      <c r="H302" s="3">
        <f>VLOOKUP(D302,'Bu Erta'!$C$2:$F$66,4,0)*F302</f>
        <v>60</v>
      </c>
    </row>
    <row r="303" spans="1:8" x14ac:dyDescent="0.35">
      <c r="B303" t="s">
        <v>245</v>
      </c>
      <c r="D303" t="s">
        <v>7</v>
      </c>
      <c r="E303" s="3">
        <f>VLOOKUP(D303,'Bu Erta'!$C$2:$E$66,3,0)</f>
        <v>1400</v>
      </c>
      <c r="F303">
        <f>0.6+0.75</f>
        <v>1.35</v>
      </c>
      <c r="G303" s="3">
        <f t="shared" si="10"/>
        <v>1890.0000000000002</v>
      </c>
      <c r="H303" s="3">
        <f>VLOOKUP(D303,'Bu Erta'!$C$2:$F$66,4,0)*F303</f>
        <v>2160</v>
      </c>
    </row>
    <row r="304" spans="1:8" x14ac:dyDescent="0.35">
      <c r="B304" t="s">
        <v>245</v>
      </c>
      <c r="D304" t="s">
        <v>24</v>
      </c>
      <c r="E304" s="3">
        <f>VLOOKUP(D304,'Bu Erta'!$C$2:$E$66,3,0)</f>
        <v>150</v>
      </c>
      <c r="F304">
        <v>0.35</v>
      </c>
      <c r="G304" s="3">
        <f t="shared" si="10"/>
        <v>52.5</v>
      </c>
      <c r="H304" s="3">
        <f>VLOOKUP(D304,'Bu Erta'!$C$2:$F$66,4,0)*F304</f>
        <v>70</v>
      </c>
    </row>
    <row r="305" spans="1:8" x14ac:dyDescent="0.35">
      <c r="B305" t="s">
        <v>245</v>
      </c>
      <c r="D305" t="s">
        <v>41</v>
      </c>
      <c r="E305" s="3">
        <f>VLOOKUP(D305,'Bu Erta'!$C$2:$E$66,3,0)</f>
        <v>1500</v>
      </c>
      <c r="F305">
        <v>0.3</v>
      </c>
      <c r="G305" s="3">
        <f t="shared" si="10"/>
        <v>450</v>
      </c>
      <c r="H305" s="3">
        <f>VLOOKUP(D305,'Bu Erta'!$C$2:$F$66,4,0)*F305</f>
        <v>600</v>
      </c>
    </row>
    <row r="306" spans="1:8" x14ac:dyDescent="0.35">
      <c r="A306" s="5">
        <v>48</v>
      </c>
      <c r="B306" t="s">
        <v>106</v>
      </c>
      <c r="C306" s="1">
        <v>4</v>
      </c>
      <c r="D306" t="s">
        <v>31</v>
      </c>
      <c r="E306" s="3">
        <f>VLOOKUP(D306,'Bu Erta'!$C$2:$E$66,3,0)</f>
        <v>1000</v>
      </c>
      <c r="F306">
        <v>0.5</v>
      </c>
      <c r="G306" s="3">
        <f t="shared" si="10"/>
        <v>500</v>
      </c>
      <c r="H306" s="3">
        <f>VLOOKUP(D306,'Bu Erta'!$C$2:$F$66,4,0)*F306</f>
        <v>550</v>
      </c>
    </row>
    <row r="307" spans="1:8" x14ac:dyDescent="0.35">
      <c r="B307" t="s">
        <v>106</v>
      </c>
      <c r="D307" t="s">
        <v>60</v>
      </c>
      <c r="E307" s="3">
        <f>VLOOKUP(D307,'Bu Erta'!$C$2:$E$66,3,0)</f>
        <v>1200</v>
      </c>
      <c r="F307">
        <v>0.3</v>
      </c>
      <c r="G307" s="3">
        <f t="shared" ref="G307:G326" si="11">E307*F307</f>
        <v>360</v>
      </c>
      <c r="H307" s="3">
        <f>VLOOKUP(D307,'Bu Erta'!$C$2:$F$66,4,0)*F307</f>
        <v>450</v>
      </c>
    </row>
    <row r="308" spans="1:8" x14ac:dyDescent="0.35">
      <c r="B308" t="s">
        <v>106</v>
      </c>
      <c r="D308" t="s">
        <v>7</v>
      </c>
      <c r="E308" s="3">
        <f>VLOOKUP(D308,'Bu Erta'!$C$2:$E$66,3,0)</f>
        <v>1400</v>
      </c>
      <c r="F308">
        <v>0.55000000000000004</v>
      </c>
      <c r="G308" s="3">
        <f t="shared" si="11"/>
        <v>770.00000000000011</v>
      </c>
      <c r="H308" s="3">
        <f>VLOOKUP(D308,'Bu Erta'!$C$2:$F$66,4,0)*F308</f>
        <v>880.00000000000011</v>
      </c>
    </row>
    <row r="309" spans="1:8" x14ac:dyDescent="0.35">
      <c r="B309" t="s">
        <v>106</v>
      </c>
      <c r="D309" t="s">
        <v>40</v>
      </c>
      <c r="E309" s="3">
        <f>VLOOKUP(D309,'Bu Erta'!$C$2:$E$66,3,0)</f>
        <v>1800</v>
      </c>
      <c r="F309">
        <v>0.25</v>
      </c>
      <c r="G309" s="3">
        <f t="shared" si="11"/>
        <v>450</v>
      </c>
      <c r="H309" s="3">
        <f>VLOOKUP(D309,'Bu Erta'!$C$2:$F$66,4,0)*F309</f>
        <v>500</v>
      </c>
    </row>
    <row r="310" spans="1:8" x14ac:dyDescent="0.35">
      <c r="B310" t="s">
        <v>106</v>
      </c>
      <c r="D310" t="s">
        <v>22</v>
      </c>
      <c r="E310" s="3">
        <f>VLOOKUP(D310,'Bu Erta'!$C$2:$E$66,3,0)</f>
        <v>2500</v>
      </c>
      <c r="F310">
        <v>0.5</v>
      </c>
      <c r="G310" s="3">
        <f t="shared" si="11"/>
        <v>1250</v>
      </c>
      <c r="H310" s="3">
        <f>VLOOKUP(D310,'Bu Erta'!$C$2:$F$66,4,0)*F310</f>
        <v>1500</v>
      </c>
    </row>
    <row r="311" spans="1:8" x14ac:dyDescent="0.35">
      <c r="B311" t="s">
        <v>106</v>
      </c>
      <c r="D311" t="s">
        <v>24</v>
      </c>
      <c r="E311" s="3">
        <f>VLOOKUP(D311,'Bu Erta'!$C$2:$E$66,3,0)</f>
        <v>150</v>
      </c>
      <c r="F311">
        <v>0.15</v>
      </c>
      <c r="G311" s="3">
        <f t="shared" si="11"/>
        <v>22.5</v>
      </c>
      <c r="H311" s="3">
        <f>VLOOKUP(D311,'Bu Erta'!$C$2:$F$66,4,0)*F311</f>
        <v>30</v>
      </c>
    </row>
    <row r="312" spans="1:8" x14ac:dyDescent="0.35">
      <c r="B312" t="s">
        <v>106</v>
      </c>
      <c r="D312" t="s">
        <v>25</v>
      </c>
      <c r="E312" s="3">
        <f>VLOOKUP(D312,'Bu Erta'!$C$2:$E$66,3,0)</f>
        <v>1600</v>
      </c>
      <c r="F312">
        <v>0.3</v>
      </c>
      <c r="G312" s="3">
        <f t="shared" si="11"/>
        <v>480</v>
      </c>
      <c r="H312" s="3">
        <f>VLOOKUP(D312,'Bu Erta'!$C$2:$F$66,4,0)*F312</f>
        <v>510</v>
      </c>
    </row>
    <row r="313" spans="1:8" x14ac:dyDescent="0.35">
      <c r="A313" s="5">
        <v>49</v>
      </c>
      <c r="B313" t="s">
        <v>192</v>
      </c>
      <c r="C313" s="1">
        <v>4</v>
      </c>
      <c r="D313" t="s">
        <v>31</v>
      </c>
      <c r="E313" s="3">
        <f>VLOOKUP(D313,'Bu Erta'!$C$2:$E$66,3,0)</f>
        <v>1000</v>
      </c>
      <c r="F313">
        <v>0.85</v>
      </c>
      <c r="G313" s="3">
        <f t="shared" si="11"/>
        <v>850</v>
      </c>
      <c r="H313" s="3">
        <f>VLOOKUP(D313,'Bu Erta'!$C$2:$F$66,4,0)*F313</f>
        <v>935</v>
      </c>
    </row>
    <row r="314" spans="1:8" x14ac:dyDescent="0.35">
      <c r="B314" t="s">
        <v>192</v>
      </c>
      <c r="D314" t="s">
        <v>42</v>
      </c>
      <c r="E314" s="3">
        <f>VLOOKUP(D314,'Bu Erta'!$C$2:$E$66,3,0)</f>
        <v>1000</v>
      </c>
      <c r="F314">
        <v>0.45</v>
      </c>
      <c r="G314" s="3">
        <f t="shared" si="11"/>
        <v>450</v>
      </c>
      <c r="H314" s="3">
        <f>VLOOKUP(D314,'Bu Erta'!$C$2:$F$66,4,0)*F314</f>
        <v>540</v>
      </c>
    </row>
    <row r="315" spans="1:8" x14ac:dyDescent="0.35">
      <c r="B315" t="s">
        <v>192</v>
      </c>
      <c r="D315" t="s">
        <v>23</v>
      </c>
      <c r="E315" s="3">
        <f>VLOOKUP(D315,'Bu Erta'!$C$2:$E$66,3,0)</f>
        <v>300</v>
      </c>
      <c r="F315">
        <v>0.55000000000000004</v>
      </c>
      <c r="G315" s="3">
        <f t="shared" si="11"/>
        <v>165</v>
      </c>
      <c r="H315" s="3">
        <f>VLOOKUP(D315,'Bu Erta'!$C$2:$F$66,4,0)*F315</f>
        <v>220.00000000000003</v>
      </c>
    </row>
    <row r="316" spans="1:8" x14ac:dyDescent="0.35">
      <c r="B316" t="s">
        <v>192</v>
      </c>
      <c r="D316" t="s">
        <v>19</v>
      </c>
      <c r="E316" s="3">
        <f>VLOOKUP(D316,'Bu Erta'!$C$2:$E$66,3,0)</f>
        <v>200</v>
      </c>
      <c r="F316">
        <v>0.15</v>
      </c>
      <c r="G316" s="3">
        <f t="shared" si="11"/>
        <v>30</v>
      </c>
      <c r="H316" s="3">
        <f>VLOOKUP(D316,'Bu Erta'!$C$2:$F$66,4,0)*F316</f>
        <v>45</v>
      </c>
    </row>
    <row r="317" spans="1:8" x14ac:dyDescent="0.35">
      <c r="B317" t="s">
        <v>192</v>
      </c>
      <c r="D317" t="s">
        <v>56</v>
      </c>
      <c r="E317" s="3">
        <f>VLOOKUP(D317,'Bu Erta'!$C$2:$E$66,3,0)</f>
        <v>4000</v>
      </c>
      <c r="F317">
        <v>1.55</v>
      </c>
      <c r="G317" s="3">
        <f t="shared" si="11"/>
        <v>6200</v>
      </c>
      <c r="H317" s="3">
        <f>VLOOKUP(D317,'Bu Erta'!$C$2:$F$66,4,0)*F317</f>
        <v>8525</v>
      </c>
    </row>
    <row r="318" spans="1:8" x14ac:dyDescent="0.35">
      <c r="A318" s="5">
        <v>50</v>
      </c>
      <c r="B318" t="s">
        <v>182</v>
      </c>
      <c r="C318" s="5">
        <v>4</v>
      </c>
      <c r="D318" t="s">
        <v>32</v>
      </c>
      <c r="E318" s="3">
        <f>VLOOKUP(D318,'Bu Erta'!$C$2:$E$66,3,0)</f>
        <v>4000</v>
      </c>
      <c r="F318">
        <v>1</v>
      </c>
      <c r="G318" s="3">
        <f t="shared" si="11"/>
        <v>4000</v>
      </c>
      <c r="H318" s="3">
        <f>VLOOKUP(D318,'Bu Erta'!$C$2:$F$66,4,0)*F318</f>
        <v>5000</v>
      </c>
    </row>
    <row r="319" spans="1:8" x14ac:dyDescent="0.35">
      <c r="B319" t="s">
        <v>182</v>
      </c>
      <c r="D319" t="s">
        <v>31</v>
      </c>
      <c r="E319" s="3">
        <f>VLOOKUP(D319,'Bu Erta'!$C$2:$E$66,3,0)</f>
        <v>1000</v>
      </c>
      <c r="F319">
        <v>1.1000000000000001</v>
      </c>
      <c r="G319" s="3">
        <f t="shared" si="11"/>
        <v>1100</v>
      </c>
      <c r="H319" s="3">
        <f>VLOOKUP(D319,'Bu Erta'!$C$2:$F$66,4,0)*F319</f>
        <v>1210</v>
      </c>
    </row>
    <row r="320" spans="1:8" x14ac:dyDescent="0.35">
      <c r="A320" s="5">
        <v>51</v>
      </c>
      <c r="B320" t="s">
        <v>299</v>
      </c>
      <c r="C320" s="5">
        <v>6</v>
      </c>
      <c r="D320" t="s">
        <v>28</v>
      </c>
      <c r="E320" s="3">
        <f>VLOOKUP(D320,'Bu Erta'!$C$2:$E$66,3,0)</f>
        <v>1200</v>
      </c>
      <c r="F320">
        <f>11.8+8</f>
        <v>19.8</v>
      </c>
      <c r="G320" s="3">
        <f t="shared" si="11"/>
        <v>23760</v>
      </c>
      <c r="H320" s="3">
        <f>VLOOKUP(D320,'Bu Erta'!$C$2:$F$66,4,0)*F320</f>
        <v>25740</v>
      </c>
    </row>
    <row r="321" spans="1:8" x14ac:dyDescent="0.35">
      <c r="B321" t="s">
        <v>299</v>
      </c>
      <c r="D321" t="s">
        <v>31</v>
      </c>
      <c r="E321" s="3">
        <f>VLOOKUP(D321,'Bu Erta'!$C$2:$E$66,3,0)</f>
        <v>1000</v>
      </c>
      <c r="F321">
        <f>3.4+3.5+3.05+1.75+2.75+5.55</f>
        <v>20</v>
      </c>
      <c r="G321" s="3">
        <f t="shared" si="11"/>
        <v>20000</v>
      </c>
      <c r="H321" s="3">
        <f>VLOOKUP(D321,'Bu Erta'!$C$2:$F$66,4,0)*F321</f>
        <v>22000</v>
      </c>
    </row>
    <row r="322" spans="1:8" x14ac:dyDescent="0.35">
      <c r="B322" t="s">
        <v>299</v>
      </c>
      <c r="D322" s="77" t="s">
        <v>71</v>
      </c>
      <c r="E322" s="3">
        <f>VLOOKUP(D322,'Bu Erta'!$C$2:$E$66,3,0)</f>
        <v>8000</v>
      </c>
      <c r="F322">
        <v>1</v>
      </c>
      <c r="G322" s="3">
        <f t="shared" si="11"/>
        <v>8000</v>
      </c>
      <c r="H322" s="3">
        <f>VLOOKUP(D322,'Bu Erta'!$C$2:$F$66,4,0)*F322</f>
        <v>10000</v>
      </c>
    </row>
    <row r="323" spans="1:8" x14ac:dyDescent="0.35">
      <c r="B323" t="s">
        <v>299</v>
      </c>
      <c r="D323" t="s">
        <v>48</v>
      </c>
      <c r="E323" s="3">
        <f>VLOOKUP(D323,'Bu Erta'!$C$2:$E$66,3,0)</f>
        <v>13000</v>
      </c>
      <c r="F323">
        <v>1</v>
      </c>
      <c r="G323" s="3">
        <f t="shared" si="11"/>
        <v>13000</v>
      </c>
      <c r="H323" s="3">
        <f>VLOOKUP(D323,'Bu Erta'!$C$2:$F$66,4,0)*F323</f>
        <v>15000</v>
      </c>
    </row>
    <row r="324" spans="1:8" x14ac:dyDescent="0.35">
      <c r="A324" s="5">
        <v>52</v>
      </c>
      <c r="B324" t="s">
        <v>188</v>
      </c>
      <c r="C324" s="1">
        <v>7</v>
      </c>
      <c r="D324" t="s">
        <v>42</v>
      </c>
      <c r="E324" s="3">
        <f>VLOOKUP(D324,'Bu Erta'!$C$2:$E$66,3,0)</f>
        <v>1000</v>
      </c>
      <c r="F324">
        <v>3.45</v>
      </c>
      <c r="G324" s="3">
        <f t="shared" si="11"/>
        <v>3450</v>
      </c>
      <c r="H324" s="3">
        <f>VLOOKUP(D324,'Bu Erta'!$C$2:$F$66,4,0)*F324</f>
        <v>4140</v>
      </c>
    </row>
    <row r="325" spans="1:8" x14ac:dyDescent="0.35">
      <c r="B325" t="s">
        <v>188</v>
      </c>
      <c r="D325" t="s">
        <v>31</v>
      </c>
      <c r="E325" s="3">
        <f>VLOOKUP(D325,'Bu Erta'!$C$2:$E$66,3,0)</f>
        <v>1000</v>
      </c>
      <c r="F325">
        <v>1.1499999999999999</v>
      </c>
      <c r="G325" s="3">
        <f t="shared" si="11"/>
        <v>1150</v>
      </c>
      <c r="H325" s="3">
        <f>VLOOKUP(D325,'Bu Erta'!$C$2:$F$66,4,0)*F325</f>
        <v>1265</v>
      </c>
    </row>
    <row r="326" spans="1:8" x14ac:dyDescent="0.35">
      <c r="B326" t="s">
        <v>188</v>
      </c>
      <c r="D326" t="s">
        <v>19</v>
      </c>
      <c r="E326" s="3">
        <f>VLOOKUP(D326,'Bu Erta'!$C$2:$E$66,3,0)</f>
        <v>200</v>
      </c>
      <c r="F326">
        <v>1.1000000000000001</v>
      </c>
      <c r="G326" s="3">
        <f t="shared" si="11"/>
        <v>220.00000000000003</v>
      </c>
      <c r="H326" s="3">
        <f>VLOOKUP(D326,'Bu Erta'!$C$2:$F$66,4,0)*F326</f>
        <v>330</v>
      </c>
    </row>
    <row r="327" spans="1:8" x14ac:dyDescent="0.35">
      <c r="A327" s="5">
        <v>53</v>
      </c>
      <c r="B327" t="s">
        <v>200</v>
      </c>
      <c r="C327" s="5" t="s">
        <v>201</v>
      </c>
      <c r="D327" t="s">
        <v>65</v>
      </c>
      <c r="E327" s="3">
        <f>VLOOKUP(D327,'Bu Erta'!$C$2:$E$66,3,0)</f>
        <v>150</v>
      </c>
      <c r="F327">
        <v>0.15</v>
      </c>
      <c r="G327" s="3">
        <f t="shared" ref="G327:G331" si="12">E327*F327</f>
        <v>22.5</v>
      </c>
      <c r="H327" s="3">
        <f>VLOOKUP(D327,'Bu Erta'!$C$2:$F$66,4,0)*F327</f>
        <v>30</v>
      </c>
    </row>
    <row r="328" spans="1:8" x14ac:dyDescent="0.35">
      <c r="B328" t="s">
        <v>200</v>
      </c>
      <c r="D328" t="s">
        <v>22</v>
      </c>
      <c r="E328" s="3">
        <f>VLOOKUP(D328,'Bu Erta'!$C$2:$E$66,3,0)</f>
        <v>2500</v>
      </c>
      <c r="F328">
        <v>5</v>
      </c>
      <c r="G328" s="3">
        <f t="shared" ref="G328" si="13">E328*F328</f>
        <v>12500</v>
      </c>
      <c r="H328" s="3">
        <f>VLOOKUP(D328,'Bu Erta'!$C$2:$F$66,4,0)*F328</f>
        <v>15000</v>
      </c>
    </row>
    <row r="329" spans="1:8" x14ac:dyDescent="0.35">
      <c r="B329" t="s">
        <v>200</v>
      </c>
      <c r="D329" t="s">
        <v>42</v>
      </c>
      <c r="E329" s="3">
        <f>VLOOKUP(D329,'Bu Erta'!$C$2:$E$66,3,0)</f>
        <v>1000</v>
      </c>
      <c r="F329">
        <f>1.35+2.15</f>
        <v>3.5</v>
      </c>
      <c r="G329" s="3">
        <f t="shared" si="12"/>
        <v>3500</v>
      </c>
      <c r="H329" s="3">
        <f>VLOOKUP(D329,'Bu Erta'!$C$2:$F$66,4,0)*F329</f>
        <v>4200</v>
      </c>
    </row>
    <row r="330" spans="1:8" x14ac:dyDescent="0.35">
      <c r="B330" t="s">
        <v>200</v>
      </c>
      <c r="D330" t="s">
        <v>7</v>
      </c>
      <c r="E330" s="3">
        <f>VLOOKUP(D330,'Bu Erta'!$C$2:$E$66,3,0)</f>
        <v>1400</v>
      </c>
      <c r="F330">
        <v>2.85</v>
      </c>
      <c r="G330" s="3">
        <f t="shared" si="12"/>
        <v>3990</v>
      </c>
      <c r="H330" s="3">
        <f>VLOOKUP(D330,'Bu Erta'!$C$2:$F$66,4,0)*F330</f>
        <v>4560</v>
      </c>
    </row>
    <row r="331" spans="1:8" x14ac:dyDescent="0.35">
      <c r="B331" t="s">
        <v>200</v>
      </c>
      <c r="D331" t="s">
        <v>24</v>
      </c>
      <c r="E331" s="3">
        <f>VLOOKUP(D331,'Bu Erta'!$C$2:$E$66,3,0)</f>
        <v>150</v>
      </c>
      <c r="F331">
        <f>67.4+34.4+34.4+34.4</f>
        <v>170.60000000000002</v>
      </c>
      <c r="G331" s="3">
        <f t="shared" si="12"/>
        <v>25590.000000000004</v>
      </c>
      <c r="H331" s="3">
        <f>VLOOKUP(D331,'Bu Erta'!$C$2:$F$66,4,0)*F331</f>
        <v>34120.000000000007</v>
      </c>
    </row>
    <row r="332" spans="1:8" x14ac:dyDescent="0.35">
      <c r="E332" s="3"/>
      <c r="G332" s="3"/>
      <c r="H332" s="3"/>
    </row>
    <row r="333" spans="1:8" x14ac:dyDescent="0.35">
      <c r="E333" s="3"/>
      <c r="G333" s="3"/>
      <c r="H333" s="3"/>
    </row>
    <row r="334" spans="1:8" x14ac:dyDescent="0.35">
      <c r="E334" s="3"/>
      <c r="G334" s="3"/>
      <c r="H334" s="3"/>
    </row>
    <row r="335" spans="1:8" x14ac:dyDescent="0.35">
      <c r="E335" s="3"/>
      <c r="G335" s="3"/>
      <c r="H335" s="3"/>
    </row>
    <row r="336" spans="1:8" x14ac:dyDescent="0.35">
      <c r="E336" s="3"/>
      <c r="G336" s="3"/>
      <c r="H336" s="3"/>
    </row>
    <row r="337" spans="5:8" x14ac:dyDescent="0.35">
      <c r="E337" s="3"/>
      <c r="G337" s="3"/>
      <c r="H337" s="3"/>
    </row>
    <row r="338" spans="5:8" x14ac:dyDescent="0.35">
      <c r="E338" s="3"/>
      <c r="G338" s="3"/>
      <c r="H338" s="3"/>
    </row>
  </sheetData>
  <mergeCells count="32">
    <mergeCell ref="C3:C9"/>
    <mergeCell ref="A3:A9"/>
    <mergeCell ref="A10:A17"/>
    <mergeCell ref="C10:C17"/>
    <mergeCell ref="C18:C21"/>
    <mergeCell ref="A18:A21"/>
    <mergeCell ref="C39:C50"/>
    <mergeCell ref="A39:A50"/>
    <mergeCell ref="A32:A38"/>
    <mergeCell ref="C32:C38"/>
    <mergeCell ref="C22:C28"/>
    <mergeCell ref="A22:A28"/>
    <mergeCell ref="C29:C31"/>
    <mergeCell ref="A29:A31"/>
    <mergeCell ref="A51:A61"/>
    <mergeCell ref="C51:C61"/>
    <mergeCell ref="A62:A65"/>
    <mergeCell ref="C62:C65"/>
    <mergeCell ref="A73:A86"/>
    <mergeCell ref="C73:C86"/>
    <mergeCell ref="C66:C72"/>
    <mergeCell ref="A66:A72"/>
    <mergeCell ref="A92:A99"/>
    <mergeCell ref="C92:C99"/>
    <mergeCell ref="C87:C91"/>
    <mergeCell ref="A87:A91"/>
    <mergeCell ref="C113:C117"/>
    <mergeCell ref="A113:A117"/>
    <mergeCell ref="A107:A112"/>
    <mergeCell ref="C107:C112"/>
    <mergeCell ref="C100:C106"/>
    <mergeCell ref="A100:A10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67E8-FE73-4332-9A88-6E4BF098720B}">
  <dimension ref="A2:AB378"/>
  <sheetViews>
    <sheetView topLeftCell="D45" zoomScale="71" zoomScaleNormal="80" workbookViewId="0">
      <selection activeCell="I18" sqref="I18"/>
    </sheetView>
  </sheetViews>
  <sheetFormatPr defaultRowHeight="14.5" x14ac:dyDescent="0.35"/>
  <cols>
    <col min="1" max="1" width="7" style="5" customWidth="1"/>
    <col min="2" max="2" width="21.453125" customWidth="1"/>
    <col min="3" max="3" width="9.453125" style="5" bestFit="1" customWidth="1"/>
    <col min="4" max="4" width="23.6328125" bestFit="1" customWidth="1"/>
    <col min="7" max="7" width="11.81640625" bestFit="1" customWidth="1"/>
    <col min="10" max="10" width="16.26953125" bestFit="1" customWidth="1"/>
    <col min="11" max="11" width="9.7265625" bestFit="1" customWidth="1"/>
    <col min="12" max="12" width="17.6328125" bestFit="1" customWidth="1"/>
    <col min="15" max="15" width="23.6328125" bestFit="1" customWidth="1"/>
    <col min="16" max="16" width="8.81640625" bestFit="1" customWidth="1"/>
    <col min="18" max="18" width="11.81640625" bestFit="1" customWidth="1"/>
    <col min="20" max="20" width="0" hidden="1" customWidth="1"/>
    <col min="21" max="21" width="23.6328125" hidden="1" customWidth="1"/>
    <col min="22" max="22" width="10.453125" hidden="1" customWidth="1"/>
    <col min="23" max="23" width="12.1796875" hidden="1" customWidth="1"/>
    <col min="24" max="24" width="17.6328125" hidden="1" customWidth="1"/>
    <col min="25" max="25" width="0" hidden="1" customWidth="1"/>
    <col min="26" max="26" width="23.6328125" bestFit="1" customWidth="1"/>
    <col min="27" max="27" width="12.1796875" bestFit="1" customWidth="1"/>
    <col min="28" max="28" width="17.6328125" bestFit="1" customWidth="1"/>
  </cols>
  <sheetData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t="s">
        <v>82</v>
      </c>
      <c r="N2" s="40" t="s">
        <v>131</v>
      </c>
      <c r="Q2" t="s">
        <v>251</v>
      </c>
      <c r="T2" s="40" t="s">
        <v>169</v>
      </c>
      <c r="W2" t="s">
        <v>221</v>
      </c>
      <c r="Z2" s="68" t="s">
        <v>170</v>
      </c>
      <c r="AA2" t="s">
        <v>171</v>
      </c>
      <c r="AB2" t="s">
        <v>82</v>
      </c>
    </row>
    <row r="3" spans="1:28" x14ac:dyDescent="0.35">
      <c r="A3" s="5">
        <v>1</v>
      </c>
      <c r="B3" t="s">
        <v>184</v>
      </c>
      <c r="C3" s="5">
        <v>7</v>
      </c>
      <c r="D3" t="s">
        <v>19</v>
      </c>
      <c r="E3" s="3">
        <f>VLOOKUP(D3,'Bu Erta'!$C$2:$E$66,3,0)</f>
        <v>200</v>
      </c>
      <c r="F3">
        <v>0.3</v>
      </c>
      <c r="G3" s="3">
        <f>E3*F3</f>
        <v>60</v>
      </c>
      <c r="H3" s="3">
        <f>VLOOKUP(D3,'Bu Erta'!$C$2:$F$66,4,0)*F3</f>
        <v>90</v>
      </c>
      <c r="J3" s="69" t="s">
        <v>237</v>
      </c>
      <c r="K3">
        <v>0</v>
      </c>
      <c r="L3" s="4">
        <v>20100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  <c r="Z3" s="69" t="s">
        <v>215</v>
      </c>
      <c r="AA3">
        <v>1.25</v>
      </c>
      <c r="AB3" s="4">
        <v>7500</v>
      </c>
    </row>
    <row r="4" spans="1:28" x14ac:dyDescent="0.35">
      <c r="B4" t="s">
        <v>184</v>
      </c>
      <c r="D4" t="s">
        <v>24</v>
      </c>
      <c r="E4" s="3">
        <f>VLOOKUP(D4,'Bu Erta'!$C$2:$E$66,3,0)</f>
        <v>150</v>
      </c>
      <c r="F4">
        <v>1.1499999999999999</v>
      </c>
      <c r="G4" s="3">
        <f t="shared" ref="G4:G67" si="0">E4*F4</f>
        <v>172.5</v>
      </c>
      <c r="H4" s="3">
        <f>VLOOKUP(D4,'Bu Erta'!$C$2:$F$66,4,0)*F4</f>
        <v>229.99999999999997</v>
      </c>
      <c r="J4" s="69" t="s">
        <v>200</v>
      </c>
      <c r="K4">
        <v>0</v>
      </c>
      <c r="L4" s="4">
        <v>15940</v>
      </c>
      <c r="N4" s="44">
        <v>1</v>
      </c>
      <c r="O4" s="17" t="s">
        <v>13</v>
      </c>
      <c r="P4" s="52">
        <f>VLOOKUP(O4,'Bu Erta'!$C$2:$F$66,4,0)</f>
        <v>1500</v>
      </c>
      <c r="Q4" s="53">
        <f>SUMIF($D$3:$D$350,O4,$F$3:$F$350)</f>
        <v>0</v>
      </c>
      <c r="R4" s="52">
        <f>P4*Q4</f>
        <v>0</v>
      </c>
      <c r="T4" s="44">
        <v>1</v>
      </c>
      <c r="U4" s="17" t="s">
        <v>13</v>
      </c>
      <c r="V4" s="52">
        <f>VLOOKUP(U4,'Bu Erta'!$C$2:$F$66,4,0)</f>
        <v>1500</v>
      </c>
      <c r="W4" s="53"/>
      <c r="X4" s="52">
        <f>V4*W4</f>
        <v>0</v>
      </c>
      <c r="Z4" s="69" t="s">
        <v>17</v>
      </c>
      <c r="AA4">
        <v>4.0999999999999996</v>
      </c>
      <c r="AB4" s="4">
        <v>32800</v>
      </c>
    </row>
    <row r="5" spans="1:28" x14ac:dyDescent="0.35">
      <c r="B5" t="s">
        <v>184</v>
      </c>
      <c r="D5" t="s">
        <v>7</v>
      </c>
      <c r="E5" s="3">
        <f>VLOOKUP(D5,'Bu Erta'!$C$2:$E$66,3,0)</f>
        <v>1400</v>
      </c>
      <c r="F5">
        <v>0.35</v>
      </c>
      <c r="G5" s="3">
        <f t="shared" si="0"/>
        <v>489.99999999999994</v>
      </c>
      <c r="H5" s="3">
        <f>VLOOKUP(D5,'Bu Erta'!$C$2:$F$66,4,0)*F5</f>
        <v>560</v>
      </c>
      <c r="J5" s="69" t="s">
        <v>198</v>
      </c>
      <c r="K5">
        <v>0</v>
      </c>
      <c r="L5" s="4">
        <v>9770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ref="Q5:Q67" si="1">SUMIF($D$3:$D$350,O5,$F$3:$F$350)</f>
        <v>0</v>
      </c>
      <c r="R5" s="52">
        <f t="shared" ref="R5:R67" si="2">P5*Q5</f>
        <v>0</v>
      </c>
      <c r="T5" s="44">
        <v>2</v>
      </c>
      <c r="U5" s="17" t="s">
        <v>14</v>
      </c>
      <c r="V5" s="52">
        <f>VLOOKUP(U5,'Bu Erta'!$C$2:$F$66,4,0)</f>
        <v>100000</v>
      </c>
      <c r="W5" s="53"/>
      <c r="X5" s="52">
        <f t="shared" ref="X5:X67" si="3">V5*W5</f>
        <v>0</v>
      </c>
      <c r="Z5" s="69" t="s">
        <v>19</v>
      </c>
      <c r="AA5">
        <v>31.9</v>
      </c>
      <c r="AB5" s="4">
        <v>6380</v>
      </c>
    </row>
    <row r="6" spans="1:28" x14ac:dyDescent="0.35">
      <c r="B6" t="s">
        <v>184</v>
      </c>
      <c r="D6" t="s">
        <v>69</v>
      </c>
      <c r="E6" s="3">
        <f>VLOOKUP(D6,'Bu Erta'!$C$2:$E$66,3,0)</f>
        <v>2500</v>
      </c>
      <c r="F6">
        <v>0.05</v>
      </c>
      <c r="G6" s="3">
        <f t="shared" si="0"/>
        <v>125</v>
      </c>
      <c r="H6" s="3">
        <f>VLOOKUP(D6,'Bu Erta'!$C$2:$F$66,4,0)*F6</f>
        <v>150</v>
      </c>
      <c r="J6" s="69" t="s">
        <v>91</v>
      </c>
      <c r="K6">
        <v>0</v>
      </c>
      <c r="L6" s="4">
        <v>40477.5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44">
        <v>3</v>
      </c>
      <c r="U6" s="17" t="s">
        <v>15</v>
      </c>
      <c r="V6" s="52">
        <f>VLOOKUP(U6,'Bu Erta'!$C$2:$F$66,4,0)</f>
        <v>40000</v>
      </c>
      <c r="W6" s="53"/>
      <c r="X6" s="52">
        <f t="shared" si="3"/>
        <v>0</v>
      </c>
      <c r="Z6" s="69" t="s">
        <v>22</v>
      </c>
      <c r="AA6">
        <v>18</v>
      </c>
      <c r="AB6" s="4">
        <v>45000</v>
      </c>
    </row>
    <row r="7" spans="1:28" x14ac:dyDescent="0.35">
      <c r="B7" t="s">
        <v>184</v>
      </c>
      <c r="D7" t="s">
        <v>27</v>
      </c>
      <c r="E7" s="3">
        <f>VLOOKUP(D7,'Bu Erta'!$C$2:$E$66,3,0)</f>
        <v>2800</v>
      </c>
      <c r="F7">
        <v>0.4</v>
      </c>
      <c r="G7" s="3">
        <f t="shared" si="0"/>
        <v>1120</v>
      </c>
      <c r="H7" s="3">
        <f>VLOOKUP(D7,'Bu Erta'!$C$2:$F$66,4,0)*F7</f>
        <v>1240</v>
      </c>
      <c r="J7" s="69" t="s">
        <v>219</v>
      </c>
      <c r="K7">
        <v>0</v>
      </c>
      <c r="L7" s="4">
        <v>2015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1.25</v>
      </c>
      <c r="R7" s="52">
        <f t="shared" si="2"/>
        <v>8125</v>
      </c>
      <c r="T7" s="44">
        <v>4</v>
      </c>
      <c r="U7" s="17" t="s">
        <v>16</v>
      </c>
      <c r="V7" s="52">
        <f>VLOOKUP(U7,'Bu Erta'!$C$2:$F$66,4,0)</f>
        <v>6500</v>
      </c>
      <c r="W7" s="53"/>
      <c r="X7" s="52">
        <f t="shared" si="3"/>
        <v>0</v>
      </c>
      <c r="Z7" s="69" t="s">
        <v>23</v>
      </c>
      <c r="AA7">
        <v>26.5</v>
      </c>
      <c r="AB7" s="4">
        <v>7950</v>
      </c>
    </row>
    <row r="8" spans="1:28" x14ac:dyDescent="0.35">
      <c r="B8" t="s">
        <v>184</v>
      </c>
      <c r="D8" t="s">
        <v>41</v>
      </c>
      <c r="E8" s="3">
        <f>VLOOKUP(D8,'Bu Erta'!$C$2:$E$66,3,0)</f>
        <v>1500</v>
      </c>
      <c r="F8">
        <v>0.05</v>
      </c>
      <c r="G8" s="3">
        <f t="shared" si="0"/>
        <v>75</v>
      </c>
      <c r="H8" s="3">
        <f>VLOOKUP(D8,'Bu Erta'!$C$2:$F$66,4,0)*F8</f>
        <v>100</v>
      </c>
      <c r="J8" s="69" t="s">
        <v>193</v>
      </c>
      <c r="K8">
        <v>1</v>
      </c>
      <c r="L8" s="4">
        <v>940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4.0999999999999996</v>
      </c>
      <c r="R8" s="52">
        <f t="shared" si="2"/>
        <v>34850</v>
      </c>
      <c r="T8" s="44">
        <v>5</v>
      </c>
      <c r="U8" s="17" t="s">
        <v>17</v>
      </c>
      <c r="V8" s="52">
        <f>VLOOKUP(U8,'Bu Erta'!$C$2:$F$66,4,0)</f>
        <v>8500</v>
      </c>
      <c r="W8" s="53"/>
      <c r="X8" s="52">
        <f t="shared" si="3"/>
        <v>0</v>
      </c>
      <c r="Z8" s="69" t="s">
        <v>25</v>
      </c>
      <c r="AA8">
        <v>5.8500000000000005</v>
      </c>
      <c r="AB8" s="4">
        <v>9360</v>
      </c>
    </row>
    <row r="9" spans="1:28" x14ac:dyDescent="0.35">
      <c r="A9" s="5">
        <v>2</v>
      </c>
      <c r="B9" t="s">
        <v>236</v>
      </c>
      <c r="C9" s="5">
        <v>7</v>
      </c>
      <c r="D9" t="s">
        <v>36</v>
      </c>
      <c r="E9" s="3">
        <f>VLOOKUP(D9,'Bu Erta'!$C$2:$E$66,3,0)</f>
        <v>600</v>
      </c>
      <c r="F9">
        <v>0.8</v>
      </c>
      <c r="G9" s="3">
        <f t="shared" si="0"/>
        <v>480</v>
      </c>
      <c r="H9" s="3">
        <f>VLOOKUP(D9,'Bu Erta'!$C$2:$F$66,4,0)*F9</f>
        <v>520</v>
      </c>
      <c r="J9" s="69" t="s">
        <v>217</v>
      </c>
      <c r="K9">
        <v>1</v>
      </c>
      <c r="L9" s="4">
        <v>9545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44">
        <v>6</v>
      </c>
      <c r="U9" s="17" t="s">
        <v>18</v>
      </c>
      <c r="V9" s="52">
        <f>VLOOKUP(U9,'Bu Erta'!$C$2:$F$66,4,0)</f>
        <v>4000</v>
      </c>
      <c r="W9" s="53"/>
      <c r="X9" s="52">
        <f t="shared" si="3"/>
        <v>0</v>
      </c>
      <c r="Z9" s="69" t="s">
        <v>24</v>
      </c>
      <c r="AA9">
        <v>21.4</v>
      </c>
      <c r="AB9" s="4">
        <v>3210</v>
      </c>
    </row>
    <row r="10" spans="1:28" x14ac:dyDescent="0.35">
      <c r="B10" t="s">
        <v>236</v>
      </c>
      <c r="D10" t="s">
        <v>7</v>
      </c>
      <c r="E10" s="3">
        <f>VLOOKUP(D10,'Bu Erta'!$C$2:$E$66,3,0)</f>
        <v>1400</v>
      </c>
      <c r="F10">
        <f>0.65+0.7+0.05+0.25+0.7</f>
        <v>2.35</v>
      </c>
      <c r="G10" s="3">
        <f t="shared" si="0"/>
        <v>3290</v>
      </c>
      <c r="H10" s="3">
        <f>VLOOKUP(D10,'Bu Erta'!$C$2:$F$66,4,0)*F10</f>
        <v>3760</v>
      </c>
      <c r="J10" s="69" t="s">
        <v>83</v>
      </c>
      <c r="K10">
        <v>1</v>
      </c>
      <c r="L10" s="4">
        <v>6900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31.9</v>
      </c>
      <c r="R10" s="52">
        <f t="shared" si="2"/>
        <v>9570</v>
      </c>
      <c r="T10" s="44">
        <v>7</v>
      </c>
      <c r="U10" s="17" t="s">
        <v>19</v>
      </c>
      <c r="V10" s="52">
        <f>VLOOKUP(U10,'Bu Erta'!$C$2:$F$66,4,0)</f>
        <v>300</v>
      </c>
      <c r="W10" s="53"/>
      <c r="X10" s="52">
        <f t="shared" si="3"/>
        <v>0</v>
      </c>
      <c r="Z10" s="69" t="s">
        <v>27</v>
      </c>
      <c r="AA10">
        <v>18.750000000000007</v>
      </c>
      <c r="AB10" s="4">
        <v>52500</v>
      </c>
    </row>
    <row r="11" spans="1:28" x14ac:dyDescent="0.35">
      <c r="B11" t="s">
        <v>236</v>
      </c>
      <c r="D11" t="s">
        <v>28</v>
      </c>
      <c r="E11" s="3">
        <f>VLOOKUP(D11,'Bu Erta'!$C$2:$E$66,3,0)</f>
        <v>1200</v>
      </c>
      <c r="F11">
        <f>8.6+1.8</f>
        <v>10.4</v>
      </c>
      <c r="G11" s="3">
        <f t="shared" si="0"/>
        <v>12480</v>
      </c>
      <c r="H11" s="3">
        <f>VLOOKUP(D11,'Bu Erta'!$C$2:$F$66,4,0)*F11</f>
        <v>13520</v>
      </c>
      <c r="J11" s="69" t="s">
        <v>139</v>
      </c>
      <c r="K11">
        <v>1</v>
      </c>
      <c r="L11" s="4">
        <v>1125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44">
        <v>8</v>
      </c>
      <c r="U11" s="17" t="s">
        <v>20</v>
      </c>
      <c r="V11" s="52">
        <f>VLOOKUP(U11,'Bu Erta'!$C$2:$F$66,4,0)</f>
        <v>8000</v>
      </c>
      <c r="W11" s="53"/>
      <c r="X11" s="52">
        <f t="shared" si="3"/>
        <v>0</v>
      </c>
      <c r="Z11" s="69" t="s">
        <v>28</v>
      </c>
      <c r="AA11">
        <v>55.300000000000004</v>
      </c>
      <c r="AB11" s="4">
        <v>66360</v>
      </c>
    </row>
    <row r="12" spans="1:28" x14ac:dyDescent="0.35">
      <c r="B12" t="s">
        <v>236</v>
      </c>
      <c r="D12" t="s">
        <v>46</v>
      </c>
      <c r="E12" s="3">
        <f>VLOOKUP(D12,'Bu Erta'!$C$2:$E$66,3,0)</f>
        <v>1400</v>
      </c>
      <c r="F12">
        <v>2.8</v>
      </c>
      <c r="G12" s="3">
        <f t="shared" si="0"/>
        <v>3919.9999999999995</v>
      </c>
      <c r="H12" s="3">
        <f>VLOOKUP(D12,'Bu Erta'!$C$2:$F$66,4,0)*F12</f>
        <v>4200</v>
      </c>
      <c r="J12" s="69" t="s">
        <v>197</v>
      </c>
      <c r="K12">
        <v>1</v>
      </c>
      <c r="L12" s="4">
        <v>2585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0</v>
      </c>
      <c r="R12" s="52">
        <f t="shared" si="2"/>
        <v>0</v>
      </c>
      <c r="T12" s="44">
        <v>9</v>
      </c>
      <c r="U12" s="17" t="s">
        <v>21</v>
      </c>
      <c r="V12" s="52">
        <f>VLOOKUP(U12,'Bu Erta'!$C$2:$F$66,4,0)</f>
        <v>200</v>
      </c>
      <c r="W12" s="53"/>
      <c r="X12" s="52">
        <f t="shared" si="3"/>
        <v>0</v>
      </c>
      <c r="Z12" s="69" t="s">
        <v>29</v>
      </c>
      <c r="AA12">
        <v>2.15</v>
      </c>
      <c r="AB12" s="4">
        <v>10750</v>
      </c>
    </row>
    <row r="13" spans="1:28" x14ac:dyDescent="0.35">
      <c r="B13" t="s">
        <v>236</v>
      </c>
      <c r="D13" t="s">
        <v>23</v>
      </c>
      <c r="E13" s="3">
        <f>VLOOKUP(D13,'Bu Erta'!$C$2:$E$66,3,0)</f>
        <v>300</v>
      </c>
      <c r="F13">
        <f>0.35+0.1</f>
        <v>0.44999999999999996</v>
      </c>
      <c r="G13" s="3">
        <f t="shared" si="0"/>
        <v>135</v>
      </c>
      <c r="H13" s="3">
        <f>VLOOKUP(D13,'Bu Erta'!$C$2:$F$66,4,0)*F13</f>
        <v>179.99999999999997</v>
      </c>
      <c r="J13" s="69" t="s">
        <v>108</v>
      </c>
      <c r="K13">
        <v>2</v>
      </c>
      <c r="L13" s="4">
        <v>33070</v>
      </c>
      <c r="N13" s="44">
        <v>10</v>
      </c>
      <c r="O13" s="17" t="s">
        <v>22</v>
      </c>
      <c r="P13" s="52">
        <f>VLOOKUP(O13,'Bu Erta'!$C$2:$F$66,4,0)</f>
        <v>3000</v>
      </c>
      <c r="Q13" s="53">
        <f t="shared" si="1"/>
        <v>18</v>
      </c>
      <c r="R13" s="52">
        <f t="shared" si="2"/>
        <v>54000</v>
      </c>
      <c r="T13" s="44">
        <v>10</v>
      </c>
      <c r="U13" s="17" t="s">
        <v>22</v>
      </c>
      <c r="V13" s="52">
        <f>VLOOKUP(U13,'Bu Erta'!$C$2:$F$66,4,0)</f>
        <v>3000</v>
      </c>
      <c r="W13" s="53"/>
      <c r="X13" s="52">
        <f t="shared" si="3"/>
        <v>0</v>
      </c>
      <c r="Z13" s="69" t="s">
        <v>7</v>
      </c>
      <c r="AA13">
        <v>59.40000000000002</v>
      </c>
      <c r="AB13" s="4">
        <v>83160</v>
      </c>
    </row>
    <row r="14" spans="1:28" x14ac:dyDescent="0.35">
      <c r="B14" t="s">
        <v>236</v>
      </c>
      <c r="D14" t="s">
        <v>29</v>
      </c>
      <c r="E14" s="3">
        <f>VLOOKUP(D14,'Bu Erta'!$C$2:$E$66,3,0)</f>
        <v>5000</v>
      </c>
      <c r="F14">
        <v>0.15</v>
      </c>
      <c r="G14" s="3">
        <f t="shared" si="0"/>
        <v>750</v>
      </c>
      <c r="H14" s="3">
        <f>VLOOKUP(D14,'Bu Erta'!$C$2:$F$66,4,0)*F14</f>
        <v>900</v>
      </c>
      <c r="J14" s="69" t="s">
        <v>79</v>
      </c>
      <c r="K14">
        <v>2</v>
      </c>
      <c r="L14" s="4">
        <v>16570</v>
      </c>
      <c r="N14" s="44">
        <v>11</v>
      </c>
      <c r="O14" s="17" t="s">
        <v>23</v>
      </c>
      <c r="P14" s="52">
        <f>VLOOKUP(O14,'Bu Erta'!$C$2:$F$66,4,0)</f>
        <v>400</v>
      </c>
      <c r="Q14" s="53">
        <f t="shared" si="1"/>
        <v>26.5</v>
      </c>
      <c r="R14" s="52">
        <f t="shared" si="2"/>
        <v>10600</v>
      </c>
      <c r="T14" s="44">
        <v>11</v>
      </c>
      <c r="U14" s="17" t="s">
        <v>23</v>
      </c>
      <c r="V14" s="52">
        <f>VLOOKUP(U14,'Bu Erta'!$C$2:$F$66,4,0)</f>
        <v>400</v>
      </c>
      <c r="W14" s="53"/>
      <c r="X14" s="52">
        <f t="shared" si="3"/>
        <v>0</v>
      </c>
      <c r="Z14" s="69" t="s">
        <v>31</v>
      </c>
      <c r="AA14">
        <v>32.85</v>
      </c>
      <c r="AB14" s="4">
        <v>32850</v>
      </c>
    </row>
    <row r="15" spans="1:28" x14ac:dyDescent="0.35">
      <c r="B15" t="s">
        <v>236</v>
      </c>
      <c r="D15" t="s">
        <v>42</v>
      </c>
      <c r="E15" s="3">
        <f>VLOOKUP(D15,'Bu Erta'!$C$2:$E$66,3,0)</f>
        <v>1000</v>
      </c>
      <c r="F15">
        <v>0.15</v>
      </c>
      <c r="G15" s="3">
        <f t="shared" si="0"/>
        <v>150</v>
      </c>
      <c r="H15" s="3">
        <f>VLOOKUP(D15,'Bu Erta'!$C$2:$F$66,4,0)*F15</f>
        <v>180</v>
      </c>
      <c r="J15" s="69" t="s">
        <v>175</v>
      </c>
      <c r="K15">
        <v>2</v>
      </c>
      <c r="L15" s="4">
        <v>8267.5</v>
      </c>
      <c r="N15" s="44">
        <v>12</v>
      </c>
      <c r="O15" s="17" t="s">
        <v>25</v>
      </c>
      <c r="P15" s="52">
        <f>VLOOKUP(O15,'Bu Erta'!$C$2:$F$66,4,0)</f>
        <v>1700</v>
      </c>
      <c r="Q15" s="53">
        <f>SUMIF($D$3:$D$350,O15,$F$3:$F$350)-5.85</f>
        <v>0</v>
      </c>
      <c r="R15" s="52">
        <f t="shared" si="2"/>
        <v>0</v>
      </c>
      <c r="T15" s="44">
        <v>12</v>
      </c>
      <c r="U15" s="17" t="s">
        <v>25</v>
      </c>
      <c r="V15" s="52">
        <f>VLOOKUP(U15,'Bu Erta'!$C$2:$F$66,4,0)</f>
        <v>1700</v>
      </c>
      <c r="W15" s="53"/>
      <c r="X15" s="52">
        <f t="shared" si="3"/>
        <v>0</v>
      </c>
      <c r="Z15" s="69" t="s">
        <v>34</v>
      </c>
      <c r="AA15">
        <v>2.8</v>
      </c>
      <c r="AB15" s="4">
        <v>9800</v>
      </c>
    </row>
    <row r="16" spans="1:28" x14ac:dyDescent="0.35">
      <c r="B16" t="s">
        <v>236</v>
      </c>
      <c r="D16" t="s">
        <v>24</v>
      </c>
      <c r="E16" s="3">
        <f>VLOOKUP(D16,'Bu Erta'!$C$2:$E$66,3,0)</f>
        <v>150</v>
      </c>
      <c r="F16">
        <v>0.15</v>
      </c>
      <c r="G16" s="3">
        <f t="shared" si="0"/>
        <v>22.5</v>
      </c>
      <c r="H16" s="3">
        <f>VLOOKUP(D16,'Bu Erta'!$C$2:$F$66,4,0)*F16</f>
        <v>30</v>
      </c>
      <c r="J16" s="69" t="s">
        <v>5</v>
      </c>
      <c r="K16">
        <v>2</v>
      </c>
      <c r="L16" s="4">
        <v>6300</v>
      </c>
      <c r="N16" s="44">
        <v>13</v>
      </c>
      <c r="O16" s="17" t="s">
        <v>24</v>
      </c>
      <c r="P16" s="52">
        <f>VLOOKUP(O16,'Bu Erta'!$C$2:$F$66,4,0)</f>
        <v>200</v>
      </c>
      <c r="Q16" s="53">
        <f t="shared" si="1"/>
        <v>21.4</v>
      </c>
      <c r="R16" s="52">
        <f t="shared" si="2"/>
        <v>4280</v>
      </c>
      <c r="T16" s="44">
        <v>13</v>
      </c>
      <c r="U16" s="17" t="s">
        <v>24</v>
      </c>
      <c r="V16" s="52">
        <f>VLOOKUP(U16,'Bu Erta'!$C$2:$F$66,4,0)</f>
        <v>200</v>
      </c>
      <c r="W16" s="53"/>
      <c r="X16" s="52">
        <f t="shared" si="3"/>
        <v>0</v>
      </c>
      <c r="Z16" s="69" t="s">
        <v>36</v>
      </c>
      <c r="AA16">
        <v>1.9500000000000002</v>
      </c>
      <c r="AB16" s="4">
        <v>1170</v>
      </c>
    </row>
    <row r="17" spans="1:28" x14ac:dyDescent="0.35">
      <c r="B17" t="s">
        <v>236</v>
      </c>
      <c r="D17" t="s">
        <v>40</v>
      </c>
      <c r="E17" s="3">
        <f>VLOOKUP(D17,'Bu Erta'!$C$2:$E$66,3,0)</f>
        <v>1800</v>
      </c>
      <c r="F17">
        <v>0.2</v>
      </c>
      <c r="G17" s="3">
        <f t="shared" si="0"/>
        <v>360</v>
      </c>
      <c r="H17" s="3">
        <f>VLOOKUP(D17,'Bu Erta'!$C$2:$F$66,4,0)*F17</f>
        <v>400</v>
      </c>
      <c r="J17" s="69" t="s">
        <v>244</v>
      </c>
      <c r="K17">
        <v>2</v>
      </c>
      <c r="L17" s="4">
        <v>26110</v>
      </c>
      <c r="N17" s="44">
        <v>14</v>
      </c>
      <c r="O17" s="17" t="s">
        <v>26</v>
      </c>
      <c r="P17" s="52">
        <f>VLOOKUP(O17,'Bu Erta'!$C$2:$F$66,4,0)</f>
        <v>1000</v>
      </c>
      <c r="Q17" s="53">
        <f t="shared" si="1"/>
        <v>0</v>
      </c>
      <c r="R17" s="52">
        <f t="shared" si="2"/>
        <v>0</v>
      </c>
      <c r="T17" s="44">
        <v>14</v>
      </c>
      <c r="U17" s="17" t="s">
        <v>26</v>
      </c>
      <c r="V17" s="52">
        <f>VLOOKUP(U17,'Bu Erta'!$C$2:$F$66,4,0)</f>
        <v>1000</v>
      </c>
      <c r="W17" s="53"/>
      <c r="X17" s="52">
        <f t="shared" si="3"/>
        <v>0</v>
      </c>
      <c r="Z17" s="69" t="s">
        <v>37</v>
      </c>
      <c r="AA17">
        <v>1.1000000000000001</v>
      </c>
      <c r="AB17" s="4">
        <v>1760</v>
      </c>
    </row>
    <row r="18" spans="1:28" x14ac:dyDescent="0.35">
      <c r="A18" s="5">
        <v>3</v>
      </c>
      <c r="B18" t="s">
        <v>142</v>
      </c>
      <c r="C18" s="1">
        <v>4</v>
      </c>
      <c r="D18" t="s">
        <v>61</v>
      </c>
      <c r="E18" s="3">
        <f>VLOOKUP(D18,'Bu Erta'!$C$2:$E$66,3,0)</f>
        <v>800</v>
      </c>
      <c r="F18">
        <v>0.35</v>
      </c>
      <c r="G18" s="3">
        <f t="shared" si="0"/>
        <v>280</v>
      </c>
      <c r="H18" s="3">
        <f>VLOOKUP(D18,'Bu Erta'!$C$2:$F$66,4,0)*F18</f>
        <v>315</v>
      </c>
      <c r="J18" s="69" t="s">
        <v>242</v>
      </c>
      <c r="K18">
        <v>3</v>
      </c>
      <c r="L18" s="4">
        <v>11610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SUMIF($D$3:$D$350,O18,$F$3:$F$350)+5.85-1.95-1.65</f>
        <v>21.000000000000011</v>
      </c>
      <c r="R18" s="52">
        <f t="shared" si="2"/>
        <v>65100.000000000036</v>
      </c>
      <c r="S18" s="78">
        <f>5.85-S26</f>
        <v>3.8999999999999995</v>
      </c>
      <c r="T18" s="44">
        <v>15</v>
      </c>
      <c r="U18" s="17" t="s">
        <v>27</v>
      </c>
      <c r="V18" s="52">
        <f>VLOOKUP(U18,'Bu Erta'!$C$2:$F$66,4,0)</f>
        <v>3100</v>
      </c>
      <c r="W18" s="53"/>
      <c r="X18" s="52">
        <f t="shared" si="3"/>
        <v>0</v>
      </c>
      <c r="Z18" s="69" t="s">
        <v>38</v>
      </c>
      <c r="AA18">
        <v>5.25</v>
      </c>
      <c r="AB18" s="4">
        <v>7350</v>
      </c>
    </row>
    <row r="19" spans="1:28" x14ac:dyDescent="0.35">
      <c r="B19" t="s">
        <v>142</v>
      </c>
      <c r="D19" t="s">
        <v>42</v>
      </c>
      <c r="E19" s="3">
        <f>VLOOKUP(D19,'Bu Erta'!$C$2:$E$66,3,0)</f>
        <v>1000</v>
      </c>
      <c r="F19">
        <v>3.4</v>
      </c>
      <c r="G19" s="3">
        <f t="shared" si="0"/>
        <v>3400</v>
      </c>
      <c r="H19" s="3">
        <f>VLOOKUP(D19,'Bu Erta'!$C$2:$F$66,4,0)*F19</f>
        <v>4080</v>
      </c>
      <c r="J19" s="69" t="s">
        <v>76</v>
      </c>
      <c r="K19">
        <v>3</v>
      </c>
      <c r="L19" s="4">
        <v>10357.5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si="1"/>
        <v>55.300000000000004</v>
      </c>
      <c r="R19" s="52">
        <f t="shared" si="2"/>
        <v>71890</v>
      </c>
      <c r="T19" s="44">
        <v>16</v>
      </c>
      <c r="U19" s="17" t="s">
        <v>28</v>
      </c>
      <c r="V19" s="52">
        <f>VLOOKUP(U19,'Bu Erta'!$C$2:$F$66,4,0)</f>
        <v>1300</v>
      </c>
      <c r="W19" s="53"/>
      <c r="X19" s="52">
        <f t="shared" si="3"/>
        <v>0</v>
      </c>
      <c r="Z19" s="69" t="s">
        <v>39</v>
      </c>
      <c r="AA19">
        <v>1</v>
      </c>
      <c r="AB19" s="4">
        <v>150</v>
      </c>
    </row>
    <row r="20" spans="1:28" x14ac:dyDescent="0.35">
      <c r="B20" t="s">
        <v>142</v>
      </c>
      <c r="D20" t="s">
        <v>19</v>
      </c>
      <c r="E20" s="3">
        <f>VLOOKUP(D20,'Bu Erta'!$C$2:$E$66,3,0)</f>
        <v>200</v>
      </c>
      <c r="F20">
        <v>0.3</v>
      </c>
      <c r="G20" s="3">
        <f t="shared" si="0"/>
        <v>60</v>
      </c>
      <c r="H20" s="3">
        <f>VLOOKUP(D20,'Bu Erta'!$C$2:$F$66,4,0)*F20</f>
        <v>90</v>
      </c>
      <c r="J20" s="69" t="s">
        <v>178</v>
      </c>
      <c r="K20">
        <v>3</v>
      </c>
      <c r="L20" s="4">
        <v>4052.5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1"/>
        <v>2.15</v>
      </c>
      <c r="R20" s="52">
        <f t="shared" si="2"/>
        <v>12900</v>
      </c>
      <c r="T20" s="44">
        <v>17</v>
      </c>
      <c r="U20" s="17" t="s">
        <v>29</v>
      </c>
      <c r="V20" s="52">
        <f>VLOOKUP(U20,'Bu Erta'!$C$2:$F$66,4,0)</f>
        <v>6000</v>
      </c>
      <c r="W20" s="53"/>
      <c r="X20" s="52">
        <f t="shared" si="3"/>
        <v>0</v>
      </c>
      <c r="Z20" s="69" t="s">
        <v>40</v>
      </c>
      <c r="AA20">
        <v>14.2</v>
      </c>
      <c r="AB20" s="4">
        <v>25560</v>
      </c>
    </row>
    <row r="21" spans="1:28" x14ac:dyDescent="0.35">
      <c r="B21" t="s">
        <v>142</v>
      </c>
      <c r="D21" t="s">
        <v>25</v>
      </c>
      <c r="E21" s="3">
        <f>VLOOKUP(D21,'Bu Erta'!$C$2:$E$66,3,0)</f>
        <v>1600</v>
      </c>
      <c r="F21">
        <v>0.15</v>
      </c>
      <c r="G21" s="3">
        <f t="shared" si="0"/>
        <v>240</v>
      </c>
      <c r="H21" s="3">
        <f>VLOOKUP(D21,'Bu Erta'!$C$2:$F$66,4,0)*F21</f>
        <v>255</v>
      </c>
      <c r="J21" s="69" t="s">
        <v>109</v>
      </c>
      <c r="K21">
        <v>4</v>
      </c>
      <c r="L21" s="4">
        <v>7722.5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1"/>
        <v>0</v>
      </c>
      <c r="R21" s="52">
        <f t="shared" si="2"/>
        <v>0</v>
      </c>
      <c r="T21" s="44">
        <v>18</v>
      </c>
      <c r="U21" s="17" t="s">
        <v>30</v>
      </c>
      <c r="V21" s="52">
        <f>VLOOKUP(U21,'Bu Erta'!$C$2:$F$66,4,0)</f>
        <v>15000</v>
      </c>
      <c r="W21" s="53"/>
      <c r="X21" s="52">
        <f t="shared" si="3"/>
        <v>0</v>
      </c>
      <c r="Z21" s="69" t="s">
        <v>41</v>
      </c>
      <c r="AA21">
        <v>5.3000000000000007</v>
      </c>
      <c r="AB21" s="4">
        <v>7950</v>
      </c>
    </row>
    <row r="22" spans="1:28" x14ac:dyDescent="0.35">
      <c r="B22" t="s">
        <v>142</v>
      </c>
      <c r="D22" t="s">
        <v>68</v>
      </c>
      <c r="E22" s="3">
        <f>VLOOKUP(D22,'Bu Erta'!$C$2:$E$66,3,0)</f>
        <v>150</v>
      </c>
      <c r="F22">
        <v>0.15</v>
      </c>
      <c r="G22" s="3">
        <f t="shared" si="0"/>
        <v>22.5</v>
      </c>
      <c r="H22" s="3">
        <f>VLOOKUP(D22,'Bu Erta'!$C$2:$F$66,4,0)*F22</f>
        <v>30</v>
      </c>
      <c r="J22" s="69" t="s">
        <v>137</v>
      </c>
      <c r="K22">
        <v>4</v>
      </c>
      <c r="L22" s="4">
        <v>2030</v>
      </c>
      <c r="N22" s="44">
        <v>19</v>
      </c>
      <c r="O22" s="17" t="s">
        <v>7</v>
      </c>
      <c r="P22" s="52">
        <f>VLOOKUP(O22,'Bu Erta'!$C$2:$F$66,4,0)</f>
        <v>1600</v>
      </c>
      <c r="Q22" s="53">
        <f t="shared" si="1"/>
        <v>59.40000000000002</v>
      </c>
      <c r="R22" s="52">
        <f t="shared" si="2"/>
        <v>95040.000000000029</v>
      </c>
      <c r="T22" s="44">
        <v>19</v>
      </c>
      <c r="U22" s="17" t="s">
        <v>7</v>
      </c>
      <c r="V22" s="52">
        <f>VLOOKUP(U22,'Bu Erta'!$C$2:$F$66,4,0)</f>
        <v>1600</v>
      </c>
      <c r="W22" s="53"/>
      <c r="X22" s="52">
        <f t="shared" si="3"/>
        <v>0</v>
      </c>
      <c r="Z22" s="69" t="s">
        <v>42</v>
      </c>
      <c r="AA22">
        <v>59.5</v>
      </c>
      <c r="AB22" s="4">
        <v>59500</v>
      </c>
    </row>
    <row r="23" spans="1:28" x14ac:dyDescent="0.35">
      <c r="B23" t="s">
        <v>142</v>
      </c>
      <c r="D23" t="s">
        <v>88</v>
      </c>
      <c r="E23" s="3">
        <f>VLOOKUP(D23,'Bu Erta'!$C$2:$E$66,3,0)</f>
        <v>300</v>
      </c>
      <c r="F23">
        <v>0.05</v>
      </c>
      <c r="G23" s="3">
        <f t="shared" si="0"/>
        <v>15</v>
      </c>
      <c r="H23" s="3">
        <f>VLOOKUP(D23,'Bu Erta'!$C$2:$F$66,4,0)*F23</f>
        <v>20</v>
      </c>
      <c r="J23" s="69" t="s">
        <v>86</v>
      </c>
      <c r="K23">
        <v>4</v>
      </c>
      <c r="L23" s="4">
        <v>9370</v>
      </c>
      <c r="N23" s="44">
        <v>20</v>
      </c>
      <c r="O23" s="17" t="s">
        <v>31</v>
      </c>
      <c r="P23" s="52">
        <f>VLOOKUP(O23,'Bu Erta'!$C$2:$F$66,4,0)</f>
        <v>1100</v>
      </c>
      <c r="Q23" s="53">
        <f>SUMIF($D$3:$D$350,O23,$F$3:$F$350)</f>
        <v>32.85</v>
      </c>
      <c r="R23" s="52">
        <f t="shared" si="2"/>
        <v>36135</v>
      </c>
      <c r="T23" s="44">
        <v>20</v>
      </c>
      <c r="U23" s="17" t="s">
        <v>31</v>
      </c>
      <c r="V23" s="52">
        <f>VLOOKUP(U23,'Bu Erta'!$C$2:$F$66,4,0)</f>
        <v>1100</v>
      </c>
      <c r="W23" s="53"/>
      <c r="X23" s="52">
        <f t="shared" si="3"/>
        <v>0</v>
      </c>
      <c r="Z23" s="69" t="s">
        <v>46</v>
      </c>
      <c r="AA23">
        <v>32.650000000000006</v>
      </c>
      <c r="AB23" s="4">
        <v>45710</v>
      </c>
    </row>
    <row r="24" spans="1:28" x14ac:dyDescent="0.35">
      <c r="B24" t="s">
        <v>142</v>
      </c>
      <c r="D24" t="s">
        <v>38</v>
      </c>
      <c r="E24" s="3">
        <f>VLOOKUP(D24,'Bu Erta'!$C$2:$E$66,3,0)</f>
        <v>1400</v>
      </c>
      <c r="F24">
        <v>0.55000000000000004</v>
      </c>
      <c r="G24" s="3">
        <f t="shared" si="0"/>
        <v>770.00000000000011</v>
      </c>
      <c r="H24" s="3">
        <f>VLOOKUP(D24,'Bu Erta'!$C$2:$F$66,4,0)*F24</f>
        <v>880.00000000000011</v>
      </c>
      <c r="J24" s="69" t="s">
        <v>102</v>
      </c>
      <c r="K24">
        <v>4</v>
      </c>
      <c r="L24" s="4">
        <v>19012.5</v>
      </c>
      <c r="N24" s="44">
        <v>21</v>
      </c>
      <c r="O24" s="17" t="s">
        <v>32</v>
      </c>
      <c r="P24" s="52">
        <f>VLOOKUP(O24,'Bu Erta'!$C$2:$F$66,4,0)</f>
        <v>5000</v>
      </c>
      <c r="Q24" s="53">
        <f t="shared" si="1"/>
        <v>0</v>
      </c>
      <c r="R24" s="52">
        <f t="shared" si="2"/>
        <v>0</v>
      </c>
      <c r="T24" s="44">
        <v>21</v>
      </c>
      <c r="U24" s="17" t="s">
        <v>32</v>
      </c>
      <c r="V24" s="52">
        <f>VLOOKUP(U24,'Bu Erta'!$C$2:$F$66,4,0)</f>
        <v>5000</v>
      </c>
      <c r="W24" s="53"/>
      <c r="X24" s="52">
        <f t="shared" si="3"/>
        <v>0</v>
      </c>
      <c r="Z24" s="69" t="s">
        <v>48</v>
      </c>
      <c r="AA24">
        <v>1</v>
      </c>
      <c r="AB24" s="4">
        <v>13000</v>
      </c>
    </row>
    <row r="25" spans="1:28" x14ac:dyDescent="0.35">
      <c r="B25" t="s">
        <v>142</v>
      </c>
      <c r="D25" t="s">
        <v>17</v>
      </c>
      <c r="E25" s="3">
        <f>VLOOKUP(D25,'Bu Erta'!$C$2:$E$66,3,0)</f>
        <v>8000</v>
      </c>
      <c r="F25">
        <v>0.1</v>
      </c>
      <c r="G25" s="3">
        <f t="shared" si="0"/>
        <v>800</v>
      </c>
      <c r="H25" s="3">
        <f>VLOOKUP(D25,'Bu Erta'!$C$2:$F$66,4,0)*F25</f>
        <v>850</v>
      </c>
      <c r="J25" s="69" t="s">
        <v>144</v>
      </c>
      <c r="K25">
        <v>4</v>
      </c>
      <c r="L25" s="4">
        <v>2020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1"/>
        <v>0</v>
      </c>
      <c r="R25" s="52">
        <f t="shared" si="2"/>
        <v>0</v>
      </c>
      <c r="T25" s="44">
        <v>22</v>
      </c>
      <c r="U25" s="17" t="s">
        <v>33</v>
      </c>
      <c r="V25" s="52">
        <f>VLOOKUP(U25,'Bu Erta'!$C$2:$F$66,4,0)</f>
        <v>1400</v>
      </c>
      <c r="W25" s="53"/>
      <c r="X25" s="52">
        <f t="shared" si="3"/>
        <v>0</v>
      </c>
      <c r="Z25" s="69" t="s">
        <v>49</v>
      </c>
      <c r="AA25">
        <v>4.45</v>
      </c>
      <c r="AB25" s="4">
        <v>3560</v>
      </c>
    </row>
    <row r="26" spans="1:28" x14ac:dyDescent="0.35">
      <c r="A26" s="5">
        <v>4</v>
      </c>
      <c r="B26" t="s">
        <v>100</v>
      </c>
      <c r="C26" s="1">
        <v>4</v>
      </c>
      <c r="D26" t="s">
        <v>29</v>
      </c>
      <c r="E26" s="3">
        <f>VLOOKUP(D26,'Bu Erta'!$C$2:$E$66,3,0)</f>
        <v>5000</v>
      </c>
      <c r="F26">
        <v>2</v>
      </c>
      <c r="G26" s="3">
        <f t="shared" si="0"/>
        <v>10000</v>
      </c>
      <c r="H26" s="3">
        <f>VLOOKUP(D26,'Bu Erta'!$C$2:$F$66,4,0)*F26</f>
        <v>12000</v>
      </c>
      <c r="J26" s="69" t="s">
        <v>118</v>
      </c>
      <c r="K26">
        <v>4</v>
      </c>
      <c r="L26" s="4">
        <v>2175</v>
      </c>
      <c r="N26" s="44">
        <v>23</v>
      </c>
      <c r="O26" s="17" t="s">
        <v>34</v>
      </c>
      <c r="P26" s="52">
        <f>VLOOKUP(O26,'Bu Erta'!$C$2:$F$66,4,0)</f>
        <v>3600</v>
      </c>
      <c r="Q26" s="53">
        <f>SUMIF($D$3:$D$350,O26,$F$3:$F$350)+1.95</f>
        <v>4.75</v>
      </c>
      <c r="R26" s="52">
        <f t="shared" si="2"/>
        <v>17100</v>
      </c>
      <c r="S26">
        <f>4.75-2.8</f>
        <v>1.9500000000000002</v>
      </c>
      <c r="T26" s="44">
        <v>23</v>
      </c>
      <c r="U26" s="17" t="s">
        <v>34</v>
      </c>
      <c r="V26" s="52">
        <f>VLOOKUP(U26,'Bu Erta'!$C$2:$F$66,4,0)</f>
        <v>3600</v>
      </c>
      <c r="W26" s="53"/>
      <c r="X26" s="52">
        <f t="shared" si="3"/>
        <v>0</v>
      </c>
      <c r="Z26" s="69" t="s">
        <v>56</v>
      </c>
      <c r="AA26">
        <v>12.4</v>
      </c>
      <c r="AB26" s="4">
        <v>49600</v>
      </c>
    </row>
    <row r="27" spans="1:28" x14ac:dyDescent="0.35">
      <c r="B27" t="s">
        <v>100</v>
      </c>
      <c r="D27" t="s">
        <v>7</v>
      </c>
      <c r="E27" s="3">
        <f>VLOOKUP(D27,'Bu Erta'!$C$2:$E$66,3,0)</f>
        <v>1400</v>
      </c>
      <c r="F27">
        <v>2</v>
      </c>
      <c r="G27" s="3">
        <f t="shared" si="0"/>
        <v>2800</v>
      </c>
      <c r="H27" s="3">
        <f>VLOOKUP(D27,'Bu Erta'!$C$2:$F$66,4,0)*F27</f>
        <v>3200</v>
      </c>
      <c r="J27" s="69" t="s">
        <v>185</v>
      </c>
      <c r="K27">
        <v>4</v>
      </c>
      <c r="L27" s="4">
        <v>17100</v>
      </c>
      <c r="N27" s="44">
        <v>24</v>
      </c>
      <c r="O27" s="17" t="s">
        <v>35</v>
      </c>
      <c r="P27" s="52">
        <f>VLOOKUP(O27,'Bu Erta'!$C$2:$F$66,4,0)</f>
        <v>2000</v>
      </c>
      <c r="Q27" s="53">
        <f t="shared" si="1"/>
        <v>0</v>
      </c>
      <c r="R27" s="52">
        <f t="shared" si="2"/>
        <v>0</v>
      </c>
      <c r="T27" s="44">
        <v>24</v>
      </c>
      <c r="U27" s="17" t="s">
        <v>35</v>
      </c>
      <c r="V27" s="52">
        <f>VLOOKUP(U27,'Bu Erta'!$C$2:$F$66,4,0)</f>
        <v>2000</v>
      </c>
      <c r="W27" s="53"/>
      <c r="X27" s="52">
        <f t="shared" si="3"/>
        <v>0</v>
      </c>
      <c r="Z27" s="69" t="s">
        <v>88</v>
      </c>
      <c r="AA27">
        <v>6.0000000000000009</v>
      </c>
      <c r="AB27" s="4">
        <v>1800</v>
      </c>
    </row>
    <row r="28" spans="1:28" x14ac:dyDescent="0.35">
      <c r="B28" t="s">
        <v>100</v>
      </c>
      <c r="D28" t="s">
        <v>42</v>
      </c>
      <c r="E28" s="3">
        <f>VLOOKUP(D28,'Bu Erta'!$C$2:$E$66,3,0)</f>
        <v>1000</v>
      </c>
      <c r="F28">
        <v>0.9</v>
      </c>
      <c r="G28" s="3">
        <f t="shared" si="0"/>
        <v>900</v>
      </c>
      <c r="H28" s="3">
        <f>VLOOKUP(D28,'Bu Erta'!$C$2:$F$66,4,0)*F28</f>
        <v>1080</v>
      </c>
      <c r="J28" s="69" t="s">
        <v>151</v>
      </c>
      <c r="K28">
        <v>4</v>
      </c>
      <c r="L28" s="4">
        <v>4192.5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1"/>
        <v>1.9500000000000002</v>
      </c>
      <c r="R28" s="52">
        <f t="shared" si="2"/>
        <v>1267.5000000000002</v>
      </c>
      <c r="T28" s="44">
        <v>25</v>
      </c>
      <c r="U28" s="17" t="s">
        <v>36</v>
      </c>
      <c r="V28" s="52">
        <f>VLOOKUP(U28,'Bu Erta'!$C$2:$F$66,4,0)</f>
        <v>650</v>
      </c>
      <c r="W28" s="53"/>
      <c r="X28" s="52">
        <f t="shared" si="3"/>
        <v>0</v>
      </c>
      <c r="Z28" s="69" t="s">
        <v>6</v>
      </c>
      <c r="AA28">
        <v>3.0500000000000007</v>
      </c>
      <c r="AB28" s="4">
        <v>6100</v>
      </c>
    </row>
    <row r="29" spans="1:28" x14ac:dyDescent="0.35">
      <c r="B29" t="s">
        <v>100</v>
      </c>
      <c r="D29" t="s">
        <v>6</v>
      </c>
      <c r="E29" s="3">
        <f>VLOOKUP(D29,'Bu Erta'!$C$2:$E$66,3,0)</f>
        <v>2000</v>
      </c>
      <c r="F29">
        <v>1.85</v>
      </c>
      <c r="G29" s="3">
        <f t="shared" si="0"/>
        <v>3700</v>
      </c>
      <c r="H29" s="3">
        <f>VLOOKUP(D29,'Bu Erta'!$C$2:$F$66,4,0)*F29</f>
        <v>4625</v>
      </c>
      <c r="J29" s="69" t="s">
        <v>142</v>
      </c>
      <c r="K29">
        <v>4</v>
      </c>
      <c r="L29" s="4">
        <v>5587.5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1"/>
        <v>1.1000000000000001</v>
      </c>
      <c r="R29" s="52">
        <f t="shared" si="2"/>
        <v>2200</v>
      </c>
      <c r="T29" s="44">
        <v>26</v>
      </c>
      <c r="U29" s="17" t="s">
        <v>37</v>
      </c>
      <c r="V29" s="52">
        <f>VLOOKUP(U29,'Bu Erta'!$C$2:$F$66,4,0)</f>
        <v>2000</v>
      </c>
      <c r="W29" s="53"/>
      <c r="X29" s="52">
        <f t="shared" si="3"/>
        <v>0</v>
      </c>
      <c r="Z29" s="69" t="s">
        <v>59</v>
      </c>
      <c r="AA29">
        <v>1.95</v>
      </c>
      <c r="AB29" s="4">
        <v>975</v>
      </c>
    </row>
    <row r="30" spans="1:28" x14ac:dyDescent="0.35">
      <c r="B30" t="s">
        <v>100</v>
      </c>
      <c r="D30" t="s">
        <v>23</v>
      </c>
      <c r="E30" s="3">
        <f>VLOOKUP(D30,'Bu Erta'!$C$2:$E$66,3,0)</f>
        <v>300</v>
      </c>
      <c r="F30">
        <f>0.1+0.05</f>
        <v>0.15000000000000002</v>
      </c>
      <c r="G30" s="3">
        <f t="shared" si="0"/>
        <v>45.000000000000007</v>
      </c>
      <c r="H30" s="3">
        <f>VLOOKUP(D30,'Bu Erta'!$C$2:$F$66,4,0)*F30</f>
        <v>60.000000000000007</v>
      </c>
      <c r="J30" s="69" t="s">
        <v>100</v>
      </c>
      <c r="K30">
        <v>4</v>
      </c>
      <c r="L30" s="4">
        <v>17905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1"/>
        <v>5.25</v>
      </c>
      <c r="R30" s="52">
        <f t="shared" si="2"/>
        <v>8400</v>
      </c>
      <c r="T30" s="44">
        <v>27</v>
      </c>
      <c r="U30" s="17" t="s">
        <v>38</v>
      </c>
      <c r="V30" s="52">
        <f>VLOOKUP(U30,'Bu Erta'!$C$2:$F$66,4,0)</f>
        <v>1600</v>
      </c>
      <c r="W30" s="53"/>
      <c r="X30" s="52">
        <f t="shared" si="3"/>
        <v>0</v>
      </c>
      <c r="Z30" s="69" t="s">
        <v>60</v>
      </c>
      <c r="AA30">
        <v>1.1000000000000001</v>
      </c>
      <c r="AB30" s="4">
        <v>1320</v>
      </c>
    </row>
    <row r="31" spans="1:28" x14ac:dyDescent="0.35">
      <c r="B31" t="s">
        <v>100</v>
      </c>
      <c r="D31" t="s">
        <v>25</v>
      </c>
      <c r="E31" s="3">
        <f>VLOOKUP(D31,'Bu Erta'!$C$2:$E$66,3,0)</f>
        <v>1600</v>
      </c>
      <c r="F31">
        <f>0.15+0.1</f>
        <v>0.25</v>
      </c>
      <c r="G31" s="3">
        <f t="shared" si="0"/>
        <v>400</v>
      </c>
      <c r="H31" s="3">
        <f>VLOOKUP(D31,'Bu Erta'!$C$2:$F$66,4,0)*F31</f>
        <v>425</v>
      </c>
      <c r="J31" s="69" t="s">
        <v>145</v>
      </c>
      <c r="K31">
        <v>4</v>
      </c>
      <c r="L31" s="4">
        <v>6042.5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1"/>
        <v>1</v>
      </c>
      <c r="R31" s="52">
        <f t="shared" si="2"/>
        <v>200</v>
      </c>
      <c r="T31" s="44">
        <v>28</v>
      </c>
      <c r="U31" s="17" t="s">
        <v>39</v>
      </c>
      <c r="V31" s="52">
        <f>VLOOKUP(U31,'Bu Erta'!$C$2:$F$66,4,0)</f>
        <v>200</v>
      </c>
      <c r="W31" s="53"/>
      <c r="X31" s="52">
        <f t="shared" si="3"/>
        <v>0</v>
      </c>
      <c r="Z31" s="69" t="s">
        <v>61</v>
      </c>
      <c r="AA31">
        <v>4.05</v>
      </c>
      <c r="AB31" s="4">
        <v>3240</v>
      </c>
    </row>
    <row r="32" spans="1:28" x14ac:dyDescent="0.35">
      <c r="B32" t="s">
        <v>100</v>
      </c>
      <c r="D32" t="s">
        <v>19</v>
      </c>
      <c r="E32" s="3">
        <f>VLOOKUP(D32,'Bu Erta'!$C$2:$E$66,3,0)</f>
        <v>200</v>
      </c>
      <c r="F32">
        <v>0.3</v>
      </c>
      <c r="G32" s="3">
        <f t="shared" si="0"/>
        <v>60</v>
      </c>
      <c r="H32" s="3">
        <f>VLOOKUP(D32,'Bu Erta'!$C$2:$F$66,4,0)*F32</f>
        <v>90</v>
      </c>
      <c r="J32" s="69" t="s">
        <v>105</v>
      </c>
      <c r="K32">
        <v>4</v>
      </c>
      <c r="L32" s="4">
        <v>8620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1"/>
        <v>0</v>
      </c>
      <c r="R32" s="52">
        <f t="shared" si="2"/>
        <v>0</v>
      </c>
      <c r="T32" s="44">
        <v>29</v>
      </c>
      <c r="U32" s="17" t="s">
        <v>77</v>
      </c>
      <c r="V32" s="52">
        <f>VLOOKUP(U32,'Bu Erta'!$C$2:$F$66,4,0)</f>
        <v>800</v>
      </c>
      <c r="W32" s="53"/>
      <c r="X32" s="52">
        <f t="shared" si="3"/>
        <v>0</v>
      </c>
      <c r="Z32" s="69" t="s">
        <v>65</v>
      </c>
      <c r="AA32">
        <v>0.4</v>
      </c>
      <c r="AB32" s="4">
        <v>60</v>
      </c>
    </row>
    <row r="33" spans="1:28" x14ac:dyDescent="0.35">
      <c r="A33" s="5">
        <v>5</v>
      </c>
      <c r="B33" t="s">
        <v>135</v>
      </c>
      <c r="C33" s="1">
        <v>4</v>
      </c>
      <c r="D33" t="s">
        <v>19</v>
      </c>
      <c r="E33" s="3">
        <f>VLOOKUP(D33,'Bu Erta'!$C$2:$E$66,3,0)</f>
        <v>200</v>
      </c>
      <c r="F33">
        <f>1.35+1.2</f>
        <v>2.5499999999999998</v>
      </c>
      <c r="G33" s="3">
        <f t="shared" si="0"/>
        <v>509.99999999999994</v>
      </c>
      <c r="H33" s="3">
        <f>VLOOKUP(D33,'Bu Erta'!$C$2:$F$66,4,0)*F33</f>
        <v>765</v>
      </c>
      <c r="J33" s="69" t="s">
        <v>245</v>
      </c>
      <c r="K33">
        <v>4</v>
      </c>
      <c r="L33" s="4">
        <v>40000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1"/>
        <v>14.2</v>
      </c>
      <c r="R33" s="52">
        <f t="shared" si="2"/>
        <v>28400</v>
      </c>
      <c r="T33" s="44">
        <v>30</v>
      </c>
      <c r="U33" s="17" t="s">
        <v>40</v>
      </c>
      <c r="V33" s="52">
        <f>VLOOKUP(U33,'Bu Erta'!$C$2:$F$66,4,0)</f>
        <v>2000</v>
      </c>
      <c r="W33" s="53"/>
      <c r="X33" s="52">
        <f t="shared" si="3"/>
        <v>0</v>
      </c>
      <c r="Z33" s="69" t="s">
        <v>67</v>
      </c>
      <c r="AA33">
        <v>0.35</v>
      </c>
      <c r="AB33" s="4">
        <v>944.99999999999989</v>
      </c>
    </row>
    <row r="34" spans="1:28" x14ac:dyDescent="0.35">
      <c r="B34" t="s">
        <v>135</v>
      </c>
      <c r="D34" t="s">
        <v>88</v>
      </c>
      <c r="E34" s="3">
        <f>VLOOKUP(D34,'Bu Erta'!$C$2:$E$66,3,0)</f>
        <v>300</v>
      </c>
      <c r="F34">
        <v>0.15</v>
      </c>
      <c r="G34" s="3">
        <f t="shared" si="0"/>
        <v>45</v>
      </c>
      <c r="H34" s="3">
        <f>VLOOKUP(D34,'Bu Erta'!$C$2:$F$66,4,0)*F34</f>
        <v>60</v>
      </c>
      <c r="J34" s="69" t="s">
        <v>106</v>
      </c>
      <c r="K34">
        <v>4</v>
      </c>
      <c r="L34" s="4">
        <v>4245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1"/>
        <v>5.3000000000000007</v>
      </c>
      <c r="R34" s="52">
        <f t="shared" si="2"/>
        <v>10600.000000000002</v>
      </c>
      <c r="T34" s="44">
        <v>31</v>
      </c>
      <c r="U34" s="17" t="s">
        <v>41</v>
      </c>
      <c r="V34" s="52">
        <f>VLOOKUP(U34,'Bu Erta'!$C$2:$F$66,4,0)</f>
        <v>2000</v>
      </c>
      <c r="W34" s="53"/>
      <c r="X34" s="52">
        <f t="shared" si="3"/>
        <v>0</v>
      </c>
      <c r="Z34" s="69" t="s">
        <v>68</v>
      </c>
      <c r="AA34">
        <v>2.6</v>
      </c>
      <c r="AB34" s="4">
        <v>390</v>
      </c>
    </row>
    <row r="35" spans="1:28" x14ac:dyDescent="0.35">
      <c r="B35" t="s">
        <v>135</v>
      </c>
      <c r="D35" t="s">
        <v>27</v>
      </c>
      <c r="E35" s="3">
        <f>VLOOKUP(D35,'Bu Erta'!$C$2:$E$66,3,0)</f>
        <v>2800</v>
      </c>
      <c r="F35">
        <v>0.7</v>
      </c>
      <c r="G35" s="3">
        <f t="shared" si="0"/>
        <v>1959.9999999999998</v>
      </c>
      <c r="H35" s="3">
        <f>VLOOKUP(D35,'Bu Erta'!$C$2:$F$66,4,0)*F35</f>
        <v>2170</v>
      </c>
      <c r="J35" s="69" t="s">
        <v>89</v>
      </c>
      <c r="K35">
        <v>4</v>
      </c>
      <c r="L35" s="4">
        <v>4640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1"/>
        <v>59.5</v>
      </c>
      <c r="R35" s="52">
        <f t="shared" si="2"/>
        <v>71400</v>
      </c>
      <c r="T35" s="44">
        <v>32</v>
      </c>
      <c r="U35" s="17" t="s">
        <v>42</v>
      </c>
      <c r="V35" s="52">
        <f>VLOOKUP(U35,'Bu Erta'!$C$2:$F$66,4,0)</f>
        <v>1200</v>
      </c>
      <c r="W35" s="53"/>
      <c r="X35" s="52">
        <f t="shared" si="3"/>
        <v>0</v>
      </c>
      <c r="Z35" s="69" t="s">
        <v>69</v>
      </c>
      <c r="AA35">
        <v>3.25</v>
      </c>
      <c r="AB35" s="4">
        <v>8125</v>
      </c>
    </row>
    <row r="36" spans="1:28" x14ac:dyDescent="0.35">
      <c r="B36" t="s">
        <v>135</v>
      </c>
      <c r="D36" t="s">
        <v>69</v>
      </c>
      <c r="E36" s="3">
        <f>VLOOKUP(D36,'Bu Erta'!$C$2:$E$66,3,0)</f>
        <v>2500</v>
      </c>
      <c r="F36">
        <v>0.35</v>
      </c>
      <c r="G36" s="3">
        <f t="shared" si="0"/>
        <v>875</v>
      </c>
      <c r="H36" s="3">
        <f>VLOOKUP(D36,'Bu Erta'!$C$2:$F$66,4,0)*F36</f>
        <v>1050</v>
      </c>
      <c r="J36" s="69" t="s">
        <v>250</v>
      </c>
      <c r="K36">
        <v>4</v>
      </c>
      <c r="L36" s="4">
        <v>3760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1"/>
        <v>0</v>
      </c>
      <c r="R36" s="52">
        <f t="shared" si="2"/>
        <v>0</v>
      </c>
      <c r="T36" s="44">
        <v>33</v>
      </c>
      <c r="U36" s="17" t="s">
        <v>43</v>
      </c>
      <c r="V36" s="52">
        <f>VLOOKUP(U36,'Bu Erta'!$C$2:$F$66,4,0)</f>
        <v>500</v>
      </c>
      <c r="W36" s="53"/>
      <c r="X36" s="52">
        <f t="shared" si="3"/>
        <v>0</v>
      </c>
      <c r="Z36" s="69" t="s">
        <v>70</v>
      </c>
      <c r="AA36">
        <v>0.15</v>
      </c>
      <c r="AB36" s="4">
        <v>525</v>
      </c>
    </row>
    <row r="37" spans="1:28" x14ac:dyDescent="0.35">
      <c r="A37" s="5">
        <v>6</v>
      </c>
      <c r="B37" t="s">
        <v>178</v>
      </c>
      <c r="C37" s="1">
        <v>3</v>
      </c>
      <c r="D37" t="s">
        <v>31</v>
      </c>
      <c r="E37" s="3">
        <f>VLOOKUP(D37,'Bu Erta'!$C$2:$E$66,3,0)</f>
        <v>1000</v>
      </c>
      <c r="F37">
        <v>2.25</v>
      </c>
      <c r="G37" s="3">
        <f t="shared" si="0"/>
        <v>2250</v>
      </c>
      <c r="H37" s="3">
        <f>VLOOKUP(D37,'Bu Erta'!$C$2:$F$66,4,0)*F37</f>
        <v>2475</v>
      </c>
      <c r="J37" s="69" t="s">
        <v>182</v>
      </c>
      <c r="K37">
        <v>4</v>
      </c>
      <c r="L37" s="4">
        <v>3900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1"/>
        <v>0</v>
      </c>
      <c r="R37" s="52">
        <f t="shared" si="2"/>
        <v>0</v>
      </c>
      <c r="T37" s="44">
        <v>34</v>
      </c>
      <c r="U37" s="17" t="s">
        <v>44</v>
      </c>
      <c r="V37" s="52">
        <f>VLOOKUP(U37,'Bu Erta'!$C$2:$F$66,4,0)</f>
        <v>500</v>
      </c>
      <c r="W37" s="53"/>
      <c r="X37" s="52">
        <f t="shared" si="3"/>
        <v>0</v>
      </c>
      <c r="Z37" s="69" t="s">
        <v>81</v>
      </c>
      <c r="AA37">
        <v>441.95000000000005</v>
      </c>
      <c r="AB37" s="4">
        <v>606410</v>
      </c>
    </row>
    <row r="38" spans="1:28" x14ac:dyDescent="0.35">
      <c r="B38" t="s">
        <v>178</v>
      </c>
      <c r="D38" t="s">
        <v>19</v>
      </c>
      <c r="E38" s="3">
        <f>VLOOKUP(D38,'Bu Erta'!$C$2:$E$66,3,0)</f>
        <v>200</v>
      </c>
      <c r="F38">
        <f>0.4+0.3+1</f>
        <v>1.7</v>
      </c>
      <c r="G38" s="3">
        <f t="shared" si="0"/>
        <v>340</v>
      </c>
      <c r="H38" s="3">
        <f>VLOOKUP(D38,'Bu Erta'!$C$2:$F$66,4,0)*F38</f>
        <v>510</v>
      </c>
      <c r="J38" s="69" t="s">
        <v>94</v>
      </c>
      <c r="K38">
        <v>4</v>
      </c>
      <c r="L38" s="4">
        <v>4615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1"/>
        <v>0</v>
      </c>
      <c r="R38" s="52">
        <f t="shared" si="2"/>
        <v>0</v>
      </c>
      <c r="T38" s="44">
        <v>35</v>
      </c>
      <c r="U38" s="17" t="s">
        <v>45</v>
      </c>
      <c r="V38" s="52">
        <f>VLOOKUP(U38,'Bu Erta'!$C$2:$F$66,4,0)</f>
        <v>800</v>
      </c>
      <c r="W38" s="53"/>
      <c r="X38" s="52">
        <f t="shared" si="3"/>
        <v>0</v>
      </c>
    </row>
    <row r="39" spans="1:28" x14ac:dyDescent="0.35">
      <c r="B39" t="s">
        <v>178</v>
      </c>
      <c r="D39" t="s">
        <v>23</v>
      </c>
      <c r="E39" s="3">
        <f>VLOOKUP(D39,'Bu Erta'!$C$2:$E$66,3,0)</f>
        <v>300</v>
      </c>
      <c r="F39">
        <v>1.3</v>
      </c>
      <c r="G39" s="3">
        <f t="shared" si="0"/>
        <v>390</v>
      </c>
      <c r="H39" s="3">
        <f>VLOOKUP(D39,'Bu Erta'!$C$2:$F$66,4,0)*F39</f>
        <v>520</v>
      </c>
      <c r="J39" s="69" t="s">
        <v>136</v>
      </c>
      <c r="K39">
        <v>4</v>
      </c>
      <c r="L39" s="4">
        <v>21930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1"/>
        <v>32.650000000000006</v>
      </c>
      <c r="R39" s="52">
        <f t="shared" si="2"/>
        <v>48975.000000000007</v>
      </c>
      <c r="T39" s="44">
        <v>36</v>
      </c>
      <c r="U39" s="17" t="s">
        <v>46</v>
      </c>
      <c r="V39" s="52">
        <f>VLOOKUP(U39,'Bu Erta'!$C$2:$F$66,4,0)</f>
        <v>1500</v>
      </c>
      <c r="W39" s="53"/>
      <c r="X39" s="52">
        <f t="shared" si="3"/>
        <v>0</v>
      </c>
    </row>
    <row r="40" spans="1:28" x14ac:dyDescent="0.35">
      <c r="B40" t="s">
        <v>178</v>
      </c>
      <c r="D40" t="s">
        <v>41</v>
      </c>
      <c r="E40" s="3">
        <f>VLOOKUP(D40,'Bu Erta'!$C$2:$E$66,3,0)</f>
        <v>1500</v>
      </c>
      <c r="F40">
        <v>0.2</v>
      </c>
      <c r="G40" s="3">
        <f t="shared" si="0"/>
        <v>300</v>
      </c>
      <c r="H40" s="3">
        <f>VLOOKUP(D40,'Bu Erta'!$C$2:$F$66,4,0)*F40</f>
        <v>400</v>
      </c>
      <c r="J40" s="69" t="s">
        <v>114</v>
      </c>
      <c r="K40">
        <v>4</v>
      </c>
      <c r="L40" s="4">
        <v>43372.5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1"/>
        <v>0</v>
      </c>
      <c r="R40" s="52">
        <f t="shared" si="2"/>
        <v>0</v>
      </c>
      <c r="T40" s="44">
        <v>37</v>
      </c>
      <c r="U40" s="17" t="s">
        <v>47</v>
      </c>
      <c r="V40" s="52">
        <f>VLOOKUP(U40,'Bu Erta'!$C$2:$F$66,4,0)</f>
        <v>1500</v>
      </c>
      <c r="W40" s="53"/>
      <c r="X40" s="52">
        <f t="shared" si="3"/>
        <v>0</v>
      </c>
    </row>
    <row r="41" spans="1:28" x14ac:dyDescent="0.35">
      <c r="B41" t="s">
        <v>178</v>
      </c>
      <c r="D41" t="s">
        <v>7</v>
      </c>
      <c r="E41" s="3">
        <f>VLOOKUP(D41,'Bu Erta'!$C$2:$E$66,3,0)</f>
        <v>1400</v>
      </c>
      <c r="F41">
        <v>0.15</v>
      </c>
      <c r="G41" s="3">
        <f t="shared" si="0"/>
        <v>210</v>
      </c>
      <c r="H41" s="3">
        <f>VLOOKUP(D41,'Bu Erta'!$C$2:$F$66,4,0)*F41</f>
        <v>240</v>
      </c>
      <c r="J41" s="69" t="s">
        <v>180</v>
      </c>
      <c r="K41">
        <v>4</v>
      </c>
      <c r="L41" s="4">
        <v>12290</v>
      </c>
      <c r="N41" s="44">
        <v>38</v>
      </c>
      <c r="O41" s="17" t="s">
        <v>48</v>
      </c>
      <c r="P41" s="52">
        <f>VLOOKUP(O41,'Bu Erta'!$C$2:$F$66,4,0)</f>
        <v>15000</v>
      </c>
      <c r="Q41" s="53">
        <f t="shared" si="1"/>
        <v>1</v>
      </c>
      <c r="R41" s="52">
        <f t="shared" si="2"/>
        <v>15000</v>
      </c>
      <c r="T41" s="44">
        <v>38</v>
      </c>
      <c r="U41" s="17" t="s">
        <v>48</v>
      </c>
      <c r="V41" s="52">
        <f>VLOOKUP(U41,'Bu Erta'!$C$2:$F$66,4,0)</f>
        <v>15000</v>
      </c>
      <c r="W41" s="53"/>
      <c r="X41" s="52">
        <f t="shared" si="3"/>
        <v>0</v>
      </c>
    </row>
    <row r="42" spans="1:28" x14ac:dyDescent="0.35">
      <c r="B42" t="s">
        <v>178</v>
      </c>
      <c r="D42" t="s">
        <v>40</v>
      </c>
      <c r="E42" s="3">
        <f>VLOOKUP(D42,'Bu Erta'!$C$2:$E$66,3,0)</f>
        <v>1800</v>
      </c>
      <c r="F42">
        <v>0.3</v>
      </c>
      <c r="G42" s="3">
        <f t="shared" si="0"/>
        <v>540</v>
      </c>
      <c r="H42" s="3">
        <f>VLOOKUP(D42,'Bu Erta'!$C$2:$F$66,4,0)*F42</f>
        <v>600</v>
      </c>
      <c r="J42" s="69" t="s">
        <v>132</v>
      </c>
      <c r="K42">
        <v>4</v>
      </c>
      <c r="L42" s="4">
        <v>3380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1"/>
        <v>4.45</v>
      </c>
      <c r="R42" s="52">
        <f t="shared" si="2"/>
        <v>4005</v>
      </c>
      <c r="T42" s="44">
        <v>39</v>
      </c>
      <c r="U42" s="17" t="s">
        <v>49</v>
      </c>
      <c r="V42" s="52">
        <f>VLOOKUP(U42,'Bu Erta'!$C$2:$F$66,4,0)</f>
        <v>900</v>
      </c>
      <c r="W42" s="53"/>
      <c r="X42" s="52">
        <f t="shared" si="3"/>
        <v>0</v>
      </c>
    </row>
    <row r="43" spans="1:28" x14ac:dyDescent="0.35">
      <c r="B43" t="s">
        <v>178</v>
      </c>
      <c r="D43" t="s">
        <v>24</v>
      </c>
      <c r="E43" s="3">
        <f>VLOOKUP(D43,'Bu Erta'!$C$2:$E$66,3,0)</f>
        <v>150</v>
      </c>
      <c r="F43">
        <f>0.1+0.05</f>
        <v>0.15000000000000002</v>
      </c>
      <c r="G43" s="3">
        <f t="shared" si="0"/>
        <v>22.500000000000004</v>
      </c>
      <c r="H43" s="3">
        <f>VLOOKUP(D43,'Bu Erta'!$C$2:$F$66,4,0)*F43</f>
        <v>30.000000000000004</v>
      </c>
      <c r="J43" s="69" t="s">
        <v>112</v>
      </c>
      <c r="K43">
        <v>4</v>
      </c>
      <c r="L43" s="4">
        <v>5030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1"/>
        <v>0</v>
      </c>
      <c r="R43" s="52">
        <f t="shared" si="2"/>
        <v>0</v>
      </c>
      <c r="T43" s="44">
        <v>40</v>
      </c>
      <c r="U43" s="17" t="s">
        <v>50</v>
      </c>
      <c r="V43" s="52">
        <f>VLOOKUP(U43,'Bu Erta'!$C$2:$F$66,4,0)</f>
        <v>45000</v>
      </c>
      <c r="W43" s="53"/>
      <c r="X43" s="52">
        <f t="shared" si="3"/>
        <v>0</v>
      </c>
    </row>
    <row r="44" spans="1:28" x14ac:dyDescent="0.35">
      <c r="A44" s="5">
        <v>7</v>
      </c>
      <c r="B44" t="s">
        <v>185</v>
      </c>
      <c r="C44" s="1">
        <v>4</v>
      </c>
      <c r="D44" t="s">
        <v>42</v>
      </c>
      <c r="E44" s="3">
        <f>VLOOKUP(D44,'Bu Erta'!$C$2:$E$66,3,0)</f>
        <v>1000</v>
      </c>
      <c r="F44">
        <v>0.9</v>
      </c>
      <c r="G44" s="3">
        <f t="shared" si="0"/>
        <v>900</v>
      </c>
      <c r="H44" s="3">
        <f>VLOOKUP(D44,'Bu Erta'!$C$2:$F$66,4,0)*F44</f>
        <v>1080</v>
      </c>
      <c r="J44" s="69" t="s">
        <v>135</v>
      </c>
      <c r="K44">
        <v>4</v>
      </c>
      <c r="L44" s="4">
        <v>3390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1"/>
        <v>0</v>
      </c>
      <c r="R44" s="52">
        <f t="shared" si="2"/>
        <v>0</v>
      </c>
      <c r="T44" s="44">
        <v>41</v>
      </c>
      <c r="U44" s="17" t="s">
        <v>51</v>
      </c>
      <c r="V44" s="52">
        <f>VLOOKUP(U44,'Bu Erta'!$C$2:$F$66,4,0)</f>
        <v>55000</v>
      </c>
      <c r="W44" s="53"/>
      <c r="X44" s="52">
        <f t="shared" si="3"/>
        <v>0</v>
      </c>
    </row>
    <row r="45" spans="1:28" x14ac:dyDescent="0.35">
      <c r="B45" t="s">
        <v>185</v>
      </c>
      <c r="D45" t="s">
        <v>31</v>
      </c>
      <c r="E45" s="3">
        <f>VLOOKUP(D45,'Bu Erta'!$C$2:$E$66,3,0)</f>
        <v>1000</v>
      </c>
      <c r="F45">
        <f>1.55+2.3</f>
        <v>3.8499999999999996</v>
      </c>
      <c r="G45" s="3">
        <f>E45*F45</f>
        <v>3849.9999999999995</v>
      </c>
      <c r="H45" s="3">
        <f>VLOOKUP(D45,'Bu Erta'!$C$2:$F$66,4,0)*F45</f>
        <v>4235</v>
      </c>
      <c r="J45" s="69" t="s">
        <v>84</v>
      </c>
      <c r="K45">
        <v>4</v>
      </c>
      <c r="L45" s="4">
        <v>7455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1"/>
        <v>0</v>
      </c>
      <c r="R45" s="52">
        <f t="shared" si="2"/>
        <v>0</v>
      </c>
      <c r="T45" s="44">
        <v>42</v>
      </c>
      <c r="U45" s="17" t="s">
        <v>52</v>
      </c>
      <c r="V45" s="52">
        <f>VLOOKUP(U45,'Bu Erta'!$C$2:$F$66,4,0)</f>
        <v>30000</v>
      </c>
      <c r="W45" s="53"/>
      <c r="X45" s="52">
        <f t="shared" si="3"/>
        <v>0</v>
      </c>
    </row>
    <row r="46" spans="1:28" x14ac:dyDescent="0.35">
      <c r="B46" t="s">
        <v>185</v>
      </c>
      <c r="D46" t="s">
        <v>41</v>
      </c>
      <c r="E46" s="3">
        <f>VLOOKUP(D46,'Bu Erta'!$C$2:$E$66,3,0)</f>
        <v>1500</v>
      </c>
      <c r="F46">
        <v>1.3</v>
      </c>
      <c r="G46" s="3">
        <f>E46*F46</f>
        <v>1950</v>
      </c>
      <c r="H46" s="3">
        <f>VLOOKUP(D46,'Bu Erta'!$C$2:$F$66,4,0)*F46</f>
        <v>2600</v>
      </c>
      <c r="J46" s="69" t="s">
        <v>107</v>
      </c>
      <c r="K46">
        <v>5</v>
      </c>
      <c r="L46" s="4">
        <v>12437.5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si="1"/>
        <v>0</v>
      </c>
      <c r="R46" s="52">
        <f t="shared" si="2"/>
        <v>0</v>
      </c>
      <c r="T46" s="44">
        <v>43</v>
      </c>
      <c r="U46" s="17" t="s">
        <v>53</v>
      </c>
      <c r="V46" s="52">
        <f>VLOOKUP(U46,'Bu Erta'!$C$2:$F$66,4,0)</f>
        <v>12000</v>
      </c>
      <c r="W46" s="53"/>
      <c r="X46" s="52">
        <f t="shared" si="3"/>
        <v>0</v>
      </c>
    </row>
    <row r="47" spans="1:28" x14ac:dyDescent="0.35">
      <c r="B47" t="s">
        <v>185</v>
      </c>
      <c r="D47" t="s">
        <v>17</v>
      </c>
      <c r="E47" s="3">
        <f>VLOOKUP(D47,'Bu Erta'!$C$2:$E$66,3,0)</f>
        <v>8000</v>
      </c>
      <c r="F47">
        <f>0.15+1.15</f>
        <v>1.2999999999999998</v>
      </c>
      <c r="G47" s="3">
        <f t="shared" si="0"/>
        <v>10399.999999999998</v>
      </c>
      <c r="H47" s="3">
        <f>VLOOKUP(D47,'Bu Erta'!$C$2:$F$66,4,0)*F47</f>
        <v>11049.999999999998</v>
      </c>
      <c r="J47" s="69" t="s">
        <v>110</v>
      </c>
      <c r="K47">
        <v>5</v>
      </c>
      <c r="L47" s="4">
        <v>17760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1"/>
        <v>0</v>
      </c>
      <c r="R47" s="52">
        <f t="shared" si="2"/>
        <v>0</v>
      </c>
      <c r="T47" s="44">
        <v>44</v>
      </c>
      <c r="U47" s="17" t="s">
        <v>54</v>
      </c>
      <c r="V47" s="52">
        <f>VLOOKUP(U47,'Bu Erta'!$C$2:$F$66,4,0)</f>
        <v>650</v>
      </c>
      <c r="W47" s="53"/>
      <c r="X47" s="52">
        <f t="shared" si="3"/>
        <v>0</v>
      </c>
    </row>
    <row r="48" spans="1:28" x14ac:dyDescent="0.35">
      <c r="A48" s="5">
        <v>8</v>
      </c>
      <c r="B48" t="s">
        <v>193</v>
      </c>
      <c r="C48" s="5">
        <v>1</v>
      </c>
      <c r="D48" t="s">
        <v>19</v>
      </c>
      <c r="E48" s="3">
        <f>VLOOKUP(D48,'Bu Erta'!$C$2:$E$66,3,0)</f>
        <v>200</v>
      </c>
      <c r="F48">
        <f>0.35+0.05</f>
        <v>0.39999999999999997</v>
      </c>
      <c r="G48" s="3">
        <f t="shared" si="0"/>
        <v>80</v>
      </c>
      <c r="H48" s="3">
        <f>VLOOKUP(D48,'Bu Erta'!$C$2:$F$66,4,0)*F48</f>
        <v>119.99999999999999</v>
      </c>
      <c r="J48" s="69" t="s">
        <v>120</v>
      </c>
      <c r="K48">
        <v>5</v>
      </c>
      <c r="L48" s="4">
        <v>12220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1"/>
        <v>0</v>
      </c>
      <c r="R48" s="52">
        <f t="shared" si="2"/>
        <v>0</v>
      </c>
      <c r="T48" s="44">
        <v>45</v>
      </c>
      <c r="U48" s="17" t="s">
        <v>55</v>
      </c>
      <c r="V48" s="52">
        <f>VLOOKUP(U48,'Bu Erta'!$C$2:$F$66,4,0)</f>
        <v>40000</v>
      </c>
      <c r="W48" s="53"/>
      <c r="X48" s="52">
        <f t="shared" si="3"/>
        <v>0</v>
      </c>
    </row>
    <row r="49" spans="1:24" x14ac:dyDescent="0.35">
      <c r="B49" t="s">
        <v>193</v>
      </c>
      <c r="D49" t="s">
        <v>23</v>
      </c>
      <c r="E49" s="3">
        <f>VLOOKUP(D49,'Bu Erta'!$C$2:$E$66,3,0)</f>
        <v>300</v>
      </c>
      <c r="F49">
        <v>0.2</v>
      </c>
      <c r="G49" s="3">
        <f t="shared" si="0"/>
        <v>60</v>
      </c>
      <c r="H49" s="3">
        <f>VLOOKUP(D49,'Bu Erta'!$C$2:$F$66,4,0)*F49</f>
        <v>80</v>
      </c>
      <c r="J49" s="69" t="s">
        <v>111</v>
      </c>
      <c r="K49">
        <v>5</v>
      </c>
      <c r="L49" s="4">
        <v>3015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1"/>
        <v>12.4</v>
      </c>
      <c r="R49" s="52">
        <f t="shared" si="2"/>
        <v>68200</v>
      </c>
      <c r="T49" s="44">
        <v>46</v>
      </c>
      <c r="U49" s="17" t="s">
        <v>56</v>
      </c>
      <c r="V49" s="52">
        <f>VLOOKUP(U49,'Bu Erta'!$C$2:$F$66,4,0)</f>
        <v>5500</v>
      </c>
      <c r="W49" s="53"/>
      <c r="X49" s="52">
        <f t="shared" si="3"/>
        <v>0</v>
      </c>
    </row>
    <row r="50" spans="1:24" x14ac:dyDescent="0.35">
      <c r="B50" t="s">
        <v>193</v>
      </c>
      <c r="D50" t="s">
        <v>31</v>
      </c>
      <c r="E50" s="3">
        <f>VLOOKUP(D50,'Bu Erta'!$C$2:$E$66,3,0)</f>
        <v>1000</v>
      </c>
      <c r="F50">
        <v>0.8</v>
      </c>
      <c r="G50" s="3">
        <f t="shared" si="0"/>
        <v>800</v>
      </c>
      <c r="H50" s="3">
        <f>VLOOKUP(D50,'Bu Erta'!$C$2:$F$66,4,0)*F50</f>
        <v>880</v>
      </c>
      <c r="J50" s="69" t="s">
        <v>243</v>
      </c>
      <c r="K50">
        <v>5</v>
      </c>
      <c r="L50" s="4">
        <v>12610</v>
      </c>
      <c r="N50" s="44">
        <v>47</v>
      </c>
      <c r="O50" s="17" t="s">
        <v>88</v>
      </c>
      <c r="P50" s="52">
        <f>VLOOKUP(O50,'Bu Erta'!$C$2:$F$66,4,0)</f>
        <v>400</v>
      </c>
      <c r="Q50" s="53">
        <f t="shared" si="1"/>
        <v>6.0000000000000009</v>
      </c>
      <c r="R50" s="52">
        <f t="shared" si="2"/>
        <v>2400.0000000000005</v>
      </c>
      <c r="T50" s="44">
        <v>47</v>
      </c>
      <c r="U50" s="17" t="s">
        <v>88</v>
      </c>
      <c r="V50" s="52">
        <f>VLOOKUP(U50,'Bu Erta'!$C$2:$F$66,4,0)</f>
        <v>400</v>
      </c>
      <c r="W50" s="53"/>
      <c r="X50" s="52">
        <f t="shared" si="3"/>
        <v>0</v>
      </c>
    </row>
    <row r="51" spans="1:24" x14ac:dyDescent="0.35">
      <c r="A51" s="5">
        <v>9</v>
      </c>
      <c r="B51" t="s">
        <v>86</v>
      </c>
      <c r="C51" s="1">
        <v>4</v>
      </c>
      <c r="D51" t="s">
        <v>19</v>
      </c>
      <c r="E51" s="3">
        <f>VLOOKUP(D51,'Bu Erta'!$C$2:$E$66,3,0)</f>
        <v>200</v>
      </c>
      <c r="F51">
        <v>0.95</v>
      </c>
      <c r="G51" s="3">
        <f t="shared" si="0"/>
        <v>190</v>
      </c>
      <c r="H51" s="3">
        <f>VLOOKUP(D51,'Bu Erta'!$C$2:$F$66,4,0)*F51</f>
        <v>285</v>
      </c>
      <c r="J51" s="69" t="s">
        <v>174</v>
      </c>
      <c r="K51">
        <v>5</v>
      </c>
      <c r="L51" s="4">
        <v>3277.5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si="1"/>
        <v>0</v>
      </c>
      <c r="R51" s="52">
        <f t="shared" si="2"/>
        <v>0</v>
      </c>
      <c r="T51" s="44">
        <v>48</v>
      </c>
      <c r="U51" s="17" t="s">
        <v>57</v>
      </c>
      <c r="V51" s="52">
        <f>VLOOKUP(U51,'Bu Erta'!$C$2:$F$66,4,0)</f>
        <v>10000</v>
      </c>
      <c r="W51" s="53"/>
      <c r="X51" s="52">
        <f t="shared" si="3"/>
        <v>0</v>
      </c>
    </row>
    <row r="52" spans="1:24" x14ac:dyDescent="0.35">
      <c r="B52" t="s">
        <v>86</v>
      </c>
      <c r="D52" t="s">
        <v>27</v>
      </c>
      <c r="E52" s="3">
        <f>VLOOKUP(D52,'Bu Erta'!$C$2:$E$66,3,0)</f>
        <v>2800</v>
      </c>
      <c r="F52">
        <v>0.4</v>
      </c>
      <c r="G52" s="3">
        <f t="shared" si="0"/>
        <v>1120</v>
      </c>
      <c r="H52" s="3">
        <f>VLOOKUP(D52,'Bu Erta'!$C$2:$F$66,4,0)*F52</f>
        <v>1240</v>
      </c>
      <c r="J52" s="69" t="s">
        <v>189</v>
      </c>
      <c r="K52">
        <v>5</v>
      </c>
      <c r="L52" s="4">
        <v>25095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1"/>
        <v>0</v>
      </c>
      <c r="R52" s="52">
        <f t="shared" si="2"/>
        <v>0</v>
      </c>
      <c r="T52" s="44">
        <v>49</v>
      </c>
      <c r="U52" s="17" t="s">
        <v>58</v>
      </c>
      <c r="V52" s="52">
        <f>VLOOKUP(U52,'Bu Erta'!$C$2:$F$66,4,0)</f>
        <v>15000</v>
      </c>
      <c r="W52" s="53"/>
      <c r="X52" s="52">
        <f t="shared" si="3"/>
        <v>0</v>
      </c>
    </row>
    <row r="53" spans="1:24" x14ac:dyDescent="0.35">
      <c r="B53" t="s">
        <v>86</v>
      </c>
      <c r="D53" t="s">
        <v>7</v>
      </c>
      <c r="E53" s="3">
        <f>VLOOKUP(D53,'Bu Erta'!$C$2:$E$66,3,0)</f>
        <v>1400</v>
      </c>
      <c r="F53">
        <v>2.9</v>
      </c>
      <c r="G53" s="3">
        <f t="shared" si="0"/>
        <v>4060</v>
      </c>
      <c r="H53" s="3">
        <f>VLOOKUP(D53,'Bu Erta'!$C$2:$F$66,4,0)*F53</f>
        <v>4640</v>
      </c>
      <c r="J53" s="69" t="s">
        <v>236</v>
      </c>
      <c r="K53">
        <v>7</v>
      </c>
      <c r="L53" s="4">
        <v>21587.5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1"/>
        <v>3.0500000000000007</v>
      </c>
      <c r="R53" s="52">
        <f t="shared" si="2"/>
        <v>7625.0000000000018</v>
      </c>
      <c r="T53" s="44">
        <v>50</v>
      </c>
      <c r="U53" s="17" t="s">
        <v>6</v>
      </c>
      <c r="V53" s="52">
        <f>VLOOKUP(U53,'Bu Erta'!$C$2:$F$66,4,0)</f>
        <v>2500</v>
      </c>
      <c r="W53" s="53"/>
      <c r="X53" s="52">
        <f t="shared" si="3"/>
        <v>0</v>
      </c>
    </row>
    <row r="54" spans="1:24" x14ac:dyDescent="0.35">
      <c r="B54" t="s">
        <v>86</v>
      </c>
      <c r="D54" t="s">
        <v>38</v>
      </c>
      <c r="E54" s="3">
        <f>VLOOKUP(D54,'Bu Erta'!$C$2:$E$66,3,0)</f>
        <v>1400</v>
      </c>
      <c r="F54">
        <v>0.2</v>
      </c>
      <c r="G54" s="3">
        <f t="shared" si="0"/>
        <v>280</v>
      </c>
      <c r="H54" s="3">
        <f>VLOOKUP(D54,'Bu Erta'!$C$2:$F$66,4,0)*F54</f>
        <v>320</v>
      </c>
      <c r="J54" s="69" t="s">
        <v>188</v>
      </c>
      <c r="K54">
        <v>7</v>
      </c>
      <c r="L54" s="4">
        <v>9190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1"/>
        <v>1.95</v>
      </c>
      <c r="R54" s="52">
        <f t="shared" si="2"/>
        <v>1170</v>
      </c>
      <c r="T54" s="44">
        <v>51</v>
      </c>
      <c r="U54" s="17" t="s">
        <v>59</v>
      </c>
      <c r="V54" s="52">
        <f>VLOOKUP(U54,'Bu Erta'!$C$2:$F$66,4,0)</f>
        <v>600</v>
      </c>
      <c r="W54" s="53"/>
      <c r="X54" s="52">
        <f t="shared" si="3"/>
        <v>0</v>
      </c>
    </row>
    <row r="55" spans="1:24" x14ac:dyDescent="0.35">
      <c r="B55" t="s">
        <v>86</v>
      </c>
      <c r="D55" t="s">
        <v>60</v>
      </c>
      <c r="E55" s="3">
        <f>VLOOKUP(D55,'Bu Erta'!$C$2:$E$66,3,0)</f>
        <v>1200</v>
      </c>
      <c r="F55">
        <v>0.4</v>
      </c>
      <c r="G55" s="3">
        <f t="shared" si="0"/>
        <v>480</v>
      </c>
      <c r="H55" s="3">
        <f>VLOOKUP(D55,'Bu Erta'!$C$2:$F$66,4,0)*F55</f>
        <v>600</v>
      </c>
      <c r="J55" s="69" t="s">
        <v>184</v>
      </c>
      <c r="K55">
        <v>7</v>
      </c>
      <c r="L55" s="4">
        <v>2042.5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1"/>
        <v>1.1000000000000001</v>
      </c>
      <c r="R55" s="52">
        <f t="shared" si="2"/>
        <v>1650.0000000000002</v>
      </c>
      <c r="T55" s="44">
        <v>52</v>
      </c>
      <c r="U55" s="17" t="s">
        <v>60</v>
      </c>
      <c r="V55" s="52">
        <f>VLOOKUP(U55,'Bu Erta'!$C$2:$F$66,4,0)</f>
        <v>1500</v>
      </c>
      <c r="W55" s="53"/>
      <c r="X55" s="52">
        <f t="shared" si="3"/>
        <v>0</v>
      </c>
    </row>
    <row r="56" spans="1:24" x14ac:dyDescent="0.35">
      <c r="B56" t="s">
        <v>86</v>
      </c>
      <c r="D56" t="s">
        <v>40</v>
      </c>
      <c r="E56" s="3">
        <f>VLOOKUP(D56,'Bu Erta'!$C$2:$E$66,3,0)</f>
        <v>1800</v>
      </c>
      <c r="F56">
        <v>1.8</v>
      </c>
      <c r="G56" s="3">
        <f t="shared" si="0"/>
        <v>3240</v>
      </c>
      <c r="H56" s="3">
        <f>VLOOKUP(D56,'Bu Erta'!$C$2:$F$66,4,0)*F56</f>
        <v>3600</v>
      </c>
      <c r="J56" s="69" t="s">
        <v>241</v>
      </c>
      <c r="K56">
        <v>7</v>
      </c>
      <c r="L56" s="4">
        <v>1655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1"/>
        <v>4.05</v>
      </c>
      <c r="R56" s="52">
        <f t="shared" si="2"/>
        <v>3645</v>
      </c>
      <c r="T56" s="44">
        <v>53</v>
      </c>
      <c r="U56" s="17" t="s">
        <v>61</v>
      </c>
      <c r="V56" s="52">
        <f>VLOOKUP(U56,'Bu Erta'!$C$2:$F$66,4,0)</f>
        <v>900</v>
      </c>
      <c r="W56" s="53"/>
      <c r="X56" s="52">
        <f t="shared" si="3"/>
        <v>0</v>
      </c>
    </row>
    <row r="57" spans="1:24" x14ac:dyDescent="0.35">
      <c r="A57" s="5">
        <v>10</v>
      </c>
      <c r="B57" t="s">
        <v>188</v>
      </c>
      <c r="C57" s="1">
        <v>7</v>
      </c>
      <c r="D57" t="s">
        <v>19</v>
      </c>
      <c r="E57" s="3">
        <f>VLOOKUP(D57,'Bu Erta'!$C$2:$E$66,3,0)</f>
        <v>200</v>
      </c>
      <c r="F57">
        <v>1.2</v>
      </c>
      <c r="G57" s="3">
        <f t="shared" si="0"/>
        <v>240</v>
      </c>
      <c r="H57" s="3">
        <f>VLOOKUP(D57,'Bu Erta'!$C$2:$F$66,4,0)*F57</f>
        <v>360</v>
      </c>
      <c r="J57" s="69" t="s">
        <v>81</v>
      </c>
      <c r="K57">
        <v>187</v>
      </c>
      <c r="L57" s="4">
        <v>606410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1"/>
        <v>0</v>
      </c>
      <c r="R57" s="52">
        <f t="shared" si="2"/>
        <v>0</v>
      </c>
      <c r="T57" s="44">
        <v>54</v>
      </c>
      <c r="U57" s="17" t="s">
        <v>62</v>
      </c>
      <c r="V57" s="52">
        <f>VLOOKUP(U57,'Bu Erta'!$C$2:$F$66,4,0)</f>
        <v>500</v>
      </c>
      <c r="W57" s="53"/>
      <c r="X57" s="52">
        <f t="shared" si="3"/>
        <v>0</v>
      </c>
    </row>
    <row r="58" spans="1:24" x14ac:dyDescent="0.35">
      <c r="B58" t="s">
        <v>188</v>
      </c>
      <c r="D58" t="s">
        <v>31</v>
      </c>
      <c r="E58" s="3">
        <f>VLOOKUP(D58,'Bu Erta'!$C$2:$E$66,3,0)</f>
        <v>1000</v>
      </c>
      <c r="F58">
        <v>3.35</v>
      </c>
      <c r="G58" s="3">
        <f t="shared" si="0"/>
        <v>3350</v>
      </c>
      <c r="H58" s="3">
        <f>VLOOKUP(D58,'Bu Erta'!$C$2:$F$66,4,0)*F58</f>
        <v>3685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1"/>
        <v>0</v>
      </c>
      <c r="R58" s="52">
        <f t="shared" si="2"/>
        <v>0</v>
      </c>
      <c r="T58" s="44">
        <v>55</v>
      </c>
      <c r="U58" s="17" t="s">
        <v>63</v>
      </c>
      <c r="V58" s="52">
        <f>VLOOKUP(U58,'Bu Erta'!$C$2:$F$66,4,0)</f>
        <v>1000</v>
      </c>
      <c r="W58" s="53"/>
      <c r="X58" s="52">
        <f t="shared" si="3"/>
        <v>0</v>
      </c>
    </row>
    <row r="59" spans="1:24" x14ac:dyDescent="0.35">
      <c r="B59" t="s">
        <v>188</v>
      </c>
      <c r="D59" t="s">
        <v>42</v>
      </c>
      <c r="E59" s="3">
        <f>VLOOKUP(D59,'Bu Erta'!$C$2:$E$66,3,0)</f>
        <v>1000</v>
      </c>
      <c r="F59">
        <v>5.6</v>
      </c>
      <c r="G59" s="3">
        <f t="shared" si="0"/>
        <v>5600</v>
      </c>
      <c r="H59" s="3">
        <f>VLOOKUP(D59,'Bu Erta'!$C$2:$F$66,4,0)*F59</f>
        <v>6720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1"/>
        <v>0</v>
      </c>
      <c r="R59" s="52">
        <f t="shared" si="2"/>
        <v>0</v>
      </c>
      <c r="T59" s="44">
        <v>56</v>
      </c>
      <c r="U59" s="17" t="s">
        <v>64</v>
      </c>
      <c r="V59" s="52">
        <f>VLOOKUP(U59,'Bu Erta'!$C$2:$F$66,4,0)</f>
        <v>900</v>
      </c>
      <c r="W59" s="53"/>
      <c r="X59" s="52">
        <f t="shared" si="3"/>
        <v>0</v>
      </c>
    </row>
    <row r="60" spans="1:24" x14ac:dyDescent="0.35">
      <c r="A60" s="5">
        <v>11</v>
      </c>
      <c r="B60" t="s">
        <v>237</v>
      </c>
      <c r="C60" s="5" t="s">
        <v>238</v>
      </c>
      <c r="D60" t="s">
        <v>56</v>
      </c>
      <c r="E60" s="3">
        <f>VLOOKUP(D60,'Bu Erta'!$C$2:$E$66,3,0)</f>
        <v>4000</v>
      </c>
      <c r="F60">
        <v>5</v>
      </c>
      <c r="G60" s="3">
        <f t="shared" si="0"/>
        <v>20000</v>
      </c>
      <c r="H60" s="3">
        <f>VLOOKUP(D60,'Bu Erta'!$C$2:$F$66,4,0)*F60</f>
        <v>27500</v>
      </c>
      <c r="N60" s="44">
        <v>57</v>
      </c>
      <c r="O60" s="17" t="s">
        <v>65</v>
      </c>
      <c r="P60" s="52">
        <f>VLOOKUP(O60,'Bu Erta'!$C$2:$F$66,4,0)</f>
        <v>200</v>
      </c>
      <c r="Q60" s="53">
        <f t="shared" si="1"/>
        <v>0.4</v>
      </c>
      <c r="R60" s="52">
        <f t="shared" si="2"/>
        <v>80</v>
      </c>
      <c r="T60" s="44">
        <v>57</v>
      </c>
      <c r="U60" s="17" t="s">
        <v>65</v>
      </c>
      <c r="V60" s="52">
        <f>VLOOKUP(U60,'Bu Erta'!$C$2:$F$66,4,0)</f>
        <v>200</v>
      </c>
      <c r="W60" s="53"/>
      <c r="X60" s="52">
        <f t="shared" si="3"/>
        <v>0</v>
      </c>
    </row>
    <row r="61" spans="1:24" x14ac:dyDescent="0.35">
      <c r="B61" t="s">
        <v>237</v>
      </c>
      <c r="D61" t="s">
        <v>6</v>
      </c>
      <c r="E61" s="3">
        <f>VLOOKUP(D61,'Bu Erta'!$C$2:$E$66,3,0)</f>
        <v>2000</v>
      </c>
      <c r="F61">
        <v>0.05</v>
      </c>
      <c r="G61" s="3">
        <f t="shared" si="0"/>
        <v>100</v>
      </c>
      <c r="H61" s="3">
        <f>VLOOKUP(D61,'Bu Erta'!$C$2:$F$66,4,0)*F61</f>
        <v>125</v>
      </c>
      <c r="L61" s="3" t="s">
        <v>228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1"/>
        <v>0</v>
      </c>
      <c r="R61" s="52">
        <f t="shared" si="2"/>
        <v>0</v>
      </c>
      <c r="T61" s="44">
        <v>58</v>
      </c>
      <c r="U61" s="17" t="s">
        <v>66</v>
      </c>
      <c r="V61" s="52">
        <f>VLOOKUP(U61,'Bu Erta'!$C$2:$F$66,4,0)</f>
        <v>55000</v>
      </c>
      <c r="W61" s="53"/>
      <c r="X61" s="52">
        <f t="shared" si="3"/>
        <v>0</v>
      </c>
    </row>
    <row r="62" spans="1:24" x14ac:dyDescent="0.35">
      <c r="A62" s="5">
        <v>12</v>
      </c>
      <c r="B62" t="s">
        <v>91</v>
      </c>
      <c r="C62" s="5" t="s">
        <v>240</v>
      </c>
      <c r="D62" t="s">
        <v>7</v>
      </c>
      <c r="E62" s="3">
        <f>VLOOKUP(D62,'Bu Erta'!$C$2:$E$66,3,0)</f>
        <v>1400</v>
      </c>
      <c r="F62">
        <v>0.7</v>
      </c>
      <c r="G62" s="3">
        <f t="shared" si="0"/>
        <v>979.99999999999989</v>
      </c>
      <c r="H62" s="3">
        <f>VLOOKUP(D62,'Bu Erta'!$C$2:$F$66,4,0)*F62</f>
        <v>1120</v>
      </c>
      <c r="L62" s="4">
        <f>R68-GETPIVOTDATA("Sum of Total Harga",$J$2)</f>
        <v>100317.5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1"/>
        <v>0.35</v>
      </c>
      <c r="R62" s="52">
        <f t="shared" si="2"/>
        <v>1050</v>
      </c>
      <c r="T62" s="44">
        <v>59</v>
      </c>
      <c r="U62" s="17" t="s">
        <v>67</v>
      </c>
      <c r="V62" s="52">
        <f>VLOOKUP(U62,'Bu Erta'!$C$2:$F$66,4,0)</f>
        <v>3000</v>
      </c>
      <c r="W62" s="53"/>
      <c r="X62" s="52">
        <f t="shared" si="3"/>
        <v>0</v>
      </c>
    </row>
    <row r="63" spans="1:24" x14ac:dyDescent="0.35">
      <c r="B63" t="s">
        <v>91</v>
      </c>
      <c r="D63" t="s">
        <v>56</v>
      </c>
      <c r="E63" s="3">
        <f>VLOOKUP(D63,'Bu Erta'!$C$2:$E$66,3,0)</f>
        <v>4000</v>
      </c>
      <c r="F63">
        <v>5.55</v>
      </c>
      <c r="G63" s="3">
        <f t="shared" si="0"/>
        <v>22200</v>
      </c>
      <c r="H63" s="3">
        <f>VLOOKUP(D63,'Bu Erta'!$C$2:$F$66,4,0)*F63</f>
        <v>30525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1"/>
        <v>2.6</v>
      </c>
      <c r="R63" s="52">
        <f t="shared" si="2"/>
        <v>520</v>
      </c>
      <c r="T63" s="44">
        <v>60</v>
      </c>
      <c r="U63" s="17" t="s">
        <v>68</v>
      </c>
      <c r="V63" s="52">
        <f>VLOOKUP(U63,'Bu Erta'!$C$2:$F$66,4,0)</f>
        <v>200</v>
      </c>
      <c r="W63" s="53"/>
      <c r="X63" s="52">
        <f t="shared" si="3"/>
        <v>0</v>
      </c>
    </row>
    <row r="64" spans="1:24" x14ac:dyDescent="0.35">
      <c r="B64" t="s">
        <v>91</v>
      </c>
      <c r="D64" t="s">
        <v>31</v>
      </c>
      <c r="E64" s="3">
        <f>VLOOKUP(D64,'Bu Erta'!$C$2:$E$66,3,0)</f>
        <v>1000</v>
      </c>
      <c r="F64">
        <v>1.25</v>
      </c>
      <c r="G64" s="3">
        <f t="shared" si="0"/>
        <v>1250</v>
      </c>
      <c r="H64" s="3">
        <f>VLOOKUP(D64,'Bu Erta'!$C$2:$F$66,4,0)*F64</f>
        <v>1375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1"/>
        <v>3.25</v>
      </c>
      <c r="R64" s="52">
        <f t="shared" si="2"/>
        <v>9750</v>
      </c>
      <c r="T64" s="44">
        <v>61</v>
      </c>
      <c r="U64" s="17" t="s">
        <v>69</v>
      </c>
      <c r="V64" s="52">
        <f>VLOOKUP(U64,'Bu Erta'!$C$2:$F$66,4,0)</f>
        <v>3000</v>
      </c>
      <c r="W64" s="53"/>
      <c r="X64" s="52">
        <f t="shared" si="3"/>
        <v>0</v>
      </c>
    </row>
    <row r="65" spans="1:24" x14ac:dyDescent="0.35">
      <c r="B65" t="s">
        <v>91</v>
      </c>
      <c r="D65" t="s">
        <v>41</v>
      </c>
      <c r="E65" s="3">
        <f>VLOOKUP(D65,'Bu Erta'!$C$2:$E$66,3,0)</f>
        <v>1500</v>
      </c>
      <c r="F65">
        <v>1.1499999999999999</v>
      </c>
      <c r="G65" s="3">
        <f t="shared" si="0"/>
        <v>1724.9999999999998</v>
      </c>
      <c r="H65" s="3">
        <f>VLOOKUP(D65,'Bu Erta'!$C$2:$F$66,4,0)*F65</f>
        <v>2300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1"/>
        <v>0.15</v>
      </c>
      <c r="R65" s="52">
        <f t="shared" si="2"/>
        <v>600</v>
      </c>
      <c r="T65" s="44">
        <v>62</v>
      </c>
      <c r="U65" s="17" t="s">
        <v>70</v>
      </c>
      <c r="V65" s="52">
        <f>VLOOKUP(U65,'Bu Erta'!$C$2:$F$66,4,0)</f>
        <v>4000</v>
      </c>
      <c r="W65" s="53"/>
      <c r="X65" s="52">
        <f t="shared" si="3"/>
        <v>0</v>
      </c>
    </row>
    <row r="66" spans="1:24" x14ac:dyDescent="0.35">
      <c r="B66" t="s">
        <v>91</v>
      </c>
      <c r="D66" t="s">
        <v>24</v>
      </c>
      <c r="E66" s="3">
        <f>VLOOKUP(D66,'Bu Erta'!$C$2:$E$66,3,0)</f>
        <v>150</v>
      </c>
      <c r="F66">
        <v>0.75</v>
      </c>
      <c r="G66" s="3">
        <f t="shared" si="0"/>
        <v>112.5</v>
      </c>
      <c r="H66" s="3">
        <f>VLOOKUP(D66,'Bu Erta'!$C$2:$F$66,4,0)*F66</f>
        <v>150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1"/>
        <v>0</v>
      </c>
      <c r="R66" s="52">
        <f t="shared" si="2"/>
        <v>0</v>
      </c>
      <c r="T66" s="44">
        <v>63</v>
      </c>
      <c r="U66" s="17" t="s">
        <v>71</v>
      </c>
      <c r="V66" s="52">
        <f>VLOOKUP(U66,'Bu Erta'!$C$2:$F$66,4,0)</f>
        <v>10000</v>
      </c>
      <c r="W66" s="53"/>
      <c r="X66" s="52">
        <f t="shared" si="3"/>
        <v>0</v>
      </c>
    </row>
    <row r="67" spans="1:24" x14ac:dyDescent="0.35">
      <c r="B67" t="s">
        <v>91</v>
      </c>
      <c r="D67" t="s">
        <v>27</v>
      </c>
      <c r="E67" s="3">
        <f>VLOOKUP(D67,'Bu Erta'!$C$2:$E$66,3,0)</f>
        <v>2800</v>
      </c>
      <c r="F67">
        <f>0.7+0.8+0.8</f>
        <v>2.2999999999999998</v>
      </c>
      <c r="G67" s="3">
        <f t="shared" si="0"/>
        <v>6439.9999999999991</v>
      </c>
      <c r="H67" s="3">
        <f>VLOOKUP(D67,'Bu Erta'!$C$2:$F$66,4,0)*F67</f>
        <v>7129.9999999999991</v>
      </c>
      <c r="N67" s="44">
        <v>64</v>
      </c>
      <c r="O67" s="17" t="s">
        <v>72</v>
      </c>
      <c r="P67" s="52">
        <f>VLOOKUP(O67,'Bu Erta'!$C$2:$F$66,4,0)</f>
        <v>15000</v>
      </c>
      <c r="Q67" s="53">
        <f t="shared" si="1"/>
        <v>0</v>
      </c>
      <c r="R67" s="52">
        <f t="shared" si="2"/>
        <v>0</v>
      </c>
      <c r="T67" s="44">
        <v>64</v>
      </c>
      <c r="U67" s="17" t="s">
        <v>72</v>
      </c>
      <c r="V67" s="52">
        <f>VLOOKUP(U67,'Bu Erta'!$C$2:$F$66,4,0)</f>
        <v>15000</v>
      </c>
      <c r="W67" s="53"/>
      <c r="X67" s="52">
        <f t="shared" si="3"/>
        <v>0</v>
      </c>
    </row>
    <row r="68" spans="1:24" x14ac:dyDescent="0.35">
      <c r="B68" t="s">
        <v>91</v>
      </c>
      <c r="D68" t="s">
        <v>42</v>
      </c>
      <c r="E68" s="3">
        <f>VLOOKUP(D68,'Bu Erta'!$C$2:$E$66,3,0)</f>
        <v>1000</v>
      </c>
      <c r="F68">
        <f>4.5+3</f>
        <v>7.5</v>
      </c>
      <c r="G68" s="3">
        <f t="shared" ref="G68:G131" si="4">E68*F68</f>
        <v>7500</v>
      </c>
      <c r="H68" s="3">
        <f>VLOOKUP(D68,'Bu Erta'!$C$2:$F$66,4,0)*F68</f>
        <v>9000</v>
      </c>
      <c r="N68" s="17"/>
      <c r="O68" s="17"/>
      <c r="P68" s="54" t="s">
        <v>130</v>
      </c>
      <c r="Q68" s="54">
        <f>SUM(Q4:Q67)</f>
        <v>440.30000000000007</v>
      </c>
      <c r="R68" s="87">
        <f>SUM(R4:R67)</f>
        <v>706727.5</v>
      </c>
      <c r="S68" s="40"/>
      <c r="T68" s="17"/>
      <c r="U68" s="17"/>
      <c r="V68" s="54" t="s">
        <v>130</v>
      </c>
      <c r="W68" s="54">
        <f>SUM(W4:W67)</f>
        <v>0</v>
      </c>
      <c r="X68" s="55">
        <f>SUM(X4:X67)</f>
        <v>0</v>
      </c>
    </row>
    <row r="69" spans="1:24" x14ac:dyDescent="0.35">
      <c r="B69" t="s">
        <v>91</v>
      </c>
      <c r="D69" t="s">
        <v>23</v>
      </c>
      <c r="E69" s="3">
        <f>VLOOKUP(D69,'Bu Erta'!$C$2:$E$66,3,0)</f>
        <v>300</v>
      </c>
      <c r="F69">
        <v>0.9</v>
      </c>
      <c r="G69" s="3">
        <f t="shared" si="4"/>
        <v>270</v>
      </c>
      <c r="H69" s="3">
        <f>VLOOKUP(D69,'Bu Erta'!$C$2:$F$66,4,0)*F69</f>
        <v>360</v>
      </c>
    </row>
    <row r="70" spans="1:24" x14ac:dyDescent="0.35">
      <c r="A70" s="5">
        <v>13</v>
      </c>
      <c r="B70" t="s">
        <v>180</v>
      </c>
      <c r="C70" s="1">
        <v>4</v>
      </c>
      <c r="D70" t="s">
        <v>42</v>
      </c>
      <c r="E70" s="3">
        <f>VLOOKUP(D70,'Bu Erta'!$C$2:$E$66,3,0)</f>
        <v>1000</v>
      </c>
      <c r="F70">
        <v>3.8</v>
      </c>
      <c r="G70" s="3">
        <f t="shared" si="4"/>
        <v>3800</v>
      </c>
      <c r="H70" s="3">
        <f>VLOOKUP(D70,'Bu Erta'!$C$2:$F$66,4,0)*F70</f>
        <v>4560</v>
      </c>
    </row>
    <row r="71" spans="1:24" x14ac:dyDescent="0.35">
      <c r="B71" t="s">
        <v>180</v>
      </c>
      <c r="D71" t="s">
        <v>19</v>
      </c>
      <c r="E71" s="3">
        <f>VLOOKUP(D71,'Bu Erta'!$C$2:$E$66,3,0)</f>
        <v>200</v>
      </c>
      <c r="F71">
        <v>0.8</v>
      </c>
      <c r="G71" s="3">
        <f t="shared" si="4"/>
        <v>160</v>
      </c>
      <c r="H71" s="3">
        <f>VLOOKUP(D71,'Bu Erta'!$C$2:$F$66,4,0)*F71</f>
        <v>240</v>
      </c>
    </row>
    <row r="72" spans="1:24" x14ac:dyDescent="0.35">
      <c r="B72" t="s">
        <v>180</v>
      </c>
      <c r="D72" t="s">
        <v>24</v>
      </c>
      <c r="E72" s="3">
        <f>VLOOKUP(D72,'Bu Erta'!$C$2:$E$66,3,0)</f>
        <v>150</v>
      </c>
      <c r="F72">
        <v>2.4</v>
      </c>
      <c r="G72" s="3">
        <f t="shared" si="4"/>
        <v>360</v>
      </c>
      <c r="H72" s="3">
        <f>VLOOKUP(D72,'Bu Erta'!$C$2:$F$66,4,0)*F72</f>
        <v>480</v>
      </c>
    </row>
    <row r="73" spans="1:24" x14ac:dyDescent="0.35">
      <c r="B73" t="s">
        <v>180</v>
      </c>
      <c r="D73" t="s">
        <v>27</v>
      </c>
      <c r="E73" s="3">
        <f>VLOOKUP(D73,'Bu Erta'!$C$2:$E$66,3,0)</f>
        <v>2800</v>
      </c>
      <c r="F73">
        <v>0.7</v>
      </c>
      <c r="G73" s="3">
        <f t="shared" si="4"/>
        <v>1959.9999999999998</v>
      </c>
      <c r="H73" s="3">
        <f>VLOOKUP(D73,'Bu Erta'!$C$2:$F$66,4,0)*F73</f>
        <v>2170</v>
      </c>
    </row>
    <row r="74" spans="1:24" x14ac:dyDescent="0.35">
      <c r="B74" t="s">
        <v>180</v>
      </c>
      <c r="D74" t="s">
        <v>23</v>
      </c>
      <c r="E74" s="3">
        <f>VLOOKUP(D74,'Bu Erta'!$C$2:$E$66,3,0)</f>
        <v>300</v>
      </c>
      <c r="F74">
        <v>0.1</v>
      </c>
      <c r="G74" s="3">
        <f t="shared" si="4"/>
        <v>30</v>
      </c>
      <c r="H74" s="3">
        <f>VLOOKUP(D74,'Bu Erta'!$C$2:$F$66,4,0)*F74</f>
        <v>40</v>
      </c>
    </row>
    <row r="75" spans="1:24" x14ac:dyDescent="0.35">
      <c r="B75" t="s">
        <v>180</v>
      </c>
      <c r="D75" t="s">
        <v>36</v>
      </c>
      <c r="E75" s="3">
        <f>VLOOKUP(D75,'Bu Erta'!$C$2:$E$66,3,0)</f>
        <v>600</v>
      </c>
      <c r="F75">
        <v>0.15</v>
      </c>
      <c r="G75" s="3">
        <f t="shared" si="4"/>
        <v>90</v>
      </c>
      <c r="H75" s="3">
        <f>VLOOKUP(D75,'Bu Erta'!$C$2:$F$66,4,0)*F75</f>
        <v>97.5</v>
      </c>
    </row>
    <row r="76" spans="1:24" x14ac:dyDescent="0.35">
      <c r="B76" t="s">
        <v>180</v>
      </c>
      <c r="D76" t="s">
        <v>6</v>
      </c>
      <c r="E76" s="3">
        <f>VLOOKUP(D76,'Bu Erta'!$C$2:$E$66,3,0)</f>
        <v>2000</v>
      </c>
      <c r="F76">
        <v>0.15</v>
      </c>
      <c r="G76" s="3">
        <f t="shared" si="4"/>
        <v>300</v>
      </c>
      <c r="H76" s="3">
        <f>VLOOKUP(D76,'Bu Erta'!$C$2:$F$66,4,0)*F76</f>
        <v>375</v>
      </c>
    </row>
    <row r="77" spans="1:24" x14ac:dyDescent="0.35">
      <c r="B77" t="s">
        <v>180</v>
      </c>
      <c r="D77" t="s">
        <v>7</v>
      </c>
      <c r="E77" s="3">
        <f>VLOOKUP(D77,'Bu Erta'!$C$2:$E$66,3,0)</f>
        <v>1400</v>
      </c>
      <c r="F77">
        <v>0.2</v>
      </c>
      <c r="G77" s="3">
        <f t="shared" si="4"/>
        <v>280</v>
      </c>
      <c r="H77" s="3">
        <f>VLOOKUP(D77,'Bu Erta'!$C$2:$F$66,4,0)*F77</f>
        <v>320</v>
      </c>
    </row>
    <row r="78" spans="1:24" x14ac:dyDescent="0.35">
      <c r="B78" t="s">
        <v>180</v>
      </c>
      <c r="D78" t="s">
        <v>40</v>
      </c>
      <c r="E78" s="3">
        <f>VLOOKUP(D78,'Bu Erta'!$C$2:$E$66,3,0)</f>
        <v>1800</v>
      </c>
      <c r="F78">
        <v>2.95</v>
      </c>
      <c r="G78" s="3">
        <f t="shared" si="4"/>
        <v>5310</v>
      </c>
      <c r="H78" s="3">
        <f>VLOOKUP(D78,'Bu Erta'!$C$2:$F$66,4,0)*F78</f>
        <v>5900</v>
      </c>
    </row>
    <row r="79" spans="1:24" x14ac:dyDescent="0.35">
      <c r="A79" s="5">
        <v>14</v>
      </c>
      <c r="B79" t="s">
        <v>175</v>
      </c>
      <c r="C79" s="1">
        <v>2</v>
      </c>
      <c r="D79" t="s">
        <v>42</v>
      </c>
      <c r="E79" s="3">
        <f>VLOOKUP(D79,'Bu Erta'!$C$2:$E$66,3,0)</f>
        <v>1000</v>
      </c>
      <c r="F79">
        <v>1.75</v>
      </c>
      <c r="G79" s="3">
        <f t="shared" si="4"/>
        <v>1750</v>
      </c>
      <c r="H79" s="3">
        <f>VLOOKUP(D79,'Bu Erta'!$C$2:$F$66,4,0)*F79</f>
        <v>2100</v>
      </c>
    </row>
    <row r="80" spans="1:24" x14ac:dyDescent="0.35">
      <c r="B80" t="s">
        <v>175</v>
      </c>
      <c r="D80" t="s">
        <v>23</v>
      </c>
      <c r="E80" s="3">
        <f>VLOOKUP(D80,'Bu Erta'!$C$2:$E$66,3,0)</f>
        <v>300</v>
      </c>
      <c r="F80">
        <v>0.3</v>
      </c>
      <c r="G80" s="3">
        <f t="shared" si="4"/>
        <v>90</v>
      </c>
      <c r="H80" s="3">
        <f>VLOOKUP(D80,'Bu Erta'!$C$2:$F$66,4,0)*F80</f>
        <v>120</v>
      </c>
    </row>
    <row r="81" spans="1:8" x14ac:dyDescent="0.35">
      <c r="B81" t="s">
        <v>175</v>
      </c>
      <c r="D81" t="s">
        <v>7</v>
      </c>
      <c r="E81" s="3">
        <f>VLOOKUP(D81,'Bu Erta'!$C$2:$E$66,3,0)</f>
        <v>1400</v>
      </c>
      <c r="F81">
        <f>1.05+0.6</f>
        <v>1.65</v>
      </c>
      <c r="G81" s="3">
        <f t="shared" si="4"/>
        <v>2310</v>
      </c>
      <c r="H81" s="3">
        <f>VLOOKUP(D81,'Bu Erta'!$C$2:$F$66,4,0)*F81</f>
        <v>2640</v>
      </c>
    </row>
    <row r="82" spans="1:8" x14ac:dyDescent="0.35">
      <c r="B82" t="s">
        <v>175</v>
      </c>
      <c r="D82" t="s">
        <v>88</v>
      </c>
      <c r="E82" s="3">
        <f>VLOOKUP(D82,'Bu Erta'!$C$2:$E$66,3,0)</f>
        <v>300</v>
      </c>
      <c r="F82">
        <v>0.65</v>
      </c>
      <c r="G82" s="3">
        <f t="shared" si="4"/>
        <v>195</v>
      </c>
      <c r="H82" s="3">
        <f>VLOOKUP(D82,'Bu Erta'!$C$2:$F$66,4,0)*F82</f>
        <v>260</v>
      </c>
    </row>
    <row r="83" spans="1:8" x14ac:dyDescent="0.35">
      <c r="B83" t="s">
        <v>175</v>
      </c>
      <c r="D83" t="s">
        <v>19</v>
      </c>
      <c r="E83" s="3">
        <f>VLOOKUP(D83,'Bu Erta'!$C$2:$E$66,3,0)</f>
        <v>200</v>
      </c>
      <c r="F83">
        <v>0.3</v>
      </c>
      <c r="G83" s="3">
        <f t="shared" si="4"/>
        <v>60</v>
      </c>
      <c r="H83" s="3">
        <f>VLOOKUP(D83,'Bu Erta'!$C$2:$F$66,4,0)*F83</f>
        <v>90</v>
      </c>
    </row>
    <row r="84" spans="1:8" x14ac:dyDescent="0.35">
      <c r="B84" t="s">
        <v>175</v>
      </c>
      <c r="D84" t="s">
        <v>60</v>
      </c>
      <c r="E84" s="3">
        <f>VLOOKUP(D84,'Bu Erta'!$C$2:$E$66,3,0)</f>
        <v>1200</v>
      </c>
      <c r="F84">
        <v>0.45</v>
      </c>
      <c r="G84" s="3">
        <f t="shared" si="4"/>
        <v>540</v>
      </c>
      <c r="H84" s="3">
        <f>VLOOKUP(D84,'Bu Erta'!$C$2:$F$66,4,0)*F84</f>
        <v>675</v>
      </c>
    </row>
    <row r="85" spans="1:8" x14ac:dyDescent="0.35">
      <c r="B85" t="s">
        <v>175</v>
      </c>
      <c r="D85" t="s">
        <v>38</v>
      </c>
      <c r="E85" s="3">
        <f>VLOOKUP(D85,'Bu Erta'!$C$2:$E$66,3,0)</f>
        <v>1400</v>
      </c>
      <c r="F85">
        <v>1</v>
      </c>
      <c r="G85" s="3">
        <f t="shared" si="4"/>
        <v>1400</v>
      </c>
      <c r="H85" s="3">
        <f>VLOOKUP(D85,'Bu Erta'!$C$2:$F$66,4,0)*F85</f>
        <v>1600</v>
      </c>
    </row>
    <row r="86" spans="1:8" x14ac:dyDescent="0.35">
      <c r="B86" t="s">
        <v>175</v>
      </c>
      <c r="D86" t="s">
        <v>31</v>
      </c>
      <c r="E86" s="3">
        <f>VLOOKUP(D86,'Bu Erta'!$C$2:$E$66,3,0)</f>
        <v>1000</v>
      </c>
      <c r="F86">
        <f>0.5+0.5</f>
        <v>1</v>
      </c>
      <c r="G86" s="3">
        <f t="shared" si="4"/>
        <v>1000</v>
      </c>
      <c r="H86" s="3">
        <f>VLOOKUP(D86,'Bu Erta'!$C$2:$F$66,4,0)*F86</f>
        <v>1100</v>
      </c>
    </row>
    <row r="87" spans="1:8" x14ac:dyDescent="0.35">
      <c r="B87" t="s">
        <v>175</v>
      </c>
      <c r="D87" t="s">
        <v>40</v>
      </c>
      <c r="E87" s="3">
        <f>VLOOKUP(D87,'Bu Erta'!$C$2:$E$66,3,0)</f>
        <v>1800</v>
      </c>
      <c r="F87">
        <v>0.4</v>
      </c>
      <c r="G87" s="3">
        <f t="shared" si="4"/>
        <v>720</v>
      </c>
      <c r="H87" s="3">
        <f>VLOOKUP(D87,'Bu Erta'!$C$2:$F$66,4,0)*F87</f>
        <v>800</v>
      </c>
    </row>
    <row r="88" spans="1:8" x14ac:dyDescent="0.35">
      <c r="B88" t="s">
        <v>175</v>
      </c>
      <c r="D88" t="s">
        <v>24</v>
      </c>
      <c r="E88" s="3">
        <f>VLOOKUP(D88,'Bu Erta'!$C$2:$E$66,3,0)</f>
        <v>150</v>
      </c>
      <c r="F88">
        <v>1.35</v>
      </c>
      <c r="G88" s="3">
        <f t="shared" si="4"/>
        <v>202.5</v>
      </c>
      <c r="H88" s="3">
        <f>VLOOKUP(D88,'Bu Erta'!$C$2:$F$66,4,0)*F88</f>
        <v>270</v>
      </c>
    </row>
    <row r="89" spans="1:8" x14ac:dyDescent="0.35">
      <c r="A89" s="5">
        <v>15</v>
      </c>
      <c r="B89" t="s">
        <v>250</v>
      </c>
      <c r="C89" s="5">
        <v>4</v>
      </c>
      <c r="D89" t="s">
        <v>31</v>
      </c>
      <c r="E89" s="3">
        <f>VLOOKUP(D89,'Bu Erta'!$C$2:$E$66,3,0)</f>
        <v>1000</v>
      </c>
      <c r="F89">
        <v>3</v>
      </c>
      <c r="G89" s="3">
        <f t="shared" si="4"/>
        <v>3000</v>
      </c>
      <c r="H89" s="3">
        <f>VLOOKUP(D89,'Bu Erta'!$C$2:$F$66,4,0)*F89</f>
        <v>3300</v>
      </c>
    </row>
    <row r="90" spans="1:8" x14ac:dyDescent="0.35">
      <c r="B90" t="s">
        <v>250</v>
      </c>
      <c r="D90" t="s">
        <v>42</v>
      </c>
      <c r="E90" s="3">
        <f>VLOOKUP(D90,'Bu Erta'!$C$2:$E$66,3,0)</f>
        <v>1000</v>
      </c>
      <c r="F90">
        <v>0.1</v>
      </c>
      <c r="G90" s="3">
        <f t="shared" si="4"/>
        <v>100</v>
      </c>
      <c r="H90" s="3">
        <f>VLOOKUP(D90,'Bu Erta'!$C$2:$F$66,4,0)*F90</f>
        <v>120</v>
      </c>
    </row>
    <row r="91" spans="1:8" x14ac:dyDescent="0.35">
      <c r="B91" t="s">
        <v>250</v>
      </c>
      <c r="D91" t="s">
        <v>23</v>
      </c>
      <c r="E91" s="3">
        <f>VLOOKUP(D91,'Bu Erta'!$C$2:$E$66,3,0)</f>
        <v>300</v>
      </c>
      <c r="F91">
        <v>0.1</v>
      </c>
      <c r="G91" s="3">
        <f t="shared" si="4"/>
        <v>30</v>
      </c>
      <c r="H91" s="3">
        <f>VLOOKUP(D91,'Bu Erta'!$C$2:$F$66,4,0)*F91</f>
        <v>40</v>
      </c>
    </row>
    <row r="92" spans="1:8" x14ac:dyDescent="0.35">
      <c r="B92" t="s">
        <v>250</v>
      </c>
      <c r="D92" t="s">
        <v>36</v>
      </c>
      <c r="E92" s="3">
        <f>VLOOKUP(D92,'Bu Erta'!$C$2:$E$66,3,0)</f>
        <v>600</v>
      </c>
      <c r="F92">
        <v>0.6</v>
      </c>
      <c r="G92" s="3">
        <f t="shared" si="4"/>
        <v>360</v>
      </c>
      <c r="H92" s="3">
        <f>VLOOKUP(D92,'Bu Erta'!$C$2:$F$66,4,0)*F92</f>
        <v>390</v>
      </c>
    </row>
    <row r="93" spans="1:8" x14ac:dyDescent="0.35">
      <c r="B93" t="s">
        <v>250</v>
      </c>
      <c r="D93" t="s">
        <v>19</v>
      </c>
      <c r="E93" s="3">
        <f>VLOOKUP(D93,'Bu Erta'!$C$2:$E$66,3,0)</f>
        <v>200</v>
      </c>
      <c r="F93">
        <v>1.35</v>
      </c>
      <c r="G93" s="3">
        <f t="shared" si="4"/>
        <v>270</v>
      </c>
      <c r="H93" s="3">
        <f>VLOOKUP(D93,'Bu Erta'!$C$2:$F$66,4,0)*F93</f>
        <v>405</v>
      </c>
    </row>
    <row r="94" spans="1:8" x14ac:dyDescent="0.35">
      <c r="A94" s="5">
        <v>16</v>
      </c>
      <c r="B94" t="s">
        <v>76</v>
      </c>
      <c r="C94" s="1">
        <v>3</v>
      </c>
      <c r="D94" t="s">
        <v>22</v>
      </c>
      <c r="E94" s="3">
        <f>VLOOKUP(D94,'Bu Erta'!$C$2:$E$66,3,0)</f>
        <v>2500</v>
      </c>
      <c r="F94">
        <v>0.8</v>
      </c>
      <c r="G94" s="3">
        <f t="shared" si="4"/>
        <v>2000</v>
      </c>
      <c r="H94" s="3">
        <f>VLOOKUP(D94,'Bu Erta'!$C$2:$F$66,4,0)*F94</f>
        <v>2400</v>
      </c>
    </row>
    <row r="95" spans="1:8" x14ac:dyDescent="0.35">
      <c r="B95" t="s">
        <v>76</v>
      </c>
      <c r="D95" t="s">
        <v>24</v>
      </c>
      <c r="E95" s="3">
        <f>VLOOKUP(D95,'Bu Erta'!$C$2:$E$66,3,0)</f>
        <v>150</v>
      </c>
      <c r="F95">
        <v>0.95</v>
      </c>
      <c r="G95" s="3">
        <f t="shared" si="4"/>
        <v>142.5</v>
      </c>
      <c r="H95" s="3">
        <f>VLOOKUP(D95,'Bu Erta'!$C$2:$F$66,4,0)*F95</f>
        <v>190</v>
      </c>
    </row>
    <row r="96" spans="1:8" x14ac:dyDescent="0.35">
      <c r="B96" t="s">
        <v>76</v>
      </c>
      <c r="D96" t="s">
        <v>7</v>
      </c>
      <c r="E96" s="3">
        <f>VLOOKUP(D96,'Bu Erta'!$C$2:$E$66,3,0)</f>
        <v>1400</v>
      </c>
      <c r="F96">
        <v>0.5</v>
      </c>
      <c r="G96" s="3">
        <f t="shared" si="4"/>
        <v>700</v>
      </c>
      <c r="H96" s="3">
        <f>VLOOKUP(D96,'Bu Erta'!$C$2:$F$66,4,0)*F96</f>
        <v>800</v>
      </c>
    </row>
    <row r="97" spans="1:8" x14ac:dyDescent="0.35">
      <c r="B97" t="s">
        <v>76</v>
      </c>
      <c r="D97" t="s">
        <v>88</v>
      </c>
      <c r="E97" s="3">
        <f>VLOOKUP(D97,'Bu Erta'!$C$2:$E$66,3,0)</f>
        <v>300</v>
      </c>
      <c r="F97">
        <v>0.3</v>
      </c>
      <c r="G97" s="3">
        <f t="shared" si="4"/>
        <v>90</v>
      </c>
      <c r="H97" s="3">
        <f>VLOOKUP(D97,'Bu Erta'!$C$2:$F$66,4,0)*F97</f>
        <v>120</v>
      </c>
    </row>
    <row r="98" spans="1:8" x14ac:dyDescent="0.35">
      <c r="B98" t="s">
        <v>76</v>
      </c>
      <c r="D98" t="s">
        <v>23</v>
      </c>
      <c r="E98" s="3">
        <f>VLOOKUP(D98,'Bu Erta'!$C$2:$E$66,3,0)</f>
        <v>300</v>
      </c>
      <c r="F98">
        <v>2.5499999999999998</v>
      </c>
      <c r="G98" s="3">
        <f t="shared" si="4"/>
        <v>765</v>
      </c>
      <c r="H98" s="3">
        <f>VLOOKUP(D98,'Bu Erta'!$C$2:$F$66,4,0)*F98</f>
        <v>1019.9999999999999</v>
      </c>
    </row>
    <row r="99" spans="1:8" x14ac:dyDescent="0.35">
      <c r="B99" t="s">
        <v>76</v>
      </c>
      <c r="D99" t="s">
        <v>61</v>
      </c>
      <c r="E99" s="3">
        <f>VLOOKUP(D99,'Bu Erta'!$C$2:$E$66,3,0)</f>
        <v>800</v>
      </c>
      <c r="F99">
        <v>0.45</v>
      </c>
      <c r="G99" s="3">
        <f t="shared" si="4"/>
        <v>360</v>
      </c>
      <c r="H99" s="3">
        <f>VLOOKUP(D99,'Bu Erta'!$C$2:$F$66,4,0)*F99</f>
        <v>405</v>
      </c>
    </row>
    <row r="100" spans="1:8" x14ac:dyDescent="0.35">
      <c r="B100" t="s">
        <v>76</v>
      </c>
      <c r="D100" t="s">
        <v>19</v>
      </c>
      <c r="E100" s="3">
        <f>VLOOKUP(D100,'Bu Erta'!$C$2:$E$66,3,0)</f>
        <v>200</v>
      </c>
      <c r="F100">
        <v>0.55000000000000004</v>
      </c>
      <c r="G100" s="3">
        <f t="shared" si="4"/>
        <v>110.00000000000001</v>
      </c>
      <c r="H100" s="3">
        <f>VLOOKUP(D100,'Bu Erta'!$C$2:$F$66,4,0)*F100</f>
        <v>165</v>
      </c>
    </row>
    <row r="101" spans="1:8" x14ac:dyDescent="0.35">
      <c r="B101" t="s">
        <v>76</v>
      </c>
      <c r="D101" t="s">
        <v>27</v>
      </c>
      <c r="E101" s="3">
        <f>VLOOKUP(D101,'Bu Erta'!$C$2:$E$66,3,0)</f>
        <v>2800</v>
      </c>
      <c r="F101">
        <v>0.9</v>
      </c>
      <c r="G101" s="3">
        <f t="shared" si="4"/>
        <v>2520</v>
      </c>
      <c r="H101" s="3">
        <f>VLOOKUP(D101,'Bu Erta'!$C$2:$F$66,4,0)*F101</f>
        <v>2790</v>
      </c>
    </row>
    <row r="102" spans="1:8" x14ac:dyDescent="0.35">
      <c r="B102" t="s">
        <v>76</v>
      </c>
      <c r="D102" t="s">
        <v>65</v>
      </c>
      <c r="E102" s="3">
        <f>VLOOKUP(D102,'Bu Erta'!$C$2:$E$66,3,0)</f>
        <v>150</v>
      </c>
      <c r="F102">
        <v>0.2</v>
      </c>
      <c r="G102" s="3">
        <f t="shared" si="4"/>
        <v>30</v>
      </c>
      <c r="H102" s="3">
        <f>VLOOKUP(D102,'Bu Erta'!$C$2:$F$66,4,0)*F102</f>
        <v>40</v>
      </c>
    </row>
    <row r="103" spans="1:8" x14ac:dyDescent="0.35">
      <c r="B103" t="s">
        <v>76</v>
      </c>
      <c r="D103" t="s">
        <v>7</v>
      </c>
      <c r="E103" s="3">
        <f>VLOOKUP(D103,'Bu Erta'!$C$2:$E$66,3,0)</f>
        <v>1400</v>
      </c>
      <c r="F103">
        <v>0.35</v>
      </c>
      <c r="G103" s="3">
        <f t="shared" si="4"/>
        <v>489.99999999999994</v>
      </c>
      <c r="H103" s="3">
        <f>VLOOKUP(D103,'Bu Erta'!$C$2:$F$66,4,0)*F103</f>
        <v>560</v>
      </c>
    </row>
    <row r="104" spans="1:8" x14ac:dyDescent="0.35">
      <c r="B104" t="s">
        <v>76</v>
      </c>
      <c r="D104" t="s">
        <v>42</v>
      </c>
      <c r="E104" s="3">
        <f>VLOOKUP(D104,'Bu Erta'!$C$2:$E$66,3,0)</f>
        <v>1000</v>
      </c>
      <c r="F104">
        <v>3.15</v>
      </c>
      <c r="G104" s="3">
        <f t="shared" si="4"/>
        <v>3150</v>
      </c>
      <c r="H104" s="3">
        <f>VLOOKUP(D104,'Bu Erta'!$C$2:$F$66,4,0)*F104</f>
        <v>3780</v>
      </c>
    </row>
    <row r="105" spans="1:8" x14ac:dyDescent="0.35">
      <c r="A105" s="5">
        <v>17</v>
      </c>
      <c r="B105" t="s">
        <v>241</v>
      </c>
      <c r="C105" s="5">
        <v>7</v>
      </c>
      <c r="D105" t="s">
        <v>19</v>
      </c>
      <c r="E105" s="3">
        <f>VLOOKUP(D105,'Bu Erta'!$C$2:$E$66,3,0)</f>
        <v>200</v>
      </c>
      <c r="F105">
        <f>0.6+0.35</f>
        <v>0.95</v>
      </c>
      <c r="G105" s="3">
        <f t="shared" si="4"/>
        <v>190</v>
      </c>
      <c r="H105" s="3">
        <f>VLOOKUP(D105,'Bu Erta'!$C$2:$F$66,4,0)*F105</f>
        <v>285</v>
      </c>
    </row>
    <row r="106" spans="1:8" x14ac:dyDescent="0.35">
      <c r="B106" t="s">
        <v>241</v>
      </c>
      <c r="D106" t="s">
        <v>23</v>
      </c>
      <c r="E106" s="3">
        <f>VLOOKUP(D106,'Bu Erta'!$C$2:$E$66,3,0)</f>
        <v>300</v>
      </c>
      <c r="F106">
        <v>1.85</v>
      </c>
      <c r="G106" s="3">
        <f t="shared" si="4"/>
        <v>555</v>
      </c>
      <c r="H106" s="3">
        <f>VLOOKUP(D106,'Bu Erta'!$C$2:$F$66,4,0)*F106</f>
        <v>740</v>
      </c>
    </row>
    <row r="107" spans="1:8" x14ac:dyDescent="0.35">
      <c r="B107" t="s">
        <v>241</v>
      </c>
      <c r="D107" t="s">
        <v>42</v>
      </c>
      <c r="E107" s="3">
        <f>VLOOKUP(D107,'Bu Erta'!$C$2:$E$66,3,0)</f>
        <v>1000</v>
      </c>
      <c r="F107">
        <v>0.7</v>
      </c>
      <c r="G107" s="3">
        <f t="shared" si="4"/>
        <v>700</v>
      </c>
      <c r="H107" s="3">
        <f>VLOOKUP(D107,'Bu Erta'!$C$2:$F$66,4,0)*F107</f>
        <v>840</v>
      </c>
    </row>
    <row r="108" spans="1:8" x14ac:dyDescent="0.35">
      <c r="B108" t="s">
        <v>241</v>
      </c>
      <c r="D108" t="s">
        <v>7</v>
      </c>
      <c r="E108" s="3">
        <f>VLOOKUP(D108,'Bu Erta'!$C$2:$E$66,3,0)</f>
        <v>1400</v>
      </c>
      <c r="F108">
        <v>0.15</v>
      </c>
      <c r="G108" s="3">
        <f t="shared" si="4"/>
        <v>210</v>
      </c>
      <c r="H108" s="3">
        <f>VLOOKUP(D108,'Bu Erta'!$C$2:$F$66,4,0)*F108</f>
        <v>240</v>
      </c>
    </row>
    <row r="109" spans="1:8" x14ac:dyDescent="0.35">
      <c r="A109" s="5">
        <v>18</v>
      </c>
      <c r="B109" t="s">
        <v>242</v>
      </c>
      <c r="C109" s="5">
        <v>3</v>
      </c>
      <c r="D109" t="s">
        <v>17</v>
      </c>
      <c r="E109" s="3">
        <f>VLOOKUP(D109,'Bu Erta'!$C$2:$E$66,3,0)</f>
        <v>8000</v>
      </c>
      <c r="F109">
        <v>0.7</v>
      </c>
      <c r="G109" s="3">
        <f t="shared" si="4"/>
        <v>5600</v>
      </c>
      <c r="H109" s="3">
        <f>VLOOKUP(D109,'Bu Erta'!$C$2:$F$66,4,0)*F109</f>
        <v>5950</v>
      </c>
    </row>
    <row r="110" spans="1:8" x14ac:dyDescent="0.35">
      <c r="B110" t="s">
        <v>242</v>
      </c>
      <c r="D110" t="s">
        <v>7</v>
      </c>
      <c r="E110" s="3">
        <f>VLOOKUP(D110,'Bu Erta'!$C$2:$E$66,3,0)</f>
        <v>1400</v>
      </c>
      <c r="F110">
        <f>0.9+2.05+1</f>
        <v>3.9499999999999997</v>
      </c>
      <c r="G110" s="3">
        <f t="shared" si="4"/>
        <v>5530</v>
      </c>
      <c r="H110" s="3">
        <f>VLOOKUP(D110,'Bu Erta'!$C$2:$F$66,4,0)*F110</f>
        <v>6320</v>
      </c>
    </row>
    <row r="111" spans="1:8" x14ac:dyDescent="0.35">
      <c r="B111" t="s">
        <v>242</v>
      </c>
      <c r="D111" t="s">
        <v>37</v>
      </c>
      <c r="E111" s="3">
        <f>VLOOKUP(D111,'Bu Erta'!$C$2:$E$66,3,0)</f>
        <v>1600</v>
      </c>
      <c r="F111">
        <v>0.3</v>
      </c>
      <c r="G111" s="3">
        <f t="shared" si="4"/>
        <v>480</v>
      </c>
      <c r="H111" s="3">
        <f>VLOOKUP(D111,'Bu Erta'!$C$2:$F$66,4,0)*F111</f>
        <v>600</v>
      </c>
    </row>
    <row r="112" spans="1:8" x14ac:dyDescent="0.35">
      <c r="A112" s="5">
        <v>19</v>
      </c>
      <c r="B112" t="s">
        <v>136</v>
      </c>
      <c r="C112" s="1">
        <v>4</v>
      </c>
      <c r="D112" t="s">
        <v>27</v>
      </c>
      <c r="E112" s="3">
        <f>VLOOKUP(D112,'Bu Erta'!$C$2:$E$66,3,0)</f>
        <v>2800</v>
      </c>
      <c r="F112">
        <v>1.4</v>
      </c>
      <c r="G112" s="3">
        <f t="shared" si="4"/>
        <v>3919.9999999999995</v>
      </c>
      <c r="H112" s="3">
        <f>VLOOKUP(D112,'Bu Erta'!$C$2:$F$66,4,0)*F112</f>
        <v>4340</v>
      </c>
    </row>
    <row r="113" spans="1:8" x14ac:dyDescent="0.35">
      <c r="B113" t="s">
        <v>136</v>
      </c>
      <c r="D113" t="s">
        <v>34</v>
      </c>
      <c r="E113" s="3">
        <f>VLOOKUP(D113,'Bu Erta'!$C$2:$E$66,3,0)</f>
        <v>3500</v>
      </c>
      <c r="F113">
        <v>0.6</v>
      </c>
      <c r="G113" s="3">
        <f t="shared" si="4"/>
        <v>2100</v>
      </c>
      <c r="H113" s="3">
        <f>VLOOKUP(D113,'Bu Erta'!$C$2:$F$66,4,0)*F113</f>
        <v>2160</v>
      </c>
    </row>
    <row r="114" spans="1:8" x14ac:dyDescent="0.35">
      <c r="B114" t="s">
        <v>136</v>
      </c>
      <c r="D114" t="s">
        <v>69</v>
      </c>
      <c r="E114" s="3">
        <f>VLOOKUP(D114,'Bu Erta'!$C$2:$E$66,3,0)</f>
        <v>2500</v>
      </c>
      <c r="F114">
        <v>0.4</v>
      </c>
      <c r="G114" s="3">
        <f t="shared" si="4"/>
        <v>1000</v>
      </c>
      <c r="H114" s="3">
        <f>VLOOKUP(D114,'Bu Erta'!$C$2:$F$66,4,0)*F114</f>
        <v>1200</v>
      </c>
    </row>
    <row r="115" spans="1:8" x14ac:dyDescent="0.35">
      <c r="B115" t="s">
        <v>136</v>
      </c>
      <c r="D115" t="s">
        <v>7</v>
      </c>
      <c r="E115" s="3">
        <f>VLOOKUP(D115,'Bu Erta'!$C$2:$E$66,3,0)</f>
        <v>1400</v>
      </c>
      <c r="F115">
        <f>0.55+0.95+1.1</f>
        <v>2.6</v>
      </c>
      <c r="G115" s="3">
        <f t="shared" si="4"/>
        <v>3640</v>
      </c>
      <c r="H115" s="3">
        <f>VLOOKUP(D115,'Bu Erta'!$C$2:$F$66,4,0)*F115</f>
        <v>4160</v>
      </c>
    </row>
    <row r="116" spans="1:8" x14ac:dyDescent="0.35">
      <c r="B116" t="s">
        <v>136</v>
      </c>
      <c r="D116" t="s">
        <v>67</v>
      </c>
      <c r="E116" s="3">
        <f>VLOOKUP(D116,'Bu Erta'!$C$2:$E$66,3,0)</f>
        <v>2700</v>
      </c>
      <c r="F116">
        <v>0.35</v>
      </c>
      <c r="G116" s="3">
        <f t="shared" si="4"/>
        <v>944.99999999999989</v>
      </c>
      <c r="H116" s="3">
        <f>VLOOKUP(D116,'Bu Erta'!$C$2:$F$66,4,0)*F116</f>
        <v>1050</v>
      </c>
    </row>
    <row r="117" spans="1:8" x14ac:dyDescent="0.35">
      <c r="B117" t="s">
        <v>136</v>
      </c>
      <c r="D117" t="s">
        <v>22</v>
      </c>
      <c r="E117" s="3">
        <f>VLOOKUP(D117,'Bu Erta'!$C$2:$E$66,3,0)</f>
        <v>2500</v>
      </c>
      <c r="F117">
        <v>1.9</v>
      </c>
      <c r="G117" s="3">
        <f t="shared" si="4"/>
        <v>4750</v>
      </c>
      <c r="H117" s="3">
        <f>VLOOKUP(D117,'Bu Erta'!$C$2:$F$66,4,0)*F117</f>
        <v>5700</v>
      </c>
    </row>
    <row r="118" spans="1:8" x14ac:dyDescent="0.35">
      <c r="B118" t="s">
        <v>136</v>
      </c>
      <c r="D118" t="s">
        <v>19</v>
      </c>
      <c r="E118" s="3">
        <f>VLOOKUP(D118,'Bu Erta'!$C$2:$E$66,3,0)</f>
        <v>200</v>
      </c>
      <c r="F118">
        <f>0.25+0.15+0.4</f>
        <v>0.8</v>
      </c>
      <c r="G118" s="3">
        <f t="shared" si="4"/>
        <v>160</v>
      </c>
      <c r="H118" s="3">
        <f>VLOOKUP(D118,'Bu Erta'!$C$2:$F$66,4,0)*F118</f>
        <v>240</v>
      </c>
    </row>
    <row r="119" spans="1:8" x14ac:dyDescent="0.35">
      <c r="B119" t="s">
        <v>136</v>
      </c>
      <c r="D119" t="s">
        <v>88</v>
      </c>
      <c r="E119" s="3">
        <f>VLOOKUP(D119,'Bu Erta'!$C$2:$E$66,3,0)</f>
        <v>300</v>
      </c>
      <c r="F119">
        <v>0.15</v>
      </c>
      <c r="G119" s="3">
        <f t="shared" si="4"/>
        <v>45</v>
      </c>
      <c r="H119" s="3">
        <f>VLOOKUP(D119,'Bu Erta'!$C$2:$F$66,4,0)*F119</f>
        <v>60</v>
      </c>
    </row>
    <row r="120" spans="1:8" x14ac:dyDescent="0.35">
      <c r="B120" t="s">
        <v>136</v>
      </c>
      <c r="D120" t="s">
        <v>36</v>
      </c>
      <c r="E120" s="3">
        <f>VLOOKUP(D120,'Bu Erta'!$C$2:$E$66,3,0)</f>
        <v>600</v>
      </c>
      <c r="F120">
        <v>0.4</v>
      </c>
      <c r="G120" s="3">
        <f t="shared" si="4"/>
        <v>240</v>
      </c>
      <c r="H120" s="3">
        <f>VLOOKUP(D120,'Bu Erta'!$C$2:$F$66,4,0)*F120</f>
        <v>260</v>
      </c>
    </row>
    <row r="121" spans="1:8" x14ac:dyDescent="0.35">
      <c r="B121" t="s">
        <v>136</v>
      </c>
      <c r="D121" t="s">
        <v>42</v>
      </c>
      <c r="E121" s="3">
        <f>VLOOKUP(D121,'Bu Erta'!$C$2:$E$66,3,0)</f>
        <v>1000</v>
      </c>
      <c r="F121">
        <f>0.1+0.7</f>
        <v>0.79999999999999993</v>
      </c>
      <c r="G121" s="3">
        <f t="shared" si="4"/>
        <v>799.99999999999989</v>
      </c>
      <c r="H121" s="3">
        <f>VLOOKUP(D121,'Bu Erta'!$C$2:$F$66,4,0)*F121</f>
        <v>959.99999999999989</v>
      </c>
    </row>
    <row r="122" spans="1:8" x14ac:dyDescent="0.35">
      <c r="B122" t="s">
        <v>136</v>
      </c>
      <c r="D122" t="s">
        <v>23</v>
      </c>
      <c r="E122" s="3">
        <f>VLOOKUP(D122,'Bu Erta'!$C$2:$E$66,3,0)</f>
        <v>300</v>
      </c>
      <c r="F122">
        <v>0.1</v>
      </c>
      <c r="G122" s="3">
        <f t="shared" si="4"/>
        <v>30</v>
      </c>
      <c r="H122" s="3">
        <f>VLOOKUP(D122,'Bu Erta'!$C$2:$F$66,4,0)*F122</f>
        <v>40</v>
      </c>
    </row>
    <row r="123" spans="1:8" x14ac:dyDescent="0.35">
      <c r="B123" t="s">
        <v>136</v>
      </c>
      <c r="D123" t="s">
        <v>17</v>
      </c>
      <c r="E123" s="3">
        <f>VLOOKUP(D123,'Bu Erta'!$C$2:$E$66,3,0)</f>
        <v>8000</v>
      </c>
      <c r="F123">
        <v>0.5</v>
      </c>
      <c r="G123" s="3">
        <f t="shared" si="4"/>
        <v>4000</v>
      </c>
      <c r="H123" s="3">
        <f>VLOOKUP(D123,'Bu Erta'!$C$2:$F$66,4,0)*F123</f>
        <v>4250</v>
      </c>
    </row>
    <row r="124" spans="1:8" x14ac:dyDescent="0.35">
      <c r="B124" t="s">
        <v>136</v>
      </c>
      <c r="D124" t="s">
        <v>60</v>
      </c>
      <c r="E124" s="3">
        <f>VLOOKUP(D124,'Bu Erta'!$C$2:$E$66,3,0)</f>
        <v>1200</v>
      </c>
      <c r="F124">
        <v>0.25</v>
      </c>
      <c r="G124" s="3">
        <f t="shared" si="4"/>
        <v>300</v>
      </c>
      <c r="H124" s="3">
        <f>VLOOKUP(D124,'Bu Erta'!$C$2:$F$66,4,0)*F124</f>
        <v>375</v>
      </c>
    </row>
    <row r="125" spans="1:8" x14ac:dyDescent="0.35">
      <c r="A125" s="5">
        <v>20</v>
      </c>
      <c r="B125" t="s">
        <v>189</v>
      </c>
      <c r="C125" s="1">
        <v>5</v>
      </c>
      <c r="D125" t="s">
        <v>42</v>
      </c>
      <c r="E125" s="3">
        <f>VLOOKUP(D125,'Bu Erta'!$C$2:$E$66,3,0)</f>
        <v>1000</v>
      </c>
      <c r="F125">
        <v>2.85</v>
      </c>
      <c r="G125" s="3">
        <f t="shared" si="4"/>
        <v>2850</v>
      </c>
      <c r="H125" s="3">
        <f>VLOOKUP(D125,'Bu Erta'!$C$2:$F$66,4,0)*F125</f>
        <v>3420</v>
      </c>
    </row>
    <row r="126" spans="1:8" x14ac:dyDescent="0.35">
      <c r="B126" t="s">
        <v>189</v>
      </c>
      <c r="D126" t="s">
        <v>7</v>
      </c>
      <c r="E126" s="3">
        <f>VLOOKUP(D126,'Bu Erta'!$C$2:$E$66,3,0)</f>
        <v>1400</v>
      </c>
      <c r="F126">
        <f>2.45+1.45+1.35+1.25</f>
        <v>6.5</v>
      </c>
      <c r="G126" s="3">
        <f t="shared" si="4"/>
        <v>9100</v>
      </c>
      <c r="H126" s="3">
        <f>VLOOKUP(D126,'Bu Erta'!$C$2:$F$66,4,0)*F126</f>
        <v>10400</v>
      </c>
    </row>
    <row r="127" spans="1:8" x14ac:dyDescent="0.35">
      <c r="B127" t="s">
        <v>189</v>
      </c>
      <c r="D127" t="s">
        <v>17</v>
      </c>
      <c r="E127" s="3">
        <f>VLOOKUP(D127,'Bu Erta'!$C$2:$E$66,3,0)</f>
        <v>8000</v>
      </c>
      <c r="F127">
        <v>0.15</v>
      </c>
      <c r="G127" s="3">
        <f t="shared" si="4"/>
        <v>1200</v>
      </c>
      <c r="H127" s="3">
        <f>VLOOKUP(D127,'Bu Erta'!$C$2:$F$66,4,0)*F127</f>
        <v>1275</v>
      </c>
    </row>
    <row r="128" spans="1:8" x14ac:dyDescent="0.35">
      <c r="B128" t="s">
        <v>189</v>
      </c>
      <c r="D128" t="s">
        <v>19</v>
      </c>
      <c r="E128" s="3">
        <f>VLOOKUP(D128,'Bu Erta'!$C$2:$E$66,3,0)</f>
        <v>200</v>
      </c>
      <c r="F128">
        <v>0.6</v>
      </c>
      <c r="G128" s="3">
        <f t="shared" si="4"/>
        <v>120</v>
      </c>
      <c r="H128" s="3">
        <f>VLOOKUP(D128,'Bu Erta'!$C$2:$F$66,4,0)*F128</f>
        <v>180</v>
      </c>
    </row>
    <row r="129" spans="1:8" x14ac:dyDescent="0.35">
      <c r="B129" t="s">
        <v>189</v>
      </c>
      <c r="D129" t="s">
        <v>34</v>
      </c>
      <c r="E129" s="3">
        <f>VLOOKUP(D129,'Bu Erta'!$C$2:$E$66,3,0)</f>
        <v>3500</v>
      </c>
      <c r="F129">
        <v>2.0499999999999998</v>
      </c>
      <c r="G129" s="3">
        <f t="shared" si="4"/>
        <v>7174.9999999999991</v>
      </c>
      <c r="H129" s="3">
        <f>VLOOKUP(D129,'Bu Erta'!$C$2:$F$66,4,0)*F129</f>
        <v>7379.9999999999991</v>
      </c>
    </row>
    <row r="130" spans="1:8" x14ac:dyDescent="0.35">
      <c r="B130" t="s">
        <v>189</v>
      </c>
      <c r="D130" t="s">
        <v>39</v>
      </c>
      <c r="E130" s="3">
        <f>VLOOKUP(D130,'Bu Erta'!$C$2:$E$66,3,0)</f>
        <v>150</v>
      </c>
      <c r="F130">
        <v>1</v>
      </c>
      <c r="G130" s="3">
        <f t="shared" si="4"/>
        <v>150</v>
      </c>
      <c r="H130" s="3">
        <f>VLOOKUP(D130,'Bu Erta'!$C$2:$F$66,4,0)*F130</f>
        <v>200</v>
      </c>
    </row>
    <row r="131" spans="1:8" x14ac:dyDescent="0.35">
      <c r="B131" t="s">
        <v>189</v>
      </c>
      <c r="D131" t="s">
        <v>28</v>
      </c>
      <c r="E131" s="3">
        <f>VLOOKUP(D131,'Bu Erta'!$C$2:$E$66,3,0)</f>
        <v>1200</v>
      </c>
      <c r="F131">
        <v>3.75</v>
      </c>
      <c r="G131" s="3">
        <f t="shared" si="4"/>
        <v>4500</v>
      </c>
      <c r="H131" s="3">
        <f>VLOOKUP(D131,'Bu Erta'!$C$2:$F$66,4,0)*F131</f>
        <v>4875</v>
      </c>
    </row>
    <row r="132" spans="1:8" x14ac:dyDescent="0.35">
      <c r="A132" s="5">
        <v>21</v>
      </c>
      <c r="B132" t="s">
        <v>118</v>
      </c>
      <c r="C132" s="1">
        <v>4</v>
      </c>
      <c r="D132" t="s">
        <v>24</v>
      </c>
      <c r="E132" s="3">
        <f>VLOOKUP(D132,'Bu Erta'!$C$2:$E$66,3,0)</f>
        <v>150</v>
      </c>
      <c r="F132">
        <v>2.7</v>
      </c>
      <c r="G132" s="3">
        <f t="shared" ref="G132:G199" si="5">E132*F132</f>
        <v>405</v>
      </c>
      <c r="H132" s="3">
        <f>VLOOKUP(D132,'Bu Erta'!$C$2:$F$66,4,0)*F132</f>
        <v>540</v>
      </c>
    </row>
    <row r="133" spans="1:8" x14ac:dyDescent="0.35">
      <c r="B133" t="s">
        <v>118</v>
      </c>
      <c r="D133" t="s">
        <v>6</v>
      </c>
      <c r="E133" s="3">
        <f>VLOOKUP(D133,'Bu Erta'!$C$2:$E$66,3,0)</f>
        <v>2000</v>
      </c>
      <c r="F133">
        <v>0.45</v>
      </c>
      <c r="G133" s="3">
        <f t="shared" si="5"/>
        <v>900</v>
      </c>
      <c r="H133" s="3">
        <f>VLOOKUP(D133,'Bu Erta'!$C$2:$F$66,4,0)*F133</f>
        <v>1125</v>
      </c>
    </row>
    <row r="134" spans="1:8" x14ac:dyDescent="0.35">
      <c r="B134" t="s">
        <v>118</v>
      </c>
      <c r="D134" t="s">
        <v>42</v>
      </c>
      <c r="E134" s="3">
        <f>VLOOKUP(D134,'Bu Erta'!$C$2:$E$66,3,0)</f>
        <v>1000</v>
      </c>
      <c r="F134">
        <v>0.25</v>
      </c>
      <c r="G134" s="3">
        <f t="shared" si="5"/>
        <v>250</v>
      </c>
      <c r="H134" s="3">
        <f>VLOOKUP(D134,'Bu Erta'!$C$2:$F$66,4,0)*F134</f>
        <v>300</v>
      </c>
    </row>
    <row r="135" spans="1:8" x14ac:dyDescent="0.35">
      <c r="B135" t="s">
        <v>118</v>
      </c>
      <c r="D135" t="s">
        <v>88</v>
      </c>
      <c r="E135" s="3">
        <f>VLOOKUP(D135,'Bu Erta'!$C$2:$E$66,3,0)</f>
        <v>300</v>
      </c>
      <c r="F135">
        <v>0.2</v>
      </c>
      <c r="G135" s="3">
        <f t="shared" si="5"/>
        <v>60</v>
      </c>
      <c r="H135" s="3">
        <f>VLOOKUP(D135,'Bu Erta'!$C$2:$F$66,4,0)*F135</f>
        <v>80</v>
      </c>
    </row>
    <row r="136" spans="1:8" x14ac:dyDescent="0.35">
      <c r="B136" t="s">
        <v>118</v>
      </c>
      <c r="D136" t="s">
        <v>25</v>
      </c>
      <c r="E136" s="3">
        <f>VLOOKUP(D136,'Bu Erta'!$C$2:$E$66,3,0)</f>
        <v>1600</v>
      </c>
      <c r="F136">
        <v>0.2</v>
      </c>
      <c r="G136" s="3">
        <f t="shared" si="5"/>
        <v>320</v>
      </c>
      <c r="H136" s="3">
        <f>VLOOKUP(D136,'Bu Erta'!$C$2:$F$66,4,0)*F136</f>
        <v>340</v>
      </c>
    </row>
    <row r="137" spans="1:8" x14ac:dyDescent="0.35">
      <c r="B137" t="s">
        <v>118</v>
      </c>
      <c r="D137" t="s">
        <v>19</v>
      </c>
      <c r="E137" s="3">
        <f>VLOOKUP(D137,'Bu Erta'!$C$2:$E$66,3,0)</f>
        <v>200</v>
      </c>
      <c r="F137">
        <v>0.4</v>
      </c>
      <c r="G137" s="3">
        <f t="shared" si="5"/>
        <v>80</v>
      </c>
      <c r="H137" s="3">
        <f>VLOOKUP(D137,'Bu Erta'!$C$2:$F$66,4,0)*F137</f>
        <v>120</v>
      </c>
    </row>
    <row r="138" spans="1:8" x14ac:dyDescent="0.35">
      <c r="B138" t="s">
        <v>118</v>
      </c>
      <c r="D138" t="s">
        <v>61</v>
      </c>
      <c r="E138" s="3">
        <f>VLOOKUP(D138,'Bu Erta'!$C$2:$E$66,3,0)</f>
        <v>800</v>
      </c>
      <c r="F138">
        <v>0.2</v>
      </c>
      <c r="G138" s="3">
        <f t="shared" si="5"/>
        <v>160</v>
      </c>
      <c r="H138" s="3">
        <f>VLOOKUP(D138,'Bu Erta'!$C$2:$F$66,4,0)*F138</f>
        <v>180</v>
      </c>
    </row>
    <row r="139" spans="1:8" x14ac:dyDescent="0.35">
      <c r="A139" s="5">
        <v>22</v>
      </c>
      <c r="B139" t="s">
        <v>108</v>
      </c>
      <c r="C139" s="5">
        <v>2</v>
      </c>
      <c r="D139" t="s">
        <v>46</v>
      </c>
      <c r="E139" s="3">
        <f>VLOOKUP(D139,'Bu Erta'!$C$2:$E$66,3,0)</f>
        <v>1400</v>
      </c>
      <c r="F139">
        <v>8.3000000000000007</v>
      </c>
      <c r="G139" s="3">
        <f t="shared" si="5"/>
        <v>11620.000000000002</v>
      </c>
      <c r="H139" s="3">
        <f>VLOOKUP(D139,'Bu Erta'!$C$2:$F$66,4,0)*F139</f>
        <v>12450.000000000002</v>
      </c>
    </row>
    <row r="140" spans="1:8" x14ac:dyDescent="0.35">
      <c r="B140" t="s">
        <v>108</v>
      </c>
      <c r="D140" t="s">
        <v>28</v>
      </c>
      <c r="E140" s="3">
        <f>VLOOKUP(D140,'Bu Erta'!$C$2:$E$66,3,0)</f>
        <v>1200</v>
      </c>
      <c r="F140">
        <v>1.65</v>
      </c>
      <c r="G140" s="3">
        <f t="shared" si="5"/>
        <v>1980</v>
      </c>
      <c r="H140" s="3">
        <f>VLOOKUP(D140,'Bu Erta'!$C$2:$F$66,4,0)*F140</f>
        <v>2145</v>
      </c>
    </row>
    <row r="141" spans="1:8" x14ac:dyDescent="0.35">
      <c r="B141" t="s">
        <v>108</v>
      </c>
      <c r="D141" t="s">
        <v>42</v>
      </c>
      <c r="E141" s="3">
        <f>VLOOKUP(D141,'Bu Erta'!$C$2:$E$66,3,0)</f>
        <v>1000</v>
      </c>
      <c r="F141">
        <v>0.4</v>
      </c>
      <c r="G141" s="3">
        <f t="shared" si="5"/>
        <v>400</v>
      </c>
      <c r="H141" s="3">
        <f>VLOOKUP(D141,'Bu Erta'!$C$2:$F$66,4,0)*F141</f>
        <v>480</v>
      </c>
    </row>
    <row r="142" spans="1:8" x14ac:dyDescent="0.35">
      <c r="B142" t="s">
        <v>108</v>
      </c>
      <c r="D142" t="s">
        <v>23</v>
      </c>
      <c r="E142" s="3">
        <f>VLOOKUP(D142,'Bu Erta'!$C$2:$E$66,3,0)</f>
        <v>300</v>
      </c>
      <c r="F142">
        <f>0.5+0.1+0.45</f>
        <v>1.05</v>
      </c>
      <c r="G142" s="3">
        <f t="shared" si="5"/>
        <v>315</v>
      </c>
      <c r="H142" s="3">
        <f>VLOOKUP(D142,'Bu Erta'!$C$2:$F$66,4,0)*F142</f>
        <v>420</v>
      </c>
    </row>
    <row r="143" spans="1:8" x14ac:dyDescent="0.35">
      <c r="B143" t="s">
        <v>108</v>
      </c>
      <c r="D143" t="s">
        <v>61</v>
      </c>
      <c r="E143" s="3">
        <f>VLOOKUP(D143,'Bu Erta'!$C$2:$E$66,3,0)</f>
        <v>800</v>
      </c>
      <c r="F143">
        <v>0.15</v>
      </c>
      <c r="G143" s="3">
        <f t="shared" si="5"/>
        <v>120</v>
      </c>
      <c r="H143" s="3">
        <f>VLOOKUP(D143,'Bu Erta'!$C$2:$F$66,4,0)*F143</f>
        <v>135</v>
      </c>
    </row>
    <row r="144" spans="1:8" x14ac:dyDescent="0.35">
      <c r="B144" t="s">
        <v>108</v>
      </c>
      <c r="D144" t="s">
        <v>215</v>
      </c>
      <c r="E144" s="3">
        <f>VLOOKUP(D144,'Bu Erta'!$C$2:$E$66,3,0)</f>
        <v>6000</v>
      </c>
      <c r="F144">
        <v>1.25</v>
      </c>
      <c r="G144" s="3">
        <f t="shared" si="5"/>
        <v>7500</v>
      </c>
      <c r="H144" s="3">
        <f>VLOOKUP(D144,'Bu Erta'!$C$2:$F$66,4,0)*F144</f>
        <v>8125</v>
      </c>
    </row>
    <row r="145" spans="1:8" x14ac:dyDescent="0.35">
      <c r="B145" t="s">
        <v>108</v>
      </c>
      <c r="D145" t="s">
        <v>25</v>
      </c>
      <c r="E145" s="3">
        <f>VLOOKUP(D145,'Bu Erta'!$C$2:$E$66,3,0)</f>
        <v>1600</v>
      </c>
      <c r="F145">
        <f>0.15+0.15</f>
        <v>0.3</v>
      </c>
      <c r="G145" s="3">
        <f t="shared" si="5"/>
        <v>480</v>
      </c>
      <c r="H145" s="3">
        <f>VLOOKUP(D145,'Bu Erta'!$C$2:$F$66,4,0)*F145</f>
        <v>510</v>
      </c>
    </row>
    <row r="146" spans="1:8" x14ac:dyDescent="0.35">
      <c r="B146" t="s">
        <v>108</v>
      </c>
      <c r="D146" t="s">
        <v>24</v>
      </c>
      <c r="E146" s="3">
        <f>VLOOKUP(D146,'Bu Erta'!$C$2:$E$66,3,0)</f>
        <v>150</v>
      </c>
      <c r="F146">
        <f>0.15+0.85</f>
        <v>1</v>
      </c>
      <c r="G146" s="3">
        <f t="shared" si="5"/>
        <v>150</v>
      </c>
      <c r="H146" s="3">
        <f>VLOOKUP(D146,'Bu Erta'!$C$2:$F$66,4,0)*F146</f>
        <v>200</v>
      </c>
    </row>
    <row r="147" spans="1:8" x14ac:dyDescent="0.35">
      <c r="B147" t="s">
        <v>108</v>
      </c>
      <c r="D147" t="s">
        <v>19</v>
      </c>
      <c r="E147" s="3">
        <f>VLOOKUP(D147,'Bu Erta'!$C$2:$E$66,3,0)</f>
        <v>200</v>
      </c>
      <c r="F147">
        <v>0.55000000000000004</v>
      </c>
      <c r="G147" s="3">
        <f t="shared" si="5"/>
        <v>110.00000000000001</v>
      </c>
      <c r="H147" s="3">
        <f>VLOOKUP(D147,'Bu Erta'!$C$2:$F$66,4,0)*F147</f>
        <v>165</v>
      </c>
    </row>
    <row r="148" spans="1:8" x14ac:dyDescent="0.35">
      <c r="B148" t="s">
        <v>108</v>
      </c>
      <c r="D148" t="s">
        <v>7</v>
      </c>
      <c r="E148" s="3">
        <f>VLOOKUP(D148,'Bu Erta'!$C$2:$E$66,3,0)</f>
        <v>1400</v>
      </c>
      <c r="F148">
        <f>0.4+0.35</f>
        <v>0.75</v>
      </c>
      <c r="G148" s="3">
        <f t="shared" si="5"/>
        <v>1050</v>
      </c>
      <c r="H148" s="3">
        <f>VLOOKUP(D148,'Bu Erta'!$C$2:$F$66,4,0)*F148</f>
        <v>1200</v>
      </c>
    </row>
    <row r="149" spans="1:8" x14ac:dyDescent="0.35">
      <c r="B149" t="s">
        <v>108</v>
      </c>
      <c r="D149" t="s">
        <v>69</v>
      </c>
      <c r="E149" s="3">
        <f>VLOOKUP(D149,'Bu Erta'!$C$2:$E$66,3,0)</f>
        <v>2500</v>
      </c>
      <c r="F149">
        <v>0.2</v>
      </c>
      <c r="G149" s="3">
        <f t="shared" si="5"/>
        <v>500</v>
      </c>
      <c r="H149" s="3">
        <f>VLOOKUP(D149,'Bu Erta'!$C$2:$F$66,4,0)*F149</f>
        <v>600</v>
      </c>
    </row>
    <row r="150" spans="1:8" x14ac:dyDescent="0.35">
      <c r="B150" t="s">
        <v>108</v>
      </c>
      <c r="D150" t="s">
        <v>88</v>
      </c>
      <c r="E150" s="3">
        <f>VLOOKUP(D150,'Bu Erta'!$C$2:$E$66,3,0)</f>
        <v>300</v>
      </c>
      <c r="F150">
        <v>0.15</v>
      </c>
      <c r="G150" s="3">
        <f t="shared" si="5"/>
        <v>45</v>
      </c>
      <c r="H150" s="3">
        <f>VLOOKUP(D150,'Bu Erta'!$C$2:$F$66,4,0)*F150</f>
        <v>60</v>
      </c>
    </row>
    <row r="151" spans="1:8" x14ac:dyDescent="0.35">
      <c r="B151" t="s">
        <v>108</v>
      </c>
      <c r="D151" t="s">
        <v>27</v>
      </c>
      <c r="E151" s="3">
        <f>VLOOKUP(D151,'Bu Erta'!$C$2:$E$66,3,0)</f>
        <v>2800</v>
      </c>
      <c r="F151">
        <v>0.5</v>
      </c>
      <c r="G151" s="3">
        <f t="shared" si="5"/>
        <v>1400</v>
      </c>
      <c r="H151" s="3">
        <f>VLOOKUP(D151,'Bu Erta'!$C$2:$F$66,4,0)*F151</f>
        <v>1550</v>
      </c>
    </row>
    <row r="152" spans="1:8" x14ac:dyDescent="0.35">
      <c r="B152" t="s">
        <v>108</v>
      </c>
      <c r="D152" t="s">
        <v>56</v>
      </c>
      <c r="E152" s="3">
        <f>VLOOKUP(D152,'Bu Erta'!$C$2:$E$66,3,0)</f>
        <v>4000</v>
      </c>
      <c r="F152">
        <v>1.85</v>
      </c>
      <c r="G152" s="3">
        <f t="shared" si="5"/>
        <v>7400</v>
      </c>
      <c r="H152" s="3">
        <f>VLOOKUP(D152,'Bu Erta'!$C$2:$F$66,4,0)*F152</f>
        <v>10175</v>
      </c>
    </row>
    <row r="153" spans="1:8" x14ac:dyDescent="0.35">
      <c r="A153" s="5">
        <v>23</v>
      </c>
      <c r="B153" t="s">
        <v>107</v>
      </c>
      <c r="C153" s="1">
        <v>5</v>
      </c>
      <c r="D153" t="s">
        <v>27</v>
      </c>
      <c r="E153" s="3">
        <f>VLOOKUP(D153,'Bu Erta'!$C$2:$E$66,3,0)</f>
        <v>2800</v>
      </c>
      <c r="F153">
        <v>1.85</v>
      </c>
      <c r="G153" s="3">
        <f t="shared" si="5"/>
        <v>5180</v>
      </c>
      <c r="H153" s="3">
        <f>VLOOKUP(D153,'Bu Erta'!$C$2:$F$66,4,0)*F153</f>
        <v>5735</v>
      </c>
    </row>
    <row r="154" spans="1:8" x14ac:dyDescent="0.35">
      <c r="B154" t="s">
        <v>107</v>
      </c>
      <c r="D154" t="s">
        <v>69</v>
      </c>
      <c r="E154" s="3">
        <f>VLOOKUP(D154,'Bu Erta'!$C$2:$E$66,3,0)</f>
        <v>2500</v>
      </c>
      <c r="F154">
        <v>0.3</v>
      </c>
      <c r="G154" s="3">
        <f t="shared" si="5"/>
        <v>750</v>
      </c>
      <c r="H154" s="3">
        <f>VLOOKUP(D154,'Bu Erta'!$C$2:$F$66,4,0)*F154</f>
        <v>900</v>
      </c>
    </row>
    <row r="155" spans="1:8" x14ac:dyDescent="0.35">
      <c r="B155" t="s">
        <v>107</v>
      </c>
      <c r="D155" t="s">
        <v>24</v>
      </c>
      <c r="E155" s="3">
        <f>VLOOKUP(D155,'Bu Erta'!$C$2:$E$66,3,0)</f>
        <v>150</v>
      </c>
      <c r="F155">
        <v>0.95</v>
      </c>
      <c r="G155" s="3">
        <f t="shared" si="5"/>
        <v>142.5</v>
      </c>
      <c r="H155" s="3">
        <f>VLOOKUP(D155,'Bu Erta'!$C$2:$F$66,4,0)*F155</f>
        <v>190</v>
      </c>
    </row>
    <row r="156" spans="1:8" x14ac:dyDescent="0.35">
      <c r="B156" t="s">
        <v>107</v>
      </c>
      <c r="D156" t="s">
        <v>19</v>
      </c>
      <c r="E156" s="3">
        <f>VLOOKUP(D156,'Bu Erta'!$C$2:$E$66,3,0)</f>
        <v>200</v>
      </c>
      <c r="F156">
        <v>0.25</v>
      </c>
      <c r="G156" s="3">
        <f t="shared" si="5"/>
        <v>50</v>
      </c>
      <c r="H156" s="3">
        <f>VLOOKUP(D156,'Bu Erta'!$C$2:$F$66,4,0)*F156</f>
        <v>75</v>
      </c>
    </row>
    <row r="157" spans="1:8" x14ac:dyDescent="0.35">
      <c r="B157" t="s">
        <v>107</v>
      </c>
      <c r="D157" t="s">
        <v>23</v>
      </c>
      <c r="E157" s="3">
        <f>VLOOKUP(D157,'Bu Erta'!$C$2:$E$66,3,0)</f>
        <v>300</v>
      </c>
      <c r="F157">
        <v>0.4</v>
      </c>
      <c r="G157" s="3">
        <f t="shared" si="5"/>
        <v>120</v>
      </c>
      <c r="H157" s="3">
        <f>VLOOKUP(D157,'Bu Erta'!$C$2:$F$66,4,0)*F157</f>
        <v>160</v>
      </c>
    </row>
    <row r="158" spans="1:8" x14ac:dyDescent="0.35">
      <c r="B158" t="s">
        <v>107</v>
      </c>
      <c r="D158" t="s">
        <v>7</v>
      </c>
      <c r="E158" s="3">
        <f>VLOOKUP(D158,'Bu Erta'!$C$2:$E$66,3,0)</f>
        <v>1400</v>
      </c>
      <c r="F158">
        <f>1.05+0.15+1.1</f>
        <v>2.2999999999999998</v>
      </c>
      <c r="G158" s="3">
        <f t="shared" si="5"/>
        <v>3219.9999999999995</v>
      </c>
      <c r="H158" s="3">
        <f>VLOOKUP(D158,'Bu Erta'!$C$2:$F$66,4,0)*F158</f>
        <v>3679.9999999999995</v>
      </c>
    </row>
    <row r="159" spans="1:8" x14ac:dyDescent="0.35">
      <c r="B159" t="s">
        <v>107</v>
      </c>
      <c r="D159" t="s">
        <v>41</v>
      </c>
      <c r="E159" s="3">
        <f>VLOOKUP(D159,'Bu Erta'!$C$2:$E$66,3,0)</f>
        <v>1500</v>
      </c>
      <c r="F159">
        <v>0.15</v>
      </c>
      <c r="G159" s="3">
        <f t="shared" si="5"/>
        <v>225</v>
      </c>
      <c r="H159" s="3">
        <f>VLOOKUP(D159,'Bu Erta'!$C$2:$F$66,4,0)*F159</f>
        <v>300</v>
      </c>
    </row>
    <row r="160" spans="1:8" x14ac:dyDescent="0.35">
      <c r="B160" t="s">
        <v>107</v>
      </c>
      <c r="D160" t="s">
        <v>22</v>
      </c>
      <c r="E160" s="3">
        <f>VLOOKUP(D160,'Bu Erta'!$C$2:$E$66,3,0)</f>
        <v>2500</v>
      </c>
      <c r="F160">
        <v>1.1000000000000001</v>
      </c>
      <c r="G160" s="3">
        <f t="shared" si="5"/>
        <v>2750</v>
      </c>
      <c r="H160" s="3">
        <f>VLOOKUP(D160,'Bu Erta'!$C$2:$F$66,4,0)*F160</f>
        <v>3300.0000000000005</v>
      </c>
    </row>
    <row r="161" spans="1:8" x14ac:dyDescent="0.35">
      <c r="A161" s="5">
        <v>24</v>
      </c>
      <c r="B161" t="s">
        <v>84</v>
      </c>
      <c r="C161" s="1">
        <v>4</v>
      </c>
      <c r="D161" t="s">
        <v>42</v>
      </c>
      <c r="E161" s="3">
        <f>VLOOKUP(D161,'Bu Erta'!$C$2:$E$66,3,0)</f>
        <v>1000</v>
      </c>
      <c r="F161">
        <v>1.6</v>
      </c>
      <c r="G161" s="3">
        <f t="shared" si="5"/>
        <v>1600</v>
      </c>
      <c r="H161" s="3">
        <f>VLOOKUP(D161,'Bu Erta'!$C$2:$F$66,4,0)*F161</f>
        <v>1920</v>
      </c>
    </row>
    <row r="162" spans="1:8" x14ac:dyDescent="0.35">
      <c r="B162" t="s">
        <v>84</v>
      </c>
      <c r="D162" t="s">
        <v>23</v>
      </c>
      <c r="E162" s="3">
        <f>VLOOKUP(D162,'Bu Erta'!$C$2:$E$66,3,0)</f>
        <v>300</v>
      </c>
      <c r="F162">
        <v>1.8</v>
      </c>
      <c r="G162" s="3">
        <f t="shared" si="5"/>
        <v>540</v>
      </c>
      <c r="H162" s="3">
        <f>VLOOKUP(D162,'Bu Erta'!$C$2:$F$66,4,0)*F162</f>
        <v>720</v>
      </c>
    </row>
    <row r="163" spans="1:8" x14ac:dyDescent="0.35">
      <c r="B163" t="s">
        <v>84</v>
      </c>
      <c r="D163" t="s">
        <v>7</v>
      </c>
      <c r="E163" s="3">
        <f>VLOOKUP(D163,'Bu Erta'!$C$2:$E$66,3,0)</f>
        <v>1400</v>
      </c>
      <c r="F163">
        <f>1.3+0.2</f>
        <v>1.5</v>
      </c>
      <c r="G163" s="3">
        <f t="shared" si="5"/>
        <v>2100</v>
      </c>
      <c r="H163" s="3">
        <f>VLOOKUP(D163,'Bu Erta'!$C$2:$F$66,4,0)*F163</f>
        <v>2400</v>
      </c>
    </row>
    <row r="164" spans="1:8" x14ac:dyDescent="0.35">
      <c r="B164" t="s">
        <v>84</v>
      </c>
      <c r="D164" t="s">
        <v>27</v>
      </c>
      <c r="E164" s="3">
        <f>VLOOKUP(D164,'Bu Erta'!$C$2:$E$66,3,0)</f>
        <v>2800</v>
      </c>
      <c r="F164">
        <v>0.55000000000000004</v>
      </c>
      <c r="G164" s="3">
        <f t="shared" si="5"/>
        <v>1540.0000000000002</v>
      </c>
      <c r="H164" s="3">
        <f>VLOOKUP(D164,'Bu Erta'!$C$2:$F$66,4,0)*F164</f>
        <v>1705.0000000000002</v>
      </c>
    </row>
    <row r="165" spans="1:8" x14ac:dyDescent="0.35">
      <c r="B165" t="s">
        <v>84</v>
      </c>
      <c r="D165" t="s">
        <v>19</v>
      </c>
      <c r="E165" s="3">
        <f>VLOOKUP(D165,'Bu Erta'!$C$2:$E$66,3,0)</f>
        <v>200</v>
      </c>
      <c r="F165">
        <v>1</v>
      </c>
      <c r="G165" s="3">
        <f t="shared" ref="G165:G170" si="6">E165*F165</f>
        <v>200</v>
      </c>
      <c r="H165" s="3">
        <f>VLOOKUP(D165,'Bu Erta'!$C$2:$F$66,4,0)*F165</f>
        <v>300</v>
      </c>
    </row>
    <row r="166" spans="1:8" x14ac:dyDescent="0.35">
      <c r="B166" t="s">
        <v>84</v>
      </c>
      <c r="D166" t="s">
        <v>88</v>
      </c>
      <c r="E166" s="3">
        <f>VLOOKUP(D166,'Bu Erta'!$C$2:$E$66,3,0)</f>
        <v>300</v>
      </c>
      <c r="F166">
        <v>0.45</v>
      </c>
      <c r="G166" s="3">
        <f t="shared" si="6"/>
        <v>135</v>
      </c>
      <c r="H166" s="3">
        <f>VLOOKUP(D166,'Bu Erta'!$C$2:$F$66,4,0)*F166</f>
        <v>180</v>
      </c>
    </row>
    <row r="167" spans="1:8" x14ac:dyDescent="0.35">
      <c r="B167" t="s">
        <v>84</v>
      </c>
      <c r="D167" t="s">
        <v>69</v>
      </c>
      <c r="E167" s="3">
        <f>VLOOKUP(D167,'Bu Erta'!$C$2:$E$66,3,0)</f>
        <v>2500</v>
      </c>
      <c r="F167">
        <v>0.15</v>
      </c>
      <c r="G167" s="3">
        <f t="shared" si="6"/>
        <v>375</v>
      </c>
      <c r="H167" s="3">
        <f>VLOOKUP(D167,'Bu Erta'!$C$2:$F$66,4,0)*F167</f>
        <v>450</v>
      </c>
    </row>
    <row r="168" spans="1:8" x14ac:dyDescent="0.35">
      <c r="B168" t="s">
        <v>84</v>
      </c>
      <c r="D168" t="s">
        <v>17</v>
      </c>
      <c r="E168" s="3">
        <f>VLOOKUP(D168,'Bu Erta'!$C$2:$E$66,3,0)</f>
        <v>8000</v>
      </c>
      <c r="F168">
        <v>0.1</v>
      </c>
      <c r="G168" s="3">
        <f t="shared" si="6"/>
        <v>800</v>
      </c>
      <c r="H168" s="3">
        <f>VLOOKUP(D168,'Bu Erta'!$C$2:$F$66,4,0)*F168</f>
        <v>850</v>
      </c>
    </row>
    <row r="169" spans="1:8" x14ac:dyDescent="0.35">
      <c r="B169" t="s">
        <v>84</v>
      </c>
      <c r="D169" t="s">
        <v>24</v>
      </c>
      <c r="E169" s="3">
        <f>VLOOKUP(D169,'Bu Erta'!$C$2:$E$66,3,0)</f>
        <v>150</v>
      </c>
      <c r="F169">
        <v>0.3</v>
      </c>
      <c r="G169" s="3">
        <f t="shared" si="6"/>
        <v>45</v>
      </c>
      <c r="H169" s="3">
        <f>VLOOKUP(D169,'Bu Erta'!$C$2:$F$66,4,0)*F169</f>
        <v>60</v>
      </c>
    </row>
    <row r="170" spans="1:8" x14ac:dyDescent="0.35">
      <c r="B170" t="s">
        <v>84</v>
      </c>
      <c r="D170" t="s">
        <v>61</v>
      </c>
      <c r="E170" s="3">
        <f>VLOOKUP(D170,'Bu Erta'!$C$2:$E$66,3,0)</f>
        <v>800</v>
      </c>
      <c r="F170">
        <v>0.15</v>
      </c>
      <c r="G170" s="3">
        <f t="shared" si="6"/>
        <v>120</v>
      </c>
      <c r="H170" s="3">
        <f>VLOOKUP(D170,'Bu Erta'!$C$2:$F$66,4,0)*F170</f>
        <v>135</v>
      </c>
    </row>
    <row r="171" spans="1:8" x14ac:dyDescent="0.35">
      <c r="A171" s="5">
        <v>25</v>
      </c>
      <c r="B171" t="s">
        <v>217</v>
      </c>
      <c r="C171" s="5">
        <v>1</v>
      </c>
      <c r="D171" t="s">
        <v>88</v>
      </c>
      <c r="E171" s="3">
        <f>VLOOKUP(D171,'Bu Erta'!$C$2:$E$66,3,0)</f>
        <v>300</v>
      </c>
      <c r="F171">
        <v>1.05</v>
      </c>
      <c r="G171" s="3">
        <f t="shared" si="5"/>
        <v>315</v>
      </c>
      <c r="H171" s="3">
        <f>VLOOKUP(D171,'Bu Erta'!$C$2:$F$66,4,0)*F171</f>
        <v>420</v>
      </c>
    </row>
    <row r="172" spans="1:8" x14ac:dyDescent="0.35">
      <c r="B172" t="s">
        <v>217</v>
      </c>
      <c r="D172" t="s">
        <v>19</v>
      </c>
      <c r="E172" s="3">
        <f>VLOOKUP(D172,'Bu Erta'!$C$2:$E$66,3,0)</f>
        <v>200</v>
      </c>
      <c r="F172">
        <v>0.75</v>
      </c>
      <c r="G172" s="3">
        <f t="shared" si="5"/>
        <v>150</v>
      </c>
      <c r="H172" s="3">
        <f>VLOOKUP(D172,'Bu Erta'!$C$2:$F$66,4,0)*F172</f>
        <v>225</v>
      </c>
    </row>
    <row r="173" spans="1:8" x14ac:dyDescent="0.35">
      <c r="B173" t="s">
        <v>217</v>
      </c>
      <c r="D173" t="s">
        <v>23</v>
      </c>
      <c r="E173" s="3">
        <f>VLOOKUP(D173,'Bu Erta'!$C$2:$E$66,3,0)</f>
        <v>300</v>
      </c>
      <c r="F173">
        <v>1.25</v>
      </c>
      <c r="G173" s="3">
        <f t="shared" si="5"/>
        <v>375</v>
      </c>
      <c r="H173" s="3">
        <f>VLOOKUP(D173,'Bu Erta'!$C$2:$F$66,4,0)*F173</f>
        <v>500</v>
      </c>
    </row>
    <row r="174" spans="1:8" x14ac:dyDescent="0.35">
      <c r="B174" t="s">
        <v>217</v>
      </c>
      <c r="D174" t="s">
        <v>24</v>
      </c>
      <c r="E174" s="3">
        <f>VLOOKUP(D174,'Bu Erta'!$C$2:$E$66,3,0)</f>
        <v>150</v>
      </c>
      <c r="F174">
        <v>0.7</v>
      </c>
      <c r="G174" s="3">
        <f t="shared" si="5"/>
        <v>105</v>
      </c>
      <c r="H174" s="3">
        <f>VLOOKUP(D174,'Bu Erta'!$C$2:$F$66,4,0)*F174</f>
        <v>140</v>
      </c>
    </row>
    <row r="175" spans="1:8" x14ac:dyDescent="0.35">
      <c r="B175" t="s">
        <v>217</v>
      </c>
      <c r="D175" t="s">
        <v>41</v>
      </c>
      <c r="E175" s="3">
        <f>VLOOKUP(D175,'Bu Erta'!$C$2:$E$66,3,0)</f>
        <v>1500</v>
      </c>
      <c r="F175">
        <v>0.5</v>
      </c>
      <c r="G175" s="3">
        <f t="shared" si="5"/>
        <v>750</v>
      </c>
      <c r="H175" s="3">
        <f>VLOOKUP(D175,'Bu Erta'!$C$2:$F$66,4,0)*F175</f>
        <v>1000</v>
      </c>
    </row>
    <row r="176" spans="1:8" x14ac:dyDescent="0.35">
      <c r="B176" t="s">
        <v>217</v>
      </c>
      <c r="D176" t="s">
        <v>31</v>
      </c>
      <c r="E176" s="3">
        <f>VLOOKUP(D176,'Bu Erta'!$C$2:$E$66,3,0)</f>
        <v>1000</v>
      </c>
      <c r="F176">
        <v>2.7</v>
      </c>
      <c r="G176" s="3">
        <f t="shared" si="5"/>
        <v>2700</v>
      </c>
      <c r="H176" s="3">
        <f>VLOOKUP(D176,'Bu Erta'!$C$2:$F$66,4,0)*F176</f>
        <v>2970</v>
      </c>
    </row>
    <row r="177" spans="1:8" x14ac:dyDescent="0.35">
      <c r="B177" t="s">
        <v>217</v>
      </c>
      <c r="D177" t="s">
        <v>42</v>
      </c>
      <c r="E177" s="3">
        <f>VLOOKUP(D177,'Bu Erta'!$C$2:$E$66,3,0)</f>
        <v>1000</v>
      </c>
      <c r="F177">
        <v>5.15</v>
      </c>
      <c r="G177" s="3">
        <f t="shared" si="5"/>
        <v>5150</v>
      </c>
      <c r="H177" s="3">
        <f>VLOOKUP(D177,'Bu Erta'!$C$2:$F$66,4,0)*F177</f>
        <v>6180</v>
      </c>
    </row>
    <row r="178" spans="1:8" x14ac:dyDescent="0.35">
      <c r="A178" s="5">
        <v>26</v>
      </c>
      <c r="B178" t="s">
        <v>83</v>
      </c>
      <c r="C178" s="5">
        <v>1</v>
      </c>
      <c r="D178" t="s">
        <v>42</v>
      </c>
      <c r="E178" s="3">
        <f>VLOOKUP(D178,'Bu Erta'!$C$2:$E$66,3,0)</f>
        <v>1000</v>
      </c>
      <c r="F178">
        <v>3.4</v>
      </c>
      <c r="G178" s="3">
        <f t="shared" si="5"/>
        <v>3400</v>
      </c>
      <c r="H178" s="3">
        <f>VLOOKUP(D178,'Bu Erta'!$C$2:$F$66,4,0)*F178</f>
        <v>4080</v>
      </c>
    </row>
    <row r="179" spans="1:8" x14ac:dyDescent="0.35">
      <c r="B179" t="s">
        <v>83</v>
      </c>
      <c r="D179" t="s">
        <v>19</v>
      </c>
      <c r="E179" s="3">
        <f>VLOOKUP(D179,'Bu Erta'!$C$2:$E$66,3,0)</f>
        <v>200</v>
      </c>
      <c r="F179">
        <v>0.15</v>
      </c>
      <c r="G179" s="3">
        <f t="shared" si="5"/>
        <v>30</v>
      </c>
      <c r="H179" s="3">
        <f>VLOOKUP(D179,'Bu Erta'!$C$2:$F$66,4,0)*F179</f>
        <v>45</v>
      </c>
    </row>
    <row r="180" spans="1:8" x14ac:dyDescent="0.35">
      <c r="B180" t="s">
        <v>83</v>
      </c>
      <c r="D180" t="s">
        <v>23</v>
      </c>
      <c r="E180" s="3">
        <f>VLOOKUP(D180,'Bu Erta'!$C$2:$E$66,3,0)</f>
        <v>300</v>
      </c>
      <c r="F180">
        <v>0.5</v>
      </c>
      <c r="G180" s="3">
        <f t="shared" si="5"/>
        <v>150</v>
      </c>
      <c r="H180" s="3">
        <f>VLOOKUP(D180,'Bu Erta'!$C$2:$F$66,4,0)*F180</f>
        <v>200</v>
      </c>
    </row>
    <row r="181" spans="1:8" x14ac:dyDescent="0.35">
      <c r="B181" t="s">
        <v>83</v>
      </c>
      <c r="D181" t="s">
        <v>88</v>
      </c>
      <c r="E181" s="3">
        <f>VLOOKUP(D181,'Bu Erta'!$C$2:$E$66,3,0)</f>
        <v>300</v>
      </c>
      <c r="F181">
        <v>0.2</v>
      </c>
      <c r="G181" s="3">
        <f t="shared" si="5"/>
        <v>60</v>
      </c>
      <c r="H181" s="3">
        <f>VLOOKUP(D181,'Bu Erta'!$C$2:$F$66,4,0)*F181</f>
        <v>80</v>
      </c>
    </row>
    <row r="182" spans="1:8" x14ac:dyDescent="0.35">
      <c r="B182" t="s">
        <v>83</v>
      </c>
      <c r="D182" t="s">
        <v>61</v>
      </c>
      <c r="E182" s="3">
        <f>VLOOKUP(D182,'Bu Erta'!$C$2:$E$66,3,0)</f>
        <v>800</v>
      </c>
      <c r="F182">
        <v>0.15</v>
      </c>
      <c r="G182" s="3">
        <f t="shared" si="5"/>
        <v>120</v>
      </c>
      <c r="H182" s="3">
        <f>VLOOKUP(D182,'Bu Erta'!$C$2:$F$66,4,0)*F182</f>
        <v>135</v>
      </c>
    </row>
    <row r="183" spans="1:8" x14ac:dyDescent="0.35">
      <c r="B183" t="s">
        <v>83</v>
      </c>
      <c r="D183" t="s">
        <v>27</v>
      </c>
      <c r="E183" s="3">
        <f>VLOOKUP(D183,'Bu Erta'!$C$2:$E$66,3,0)</f>
        <v>2800</v>
      </c>
      <c r="F183">
        <v>0.4</v>
      </c>
      <c r="G183" s="3">
        <f t="shared" si="5"/>
        <v>1120</v>
      </c>
      <c r="H183" s="3">
        <f>VLOOKUP(D183,'Bu Erta'!$C$2:$F$66,4,0)*F183</f>
        <v>1240</v>
      </c>
    </row>
    <row r="184" spans="1:8" x14ac:dyDescent="0.35">
      <c r="B184" t="s">
        <v>83</v>
      </c>
      <c r="D184" t="s">
        <v>31</v>
      </c>
      <c r="E184" s="3">
        <f>VLOOKUP(D184,'Bu Erta'!$C$2:$E$66,3,0)</f>
        <v>1000</v>
      </c>
      <c r="F184">
        <v>0.75</v>
      </c>
      <c r="G184" s="3">
        <f t="shared" si="5"/>
        <v>750</v>
      </c>
      <c r="H184" s="3">
        <f>VLOOKUP(D184,'Bu Erta'!$C$2:$F$66,4,0)*F184</f>
        <v>825</v>
      </c>
    </row>
    <row r="185" spans="1:8" x14ac:dyDescent="0.35">
      <c r="B185" t="s">
        <v>83</v>
      </c>
      <c r="D185" t="s">
        <v>22</v>
      </c>
      <c r="E185" s="3">
        <f>VLOOKUP(D185,'Bu Erta'!$C$2:$E$66,3,0)</f>
        <v>2500</v>
      </c>
      <c r="F185">
        <v>0.25</v>
      </c>
      <c r="G185" s="3">
        <f t="shared" si="5"/>
        <v>625</v>
      </c>
      <c r="H185" s="3">
        <f>VLOOKUP(D185,'Bu Erta'!$C$2:$F$66,4,0)*F185</f>
        <v>750</v>
      </c>
    </row>
    <row r="186" spans="1:8" x14ac:dyDescent="0.35">
      <c r="B186" t="s">
        <v>83</v>
      </c>
      <c r="D186" t="s">
        <v>41</v>
      </c>
      <c r="E186" s="3">
        <f>VLOOKUP(D186,'Bu Erta'!$C$2:$E$66,3,0)</f>
        <v>1500</v>
      </c>
      <c r="F186">
        <v>0.25</v>
      </c>
      <c r="G186" s="3">
        <f t="shared" si="5"/>
        <v>375</v>
      </c>
      <c r="H186" s="3">
        <f>VLOOKUP(D186,'Bu Erta'!$C$2:$F$66,4,0)*F186</f>
        <v>500</v>
      </c>
    </row>
    <row r="187" spans="1:8" x14ac:dyDescent="0.35">
      <c r="B187" t="s">
        <v>83</v>
      </c>
      <c r="D187" t="s">
        <v>40</v>
      </c>
      <c r="E187" s="3">
        <f>VLOOKUP(D187,'Bu Erta'!$C$2:$E$66,3,0)</f>
        <v>1800</v>
      </c>
      <c r="F187">
        <v>0.15</v>
      </c>
      <c r="G187" s="3">
        <f t="shared" si="5"/>
        <v>270</v>
      </c>
      <c r="H187" s="3">
        <f>VLOOKUP(D187,'Bu Erta'!$C$2:$F$66,4,0)*F187</f>
        <v>300</v>
      </c>
    </row>
    <row r="188" spans="1:8" x14ac:dyDescent="0.35">
      <c r="A188" s="5">
        <v>27</v>
      </c>
      <c r="B188" t="s">
        <v>105</v>
      </c>
      <c r="C188" s="5">
        <v>4</v>
      </c>
      <c r="D188" t="s">
        <v>19</v>
      </c>
      <c r="E188" s="3">
        <f>VLOOKUP(D188,'Bu Erta'!$C$2:$E$66,3,0)</f>
        <v>200</v>
      </c>
      <c r="F188">
        <f>0.25+0.35</f>
        <v>0.6</v>
      </c>
      <c r="G188" s="3">
        <f t="shared" si="5"/>
        <v>120</v>
      </c>
      <c r="H188" s="3">
        <f>VLOOKUP(D188,'Bu Erta'!$C$2:$F$66,4,0)*F188</f>
        <v>180</v>
      </c>
    </row>
    <row r="189" spans="1:8" x14ac:dyDescent="0.35">
      <c r="B189" t="s">
        <v>105</v>
      </c>
      <c r="D189" t="s">
        <v>23</v>
      </c>
      <c r="E189" s="3">
        <f>VLOOKUP(D189,'Bu Erta'!$C$2:$E$66,3,0)</f>
        <v>300</v>
      </c>
      <c r="F189">
        <v>0.35</v>
      </c>
      <c r="G189" s="3">
        <f t="shared" si="5"/>
        <v>105</v>
      </c>
      <c r="H189" s="3">
        <f>VLOOKUP(D189,'Bu Erta'!$C$2:$F$66,4,0)*F189</f>
        <v>140</v>
      </c>
    </row>
    <row r="190" spans="1:8" x14ac:dyDescent="0.35">
      <c r="B190" t="s">
        <v>105</v>
      </c>
      <c r="D190" t="s">
        <v>42</v>
      </c>
      <c r="E190" s="3">
        <f>VLOOKUP(D190,'Bu Erta'!$C$2:$E$66,3,0)</f>
        <v>1000</v>
      </c>
      <c r="F190">
        <v>0.45</v>
      </c>
      <c r="G190" s="3">
        <f t="shared" si="5"/>
        <v>450</v>
      </c>
      <c r="H190" s="3">
        <f>VLOOKUP(D190,'Bu Erta'!$C$2:$F$66,4,0)*F190</f>
        <v>540</v>
      </c>
    </row>
    <row r="191" spans="1:8" x14ac:dyDescent="0.35">
      <c r="B191" t="s">
        <v>105</v>
      </c>
      <c r="D191" t="s">
        <v>7</v>
      </c>
      <c r="E191" s="3">
        <f>VLOOKUP(D191,'Bu Erta'!$C$2:$E$66,3,0)</f>
        <v>1400</v>
      </c>
      <c r="F191">
        <f>0.2+0.45</f>
        <v>0.65</v>
      </c>
      <c r="G191" s="3">
        <f t="shared" si="5"/>
        <v>910</v>
      </c>
      <c r="H191" s="3">
        <f>VLOOKUP(D191,'Bu Erta'!$C$2:$F$66,4,0)*F191</f>
        <v>1040</v>
      </c>
    </row>
    <row r="192" spans="1:8" x14ac:dyDescent="0.35">
      <c r="B192" t="s">
        <v>105</v>
      </c>
      <c r="D192" t="s">
        <v>38</v>
      </c>
      <c r="E192" s="3">
        <f>VLOOKUP(D192,'Bu Erta'!$C$2:$E$66,3,0)</f>
        <v>1400</v>
      </c>
      <c r="F192">
        <v>1.4</v>
      </c>
      <c r="G192" s="3">
        <f t="shared" si="5"/>
        <v>1959.9999999999998</v>
      </c>
      <c r="H192" s="3">
        <f>VLOOKUP(D192,'Bu Erta'!$C$2:$F$66,4,0)*F192</f>
        <v>2240</v>
      </c>
    </row>
    <row r="193" spans="1:8" x14ac:dyDescent="0.35">
      <c r="B193" t="s">
        <v>105</v>
      </c>
      <c r="D193" t="s">
        <v>27</v>
      </c>
      <c r="E193" s="3">
        <f>VLOOKUP(D193,'Bu Erta'!$C$2:$E$66,3,0)</f>
        <v>2800</v>
      </c>
      <c r="F193">
        <v>0.25</v>
      </c>
      <c r="G193" s="3">
        <f t="shared" si="5"/>
        <v>700</v>
      </c>
      <c r="H193" s="3">
        <f>VLOOKUP(D193,'Bu Erta'!$C$2:$F$66,4,0)*F193</f>
        <v>775</v>
      </c>
    </row>
    <row r="194" spans="1:8" x14ac:dyDescent="0.35">
      <c r="B194" t="s">
        <v>105</v>
      </c>
      <c r="D194" t="s">
        <v>22</v>
      </c>
      <c r="E194" s="3">
        <f>VLOOKUP(D194,'Bu Erta'!$C$2:$E$66,3,0)</f>
        <v>2500</v>
      </c>
      <c r="F194">
        <v>1.75</v>
      </c>
      <c r="G194" s="3">
        <f t="shared" si="5"/>
        <v>4375</v>
      </c>
      <c r="H194" s="3">
        <f>VLOOKUP(D194,'Bu Erta'!$C$2:$F$66,4,0)*F194</f>
        <v>5250</v>
      </c>
    </row>
    <row r="195" spans="1:8" x14ac:dyDescent="0.35">
      <c r="A195" s="5">
        <v>28</v>
      </c>
      <c r="B195" t="s">
        <v>144</v>
      </c>
      <c r="C195" s="1">
        <v>4</v>
      </c>
      <c r="D195" t="s">
        <v>88</v>
      </c>
      <c r="E195" s="3">
        <f>VLOOKUP(D195,'Bu Erta'!$C$2:$E$66,3,0)</f>
        <v>300</v>
      </c>
      <c r="F195">
        <v>0.7</v>
      </c>
      <c r="G195" s="3">
        <f t="shared" si="5"/>
        <v>210</v>
      </c>
      <c r="H195" s="3">
        <f>VLOOKUP(D195,'Bu Erta'!$C$2:$F$66,4,0)*F195</f>
        <v>280</v>
      </c>
    </row>
    <row r="196" spans="1:8" x14ac:dyDescent="0.35">
      <c r="B196" t="s">
        <v>144</v>
      </c>
      <c r="D196" t="s">
        <v>38</v>
      </c>
      <c r="E196" s="3">
        <f>VLOOKUP(D196,'Bu Erta'!$C$2:$E$66,3,0)</f>
        <v>1400</v>
      </c>
      <c r="F196">
        <v>0.15</v>
      </c>
      <c r="G196" s="3">
        <f t="shared" si="5"/>
        <v>210</v>
      </c>
      <c r="H196" s="3">
        <f>VLOOKUP(D196,'Bu Erta'!$C$2:$F$66,4,0)*F196</f>
        <v>240</v>
      </c>
    </row>
    <row r="197" spans="1:8" x14ac:dyDescent="0.35">
      <c r="B197" t="s">
        <v>144</v>
      </c>
      <c r="D197" t="s">
        <v>7</v>
      </c>
      <c r="E197" s="3">
        <f>VLOOKUP(D197,'Bu Erta'!$C$2:$E$66,3,0)</f>
        <v>1400</v>
      </c>
      <c r="F197">
        <v>0.2</v>
      </c>
      <c r="G197" s="3">
        <f t="shared" si="5"/>
        <v>280</v>
      </c>
      <c r="H197" s="3">
        <f>VLOOKUP(D197,'Bu Erta'!$C$2:$F$66,4,0)*F197</f>
        <v>320</v>
      </c>
    </row>
    <row r="198" spans="1:8" x14ac:dyDescent="0.35">
      <c r="B198" t="s">
        <v>144</v>
      </c>
      <c r="D198" t="s">
        <v>28</v>
      </c>
      <c r="E198" s="3">
        <f>VLOOKUP(D198,'Bu Erta'!$C$2:$E$66,3,0)</f>
        <v>1200</v>
      </c>
      <c r="F198">
        <v>1.1000000000000001</v>
      </c>
      <c r="G198" s="3">
        <f t="shared" si="5"/>
        <v>1320</v>
      </c>
      <c r="H198" s="3">
        <f>VLOOKUP(D198,'Bu Erta'!$C$2:$F$66,4,0)*F198</f>
        <v>1430.0000000000002</v>
      </c>
    </row>
    <row r="199" spans="1:8" x14ac:dyDescent="0.35">
      <c r="A199" s="5">
        <v>29</v>
      </c>
      <c r="B199" t="s">
        <v>89</v>
      </c>
      <c r="C199" s="1">
        <v>4</v>
      </c>
      <c r="D199" t="s">
        <v>61</v>
      </c>
      <c r="E199" s="3">
        <f>VLOOKUP(D199,'Bu Erta'!$C$2:$E$66,3,0)</f>
        <v>800</v>
      </c>
      <c r="F199">
        <v>0.15</v>
      </c>
      <c r="G199" s="3">
        <f t="shared" si="5"/>
        <v>120</v>
      </c>
      <c r="H199" s="3">
        <f>VLOOKUP(D199,'Bu Erta'!$C$2:$F$66,4,0)*F199</f>
        <v>135</v>
      </c>
    </row>
    <row r="200" spans="1:8" x14ac:dyDescent="0.35">
      <c r="B200" t="s">
        <v>89</v>
      </c>
      <c r="D200" t="s">
        <v>19</v>
      </c>
      <c r="E200" s="3">
        <f>VLOOKUP(D200,'Bu Erta'!$C$2:$E$66,3,0)</f>
        <v>200</v>
      </c>
      <c r="F200">
        <v>0.9</v>
      </c>
      <c r="G200" s="3">
        <f t="shared" ref="G200:G249" si="7">E200*F200</f>
        <v>180</v>
      </c>
      <c r="H200" s="3">
        <f>VLOOKUP(D200,'Bu Erta'!$C$2:$F$66,4,0)*F200</f>
        <v>270</v>
      </c>
    </row>
    <row r="201" spans="1:8" x14ac:dyDescent="0.35">
      <c r="B201" t="s">
        <v>89</v>
      </c>
      <c r="D201" t="s">
        <v>27</v>
      </c>
      <c r="E201" s="3">
        <f>VLOOKUP(D201,'Bu Erta'!$C$2:$E$66,3,0)</f>
        <v>2800</v>
      </c>
      <c r="F201">
        <v>0.5</v>
      </c>
      <c r="G201" s="3">
        <f t="shared" si="7"/>
        <v>1400</v>
      </c>
      <c r="H201" s="3">
        <f>VLOOKUP(D201,'Bu Erta'!$C$2:$F$66,4,0)*F201</f>
        <v>1550</v>
      </c>
    </row>
    <row r="202" spans="1:8" x14ac:dyDescent="0.35">
      <c r="B202" t="s">
        <v>89</v>
      </c>
      <c r="D202" t="s">
        <v>34</v>
      </c>
      <c r="E202" s="3">
        <f>VLOOKUP(D202,'Bu Erta'!$C$2:$E$66,3,0)</f>
        <v>3500</v>
      </c>
      <c r="F202">
        <v>0.15</v>
      </c>
      <c r="G202" s="3">
        <f t="shared" si="7"/>
        <v>525</v>
      </c>
      <c r="H202" s="3">
        <f>VLOOKUP(D202,'Bu Erta'!$C$2:$F$66,4,0)*F202</f>
        <v>540</v>
      </c>
    </row>
    <row r="203" spans="1:8" x14ac:dyDescent="0.35">
      <c r="B203" t="s">
        <v>89</v>
      </c>
      <c r="D203" t="s">
        <v>37</v>
      </c>
      <c r="E203" s="3">
        <f>VLOOKUP(D203,'Bu Erta'!$C$2:$E$66,3,0)</f>
        <v>1600</v>
      </c>
      <c r="F203">
        <v>0.55000000000000004</v>
      </c>
      <c r="G203" s="3">
        <f t="shared" si="7"/>
        <v>880.00000000000011</v>
      </c>
      <c r="H203" s="3">
        <f>VLOOKUP(D203,'Bu Erta'!$C$2:$F$66,4,0)*F203</f>
        <v>1100</v>
      </c>
    </row>
    <row r="204" spans="1:8" x14ac:dyDescent="0.35">
      <c r="B204" t="s">
        <v>89</v>
      </c>
      <c r="D204" t="s">
        <v>7</v>
      </c>
      <c r="E204" s="3">
        <f>VLOOKUP(D204,'Bu Erta'!$C$2:$E$66,3,0)</f>
        <v>1400</v>
      </c>
      <c r="F204">
        <v>0.55000000000000004</v>
      </c>
      <c r="G204" s="3">
        <f t="shared" si="7"/>
        <v>770.00000000000011</v>
      </c>
      <c r="H204" s="3">
        <f>VLOOKUP(D204,'Bu Erta'!$C$2:$F$66,4,0)*F204</f>
        <v>880.00000000000011</v>
      </c>
    </row>
    <row r="205" spans="1:8" x14ac:dyDescent="0.35">
      <c r="B205" t="s">
        <v>89</v>
      </c>
      <c r="D205" t="s">
        <v>23</v>
      </c>
      <c r="E205" s="3">
        <f>VLOOKUP(D205,'Bu Erta'!$C$2:$E$66,3,0)</f>
        <v>300</v>
      </c>
      <c r="F205">
        <v>0.55000000000000004</v>
      </c>
      <c r="G205" s="3">
        <f t="shared" si="7"/>
        <v>165</v>
      </c>
      <c r="H205" s="3">
        <f>VLOOKUP(D205,'Bu Erta'!$C$2:$F$66,4,0)*F205</f>
        <v>220.00000000000003</v>
      </c>
    </row>
    <row r="206" spans="1:8" x14ac:dyDescent="0.35">
      <c r="B206" t="s">
        <v>89</v>
      </c>
      <c r="D206" t="s">
        <v>42</v>
      </c>
      <c r="E206" s="3">
        <f>VLOOKUP(D206,'Bu Erta'!$C$2:$E$66,3,0)</f>
        <v>1000</v>
      </c>
      <c r="F206">
        <v>0.6</v>
      </c>
      <c r="G206" s="3">
        <f t="shared" si="7"/>
        <v>600</v>
      </c>
      <c r="H206" s="3">
        <f>VLOOKUP(D206,'Bu Erta'!$C$2:$F$66,4,0)*F206</f>
        <v>720</v>
      </c>
    </row>
    <row r="207" spans="1:8" x14ac:dyDescent="0.35">
      <c r="A207" s="5">
        <v>30</v>
      </c>
      <c r="B207" t="s">
        <v>5</v>
      </c>
      <c r="C207" s="1">
        <v>2</v>
      </c>
      <c r="D207" t="s">
        <v>23</v>
      </c>
      <c r="E207" s="3">
        <f>VLOOKUP(D207,'Bu Erta'!$C$2:$E$66,3,0)</f>
        <v>300</v>
      </c>
      <c r="F207">
        <v>1.1000000000000001</v>
      </c>
      <c r="G207" s="3">
        <f t="shared" si="7"/>
        <v>330</v>
      </c>
      <c r="H207" s="3">
        <f>VLOOKUP(D207,'Bu Erta'!$C$2:$F$66,4,0)*F207</f>
        <v>440.00000000000006</v>
      </c>
    </row>
    <row r="208" spans="1:8" x14ac:dyDescent="0.35">
      <c r="B208" t="s">
        <v>5</v>
      </c>
      <c r="D208" t="s">
        <v>42</v>
      </c>
      <c r="E208" s="3">
        <f>VLOOKUP(D208,'Bu Erta'!$C$2:$E$66,3,0)</f>
        <v>1000</v>
      </c>
      <c r="F208">
        <v>2.0499999999999998</v>
      </c>
      <c r="G208" s="3">
        <f t="shared" si="7"/>
        <v>2050</v>
      </c>
      <c r="H208" s="3">
        <f>VLOOKUP(D208,'Bu Erta'!$C$2:$F$66,4,0)*F208</f>
        <v>2460</v>
      </c>
    </row>
    <row r="209" spans="1:8" x14ac:dyDescent="0.35">
      <c r="B209" t="s">
        <v>5</v>
      </c>
      <c r="D209" t="s">
        <v>27</v>
      </c>
      <c r="E209" s="3">
        <f>VLOOKUP(D209,'Bu Erta'!$C$2:$E$66,3,0)</f>
        <v>2800</v>
      </c>
      <c r="F209">
        <f>0.55+0.3+0.55</f>
        <v>1.4000000000000001</v>
      </c>
      <c r="G209" s="3">
        <f t="shared" si="7"/>
        <v>3920.0000000000005</v>
      </c>
      <c r="H209" s="3">
        <f>VLOOKUP(D209,'Bu Erta'!$C$2:$F$66,4,0)*F209</f>
        <v>4340</v>
      </c>
    </row>
    <row r="210" spans="1:8" x14ac:dyDescent="0.35">
      <c r="A210" s="5">
        <v>31</v>
      </c>
      <c r="B210" t="s">
        <v>109</v>
      </c>
      <c r="C210" s="1">
        <v>4</v>
      </c>
      <c r="D210" t="s">
        <v>37</v>
      </c>
      <c r="E210" s="3">
        <f>VLOOKUP(D210,'Bu Erta'!$C$2:$E$66,3,0)</f>
        <v>1600</v>
      </c>
      <c r="F210">
        <v>0.25</v>
      </c>
      <c r="G210" s="3">
        <f t="shared" si="7"/>
        <v>400</v>
      </c>
      <c r="H210" s="3">
        <f>VLOOKUP(D210,'Bu Erta'!$C$2:$F$66,4,0)*F210</f>
        <v>500</v>
      </c>
    </row>
    <row r="211" spans="1:8" x14ac:dyDescent="0.35">
      <c r="B211" t="s">
        <v>109</v>
      </c>
      <c r="D211" t="s">
        <v>41</v>
      </c>
      <c r="E211" s="3">
        <f>VLOOKUP(D211,'Bu Erta'!$C$2:$E$66,3,0)</f>
        <v>1500</v>
      </c>
      <c r="F211">
        <v>0.8</v>
      </c>
      <c r="G211" s="3">
        <f t="shared" si="7"/>
        <v>1200</v>
      </c>
      <c r="H211" s="3">
        <f>VLOOKUP(D211,'Bu Erta'!$C$2:$F$66,4,0)*F211</f>
        <v>1600</v>
      </c>
    </row>
    <row r="212" spans="1:8" x14ac:dyDescent="0.35">
      <c r="B212" t="s">
        <v>109</v>
      </c>
      <c r="D212" t="s">
        <v>24</v>
      </c>
      <c r="E212" s="3">
        <f>VLOOKUP(D212,'Bu Erta'!$C$2:$E$66,3,0)</f>
        <v>150</v>
      </c>
      <c r="F212">
        <f>2.3+0.25</f>
        <v>2.5499999999999998</v>
      </c>
      <c r="G212" s="3">
        <f t="shared" si="7"/>
        <v>382.5</v>
      </c>
      <c r="H212" s="3">
        <f>VLOOKUP(D212,'Bu Erta'!$C$2:$F$66,4,0)*F212</f>
        <v>509.99999999999994</v>
      </c>
    </row>
    <row r="213" spans="1:8" x14ac:dyDescent="0.35">
      <c r="B213" t="s">
        <v>109</v>
      </c>
      <c r="D213" t="s">
        <v>69</v>
      </c>
      <c r="E213" s="3">
        <f>VLOOKUP(D213,'Bu Erta'!$C$2:$E$66,3,0)</f>
        <v>2500</v>
      </c>
      <c r="F213">
        <v>0.95</v>
      </c>
      <c r="G213" s="3">
        <f t="shared" si="7"/>
        <v>2375</v>
      </c>
      <c r="H213" s="3">
        <f>VLOOKUP(D213,'Bu Erta'!$C$2:$F$66,4,0)*F213</f>
        <v>2850</v>
      </c>
    </row>
    <row r="214" spans="1:8" x14ac:dyDescent="0.35">
      <c r="B214" t="s">
        <v>109</v>
      </c>
      <c r="D214" t="s">
        <v>7</v>
      </c>
      <c r="E214" s="3">
        <f>VLOOKUP(D214,'Bu Erta'!$C$2:$E$66,3,0)</f>
        <v>1400</v>
      </c>
      <c r="F214">
        <f>0.55+0.2</f>
        <v>0.75</v>
      </c>
      <c r="G214" s="3">
        <f t="shared" si="7"/>
        <v>1050</v>
      </c>
      <c r="H214" s="3">
        <f>VLOOKUP(D214,'Bu Erta'!$C$2:$F$66,4,0)*F214</f>
        <v>1200</v>
      </c>
    </row>
    <row r="215" spans="1:8" x14ac:dyDescent="0.35">
      <c r="B215" t="s">
        <v>109</v>
      </c>
      <c r="D215" t="s">
        <v>23</v>
      </c>
      <c r="E215" s="3">
        <f>VLOOKUP(D215,'Bu Erta'!$C$2:$E$66,3,0)</f>
        <v>300</v>
      </c>
      <c r="F215">
        <v>3.05</v>
      </c>
      <c r="G215" s="3">
        <f t="shared" si="7"/>
        <v>915</v>
      </c>
      <c r="H215" s="3">
        <f>VLOOKUP(D215,'Bu Erta'!$C$2:$F$66,4,0)*F215</f>
        <v>1220</v>
      </c>
    </row>
    <row r="216" spans="1:8" x14ac:dyDescent="0.35">
      <c r="B216" t="s">
        <v>109</v>
      </c>
      <c r="D216" t="s">
        <v>27</v>
      </c>
      <c r="E216" s="3">
        <f>VLOOKUP(D216,'Bu Erta'!$C$2:$E$66,3,0)</f>
        <v>2800</v>
      </c>
      <c r="F216">
        <v>0.5</v>
      </c>
      <c r="G216" s="3">
        <f t="shared" si="7"/>
        <v>1400</v>
      </c>
      <c r="H216" s="3">
        <f>VLOOKUP(D216,'Bu Erta'!$C$2:$F$66,4,0)*F216</f>
        <v>1550</v>
      </c>
    </row>
    <row r="217" spans="1:8" x14ac:dyDescent="0.35">
      <c r="A217" s="5">
        <v>32</v>
      </c>
      <c r="B217" t="s">
        <v>114</v>
      </c>
      <c r="C217" s="1">
        <v>4</v>
      </c>
      <c r="D217" t="s">
        <v>19</v>
      </c>
      <c r="E217" s="3">
        <f>VLOOKUP(D217,'Bu Erta'!$C$2:$E$66,3,0)</f>
        <v>200</v>
      </c>
      <c r="F217">
        <v>2.35</v>
      </c>
      <c r="G217" s="3">
        <f t="shared" si="7"/>
        <v>470</v>
      </c>
      <c r="H217" s="3">
        <f>VLOOKUP(D217,'Bu Erta'!$C$2:$F$66,4,0)*F217</f>
        <v>705</v>
      </c>
    </row>
    <row r="218" spans="1:8" x14ac:dyDescent="0.35">
      <c r="B218" t="s">
        <v>114</v>
      </c>
      <c r="D218" t="s">
        <v>31</v>
      </c>
      <c r="E218" s="3">
        <f>VLOOKUP(D218,'Bu Erta'!$C$2:$E$66,3,0)</f>
        <v>1000</v>
      </c>
      <c r="F218">
        <v>1.45</v>
      </c>
      <c r="G218" s="3">
        <f t="shared" si="7"/>
        <v>1450</v>
      </c>
      <c r="H218" s="3">
        <f>VLOOKUP(D218,'Bu Erta'!$C$2:$F$66,4,0)*F218</f>
        <v>1595</v>
      </c>
    </row>
    <row r="219" spans="1:8" x14ac:dyDescent="0.35">
      <c r="B219" t="s">
        <v>114</v>
      </c>
      <c r="D219" t="s">
        <v>25</v>
      </c>
      <c r="E219" s="3">
        <f>VLOOKUP(D219,'Bu Erta'!$C$2:$E$66,3,0)</f>
        <v>1600</v>
      </c>
      <c r="F219">
        <v>0.7</v>
      </c>
      <c r="G219" s="3">
        <f t="shared" si="7"/>
        <v>1120</v>
      </c>
      <c r="H219" s="3">
        <f>VLOOKUP(D219,'Bu Erta'!$C$2:$F$66,4,0)*F219</f>
        <v>1190</v>
      </c>
    </row>
    <row r="220" spans="1:8" x14ac:dyDescent="0.35">
      <c r="B220" t="s">
        <v>114</v>
      </c>
      <c r="D220" t="s">
        <v>7</v>
      </c>
      <c r="E220" s="3">
        <f>VLOOKUP(D220,'Bu Erta'!$C$2:$E$66,3,0)</f>
        <v>1400</v>
      </c>
      <c r="F220">
        <v>0.1</v>
      </c>
      <c r="G220" s="3">
        <f t="shared" si="7"/>
        <v>140</v>
      </c>
      <c r="H220" s="3">
        <f>VLOOKUP(D220,'Bu Erta'!$C$2:$F$66,4,0)*F220</f>
        <v>160</v>
      </c>
    </row>
    <row r="221" spans="1:8" x14ac:dyDescent="0.35">
      <c r="B221" t="s">
        <v>114</v>
      </c>
      <c r="D221" t="s">
        <v>68</v>
      </c>
      <c r="E221" s="3">
        <f>VLOOKUP(D221,'Bu Erta'!$C$2:$E$66,3,0)</f>
        <v>150</v>
      </c>
      <c r="F221">
        <v>2.4500000000000002</v>
      </c>
      <c r="G221" s="3">
        <f t="shared" si="7"/>
        <v>367.5</v>
      </c>
      <c r="H221" s="3">
        <f>VLOOKUP(D221,'Bu Erta'!$C$2:$F$66,4,0)*F221</f>
        <v>490.00000000000006</v>
      </c>
    </row>
    <row r="222" spans="1:8" x14ac:dyDescent="0.35">
      <c r="B222" t="s">
        <v>114</v>
      </c>
      <c r="D222" t="s">
        <v>46</v>
      </c>
      <c r="E222" s="3">
        <f>VLOOKUP(D222,'Bu Erta'!$C$2:$E$66,3,0)</f>
        <v>1400</v>
      </c>
      <c r="F222">
        <v>18</v>
      </c>
      <c r="G222" s="3">
        <f t="shared" si="7"/>
        <v>25200</v>
      </c>
      <c r="H222" s="3">
        <f>VLOOKUP(D222,'Bu Erta'!$C$2:$F$66,4,0)*F222</f>
        <v>27000</v>
      </c>
    </row>
    <row r="223" spans="1:8" x14ac:dyDescent="0.35">
      <c r="B223" t="s">
        <v>114</v>
      </c>
      <c r="D223" t="s">
        <v>42</v>
      </c>
      <c r="E223" s="3">
        <f>VLOOKUP(D223,'Bu Erta'!$C$2:$E$66,3,0)</f>
        <v>1000</v>
      </c>
      <c r="F223">
        <v>0.25</v>
      </c>
      <c r="G223" s="3">
        <f t="shared" si="7"/>
        <v>250</v>
      </c>
      <c r="H223" s="3">
        <f>VLOOKUP(D223,'Bu Erta'!$C$2:$F$66,4,0)*F223</f>
        <v>300</v>
      </c>
    </row>
    <row r="224" spans="1:8" x14ac:dyDescent="0.35">
      <c r="B224" t="s">
        <v>114</v>
      </c>
      <c r="D224" t="s">
        <v>22</v>
      </c>
      <c r="E224" s="3">
        <f>VLOOKUP(D224,'Bu Erta'!$C$2:$E$66,3,0)</f>
        <v>2500</v>
      </c>
      <c r="F224">
        <v>5.75</v>
      </c>
      <c r="G224" s="3">
        <f t="shared" si="7"/>
        <v>14375</v>
      </c>
      <c r="H224" s="3">
        <f>VLOOKUP(D224,'Bu Erta'!$C$2:$F$66,4,0)*F224</f>
        <v>17250</v>
      </c>
    </row>
    <row r="225" spans="1:8" x14ac:dyDescent="0.35">
      <c r="A225" s="5">
        <v>33</v>
      </c>
      <c r="B225" t="s">
        <v>197</v>
      </c>
      <c r="C225" s="5">
        <v>1</v>
      </c>
      <c r="D225" t="s">
        <v>19</v>
      </c>
      <c r="E225" s="3">
        <f>VLOOKUP(D225,'Bu Erta'!$C$2:$E$66,3,0)</f>
        <v>200</v>
      </c>
      <c r="F225">
        <v>1.25</v>
      </c>
      <c r="G225" s="3">
        <f t="shared" si="7"/>
        <v>250</v>
      </c>
      <c r="H225" s="3">
        <f>VLOOKUP(D225,'Bu Erta'!$C$2:$F$66,4,0)*F225</f>
        <v>375</v>
      </c>
    </row>
    <row r="226" spans="1:8" x14ac:dyDescent="0.35">
      <c r="B226" t="s">
        <v>197</v>
      </c>
      <c r="D226" t="s">
        <v>88</v>
      </c>
      <c r="E226" s="3">
        <f>VLOOKUP(D226,'Bu Erta'!$C$2:$E$66,3,0)</f>
        <v>300</v>
      </c>
      <c r="F226">
        <v>0.5</v>
      </c>
      <c r="G226" s="3">
        <f t="shared" si="7"/>
        <v>150</v>
      </c>
      <c r="H226" s="3">
        <f>VLOOKUP(D226,'Bu Erta'!$C$2:$F$66,4,0)*F226</f>
        <v>200</v>
      </c>
    </row>
    <row r="227" spans="1:8" x14ac:dyDescent="0.35">
      <c r="B227" t="s">
        <v>197</v>
      </c>
      <c r="D227" t="s">
        <v>31</v>
      </c>
      <c r="E227" s="3">
        <f>VLOOKUP(D227,'Bu Erta'!$C$2:$E$66,3,0)</f>
        <v>1000</v>
      </c>
      <c r="F227">
        <v>1.6</v>
      </c>
      <c r="G227" s="3">
        <f t="shared" si="7"/>
        <v>1600</v>
      </c>
      <c r="H227" s="3">
        <f>VLOOKUP(D227,'Bu Erta'!$C$2:$F$66,4,0)*F227</f>
        <v>1760</v>
      </c>
    </row>
    <row r="228" spans="1:8" x14ac:dyDescent="0.35">
      <c r="B228" t="s">
        <v>197</v>
      </c>
      <c r="D228" t="s">
        <v>23</v>
      </c>
      <c r="E228" s="3">
        <f>VLOOKUP(D228,'Bu Erta'!$C$2:$E$66,3,0)</f>
        <v>300</v>
      </c>
      <c r="F228">
        <v>1.95</v>
      </c>
      <c r="G228" s="3">
        <f t="shared" si="7"/>
        <v>585</v>
      </c>
      <c r="H228" s="3">
        <f>VLOOKUP(D228,'Bu Erta'!$C$2:$F$66,4,0)*F228</f>
        <v>780</v>
      </c>
    </row>
    <row r="229" spans="1:8" x14ac:dyDescent="0.35">
      <c r="A229" s="5">
        <v>34</v>
      </c>
      <c r="B229" t="s">
        <v>132</v>
      </c>
      <c r="C229" s="1">
        <v>4</v>
      </c>
      <c r="D229" t="s">
        <v>61</v>
      </c>
      <c r="E229" s="3">
        <f>VLOOKUP(D229,'Bu Erta'!$C$2:$E$66,3,0)</f>
        <v>800</v>
      </c>
      <c r="F229">
        <v>1.35</v>
      </c>
      <c r="G229" s="3">
        <f t="shared" si="7"/>
        <v>1080</v>
      </c>
      <c r="H229" s="3">
        <f>VLOOKUP(D229,'Bu Erta'!$C$2:$F$66,4,0)*F229</f>
        <v>1215</v>
      </c>
    </row>
    <row r="230" spans="1:8" x14ac:dyDescent="0.35">
      <c r="B230" t="s">
        <v>132</v>
      </c>
      <c r="D230" t="s">
        <v>19</v>
      </c>
      <c r="E230" s="3">
        <f>VLOOKUP(D230,'Bu Erta'!$C$2:$E$66,3,0)</f>
        <v>200</v>
      </c>
      <c r="F230">
        <v>0.85</v>
      </c>
      <c r="G230" s="3">
        <f t="shared" si="7"/>
        <v>170</v>
      </c>
      <c r="H230" s="3">
        <f>VLOOKUP(D230,'Bu Erta'!$C$2:$F$66,4,0)*F230</f>
        <v>255</v>
      </c>
    </row>
    <row r="231" spans="1:8" x14ac:dyDescent="0.35">
      <c r="B231" t="s">
        <v>132</v>
      </c>
      <c r="D231" t="s">
        <v>27</v>
      </c>
      <c r="E231" s="3">
        <f>VLOOKUP(D231,'Bu Erta'!$C$2:$E$66,3,0)</f>
        <v>2800</v>
      </c>
      <c r="F231">
        <v>0.4</v>
      </c>
      <c r="G231" s="3">
        <f t="shared" si="7"/>
        <v>1120</v>
      </c>
      <c r="H231" s="3">
        <f>VLOOKUP(D231,'Bu Erta'!$C$2:$F$66,4,0)*F231</f>
        <v>1240</v>
      </c>
    </row>
    <row r="232" spans="1:8" x14ac:dyDescent="0.35">
      <c r="B232" t="s">
        <v>132</v>
      </c>
      <c r="D232" t="s">
        <v>25</v>
      </c>
      <c r="E232" s="3">
        <f>VLOOKUP(D232,'Bu Erta'!$C$2:$E$66,3,0)</f>
        <v>1600</v>
      </c>
      <c r="F232">
        <v>0.1</v>
      </c>
      <c r="G232" s="3">
        <f t="shared" si="7"/>
        <v>160</v>
      </c>
      <c r="H232" s="3">
        <f>VLOOKUP(D232,'Bu Erta'!$C$2:$F$66,4,0)*F232</f>
        <v>170</v>
      </c>
    </row>
    <row r="233" spans="1:8" x14ac:dyDescent="0.35">
      <c r="B233" t="s">
        <v>132</v>
      </c>
      <c r="D233" t="s">
        <v>31</v>
      </c>
      <c r="E233" s="3">
        <f>VLOOKUP(D233,'Bu Erta'!$C$2:$E$66,3,0)</f>
        <v>1000</v>
      </c>
      <c r="F233">
        <v>0.85</v>
      </c>
      <c r="G233" s="3">
        <f t="shared" si="7"/>
        <v>850</v>
      </c>
      <c r="H233" s="3">
        <f>VLOOKUP(D233,'Bu Erta'!$C$2:$F$66,4,0)*F233</f>
        <v>935</v>
      </c>
    </row>
    <row r="234" spans="1:8" x14ac:dyDescent="0.35">
      <c r="A234" s="5">
        <v>35</v>
      </c>
      <c r="B234" t="s">
        <v>243</v>
      </c>
      <c r="C234" s="5">
        <v>5</v>
      </c>
      <c r="D234" t="s">
        <v>49</v>
      </c>
      <c r="E234" s="3">
        <f>VLOOKUP(D234,'Bu Erta'!$C$2:$E$66,3,0)</f>
        <v>800</v>
      </c>
      <c r="F234">
        <v>2.95</v>
      </c>
      <c r="G234" s="3">
        <f t="shared" si="7"/>
        <v>2360</v>
      </c>
      <c r="H234" s="3">
        <f>VLOOKUP(D234,'Bu Erta'!$C$2:$F$66,4,0)*F234</f>
        <v>2655</v>
      </c>
    </row>
    <row r="235" spans="1:8" x14ac:dyDescent="0.35">
      <c r="B235" t="s">
        <v>243</v>
      </c>
      <c r="D235" t="s">
        <v>28</v>
      </c>
      <c r="E235" s="3">
        <f>VLOOKUP(D235,'Bu Erta'!$C$2:$E$66,3,0)</f>
        <v>1200</v>
      </c>
      <c r="F235">
        <v>2.15</v>
      </c>
      <c r="G235" s="3">
        <f t="shared" si="7"/>
        <v>2580</v>
      </c>
      <c r="H235" s="3">
        <f>VLOOKUP(D235,'Bu Erta'!$C$2:$F$66,4,0)*F235</f>
        <v>2795</v>
      </c>
    </row>
    <row r="236" spans="1:8" x14ac:dyDescent="0.35">
      <c r="B236" t="s">
        <v>243</v>
      </c>
      <c r="D236" t="s">
        <v>7</v>
      </c>
      <c r="E236" s="3">
        <f>VLOOKUP(D236,'Bu Erta'!$C$2:$E$66,3,0)</f>
        <v>1400</v>
      </c>
      <c r="F236">
        <f>1.1+0.35</f>
        <v>1.4500000000000002</v>
      </c>
      <c r="G236" s="3">
        <f t="shared" si="7"/>
        <v>2030.0000000000002</v>
      </c>
      <c r="H236" s="3">
        <f>VLOOKUP(D236,'Bu Erta'!$C$2:$F$66,4,0)*F236</f>
        <v>2320.0000000000005</v>
      </c>
    </row>
    <row r="237" spans="1:8" x14ac:dyDescent="0.35">
      <c r="B237" t="s">
        <v>243</v>
      </c>
      <c r="D237" t="s">
        <v>42</v>
      </c>
      <c r="E237" s="3">
        <f>VLOOKUP(D237,'Bu Erta'!$C$2:$E$66,3,0)</f>
        <v>1000</v>
      </c>
      <c r="F237">
        <v>2</v>
      </c>
      <c r="G237" s="3">
        <f t="shared" si="7"/>
        <v>2000</v>
      </c>
      <c r="H237" s="3">
        <f>VLOOKUP(D237,'Bu Erta'!$C$2:$F$66,4,0)*F237</f>
        <v>2400</v>
      </c>
    </row>
    <row r="238" spans="1:8" x14ac:dyDescent="0.35">
      <c r="B238" t="s">
        <v>243</v>
      </c>
      <c r="D238" t="s">
        <v>27</v>
      </c>
      <c r="E238" s="3">
        <f>VLOOKUP(D238,'Bu Erta'!$C$2:$E$66,3,0)</f>
        <v>2800</v>
      </c>
      <c r="F238">
        <v>1.3</v>
      </c>
      <c r="G238" s="3">
        <f t="shared" si="7"/>
        <v>3640</v>
      </c>
      <c r="H238" s="3">
        <f>VLOOKUP(D238,'Bu Erta'!$C$2:$F$66,4,0)*F238</f>
        <v>4030</v>
      </c>
    </row>
    <row r="239" spans="1:8" x14ac:dyDescent="0.35">
      <c r="A239" s="5">
        <v>36</v>
      </c>
      <c r="B239" t="s">
        <v>182</v>
      </c>
      <c r="C239" s="1">
        <v>4</v>
      </c>
      <c r="D239" t="s">
        <v>31</v>
      </c>
      <c r="E239" s="3">
        <f>VLOOKUP(D239,'Bu Erta'!$C$2:$E$66,3,0)</f>
        <v>1000</v>
      </c>
      <c r="F239">
        <v>2.95</v>
      </c>
      <c r="G239" s="3">
        <f t="shared" si="7"/>
        <v>2950</v>
      </c>
      <c r="H239" s="3">
        <f>VLOOKUP(D239,'Bu Erta'!$C$2:$F$66,4,0)*F239</f>
        <v>3245</v>
      </c>
    </row>
    <row r="240" spans="1:8" x14ac:dyDescent="0.35">
      <c r="B240" t="s">
        <v>182</v>
      </c>
      <c r="D240" t="s">
        <v>42</v>
      </c>
      <c r="E240" s="3">
        <f>VLOOKUP(D240,'Bu Erta'!$C$2:$E$66,3,0)</f>
        <v>1000</v>
      </c>
      <c r="F240">
        <v>0.95</v>
      </c>
      <c r="G240" s="3">
        <f t="shared" si="7"/>
        <v>950</v>
      </c>
      <c r="H240" s="3">
        <f>VLOOKUP(D240,'Bu Erta'!$C$2:$F$66,4,0)*F240</f>
        <v>1140</v>
      </c>
    </row>
    <row r="241" spans="1:8" x14ac:dyDescent="0.35">
      <c r="A241" s="5">
        <v>37</v>
      </c>
      <c r="B241" t="s">
        <v>145</v>
      </c>
      <c r="C241" s="1">
        <v>4</v>
      </c>
      <c r="D241" t="s">
        <v>7</v>
      </c>
      <c r="E241" s="3">
        <f>VLOOKUP(D241,'Bu Erta'!$C$2:$E$66,3,0)</f>
        <v>1400</v>
      </c>
      <c r="F241">
        <f>2.25+0.1</f>
        <v>2.35</v>
      </c>
      <c r="G241" s="3">
        <f t="shared" si="7"/>
        <v>3290</v>
      </c>
      <c r="H241" s="3">
        <f>VLOOKUP(D241,'Bu Erta'!$C$2:$F$66,4,0)*F241</f>
        <v>3760</v>
      </c>
    </row>
    <row r="242" spans="1:8" x14ac:dyDescent="0.35">
      <c r="B242" t="s">
        <v>145</v>
      </c>
      <c r="D242" t="s">
        <v>69</v>
      </c>
      <c r="E242" s="3">
        <f>VLOOKUP(D242,'Bu Erta'!$C$2:$E$66,3,0)</f>
        <v>2500</v>
      </c>
      <c r="F242">
        <v>0.4</v>
      </c>
      <c r="G242" s="3">
        <f t="shared" si="7"/>
        <v>1000</v>
      </c>
      <c r="H242" s="3">
        <f>VLOOKUP(D242,'Bu Erta'!$C$2:$F$66,4,0)*F242</f>
        <v>1200</v>
      </c>
    </row>
    <row r="243" spans="1:8" x14ac:dyDescent="0.35">
      <c r="B243" t="s">
        <v>145</v>
      </c>
      <c r="D243" t="s">
        <v>19</v>
      </c>
      <c r="E243" s="3">
        <f>VLOOKUP(D243,'Bu Erta'!$C$2:$E$66,3,0)</f>
        <v>200</v>
      </c>
      <c r="F243">
        <v>0.4</v>
      </c>
      <c r="G243" s="3">
        <f t="shared" si="7"/>
        <v>80</v>
      </c>
      <c r="H243" s="3">
        <f>VLOOKUP(D243,'Bu Erta'!$C$2:$F$66,4,0)*F243</f>
        <v>120</v>
      </c>
    </row>
    <row r="244" spans="1:8" x14ac:dyDescent="0.35">
      <c r="B244" t="s">
        <v>145</v>
      </c>
      <c r="D244" t="s">
        <v>23</v>
      </c>
      <c r="E244" s="3">
        <f>VLOOKUP(D244,'Bu Erta'!$C$2:$E$66,3,0)</f>
        <v>300</v>
      </c>
      <c r="F244">
        <f>0.4+1.65</f>
        <v>2.0499999999999998</v>
      </c>
      <c r="G244" s="3">
        <f t="shared" si="7"/>
        <v>615</v>
      </c>
      <c r="H244" s="3">
        <f>VLOOKUP(D244,'Bu Erta'!$C$2:$F$66,4,0)*F244</f>
        <v>819.99999999999989</v>
      </c>
    </row>
    <row r="245" spans="1:8" x14ac:dyDescent="0.35">
      <c r="B245" t="s">
        <v>145</v>
      </c>
      <c r="D245" t="s">
        <v>40</v>
      </c>
      <c r="E245" s="3">
        <f>VLOOKUP(D245,'Bu Erta'!$C$2:$E$66,3,0)</f>
        <v>1800</v>
      </c>
      <c r="F245">
        <v>0.1</v>
      </c>
      <c r="G245" s="3">
        <f t="shared" si="7"/>
        <v>180</v>
      </c>
      <c r="H245" s="3">
        <f>VLOOKUP(D245,'Bu Erta'!$C$2:$F$66,4,0)*F245</f>
        <v>200</v>
      </c>
    </row>
    <row r="246" spans="1:8" x14ac:dyDescent="0.35">
      <c r="B246" t="s">
        <v>145</v>
      </c>
      <c r="D246" t="s">
        <v>41</v>
      </c>
      <c r="E246" s="3">
        <f>VLOOKUP(D246,'Bu Erta'!$C$2:$E$66,3,0)</f>
        <v>1500</v>
      </c>
      <c r="F246">
        <v>0.15</v>
      </c>
      <c r="G246" s="3">
        <f t="shared" si="7"/>
        <v>225</v>
      </c>
      <c r="H246" s="3">
        <f>VLOOKUP(D246,'Bu Erta'!$C$2:$F$66,4,0)*F246</f>
        <v>300</v>
      </c>
    </row>
    <row r="247" spans="1:8" x14ac:dyDescent="0.35">
      <c r="B247" t="s">
        <v>145</v>
      </c>
      <c r="D247" t="s">
        <v>24</v>
      </c>
      <c r="E247" s="3">
        <f>VLOOKUP(D247,'Bu Erta'!$C$2:$E$66,3,0)</f>
        <v>150</v>
      </c>
      <c r="F247">
        <v>0.35</v>
      </c>
      <c r="G247" s="3">
        <f t="shared" si="7"/>
        <v>52.5</v>
      </c>
      <c r="H247" s="3">
        <f>VLOOKUP(D247,'Bu Erta'!$C$2:$F$66,4,0)*F247</f>
        <v>70</v>
      </c>
    </row>
    <row r="248" spans="1:8" x14ac:dyDescent="0.35">
      <c r="B248" t="s">
        <v>145</v>
      </c>
      <c r="D248" t="s">
        <v>42</v>
      </c>
      <c r="E248" s="3">
        <f>VLOOKUP(D248,'Bu Erta'!$C$2:$E$66,3,0)</f>
        <v>1000</v>
      </c>
      <c r="F248">
        <v>0.6</v>
      </c>
      <c r="G248" s="3">
        <f t="shared" si="7"/>
        <v>600</v>
      </c>
      <c r="H248" s="3">
        <f>VLOOKUP(D248,'Bu Erta'!$C$2:$F$66,4,0)*F248</f>
        <v>720</v>
      </c>
    </row>
    <row r="249" spans="1:8" x14ac:dyDescent="0.35">
      <c r="A249" s="5">
        <v>38</v>
      </c>
      <c r="B249" t="s">
        <v>139</v>
      </c>
      <c r="C249" s="1">
        <v>1</v>
      </c>
      <c r="D249" t="s">
        <v>31</v>
      </c>
      <c r="E249" s="3">
        <f>VLOOKUP(D249,'Bu Erta'!$C$2:$E$66,3,0)</f>
        <v>1000</v>
      </c>
      <c r="F249">
        <v>0.35</v>
      </c>
      <c r="G249" s="3">
        <f t="shared" si="7"/>
        <v>350</v>
      </c>
      <c r="H249" s="3">
        <f>VLOOKUP(D249,'Bu Erta'!$C$2:$F$66,4,0)*F249</f>
        <v>385</v>
      </c>
    </row>
    <row r="250" spans="1:8" x14ac:dyDescent="0.35">
      <c r="B250" t="s">
        <v>139</v>
      </c>
      <c r="D250" t="s">
        <v>19</v>
      </c>
      <c r="E250" s="3">
        <f>VLOOKUP(D250,'Bu Erta'!$C$2:$E$66,3,0)</f>
        <v>200</v>
      </c>
      <c r="F250">
        <f>1.5+0.9</f>
        <v>2.4</v>
      </c>
      <c r="G250" s="3">
        <f t="shared" ref="G250:G313" si="8">E250*F250</f>
        <v>480</v>
      </c>
      <c r="H250" s="3">
        <f>VLOOKUP(D250,'Bu Erta'!$C$2:$F$66,4,0)*F250</f>
        <v>720</v>
      </c>
    </row>
    <row r="251" spans="1:8" x14ac:dyDescent="0.35">
      <c r="B251" t="s">
        <v>139</v>
      </c>
      <c r="D251" t="s">
        <v>23</v>
      </c>
      <c r="E251" s="3">
        <f>VLOOKUP(D251,'Bu Erta'!$C$2:$E$66,3,0)</f>
        <v>300</v>
      </c>
      <c r="F251">
        <v>0.15</v>
      </c>
      <c r="G251" s="3">
        <f t="shared" si="8"/>
        <v>45</v>
      </c>
      <c r="H251" s="3">
        <f>VLOOKUP(D251,'Bu Erta'!$C$2:$F$66,4,0)*F251</f>
        <v>60</v>
      </c>
    </row>
    <row r="252" spans="1:8" x14ac:dyDescent="0.35">
      <c r="B252" t="s">
        <v>139</v>
      </c>
      <c r="D252" t="s">
        <v>42</v>
      </c>
      <c r="E252" s="3">
        <f>VLOOKUP(D252,'Bu Erta'!$C$2:$E$66,3,0)</f>
        <v>1000</v>
      </c>
      <c r="F252">
        <v>0.25</v>
      </c>
      <c r="G252" s="3">
        <f t="shared" si="8"/>
        <v>250</v>
      </c>
      <c r="H252" s="3">
        <f>VLOOKUP(D252,'Bu Erta'!$C$2:$F$66,4,0)*F252</f>
        <v>300</v>
      </c>
    </row>
    <row r="253" spans="1:8" x14ac:dyDescent="0.35">
      <c r="A253" s="5">
        <v>39</v>
      </c>
      <c r="B253" t="s">
        <v>137</v>
      </c>
      <c r="C253" s="1">
        <v>4</v>
      </c>
      <c r="D253" t="s">
        <v>19</v>
      </c>
      <c r="E253" s="3">
        <f>VLOOKUP(D253,'Bu Erta'!$C$2:$E$66,3,0)</f>
        <v>200</v>
      </c>
      <c r="F253">
        <v>0.45</v>
      </c>
      <c r="G253" s="3">
        <f t="shared" si="8"/>
        <v>90</v>
      </c>
      <c r="H253" s="3">
        <f>VLOOKUP(D253,'Bu Erta'!$C$2:$F$66,4,0)*F253</f>
        <v>135</v>
      </c>
    </row>
    <row r="254" spans="1:8" x14ac:dyDescent="0.35">
      <c r="B254" t="s">
        <v>137</v>
      </c>
      <c r="D254" t="s">
        <v>88</v>
      </c>
      <c r="E254" s="3">
        <f>VLOOKUP(D254,'Bu Erta'!$C$2:$E$66,3,0)</f>
        <v>300</v>
      </c>
      <c r="F254">
        <v>0.65</v>
      </c>
      <c r="G254" s="3">
        <f t="shared" si="8"/>
        <v>195</v>
      </c>
      <c r="H254" s="3">
        <f>VLOOKUP(D254,'Bu Erta'!$C$2:$F$66,4,0)*F254</f>
        <v>260</v>
      </c>
    </row>
    <row r="255" spans="1:8" x14ac:dyDescent="0.35">
      <c r="B255" t="s">
        <v>137</v>
      </c>
      <c r="D255" t="s">
        <v>31</v>
      </c>
      <c r="E255" s="3">
        <f>VLOOKUP(D255,'Bu Erta'!$C$2:$E$66,3,0)</f>
        <v>1000</v>
      </c>
      <c r="F255">
        <v>0.4</v>
      </c>
      <c r="G255" s="3">
        <f t="shared" si="8"/>
        <v>400</v>
      </c>
      <c r="H255" s="3">
        <f>VLOOKUP(D255,'Bu Erta'!$C$2:$F$66,4,0)*F255</f>
        <v>440</v>
      </c>
    </row>
    <row r="256" spans="1:8" x14ac:dyDescent="0.35">
      <c r="B256" t="s">
        <v>137</v>
      </c>
      <c r="D256" t="s">
        <v>23</v>
      </c>
      <c r="E256" s="3">
        <f>VLOOKUP(D256,'Bu Erta'!$C$2:$E$66,3,0)</f>
        <v>300</v>
      </c>
      <c r="F256">
        <v>0.15</v>
      </c>
      <c r="G256" s="3">
        <f t="shared" si="8"/>
        <v>45</v>
      </c>
      <c r="H256" s="3">
        <f>VLOOKUP(D256,'Bu Erta'!$C$2:$F$66,4,0)*F256</f>
        <v>60</v>
      </c>
    </row>
    <row r="257" spans="1:8" x14ac:dyDescent="0.35">
      <c r="B257" t="s">
        <v>137</v>
      </c>
      <c r="D257" t="s">
        <v>42</v>
      </c>
      <c r="E257" s="3">
        <f>VLOOKUP(D257,'Bu Erta'!$C$2:$E$66,3,0)</f>
        <v>1000</v>
      </c>
      <c r="F257">
        <v>1.3</v>
      </c>
      <c r="G257" s="3">
        <f t="shared" si="8"/>
        <v>1300</v>
      </c>
      <c r="H257" s="3">
        <f>VLOOKUP(D257,'Bu Erta'!$C$2:$F$66,4,0)*F257</f>
        <v>1560</v>
      </c>
    </row>
    <row r="258" spans="1:8" x14ac:dyDescent="0.35">
      <c r="A258" s="5">
        <v>40</v>
      </c>
      <c r="B258" t="s">
        <v>94</v>
      </c>
      <c r="C258" s="1">
        <v>4</v>
      </c>
      <c r="D258" t="s">
        <v>61</v>
      </c>
      <c r="E258" s="3">
        <f>VLOOKUP(D258,'Bu Erta'!$C$2:$E$66,3,0)</f>
        <v>800</v>
      </c>
      <c r="F258">
        <v>0.4</v>
      </c>
      <c r="G258" s="3">
        <f t="shared" si="8"/>
        <v>320</v>
      </c>
      <c r="H258" s="3">
        <f>VLOOKUP(D258,'Bu Erta'!$C$2:$F$66,4,0)*F258</f>
        <v>360</v>
      </c>
    </row>
    <row r="259" spans="1:8" x14ac:dyDescent="0.35">
      <c r="B259" t="s">
        <v>94</v>
      </c>
      <c r="D259" t="s">
        <v>27</v>
      </c>
      <c r="E259" s="3">
        <f>VLOOKUP(D259,'Bu Erta'!$C$2:$E$66,3,0)</f>
        <v>2800</v>
      </c>
      <c r="F259">
        <v>0.25</v>
      </c>
      <c r="G259" s="3">
        <f t="shared" si="8"/>
        <v>700</v>
      </c>
      <c r="H259" s="3">
        <f>VLOOKUP(D259,'Bu Erta'!$C$2:$F$66,4,0)*F259</f>
        <v>775</v>
      </c>
    </row>
    <row r="260" spans="1:8" x14ac:dyDescent="0.35">
      <c r="B260" t="s">
        <v>94</v>
      </c>
      <c r="D260" t="s">
        <v>6</v>
      </c>
      <c r="E260" s="3">
        <f>VLOOKUP(D260,'Bu Erta'!$C$2:$E$66,3,0)</f>
        <v>2000</v>
      </c>
      <c r="F260">
        <v>0.1</v>
      </c>
      <c r="G260" s="3">
        <f t="shared" si="8"/>
        <v>200</v>
      </c>
      <c r="H260" s="3">
        <f>VLOOKUP(D260,'Bu Erta'!$C$2:$F$66,4,0)*F260</f>
        <v>250</v>
      </c>
    </row>
    <row r="261" spans="1:8" x14ac:dyDescent="0.35">
      <c r="B261" t="s">
        <v>94</v>
      </c>
      <c r="D261" t="s">
        <v>88</v>
      </c>
      <c r="E261" s="3">
        <f>VLOOKUP(D261,'Bu Erta'!$C$2:$E$66,3,0)</f>
        <v>300</v>
      </c>
      <c r="F261">
        <v>0.15</v>
      </c>
      <c r="G261" s="3">
        <f t="shared" si="8"/>
        <v>45</v>
      </c>
      <c r="H261" s="3">
        <f>VLOOKUP(D261,'Bu Erta'!$C$2:$F$66,4,0)*F261</f>
        <v>60</v>
      </c>
    </row>
    <row r="262" spans="1:8" x14ac:dyDescent="0.35">
      <c r="B262" t="s">
        <v>94</v>
      </c>
      <c r="D262" t="s">
        <v>19</v>
      </c>
      <c r="E262" s="3">
        <f>VLOOKUP(D262,'Bu Erta'!$C$2:$E$66,3,0)</f>
        <v>200</v>
      </c>
      <c r="F262">
        <v>0.35</v>
      </c>
      <c r="G262" s="3">
        <f t="shared" si="8"/>
        <v>70</v>
      </c>
      <c r="H262" s="3">
        <f>VLOOKUP(D262,'Bu Erta'!$C$2:$F$66,4,0)*F262</f>
        <v>105</v>
      </c>
    </row>
    <row r="263" spans="1:8" x14ac:dyDescent="0.35">
      <c r="B263" t="s">
        <v>94</v>
      </c>
      <c r="D263" t="s">
        <v>42</v>
      </c>
      <c r="E263" s="3">
        <f>VLOOKUP(D263,'Bu Erta'!$C$2:$E$66,3,0)</f>
        <v>1000</v>
      </c>
      <c r="F263">
        <v>0.1</v>
      </c>
      <c r="G263" s="3">
        <f t="shared" si="8"/>
        <v>100</v>
      </c>
      <c r="H263" s="3">
        <f>VLOOKUP(D263,'Bu Erta'!$C$2:$F$66,4,0)*F263</f>
        <v>120</v>
      </c>
    </row>
    <row r="264" spans="1:8" x14ac:dyDescent="0.35">
      <c r="B264" t="s">
        <v>94</v>
      </c>
      <c r="D264" t="s">
        <v>49</v>
      </c>
      <c r="E264" s="3">
        <f>VLOOKUP(D264,'Bu Erta'!$C$2:$E$66,3,0)</f>
        <v>800</v>
      </c>
      <c r="F264">
        <v>1.5</v>
      </c>
      <c r="G264" s="3">
        <f t="shared" si="8"/>
        <v>1200</v>
      </c>
      <c r="H264" s="3">
        <f>VLOOKUP(D264,'Bu Erta'!$C$2:$F$66,4,0)*F264</f>
        <v>1350</v>
      </c>
    </row>
    <row r="265" spans="1:8" x14ac:dyDescent="0.35">
      <c r="B265" t="s">
        <v>94</v>
      </c>
      <c r="D265" t="s">
        <v>23</v>
      </c>
      <c r="E265" s="3">
        <f>VLOOKUP(D265,'Bu Erta'!$C$2:$E$66,3,0)</f>
        <v>300</v>
      </c>
      <c r="F265">
        <v>0.3</v>
      </c>
      <c r="G265" s="3">
        <f t="shared" si="8"/>
        <v>90</v>
      </c>
      <c r="H265" s="3">
        <f>VLOOKUP(D265,'Bu Erta'!$C$2:$F$66,4,0)*F265</f>
        <v>120</v>
      </c>
    </row>
    <row r="266" spans="1:8" x14ac:dyDescent="0.35">
      <c r="B266" t="s">
        <v>94</v>
      </c>
      <c r="D266" t="s">
        <v>7</v>
      </c>
      <c r="E266" s="3">
        <f>VLOOKUP(D266,'Bu Erta'!$C$2:$E$66,3,0)</f>
        <v>1400</v>
      </c>
      <c r="F266">
        <f>0.55+0.8</f>
        <v>1.35</v>
      </c>
      <c r="G266" s="3">
        <f t="shared" si="8"/>
        <v>1890.0000000000002</v>
      </c>
      <c r="H266" s="3">
        <f>VLOOKUP(D266,'Bu Erta'!$C$2:$F$66,4,0)*F266</f>
        <v>2160</v>
      </c>
    </row>
    <row r="267" spans="1:8" x14ac:dyDescent="0.35">
      <c r="A267" s="5">
        <v>41</v>
      </c>
      <c r="B267" t="s">
        <v>112</v>
      </c>
      <c r="C267" s="1">
        <v>4</v>
      </c>
      <c r="D267" t="s">
        <v>25</v>
      </c>
      <c r="E267" s="3">
        <f>VLOOKUP(D267,'Bu Erta'!$C$2:$E$66,3,0)</f>
        <v>1600</v>
      </c>
      <c r="F267">
        <v>0.25</v>
      </c>
      <c r="G267" s="3">
        <f t="shared" si="8"/>
        <v>400</v>
      </c>
      <c r="H267" s="3">
        <f>VLOOKUP(D267,'Bu Erta'!$C$2:$F$66,4,0)*F267</f>
        <v>425</v>
      </c>
    </row>
    <row r="268" spans="1:8" x14ac:dyDescent="0.35">
      <c r="B268" t="s">
        <v>112</v>
      </c>
      <c r="D268" t="s">
        <v>88</v>
      </c>
      <c r="E268" s="3">
        <f>VLOOKUP(D268,'Bu Erta'!$C$2:$E$66,3,0)</f>
        <v>300</v>
      </c>
      <c r="F268">
        <v>0.35</v>
      </c>
      <c r="G268" s="3">
        <f t="shared" si="8"/>
        <v>105</v>
      </c>
      <c r="H268" s="3">
        <f>VLOOKUP(D268,'Bu Erta'!$C$2:$F$66,4,0)*F268</f>
        <v>140</v>
      </c>
    </row>
    <row r="269" spans="1:8" x14ac:dyDescent="0.35">
      <c r="B269" t="s">
        <v>112</v>
      </c>
      <c r="D269" t="s">
        <v>42</v>
      </c>
      <c r="E269" s="3">
        <f>VLOOKUP(D269,'Bu Erta'!$C$2:$E$66,3,0)</f>
        <v>1000</v>
      </c>
      <c r="F269">
        <v>0.55000000000000004</v>
      </c>
      <c r="G269" s="3">
        <f t="shared" si="8"/>
        <v>550</v>
      </c>
      <c r="H269" s="3">
        <f>VLOOKUP(D269,'Bu Erta'!$C$2:$F$66,4,0)*F269</f>
        <v>660</v>
      </c>
    </row>
    <row r="270" spans="1:8" x14ac:dyDescent="0.35">
      <c r="B270" t="s">
        <v>112</v>
      </c>
      <c r="D270" t="s">
        <v>61</v>
      </c>
      <c r="E270" s="3">
        <f>VLOOKUP(D270,'Bu Erta'!$C$2:$E$66,3,0)</f>
        <v>800</v>
      </c>
      <c r="F270">
        <v>0.5</v>
      </c>
      <c r="G270" s="3">
        <f t="shared" si="8"/>
        <v>400</v>
      </c>
      <c r="H270" s="3">
        <f>VLOOKUP(D270,'Bu Erta'!$C$2:$F$66,4,0)*F270</f>
        <v>450</v>
      </c>
    </row>
    <row r="271" spans="1:8" x14ac:dyDescent="0.35">
      <c r="B271" t="s">
        <v>112</v>
      </c>
      <c r="D271" t="s">
        <v>31</v>
      </c>
      <c r="E271" s="3">
        <f>VLOOKUP(D271,'Bu Erta'!$C$2:$E$66,3,0)</f>
        <v>1000</v>
      </c>
      <c r="F271">
        <v>2.25</v>
      </c>
      <c r="G271" s="3">
        <f t="shared" si="8"/>
        <v>2250</v>
      </c>
      <c r="H271" s="3">
        <f>VLOOKUP(D271,'Bu Erta'!$C$2:$F$66,4,0)*F271</f>
        <v>2475</v>
      </c>
    </row>
    <row r="272" spans="1:8" x14ac:dyDescent="0.35">
      <c r="B272" t="s">
        <v>112</v>
      </c>
      <c r="D272" t="s">
        <v>7</v>
      </c>
      <c r="E272" s="3">
        <f>VLOOKUP(D272,'Bu Erta'!$C$2:$E$66,3,0)</f>
        <v>1400</v>
      </c>
      <c r="F272">
        <v>0.25</v>
      </c>
      <c r="G272" s="3">
        <f t="shared" si="8"/>
        <v>350</v>
      </c>
      <c r="H272" s="3">
        <f>VLOOKUP(D272,'Bu Erta'!$C$2:$F$66,4,0)*F272</f>
        <v>400</v>
      </c>
    </row>
    <row r="273" spans="1:8" x14ac:dyDescent="0.35">
      <c r="B273" t="s">
        <v>112</v>
      </c>
      <c r="D273" t="s">
        <v>59</v>
      </c>
      <c r="E273" s="3">
        <f>VLOOKUP(D273,'Bu Erta'!$C$2:$E$66,3,0)</f>
        <v>500</v>
      </c>
      <c r="F273">
        <v>1.95</v>
      </c>
      <c r="G273" s="3">
        <f t="shared" si="8"/>
        <v>975</v>
      </c>
      <c r="H273" s="3">
        <f>VLOOKUP(D273,'Bu Erta'!$C$2:$F$66,4,0)*F273</f>
        <v>1170</v>
      </c>
    </row>
    <row r="274" spans="1:8" x14ac:dyDescent="0.35">
      <c r="A274" s="5">
        <v>42</v>
      </c>
      <c r="B274" t="s">
        <v>151</v>
      </c>
      <c r="C274" s="1">
        <v>4</v>
      </c>
      <c r="D274" t="s">
        <v>7</v>
      </c>
      <c r="E274" s="3">
        <f>VLOOKUP(D274,'Bu Erta'!$C$2:$E$66,3,0)</f>
        <v>1400</v>
      </c>
      <c r="F274">
        <v>0.5</v>
      </c>
      <c r="G274" s="3">
        <f t="shared" si="8"/>
        <v>700</v>
      </c>
      <c r="H274" s="3">
        <f>VLOOKUP(D274,'Bu Erta'!$C$2:$F$66,4,0)*F274</f>
        <v>800</v>
      </c>
    </row>
    <row r="275" spans="1:8" x14ac:dyDescent="0.35">
      <c r="B275" t="s">
        <v>151</v>
      </c>
      <c r="D275" t="s">
        <v>24</v>
      </c>
      <c r="E275" s="3">
        <f>VLOOKUP(D275,'Bu Erta'!$C$2:$E$66,3,0)</f>
        <v>150</v>
      </c>
      <c r="F275">
        <v>0.35</v>
      </c>
      <c r="G275" s="3">
        <f t="shared" si="8"/>
        <v>52.5</v>
      </c>
      <c r="H275" s="3">
        <f>VLOOKUP(D275,'Bu Erta'!$C$2:$F$66,4,0)*F275</f>
        <v>70</v>
      </c>
    </row>
    <row r="276" spans="1:8" x14ac:dyDescent="0.35">
      <c r="B276" t="s">
        <v>151</v>
      </c>
      <c r="D276" t="s">
        <v>25</v>
      </c>
      <c r="E276" s="3">
        <f>VLOOKUP(D276,'Bu Erta'!$C$2:$E$66,3,0)</f>
        <v>1600</v>
      </c>
      <c r="F276">
        <v>0.15</v>
      </c>
      <c r="G276" s="3">
        <f t="shared" si="8"/>
        <v>240</v>
      </c>
      <c r="H276" s="3">
        <f>VLOOKUP(D276,'Bu Erta'!$C$2:$F$66,4,0)*F276</f>
        <v>255</v>
      </c>
    </row>
    <row r="277" spans="1:8" x14ac:dyDescent="0.35">
      <c r="B277" t="s">
        <v>151</v>
      </c>
      <c r="D277" t="s">
        <v>17</v>
      </c>
      <c r="E277" s="3">
        <f>VLOOKUP(D277,'Bu Erta'!$C$2:$E$66,3,0)</f>
        <v>8000</v>
      </c>
      <c r="F277">
        <v>0.15</v>
      </c>
      <c r="G277" s="3">
        <f t="shared" si="8"/>
        <v>1200</v>
      </c>
      <c r="H277" s="3">
        <f>VLOOKUP(D277,'Bu Erta'!$C$2:$F$66,4,0)*F277</f>
        <v>1275</v>
      </c>
    </row>
    <row r="278" spans="1:8" x14ac:dyDescent="0.35">
      <c r="B278" t="s">
        <v>151</v>
      </c>
      <c r="D278" t="s">
        <v>22</v>
      </c>
      <c r="E278" s="3">
        <f>VLOOKUP(D278,'Bu Erta'!$C$2:$E$66,3,0)</f>
        <v>2500</v>
      </c>
      <c r="F278">
        <v>0.8</v>
      </c>
      <c r="G278" s="3">
        <f t="shared" si="8"/>
        <v>2000</v>
      </c>
      <c r="H278" s="3">
        <f>VLOOKUP(D278,'Bu Erta'!$C$2:$F$66,4,0)*F278</f>
        <v>2400</v>
      </c>
    </row>
    <row r="279" spans="1:8" x14ac:dyDescent="0.35">
      <c r="A279" s="5">
        <v>43</v>
      </c>
      <c r="B279" t="s">
        <v>244</v>
      </c>
      <c r="C279" s="5">
        <v>2</v>
      </c>
      <c r="D279" t="s">
        <v>19</v>
      </c>
      <c r="E279" s="3">
        <f>VLOOKUP(D279,'Bu Erta'!$C$2:$E$66,3,0)</f>
        <v>200</v>
      </c>
      <c r="F279">
        <v>0.55000000000000004</v>
      </c>
      <c r="G279" s="3">
        <f t="shared" si="8"/>
        <v>110.00000000000001</v>
      </c>
      <c r="H279" s="3">
        <f>VLOOKUP(D279,'Bu Erta'!$C$2:$F$66,4,0)*F279</f>
        <v>165</v>
      </c>
    </row>
    <row r="280" spans="1:8" x14ac:dyDescent="0.35">
      <c r="B280" t="s">
        <v>244</v>
      </c>
      <c r="D280" t="s">
        <v>7</v>
      </c>
      <c r="E280" s="3">
        <f>VLOOKUP(D280,'Bu Erta'!$C$2:$E$66,3,0)</f>
        <v>1400</v>
      </c>
      <c r="F280">
        <f>1.3+2.05+1.9</f>
        <v>5.25</v>
      </c>
      <c r="G280" s="3">
        <f t="shared" si="8"/>
        <v>7350</v>
      </c>
      <c r="H280" s="3">
        <f>VLOOKUP(D280,'Bu Erta'!$C$2:$F$66,4,0)*F280</f>
        <v>8400</v>
      </c>
    </row>
    <row r="281" spans="1:8" x14ac:dyDescent="0.35">
      <c r="B281" t="s">
        <v>244</v>
      </c>
      <c r="D281" t="s">
        <v>6</v>
      </c>
      <c r="E281" s="3">
        <f>VLOOKUP(D281,'Bu Erta'!$C$2:$E$66,3,0)</f>
        <v>2000</v>
      </c>
      <c r="F281">
        <v>0.2</v>
      </c>
      <c r="G281" s="3">
        <f t="shared" si="8"/>
        <v>400</v>
      </c>
      <c r="H281" s="3">
        <f>VLOOKUP(D281,'Bu Erta'!$C$2:$F$66,4,0)*F281</f>
        <v>500</v>
      </c>
    </row>
    <row r="282" spans="1:8" x14ac:dyDescent="0.35">
      <c r="B282" t="s">
        <v>244</v>
      </c>
      <c r="D282" t="s">
        <v>17</v>
      </c>
      <c r="E282" s="3">
        <f>VLOOKUP(D282,'Bu Erta'!$C$2:$E$66,3,0)</f>
        <v>8000</v>
      </c>
      <c r="F282">
        <v>1</v>
      </c>
      <c r="G282" s="3">
        <f t="shared" si="8"/>
        <v>8000</v>
      </c>
      <c r="H282" s="3">
        <f>VLOOKUP(D282,'Bu Erta'!$C$2:$F$66,4,0)*F282</f>
        <v>8500</v>
      </c>
    </row>
    <row r="283" spans="1:8" x14ac:dyDescent="0.35">
      <c r="B283" t="s">
        <v>244</v>
      </c>
      <c r="D283" t="s">
        <v>22</v>
      </c>
      <c r="E283" s="3">
        <f>VLOOKUP(D283,'Bu Erta'!$C$2:$E$66,3,0)</f>
        <v>2500</v>
      </c>
      <c r="F283">
        <v>4.0999999999999996</v>
      </c>
      <c r="G283" s="3">
        <f t="shared" si="8"/>
        <v>10250</v>
      </c>
      <c r="H283" s="3">
        <f>VLOOKUP(D283,'Bu Erta'!$C$2:$F$66,4,0)*F283</f>
        <v>12299.999999999998</v>
      </c>
    </row>
    <row r="284" spans="1:8" x14ac:dyDescent="0.35">
      <c r="A284" s="5">
        <v>44</v>
      </c>
      <c r="B284" t="s">
        <v>245</v>
      </c>
      <c r="C284" s="5">
        <v>4</v>
      </c>
      <c r="D284" t="s">
        <v>28</v>
      </c>
      <c r="E284" s="3">
        <f>VLOOKUP(D284,'Bu Erta'!$C$2:$E$66,3,0)</f>
        <v>1200</v>
      </c>
      <c r="F284">
        <f>11.45+1.95+0.25+3.75</f>
        <v>17.399999999999999</v>
      </c>
      <c r="G284" s="3">
        <f t="shared" si="8"/>
        <v>20880</v>
      </c>
      <c r="H284" s="3">
        <f>VLOOKUP(D284,'Bu Erta'!$C$2:$F$66,4,0)*F284</f>
        <v>22619.999999999996</v>
      </c>
    </row>
    <row r="285" spans="1:8" x14ac:dyDescent="0.35">
      <c r="B285" t="s">
        <v>245</v>
      </c>
      <c r="D285" t="s">
        <v>46</v>
      </c>
      <c r="E285" s="3">
        <f>VLOOKUP(D285,'Bu Erta'!$C$2:$E$66,3,0)</f>
        <v>1400</v>
      </c>
      <c r="F285">
        <v>1.1000000000000001</v>
      </c>
      <c r="G285" s="3">
        <f t="shared" si="8"/>
        <v>1540.0000000000002</v>
      </c>
      <c r="H285" s="3">
        <f>VLOOKUP(D285,'Bu Erta'!$C$2:$F$66,4,0)*F285</f>
        <v>1650.0000000000002</v>
      </c>
    </row>
    <row r="286" spans="1:8" x14ac:dyDescent="0.35">
      <c r="B286" t="s">
        <v>245</v>
      </c>
      <c r="D286" t="s">
        <v>23</v>
      </c>
      <c r="E286" s="3">
        <f>VLOOKUP(D286,'Bu Erta'!$C$2:$E$66,3,0)</f>
        <v>300</v>
      </c>
      <c r="F286">
        <f>0.75+0.45</f>
        <v>1.2</v>
      </c>
      <c r="G286" s="3">
        <f t="shared" si="8"/>
        <v>360</v>
      </c>
      <c r="H286" s="3">
        <f>VLOOKUP(D286,'Bu Erta'!$C$2:$F$66,4,0)*F286</f>
        <v>480</v>
      </c>
    </row>
    <row r="287" spans="1:8" x14ac:dyDescent="0.35">
      <c r="B287" t="s">
        <v>245</v>
      </c>
      <c r="D287" t="s">
        <v>7</v>
      </c>
      <c r="E287" s="3">
        <f>VLOOKUP(D287,'Bu Erta'!$C$2:$E$66,3,0)</f>
        <v>1400</v>
      </c>
      <c r="F287">
        <f>3.2+0.75+2.8+1</f>
        <v>7.75</v>
      </c>
      <c r="G287" s="3">
        <f t="shared" si="8"/>
        <v>10850</v>
      </c>
      <c r="H287" s="3">
        <f>VLOOKUP(D287,'Bu Erta'!$C$2:$F$66,4,0)*F287</f>
        <v>12400</v>
      </c>
    </row>
    <row r="288" spans="1:8" x14ac:dyDescent="0.35">
      <c r="B288" t="s">
        <v>245</v>
      </c>
      <c r="D288" t="s">
        <v>24</v>
      </c>
      <c r="E288" s="3">
        <f>VLOOKUP(D288,'Bu Erta'!$C$2:$E$66,3,0)</f>
        <v>150</v>
      </c>
      <c r="F288">
        <f>1.1+1</f>
        <v>2.1</v>
      </c>
      <c r="G288" s="3">
        <f t="shared" si="8"/>
        <v>315</v>
      </c>
      <c r="H288" s="3">
        <f>VLOOKUP(D288,'Bu Erta'!$C$2:$F$66,4,0)*F288</f>
        <v>420</v>
      </c>
    </row>
    <row r="289" spans="1:8" x14ac:dyDescent="0.35">
      <c r="B289" t="s">
        <v>245</v>
      </c>
      <c r="D289" t="s">
        <v>25</v>
      </c>
      <c r="E289" s="3">
        <f>VLOOKUP(D289,'Bu Erta'!$C$2:$E$66,3,0)</f>
        <v>1600</v>
      </c>
      <c r="F289">
        <f>0.3</f>
        <v>0.3</v>
      </c>
      <c r="G289" s="3">
        <f t="shared" si="8"/>
        <v>480</v>
      </c>
      <c r="H289" s="3">
        <f>VLOOKUP(D289,'Bu Erta'!$C$2:$F$66,4,0)*F289</f>
        <v>510</v>
      </c>
    </row>
    <row r="290" spans="1:8" x14ac:dyDescent="0.35">
      <c r="B290" t="s">
        <v>245</v>
      </c>
      <c r="D290" t="s">
        <v>22</v>
      </c>
      <c r="E290" s="3">
        <f>VLOOKUP(D290,'Bu Erta'!$C$2:$E$66,3,0)</f>
        <v>2500</v>
      </c>
      <c r="F290">
        <v>1.1499999999999999</v>
      </c>
      <c r="G290" s="3">
        <f t="shared" si="8"/>
        <v>2875</v>
      </c>
      <c r="H290" s="3">
        <f>VLOOKUP(D290,'Bu Erta'!$C$2:$F$66,4,0)*F290</f>
        <v>3449.9999999999995</v>
      </c>
    </row>
    <row r="291" spans="1:8" x14ac:dyDescent="0.35">
      <c r="B291" t="s">
        <v>245</v>
      </c>
      <c r="D291" t="s">
        <v>40</v>
      </c>
      <c r="E291" s="3">
        <f>VLOOKUP(D291,'Bu Erta'!$C$2:$E$66,3,0)</f>
        <v>1800</v>
      </c>
      <c r="F291">
        <v>1</v>
      </c>
      <c r="G291" s="3">
        <f t="shared" si="8"/>
        <v>1800</v>
      </c>
      <c r="H291" s="3">
        <f>VLOOKUP(D291,'Bu Erta'!$C$2:$F$66,4,0)*F291</f>
        <v>2000</v>
      </c>
    </row>
    <row r="292" spans="1:8" x14ac:dyDescent="0.35">
      <c r="B292" t="s">
        <v>245</v>
      </c>
      <c r="D292" t="s">
        <v>42</v>
      </c>
      <c r="E292" s="3">
        <f>VLOOKUP(D292,'Bu Erta'!$C$2:$E$66,3,0)</f>
        <v>1000</v>
      </c>
      <c r="F292">
        <v>0.9</v>
      </c>
      <c r="G292" s="3">
        <f t="shared" si="8"/>
        <v>900</v>
      </c>
      <c r="H292" s="3">
        <f>VLOOKUP(D292,'Bu Erta'!$C$2:$F$66,4,0)*F292</f>
        <v>1080</v>
      </c>
    </row>
    <row r="293" spans="1:8" x14ac:dyDescent="0.35">
      <c r="A293" s="5">
        <v>45</v>
      </c>
      <c r="B293" t="s">
        <v>111</v>
      </c>
      <c r="C293" s="5">
        <v>5</v>
      </c>
      <c r="D293" t="s">
        <v>23</v>
      </c>
      <c r="E293" s="3">
        <f>VLOOKUP(D293,'Bu Erta'!$C$2:$E$66,3,0)</f>
        <v>300</v>
      </c>
      <c r="F293">
        <f>0.55+0.4</f>
        <v>0.95000000000000007</v>
      </c>
      <c r="G293" s="3">
        <f t="shared" si="8"/>
        <v>285</v>
      </c>
      <c r="H293" s="3">
        <f>VLOOKUP(D293,'Bu Erta'!$C$2:$F$66,4,0)*F293</f>
        <v>380</v>
      </c>
    </row>
    <row r="294" spans="1:8" x14ac:dyDescent="0.35">
      <c r="B294" t="s">
        <v>111</v>
      </c>
      <c r="D294" t="s">
        <v>65</v>
      </c>
      <c r="E294" s="3">
        <f>VLOOKUP(D294,'Bu Erta'!$C$2:$E$66,3,0)</f>
        <v>150</v>
      </c>
      <c r="F294">
        <v>0.2</v>
      </c>
      <c r="G294" s="3">
        <f t="shared" si="8"/>
        <v>30</v>
      </c>
      <c r="H294" s="3">
        <f>VLOOKUP(D294,'Bu Erta'!$C$2:$F$66,4,0)*F294</f>
        <v>40</v>
      </c>
    </row>
    <row r="295" spans="1:8" x14ac:dyDescent="0.35">
      <c r="B295" t="s">
        <v>111</v>
      </c>
      <c r="D295" t="s">
        <v>19</v>
      </c>
      <c r="E295" s="3">
        <f>VLOOKUP(D295,'Bu Erta'!$C$2:$E$66,3,0)</f>
        <v>200</v>
      </c>
      <c r="F295">
        <v>0.9</v>
      </c>
      <c r="G295" s="3">
        <f t="shared" si="8"/>
        <v>180</v>
      </c>
      <c r="H295" s="3">
        <f>VLOOKUP(D295,'Bu Erta'!$C$2:$F$66,4,0)*F295</f>
        <v>270</v>
      </c>
    </row>
    <row r="296" spans="1:8" x14ac:dyDescent="0.35">
      <c r="B296" t="s">
        <v>111</v>
      </c>
      <c r="D296" t="s">
        <v>7</v>
      </c>
      <c r="E296" s="3">
        <f>VLOOKUP(D296,'Bu Erta'!$C$2:$E$66,3,0)</f>
        <v>1400</v>
      </c>
      <c r="F296">
        <v>0.2</v>
      </c>
      <c r="G296" s="3">
        <f t="shared" si="8"/>
        <v>280</v>
      </c>
      <c r="H296" s="3">
        <f>VLOOKUP(D296,'Bu Erta'!$C$2:$F$66,4,0)*F296</f>
        <v>320</v>
      </c>
    </row>
    <row r="297" spans="1:8" x14ac:dyDescent="0.35">
      <c r="B297" t="s">
        <v>111</v>
      </c>
      <c r="D297" t="s">
        <v>27</v>
      </c>
      <c r="E297" s="3">
        <f>VLOOKUP(D297,'Bu Erta'!$C$2:$E$66,3,0)</f>
        <v>2800</v>
      </c>
      <c r="F297">
        <v>0.8</v>
      </c>
      <c r="G297" s="3">
        <f t="shared" si="8"/>
        <v>2240</v>
      </c>
      <c r="H297" s="3">
        <f>VLOOKUP(D297,'Bu Erta'!$C$2:$F$66,4,0)*F297</f>
        <v>2480</v>
      </c>
    </row>
    <row r="298" spans="1:8" x14ac:dyDescent="0.35">
      <c r="A298" s="5">
        <v>46</v>
      </c>
      <c r="B298" t="s">
        <v>198</v>
      </c>
      <c r="C298" s="5" t="s">
        <v>239</v>
      </c>
      <c r="D298" t="s">
        <v>28</v>
      </c>
      <c r="E298" s="3">
        <f>VLOOKUP(D298,'Bu Erta'!$C$2:$E$66,3,0)</f>
        <v>1200</v>
      </c>
      <c r="F298">
        <v>6.2</v>
      </c>
      <c r="G298" s="3">
        <f t="shared" si="8"/>
        <v>7440</v>
      </c>
      <c r="H298" s="3">
        <f>VLOOKUP(D298,'Bu Erta'!$C$2:$F$66,4,0)*F298</f>
        <v>8060</v>
      </c>
    </row>
    <row r="299" spans="1:8" x14ac:dyDescent="0.35">
      <c r="B299" t="s">
        <v>198</v>
      </c>
      <c r="D299" t="s">
        <v>42</v>
      </c>
      <c r="E299" s="3">
        <f>VLOOKUP(D299,'Bu Erta'!$C$2:$E$66,3,0)</f>
        <v>1000</v>
      </c>
      <c r="F299">
        <v>1.35</v>
      </c>
      <c r="G299" s="3">
        <f t="shared" si="8"/>
        <v>1350</v>
      </c>
      <c r="H299" s="3">
        <f>VLOOKUP(D299,'Bu Erta'!$C$2:$F$66,4,0)*F299</f>
        <v>1620</v>
      </c>
    </row>
    <row r="300" spans="1:8" x14ac:dyDescent="0.35">
      <c r="B300" t="s">
        <v>198</v>
      </c>
      <c r="D300" t="s">
        <v>7</v>
      </c>
      <c r="E300" s="3">
        <f>VLOOKUP(D300,'Bu Erta'!$C$2:$E$66,3,0)</f>
        <v>1400</v>
      </c>
      <c r="F300">
        <v>0.7</v>
      </c>
      <c r="G300" s="3">
        <f t="shared" si="8"/>
        <v>979.99999999999989</v>
      </c>
      <c r="H300" s="3">
        <f>VLOOKUP(D300,'Bu Erta'!$C$2:$F$66,4,0)*F300</f>
        <v>1120</v>
      </c>
    </row>
    <row r="301" spans="1:8" x14ac:dyDescent="0.35">
      <c r="A301" s="5">
        <v>47</v>
      </c>
      <c r="B301" t="s">
        <v>79</v>
      </c>
      <c r="C301" s="1">
        <v>2</v>
      </c>
      <c r="D301" t="s">
        <v>28</v>
      </c>
      <c r="E301" s="3">
        <f>VLOOKUP(D301,'Bu Erta'!$C$2:$E$66,3,0)</f>
        <v>1200</v>
      </c>
      <c r="F301">
        <f>6.6+4.8</f>
        <v>11.399999999999999</v>
      </c>
      <c r="G301" s="3">
        <f t="shared" si="8"/>
        <v>13679.999999999998</v>
      </c>
      <c r="H301" s="3">
        <f>VLOOKUP(D301,'Bu Erta'!$C$2:$F$66,4,0)*F301</f>
        <v>14819.999999999998</v>
      </c>
    </row>
    <row r="302" spans="1:8" x14ac:dyDescent="0.35">
      <c r="B302" t="s">
        <v>79</v>
      </c>
      <c r="D302" t="s">
        <v>7</v>
      </c>
      <c r="E302" s="3">
        <f>VLOOKUP(D302,'Bu Erta'!$C$2:$E$66,3,0)</f>
        <v>1400</v>
      </c>
      <c r="F302">
        <v>1.2</v>
      </c>
      <c r="G302" s="3">
        <f t="shared" si="8"/>
        <v>1680</v>
      </c>
      <c r="H302" s="3">
        <f>VLOOKUP(D302,'Bu Erta'!$C$2:$F$66,4,0)*F302</f>
        <v>1920</v>
      </c>
    </row>
    <row r="303" spans="1:8" x14ac:dyDescent="0.35">
      <c r="B303" t="s">
        <v>79</v>
      </c>
      <c r="D303" t="s">
        <v>69</v>
      </c>
      <c r="E303" s="3">
        <f>VLOOKUP(D303,'Bu Erta'!$C$2:$E$66,3,0)</f>
        <v>2500</v>
      </c>
      <c r="F303">
        <v>0.1</v>
      </c>
      <c r="G303" s="3">
        <f t="shared" si="8"/>
        <v>250</v>
      </c>
      <c r="H303" s="3">
        <f>VLOOKUP(D303,'Bu Erta'!$C$2:$F$66,4,0)*F303</f>
        <v>300</v>
      </c>
    </row>
    <row r="304" spans="1:8" x14ac:dyDescent="0.35">
      <c r="B304" t="s">
        <v>79</v>
      </c>
      <c r="D304" t="s">
        <v>25</v>
      </c>
      <c r="E304" s="3">
        <f>VLOOKUP(D304,'Bu Erta'!$C$2:$E$66,3,0)</f>
        <v>1600</v>
      </c>
      <c r="F304">
        <v>0.6</v>
      </c>
      <c r="G304" s="3">
        <f t="shared" si="8"/>
        <v>960</v>
      </c>
      <c r="H304" s="3">
        <f>VLOOKUP(D304,'Bu Erta'!$C$2:$F$66,4,0)*F304</f>
        <v>1020</v>
      </c>
    </row>
    <row r="305" spans="1:8" x14ac:dyDescent="0.35">
      <c r="A305" s="5">
        <v>48</v>
      </c>
      <c r="B305" t="s">
        <v>106</v>
      </c>
      <c r="C305" s="1">
        <v>4</v>
      </c>
      <c r="D305" t="s">
        <v>31</v>
      </c>
      <c r="E305" s="3">
        <f>VLOOKUP(D305,'Bu Erta'!$C$2:$E$66,3,0)</f>
        <v>1000</v>
      </c>
      <c r="F305">
        <v>1.5</v>
      </c>
      <c r="G305" s="3">
        <f t="shared" si="8"/>
        <v>1500</v>
      </c>
      <c r="H305" s="3">
        <f>VLOOKUP(D305,'Bu Erta'!$C$2:$F$66,4,0)*F305</f>
        <v>1650</v>
      </c>
    </row>
    <row r="306" spans="1:8" x14ac:dyDescent="0.35">
      <c r="B306" t="s">
        <v>106</v>
      </c>
      <c r="D306" t="s">
        <v>23</v>
      </c>
      <c r="E306" s="3">
        <f>VLOOKUP(D306,'Bu Erta'!$C$2:$E$66,3,0)</f>
        <v>300</v>
      </c>
      <c r="F306">
        <v>0.35</v>
      </c>
      <c r="G306" s="3">
        <f t="shared" si="8"/>
        <v>105</v>
      </c>
      <c r="H306" s="3">
        <f>VLOOKUP(D306,'Bu Erta'!$C$2:$F$66,4,0)*F306</f>
        <v>140</v>
      </c>
    </row>
    <row r="307" spans="1:8" x14ac:dyDescent="0.35">
      <c r="B307" t="s">
        <v>106</v>
      </c>
      <c r="D307" t="s">
        <v>46</v>
      </c>
      <c r="E307" s="3">
        <f>VLOOKUP(D307,'Bu Erta'!$C$2:$E$66,3,0)</f>
        <v>1400</v>
      </c>
      <c r="F307">
        <v>0.2</v>
      </c>
      <c r="G307" s="3">
        <f t="shared" si="8"/>
        <v>280</v>
      </c>
      <c r="H307" s="3">
        <f>VLOOKUP(D307,'Bu Erta'!$C$2:$F$66,4,0)*F307</f>
        <v>300</v>
      </c>
    </row>
    <row r="308" spans="1:8" x14ac:dyDescent="0.35">
      <c r="B308" t="s">
        <v>106</v>
      </c>
      <c r="D308" t="s">
        <v>40</v>
      </c>
      <c r="E308" s="3">
        <f>VLOOKUP(D308,'Bu Erta'!$C$2:$E$66,3,0)</f>
        <v>1800</v>
      </c>
      <c r="F308">
        <v>1.2</v>
      </c>
      <c r="G308" s="3">
        <f t="shared" si="8"/>
        <v>2160</v>
      </c>
      <c r="H308" s="3">
        <f>VLOOKUP(D308,'Bu Erta'!$C$2:$F$66,4,0)*F308</f>
        <v>2400</v>
      </c>
    </row>
    <row r="309" spans="1:8" x14ac:dyDescent="0.35">
      <c r="B309" t="s">
        <v>106</v>
      </c>
      <c r="D309" t="s">
        <v>42</v>
      </c>
      <c r="E309" s="3">
        <f>VLOOKUP(D309,'Bu Erta'!$C$2:$E$66,3,0)</f>
        <v>1000</v>
      </c>
      <c r="F309">
        <v>0.2</v>
      </c>
      <c r="G309" s="3">
        <f t="shared" si="8"/>
        <v>200</v>
      </c>
      <c r="H309" s="3">
        <f>VLOOKUP(D309,'Bu Erta'!$C$2:$F$66,4,0)*F309</f>
        <v>240</v>
      </c>
    </row>
    <row r="310" spans="1:8" x14ac:dyDescent="0.35">
      <c r="A310" s="5">
        <v>49</v>
      </c>
      <c r="B310" t="s">
        <v>120</v>
      </c>
      <c r="C310" s="1">
        <v>5</v>
      </c>
      <c r="D310" t="s">
        <v>7</v>
      </c>
      <c r="E310" s="3">
        <f>VLOOKUP(D310,'Bu Erta'!$C$2:$E$66,3,0)</f>
        <v>1400</v>
      </c>
      <c r="F310">
        <v>0.45</v>
      </c>
      <c r="G310" s="3">
        <f t="shared" si="8"/>
        <v>630</v>
      </c>
      <c r="H310" s="3">
        <f>VLOOKUP(D310,'Bu Erta'!$C$2:$F$66,4,0)*F310</f>
        <v>720</v>
      </c>
    </row>
    <row r="311" spans="1:8" x14ac:dyDescent="0.35">
      <c r="B311" t="s">
        <v>120</v>
      </c>
      <c r="D311" t="s">
        <v>46</v>
      </c>
      <c r="E311" s="3">
        <f>VLOOKUP(D311,'Bu Erta'!$C$2:$E$66,3,0)</f>
        <v>1400</v>
      </c>
      <c r="F311">
        <v>2.25</v>
      </c>
      <c r="G311" s="3">
        <f t="shared" si="8"/>
        <v>3150</v>
      </c>
      <c r="H311" s="3">
        <f>VLOOKUP(D311,'Bu Erta'!$C$2:$F$66,4,0)*F311</f>
        <v>3375</v>
      </c>
    </row>
    <row r="312" spans="1:8" x14ac:dyDescent="0.35">
      <c r="B312" t="s">
        <v>120</v>
      </c>
      <c r="D312" t="s">
        <v>28</v>
      </c>
      <c r="E312" s="3">
        <f>VLOOKUP(D312,'Bu Erta'!$C$2:$E$66,3,0)</f>
        <v>1200</v>
      </c>
      <c r="F312">
        <v>1.25</v>
      </c>
      <c r="G312" s="3">
        <f t="shared" si="8"/>
        <v>1500</v>
      </c>
      <c r="H312" s="3">
        <f>VLOOKUP(D312,'Bu Erta'!$C$2:$F$66,4,0)*F312</f>
        <v>1625</v>
      </c>
    </row>
    <row r="313" spans="1:8" x14ac:dyDescent="0.35">
      <c r="B313" t="s">
        <v>120</v>
      </c>
      <c r="D313" t="s">
        <v>42</v>
      </c>
      <c r="E313" s="3">
        <f>VLOOKUP(D313,'Bu Erta'!$C$2:$E$66,3,0)</f>
        <v>1000</v>
      </c>
      <c r="F313">
        <v>0.4</v>
      </c>
      <c r="G313" s="3">
        <f t="shared" si="8"/>
        <v>400</v>
      </c>
      <c r="H313" s="3">
        <f>VLOOKUP(D313,'Bu Erta'!$C$2:$F$66,4,0)*F313</f>
        <v>480</v>
      </c>
    </row>
    <row r="314" spans="1:8" x14ac:dyDescent="0.35">
      <c r="B314" t="s">
        <v>120</v>
      </c>
      <c r="D314" t="s">
        <v>19</v>
      </c>
      <c r="E314" s="3">
        <f>VLOOKUP(D314,'Bu Erta'!$C$2:$E$66,3,0)</f>
        <v>200</v>
      </c>
      <c r="F314">
        <v>0.35</v>
      </c>
      <c r="G314" s="3">
        <f t="shared" ref="G314:G350" si="9">E314*F314</f>
        <v>70</v>
      </c>
      <c r="H314" s="3">
        <f>VLOOKUP(D314,'Bu Erta'!$C$2:$F$66,4,0)*F314</f>
        <v>105</v>
      </c>
    </row>
    <row r="315" spans="1:8" x14ac:dyDescent="0.35">
      <c r="B315" t="s">
        <v>120</v>
      </c>
      <c r="D315" t="s">
        <v>40</v>
      </c>
      <c r="E315" s="3">
        <f>VLOOKUP(D315,'Bu Erta'!$C$2:$E$66,3,0)</f>
        <v>1800</v>
      </c>
      <c r="F315">
        <v>1</v>
      </c>
      <c r="G315" s="3">
        <f t="shared" si="9"/>
        <v>1800</v>
      </c>
      <c r="H315" s="3">
        <f>VLOOKUP(D315,'Bu Erta'!$C$2:$F$66,4,0)*F315</f>
        <v>2000</v>
      </c>
    </row>
    <row r="316" spans="1:8" x14ac:dyDescent="0.35">
      <c r="B316" t="s">
        <v>120</v>
      </c>
      <c r="D316" t="s">
        <v>31</v>
      </c>
      <c r="E316" s="3">
        <f>VLOOKUP(D316,'Bu Erta'!$C$2:$E$66,3,0)</f>
        <v>1000</v>
      </c>
      <c r="F316">
        <v>1.3</v>
      </c>
      <c r="G316" s="3">
        <f t="shared" si="9"/>
        <v>1300</v>
      </c>
      <c r="H316" s="3">
        <f>VLOOKUP(D316,'Bu Erta'!$C$2:$F$66,4,0)*F316</f>
        <v>1430</v>
      </c>
    </row>
    <row r="317" spans="1:8" x14ac:dyDescent="0.35">
      <c r="B317" t="s">
        <v>120</v>
      </c>
      <c r="D317" t="s">
        <v>69</v>
      </c>
      <c r="E317" s="3">
        <f>VLOOKUP(D317,'Bu Erta'!$C$2:$E$66,3,0)</f>
        <v>2500</v>
      </c>
      <c r="F317">
        <v>0.1</v>
      </c>
      <c r="G317" s="3">
        <f t="shared" si="9"/>
        <v>250</v>
      </c>
      <c r="H317" s="3">
        <f>VLOOKUP(D317,'Bu Erta'!$C$2:$F$66,4,0)*F317</f>
        <v>300</v>
      </c>
    </row>
    <row r="318" spans="1:8" x14ac:dyDescent="0.35">
      <c r="B318" t="s">
        <v>120</v>
      </c>
      <c r="D318" t="s">
        <v>25</v>
      </c>
      <c r="E318" s="3">
        <f>VLOOKUP(D318,'Bu Erta'!$C$2:$E$66,3,0)</f>
        <v>1600</v>
      </c>
      <c r="F318">
        <v>1.95</v>
      </c>
      <c r="G318" s="3">
        <f t="shared" si="9"/>
        <v>3120</v>
      </c>
      <c r="H318" s="3">
        <f>VLOOKUP(D318,'Bu Erta'!$C$2:$F$66,4,0)*F318</f>
        <v>3315</v>
      </c>
    </row>
    <row r="319" spans="1:8" x14ac:dyDescent="0.35">
      <c r="A319" s="5">
        <v>50</v>
      </c>
      <c r="B319" t="s">
        <v>102</v>
      </c>
      <c r="C319" s="1">
        <v>4</v>
      </c>
      <c r="D319" t="s">
        <v>27</v>
      </c>
      <c r="E319" s="3">
        <f>VLOOKUP(D319,'Bu Erta'!$C$2:$E$66,3,0)</f>
        <v>2800</v>
      </c>
      <c r="F319">
        <v>1.6</v>
      </c>
      <c r="G319" s="3">
        <f t="shared" si="9"/>
        <v>4480</v>
      </c>
      <c r="H319" s="3">
        <f>VLOOKUP(D319,'Bu Erta'!$C$2:$F$66,4,0)*F319</f>
        <v>4960</v>
      </c>
    </row>
    <row r="320" spans="1:8" x14ac:dyDescent="0.35">
      <c r="B320" t="s">
        <v>102</v>
      </c>
      <c r="D320" t="s">
        <v>17</v>
      </c>
      <c r="E320" s="3">
        <f>VLOOKUP(D320,'Bu Erta'!$C$2:$E$66,3,0)</f>
        <v>8000</v>
      </c>
      <c r="F320">
        <v>0.1</v>
      </c>
      <c r="G320" s="3">
        <f t="shared" si="9"/>
        <v>800</v>
      </c>
      <c r="H320" s="3">
        <f>VLOOKUP(D320,'Bu Erta'!$C$2:$F$66,4,0)*F320</f>
        <v>850</v>
      </c>
    </row>
    <row r="321" spans="1:8" x14ac:dyDescent="0.35">
      <c r="B321" t="s">
        <v>102</v>
      </c>
      <c r="D321" t="s">
        <v>24</v>
      </c>
      <c r="E321" s="3">
        <f>VLOOKUP(D321,'Bu Erta'!$C$2:$E$66,3,0)</f>
        <v>150</v>
      </c>
      <c r="F321">
        <f>0.75</f>
        <v>0.75</v>
      </c>
      <c r="G321" s="3">
        <f t="shared" si="9"/>
        <v>112.5</v>
      </c>
      <c r="H321" s="3">
        <f>VLOOKUP(D321,'Bu Erta'!$C$2:$F$66,4,0)*F321</f>
        <v>150</v>
      </c>
    </row>
    <row r="322" spans="1:8" x14ac:dyDescent="0.35">
      <c r="B322" t="s">
        <v>102</v>
      </c>
      <c r="D322" t="s">
        <v>6</v>
      </c>
      <c r="E322" s="3">
        <f>VLOOKUP(D322,'Bu Erta'!$C$2:$E$66,3,0)</f>
        <v>2000</v>
      </c>
      <c r="F322">
        <v>0.25</v>
      </c>
      <c r="G322" s="3">
        <f t="shared" si="9"/>
        <v>500</v>
      </c>
      <c r="H322" s="3">
        <f>VLOOKUP(D322,'Bu Erta'!$C$2:$F$66,4,0)*F322</f>
        <v>625</v>
      </c>
    </row>
    <row r="323" spans="1:8" x14ac:dyDescent="0.35">
      <c r="B323" t="s">
        <v>102</v>
      </c>
      <c r="D323" t="s">
        <v>69</v>
      </c>
      <c r="E323" s="3">
        <f>VLOOKUP(D323,'Bu Erta'!$C$2:$E$66,3,0)</f>
        <v>2500</v>
      </c>
      <c r="F323">
        <v>0.25</v>
      </c>
      <c r="G323" s="3">
        <f t="shared" si="9"/>
        <v>625</v>
      </c>
      <c r="H323" s="3">
        <f>VLOOKUP(D323,'Bu Erta'!$C$2:$F$66,4,0)*F323</f>
        <v>750</v>
      </c>
    </row>
    <row r="324" spans="1:8" x14ac:dyDescent="0.35">
      <c r="B324" t="s">
        <v>102</v>
      </c>
      <c r="D324" t="s">
        <v>31</v>
      </c>
      <c r="E324" s="3">
        <f>VLOOKUP(D324,'Bu Erta'!$C$2:$E$66,3,0)</f>
        <v>1000</v>
      </c>
      <c r="F324">
        <v>0.55000000000000004</v>
      </c>
      <c r="G324" s="3">
        <f t="shared" si="9"/>
        <v>550</v>
      </c>
      <c r="H324" s="3">
        <f>VLOOKUP(D324,'Bu Erta'!$C$2:$F$66,4,0)*F324</f>
        <v>605</v>
      </c>
    </row>
    <row r="325" spans="1:8" x14ac:dyDescent="0.35">
      <c r="B325" t="s">
        <v>102</v>
      </c>
      <c r="D325" t="s">
        <v>22</v>
      </c>
      <c r="E325" s="3">
        <f>VLOOKUP(D325,'Bu Erta'!$C$2:$E$66,3,0)</f>
        <v>2500</v>
      </c>
      <c r="F325">
        <v>0.15</v>
      </c>
      <c r="G325" s="3">
        <f t="shared" si="9"/>
        <v>375</v>
      </c>
      <c r="H325" s="3">
        <f>VLOOKUP(D325,'Bu Erta'!$C$2:$F$66,4,0)*F325</f>
        <v>450</v>
      </c>
    </row>
    <row r="326" spans="1:8" x14ac:dyDescent="0.35">
      <c r="B326" t="s">
        <v>102</v>
      </c>
      <c r="D326" t="s">
        <v>61</v>
      </c>
      <c r="E326" s="3">
        <f>VLOOKUP(D326,'Bu Erta'!$C$2:$E$66,3,0)</f>
        <v>800</v>
      </c>
      <c r="F326">
        <v>0.2</v>
      </c>
      <c r="G326" s="3">
        <f t="shared" si="9"/>
        <v>160</v>
      </c>
      <c r="H326" s="3">
        <f>VLOOKUP(D326,'Bu Erta'!$C$2:$F$66,4,0)*F326</f>
        <v>180</v>
      </c>
    </row>
    <row r="327" spans="1:8" x14ac:dyDescent="0.35">
      <c r="B327" t="s">
        <v>102</v>
      </c>
      <c r="D327" t="s">
        <v>7</v>
      </c>
      <c r="E327" s="3">
        <f>VLOOKUP(D327,'Bu Erta'!$C$2:$E$66,3,0)</f>
        <v>1400</v>
      </c>
      <c r="F327">
        <f>1+3+0.15</f>
        <v>4.1500000000000004</v>
      </c>
      <c r="G327" s="3">
        <f t="shared" si="9"/>
        <v>5810.0000000000009</v>
      </c>
      <c r="H327" s="3">
        <f>VLOOKUP(D327,'Bu Erta'!$C$2:$F$66,4,0)*F327</f>
        <v>6640.0000000000009</v>
      </c>
    </row>
    <row r="328" spans="1:8" x14ac:dyDescent="0.35">
      <c r="B328" t="s">
        <v>102</v>
      </c>
      <c r="D328" t="s">
        <v>19</v>
      </c>
      <c r="E328" s="3">
        <f>VLOOKUP(D328,'Bu Erta'!$C$2:$E$66,3,0)</f>
        <v>200</v>
      </c>
      <c r="F328">
        <f>1.5+0.2</f>
        <v>1.7</v>
      </c>
      <c r="G328" s="3">
        <f t="shared" si="9"/>
        <v>340</v>
      </c>
      <c r="H328" s="3">
        <f>VLOOKUP(D328,'Bu Erta'!$C$2:$F$66,4,0)*F328</f>
        <v>510</v>
      </c>
    </row>
    <row r="329" spans="1:8" x14ac:dyDescent="0.35">
      <c r="B329" t="s">
        <v>102</v>
      </c>
      <c r="D329" t="s">
        <v>40</v>
      </c>
      <c r="E329" s="3">
        <f>VLOOKUP(D329,'Bu Erta'!$C$2:$E$66,3,0)</f>
        <v>1800</v>
      </c>
      <c r="F329">
        <v>2.2999999999999998</v>
      </c>
      <c r="G329" s="3">
        <f t="shared" si="9"/>
        <v>4140</v>
      </c>
      <c r="H329" s="3">
        <f>VLOOKUP(D329,'Bu Erta'!$C$2:$F$66,4,0)*F329</f>
        <v>4600</v>
      </c>
    </row>
    <row r="330" spans="1:8" x14ac:dyDescent="0.35">
      <c r="B330" t="s">
        <v>102</v>
      </c>
      <c r="D330" t="s">
        <v>38</v>
      </c>
      <c r="E330" s="3">
        <f>VLOOKUP(D330,'Bu Erta'!$C$2:$E$66,3,0)</f>
        <v>1400</v>
      </c>
      <c r="F330">
        <v>0.8</v>
      </c>
      <c r="G330" s="3">
        <f t="shared" si="9"/>
        <v>1120</v>
      </c>
      <c r="H330" s="3">
        <f>VLOOKUP(D330,'Bu Erta'!$C$2:$F$66,4,0)*F330</f>
        <v>1280</v>
      </c>
    </row>
    <row r="331" spans="1:8" x14ac:dyDescent="0.35">
      <c r="A331" s="5">
        <v>51</v>
      </c>
      <c r="B331" t="s">
        <v>110</v>
      </c>
      <c r="C331" s="1">
        <v>5</v>
      </c>
      <c r="D331" t="s">
        <v>7</v>
      </c>
      <c r="E331" s="3">
        <f>VLOOKUP(D331,'Bu Erta'!$C$2:$E$66,3,0)</f>
        <v>1400</v>
      </c>
      <c r="F331">
        <f>1.6+0.45+0.2+0.2</f>
        <v>2.4500000000000006</v>
      </c>
      <c r="G331" s="3">
        <f t="shared" si="9"/>
        <v>3430.0000000000009</v>
      </c>
      <c r="H331" s="3">
        <f>VLOOKUP(D331,'Bu Erta'!$C$2:$F$66,4,0)*F331</f>
        <v>3920.0000000000009</v>
      </c>
    </row>
    <row r="332" spans="1:8" x14ac:dyDescent="0.35">
      <c r="B332" t="s">
        <v>110</v>
      </c>
      <c r="D332" t="s">
        <v>40</v>
      </c>
      <c r="E332" s="3">
        <f>VLOOKUP(D332,'Bu Erta'!$C$2:$E$66,3,0)</f>
        <v>1800</v>
      </c>
      <c r="F332">
        <v>2.8</v>
      </c>
      <c r="G332" s="3">
        <f t="shared" si="9"/>
        <v>5040</v>
      </c>
      <c r="H332" s="3">
        <f>VLOOKUP(D332,'Bu Erta'!$C$2:$F$66,4,0)*F332</f>
        <v>5600</v>
      </c>
    </row>
    <row r="333" spans="1:8" x14ac:dyDescent="0.35">
      <c r="B333" t="s">
        <v>110</v>
      </c>
      <c r="D333" t="s">
        <v>22</v>
      </c>
      <c r="E333" s="3">
        <f>VLOOKUP(D333,'Bu Erta'!$C$2:$E$66,3,0)</f>
        <v>2500</v>
      </c>
      <c r="F333">
        <v>0.25</v>
      </c>
      <c r="G333" s="3">
        <f t="shared" si="9"/>
        <v>625</v>
      </c>
      <c r="H333" s="3">
        <f>VLOOKUP(D333,'Bu Erta'!$C$2:$F$66,4,0)*F333</f>
        <v>750</v>
      </c>
    </row>
    <row r="334" spans="1:8" x14ac:dyDescent="0.35">
      <c r="B334" t="s">
        <v>110</v>
      </c>
      <c r="D334" t="s">
        <v>27</v>
      </c>
      <c r="E334" s="3">
        <f>VLOOKUP(D334,'Bu Erta'!$C$2:$E$66,3,0)</f>
        <v>2800</v>
      </c>
      <c r="F334">
        <f>0.45+0.15</f>
        <v>0.6</v>
      </c>
      <c r="G334" s="3">
        <f t="shared" si="9"/>
        <v>1680</v>
      </c>
      <c r="H334" s="3">
        <f>VLOOKUP(D334,'Bu Erta'!$C$2:$F$66,4,0)*F334</f>
        <v>1860</v>
      </c>
    </row>
    <row r="335" spans="1:8" x14ac:dyDescent="0.35">
      <c r="B335" t="s">
        <v>110</v>
      </c>
      <c r="D335" t="s">
        <v>25</v>
      </c>
      <c r="E335" s="3">
        <f>VLOOKUP(D335,'Bu Erta'!$C$2:$E$66,3,0)</f>
        <v>1600</v>
      </c>
      <c r="F335">
        <v>0.2</v>
      </c>
      <c r="G335" s="3">
        <f t="shared" si="9"/>
        <v>320</v>
      </c>
      <c r="H335" s="3">
        <f>VLOOKUP(D335,'Bu Erta'!$C$2:$F$66,4,0)*F335</f>
        <v>340</v>
      </c>
    </row>
    <row r="336" spans="1:8" x14ac:dyDescent="0.35">
      <c r="B336" t="s">
        <v>110</v>
      </c>
      <c r="D336" t="s">
        <v>19</v>
      </c>
      <c r="E336" s="3">
        <f>VLOOKUP(D336,'Bu Erta'!$C$2:$E$66,3,0)</f>
        <v>200</v>
      </c>
      <c r="F336">
        <v>2.7</v>
      </c>
      <c r="G336" s="3">
        <f t="shared" si="9"/>
        <v>540</v>
      </c>
      <c r="H336" s="3">
        <f>VLOOKUP(D336,'Bu Erta'!$C$2:$F$66,4,0)*F336</f>
        <v>810</v>
      </c>
    </row>
    <row r="337" spans="1:9" x14ac:dyDescent="0.35">
      <c r="B337" t="s">
        <v>110</v>
      </c>
      <c r="D337" t="s">
        <v>41</v>
      </c>
      <c r="E337" s="3">
        <f>VLOOKUP(D337,'Bu Erta'!$C$2:$E$66,3,0)</f>
        <v>1500</v>
      </c>
      <c r="F337">
        <v>0.25</v>
      </c>
      <c r="G337" s="3">
        <f t="shared" si="9"/>
        <v>375</v>
      </c>
      <c r="H337" s="3">
        <f>VLOOKUP(D337,'Bu Erta'!$C$2:$F$66,4,0)*F337</f>
        <v>500</v>
      </c>
    </row>
    <row r="338" spans="1:9" x14ac:dyDescent="0.35">
      <c r="B338" t="s">
        <v>110</v>
      </c>
      <c r="D338" t="s">
        <v>42</v>
      </c>
      <c r="E338" s="3">
        <f>VLOOKUP(D338,'Bu Erta'!$C$2:$E$66,3,0)</f>
        <v>1000</v>
      </c>
      <c r="F338">
        <f>2.2+2.95</f>
        <v>5.15</v>
      </c>
      <c r="G338" s="3">
        <f t="shared" si="9"/>
        <v>5150</v>
      </c>
      <c r="H338" s="3">
        <f>VLOOKUP(D338,'Bu Erta'!$C$2:$F$66,4,0)*F338</f>
        <v>6180</v>
      </c>
    </row>
    <row r="339" spans="1:9" x14ac:dyDescent="0.35">
      <c r="B339" t="s">
        <v>110</v>
      </c>
      <c r="D339" t="s">
        <v>24</v>
      </c>
      <c r="E339" s="3">
        <f>VLOOKUP(D339,'Bu Erta'!$C$2:$E$66,3,0)</f>
        <v>150</v>
      </c>
      <c r="F339">
        <v>1.3</v>
      </c>
      <c r="G339" s="3">
        <f t="shared" si="9"/>
        <v>195</v>
      </c>
      <c r="H339" s="3">
        <f>VLOOKUP(D339,'Bu Erta'!$C$2:$F$66,4,0)*F339</f>
        <v>260</v>
      </c>
    </row>
    <row r="340" spans="1:9" x14ac:dyDescent="0.35">
      <c r="B340" t="s">
        <v>110</v>
      </c>
      <c r="D340" t="s">
        <v>23</v>
      </c>
      <c r="E340" s="3">
        <f>VLOOKUP(D340,'Bu Erta'!$C$2:$E$66,3,0)</f>
        <v>300</v>
      </c>
      <c r="F340">
        <v>1.35</v>
      </c>
      <c r="G340" s="3">
        <f t="shared" si="9"/>
        <v>405</v>
      </c>
      <c r="H340" s="3">
        <f>VLOOKUP(D340,'Bu Erta'!$C$2:$F$66,4,0)*F340</f>
        <v>540</v>
      </c>
    </row>
    <row r="341" spans="1:9" x14ac:dyDescent="0.35">
      <c r="A341" s="5">
        <v>52</v>
      </c>
      <c r="B341" t="s">
        <v>174</v>
      </c>
      <c r="C341" s="1">
        <v>5</v>
      </c>
      <c r="D341" t="s">
        <v>38</v>
      </c>
      <c r="E341" s="3">
        <f>VLOOKUP(D341,'Bu Erta'!$C$2:$E$66,3,0)</f>
        <v>1400</v>
      </c>
      <c r="F341">
        <v>1.1499999999999999</v>
      </c>
      <c r="G341" s="3">
        <f t="shared" si="9"/>
        <v>1609.9999999999998</v>
      </c>
      <c r="H341" s="3">
        <f>VLOOKUP(D341,'Bu Erta'!$C$2:$F$66,4,0)*F341</f>
        <v>1839.9999999999998</v>
      </c>
    </row>
    <row r="342" spans="1:9" x14ac:dyDescent="0.35">
      <c r="B342" t="s">
        <v>174</v>
      </c>
      <c r="D342" t="s">
        <v>31</v>
      </c>
      <c r="E342" s="3">
        <f>VLOOKUP(D342,'Bu Erta'!$C$2:$E$66,3,0)</f>
        <v>1000</v>
      </c>
      <c r="F342">
        <v>0.7</v>
      </c>
      <c r="G342" s="3">
        <f t="shared" si="9"/>
        <v>700</v>
      </c>
      <c r="H342" s="3">
        <f>VLOOKUP(D342,'Bu Erta'!$C$2:$F$66,4,0)*F342</f>
        <v>770</v>
      </c>
    </row>
    <row r="343" spans="1:9" x14ac:dyDescent="0.35">
      <c r="B343" t="s">
        <v>174</v>
      </c>
      <c r="D343" t="s">
        <v>24</v>
      </c>
      <c r="E343" s="3">
        <f>VLOOKUP(D343,'Bu Erta'!$C$2:$E$66,3,0)</f>
        <v>150</v>
      </c>
      <c r="F343">
        <v>1.45</v>
      </c>
      <c r="G343" s="3">
        <f t="shared" si="9"/>
        <v>217.5</v>
      </c>
      <c r="H343" s="3">
        <f>VLOOKUP(D343,'Bu Erta'!$C$2:$F$66,4,0)*F343</f>
        <v>290</v>
      </c>
    </row>
    <row r="344" spans="1:9" x14ac:dyDescent="0.35">
      <c r="B344" t="s">
        <v>174</v>
      </c>
      <c r="D344" t="s">
        <v>41</v>
      </c>
      <c r="E344" s="3">
        <f>VLOOKUP(D344,'Bu Erta'!$C$2:$E$66,3,0)</f>
        <v>1500</v>
      </c>
      <c r="F344">
        <v>0.5</v>
      </c>
      <c r="G344" s="3">
        <f t="shared" si="9"/>
        <v>750</v>
      </c>
      <c r="H344" s="3">
        <f>VLOOKUP(D344,'Bu Erta'!$C$2:$F$66,4,0)*F344</f>
        <v>1000</v>
      </c>
    </row>
    <row r="345" spans="1:9" x14ac:dyDescent="0.35">
      <c r="A345" s="5">
        <v>53</v>
      </c>
      <c r="B345" t="s">
        <v>200</v>
      </c>
      <c r="C345" s="1" t="s">
        <v>201</v>
      </c>
      <c r="D345" t="s">
        <v>48</v>
      </c>
      <c r="E345" s="3">
        <f>VLOOKUP(D345,'Bu Erta'!$C$2:$E$66,3,0)</f>
        <v>13000</v>
      </c>
      <c r="F345">
        <v>1</v>
      </c>
      <c r="G345" s="3">
        <f t="shared" si="9"/>
        <v>13000</v>
      </c>
      <c r="H345" s="3">
        <f>VLOOKUP(D345,'Bu Erta'!$C$2:$F$66,4,0)*F345</f>
        <v>15000</v>
      </c>
    </row>
    <row r="346" spans="1:9" x14ac:dyDescent="0.35">
      <c r="B346" t="s">
        <v>200</v>
      </c>
      <c r="C346" s="1"/>
      <c r="D346" t="s">
        <v>27</v>
      </c>
      <c r="E346" s="3">
        <f>VLOOKUP(D346,'Bu Erta'!$C$2:$E$66,3,0)</f>
        <v>2800</v>
      </c>
      <c r="F346">
        <v>1.05</v>
      </c>
      <c r="G346" s="3">
        <f t="shared" ref="G346:G347" si="10">E346*F346</f>
        <v>2940</v>
      </c>
      <c r="H346" s="3">
        <f>VLOOKUP(D346,'Bu Erta'!$C$2:$F$66,4,0)*F346</f>
        <v>3255</v>
      </c>
    </row>
    <row r="347" spans="1:9" x14ac:dyDescent="0.35">
      <c r="A347" s="5">
        <v>54</v>
      </c>
      <c r="B347" s="69" t="s">
        <v>219</v>
      </c>
      <c r="C347" s="1" t="s">
        <v>201</v>
      </c>
      <c r="D347" t="s">
        <v>7</v>
      </c>
      <c r="E347" s="3">
        <f>VLOOKUP(D347,'Bu Erta'!$C$2:$E$66,3,0)</f>
        <v>1400</v>
      </c>
      <c r="F347">
        <v>0.2</v>
      </c>
      <c r="G347" s="3">
        <f t="shared" si="10"/>
        <v>280</v>
      </c>
      <c r="H347" s="3">
        <f>VLOOKUP(D347,'Bu Erta'!$C$2:$F$66,4,0)*F347</f>
        <v>320</v>
      </c>
    </row>
    <row r="348" spans="1:9" x14ac:dyDescent="0.35">
      <c r="B348" s="69" t="s">
        <v>219</v>
      </c>
      <c r="D348" t="s">
        <v>88</v>
      </c>
      <c r="E348" s="3">
        <f>VLOOKUP(D348,'Bu Erta'!$C$2:$E$66,3,0)</f>
        <v>300</v>
      </c>
      <c r="F348">
        <v>0.3</v>
      </c>
      <c r="G348" s="3">
        <f t="shared" si="9"/>
        <v>90</v>
      </c>
      <c r="H348" s="3">
        <f>VLOOKUP(D348,'Bu Erta'!$C$2:$F$66,4,0)*F348</f>
        <v>120</v>
      </c>
    </row>
    <row r="349" spans="1:9" x14ac:dyDescent="0.35">
      <c r="B349" s="69" t="s">
        <v>219</v>
      </c>
      <c r="D349" t="s">
        <v>25</v>
      </c>
      <c r="E349" s="3">
        <f>VLOOKUP(D349,'Bu Erta'!$C$2:$E$66,3,0)</f>
        <v>1600</v>
      </c>
      <c r="F349">
        <v>0.7</v>
      </c>
      <c r="G349" s="3">
        <f t="shared" si="9"/>
        <v>1120</v>
      </c>
      <c r="H349" s="3">
        <f>VLOOKUP(D349,'Bu Erta'!$C$2:$F$66,4,0)*F349</f>
        <v>1190</v>
      </c>
    </row>
    <row r="350" spans="1:9" x14ac:dyDescent="0.35">
      <c r="B350" s="69" t="s">
        <v>219</v>
      </c>
      <c r="D350" t="s">
        <v>70</v>
      </c>
      <c r="E350" s="3">
        <f>VLOOKUP(D350,'Bu Erta'!$C$2:$E$66,3,0)</f>
        <v>3500</v>
      </c>
      <c r="F350">
        <v>0.15</v>
      </c>
      <c r="G350" s="3">
        <f t="shared" si="9"/>
        <v>525</v>
      </c>
      <c r="H350" s="3">
        <f>VLOOKUP(D350,'Bu Erta'!$C$2:$F$66,4,0)*F350</f>
        <v>600</v>
      </c>
    </row>
    <row r="351" spans="1:9" x14ac:dyDescent="0.35">
      <c r="E351" s="3"/>
      <c r="F351" s="58">
        <f>SUM(F3:F350)</f>
        <v>441.95</v>
      </c>
      <c r="G351" s="3">
        <f>SUM(G3:G350)</f>
        <v>606410</v>
      </c>
      <c r="H351" s="3">
        <f>SUM(H3:H350)</f>
        <v>702677.5</v>
      </c>
      <c r="I351" s="4">
        <f>H351-G351</f>
        <v>96267.5</v>
      </c>
    </row>
    <row r="352" spans="1:9" x14ac:dyDescent="0.35">
      <c r="E352" s="3"/>
      <c r="G352" s="3"/>
      <c r="H352" s="3"/>
    </row>
    <row r="353" spans="5:8" x14ac:dyDescent="0.35">
      <c r="E353" s="3"/>
      <c r="G353" s="3"/>
      <c r="H353" s="3"/>
    </row>
    <row r="354" spans="5:8" x14ac:dyDescent="0.35">
      <c r="E354" s="3"/>
      <c r="G354" s="3"/>
      <c r="H354" s="3"/>
    </row>
    <row r="355" spans="5:8" x14ac:dyDescent="0.35">
      <c r="E355" s="3"/>
      <c r="G355" s="3"/>
      <c r="H355" s="3"/>
    </row>
    <row r="356" spans="5:8" x14ac:dyDescent="0.35">
      <c r="E356" s="3"/>
      <c r="G356" s="3"/>
      <c r="H356" s="3"/>
    </row>
    <row r="357" spans="5:8" x14ac:dyDescent="0.35">
      <c r="E357" s="3"/>
      <c r="G357" s="3"/>
      <c r="H357" s="3"/>
    </row>
    <row r="358" spans="5:8" x14ac:dyDescent="0.35">
      <c r="E358" s="3"/>
      <c r="G358" s="3"/>
      <c r="H358" s="3"/>
    </row>
    <row r="359" spans="5:8" x14ac:dyDescent="0.35">
      <c r="E359" s="3"/>
      <c r="G359" s="3"/>
      <c r="H359" s="3"/>
    </row>
    <row r="360" spans="5:8" x14ac:dyDescent="0.35">
      <c r="E360" s="3"/>
      <c r="G360" s="3"/>
      <c r="H360" s="3"/>
    </row>
    <row r="361" spans="5:8" x14ac:dyDescent="0.35">
      <c r="E361" s="3"/>
      <c r="G361" s="3"/>
      <c r="H361" s="3"/>
    </row>
    <row r="362" spans="5:8" x14ac:dyDescent="0.35">
      <c r="E362" s="3"/>
      <c r="G362" s="3"/>
      <c r="H362" s="3"/>
    </row>
    <row r="363" spans="5:8" x14ac:dyDescent="0.35">
      <c r="E363" s="3"/>
      <c r="G363" s="3"/>
      <c r="H363" s="3"/>
    </row>
    <row r="364" spans="5:8" x14ac:dyDescent="0.35">
      <c r="E364" s="3"/>
      <c r="G364" s="3"/>
      <c r="H364" s="3"/>
    </row>
    <row r="365" spans="5:8" x14ac:dyDescent="0.35">
      <c r="E365" s="3"/>
      <c r="G365" s="3"/>
      <c r="H365" s="3"/>
    </row>
    <row r="366" spans="5:8" x14ac:dyDescent="0.35">
      <c r="E366" s="3"/>
      <c r="G366" s="3"/>
      <c r="H366" s="3"/>
    </row>
    <row r="367" spans="5:8" x14ac:dyDescent="0.35">
      <c r="E367" s="3"/>
      <c r="G367" s="3"/>
      <c r="H367" s="3"/>
    </row>
    <row r="368" spans="5:8" x14ac:dyDescent="0.35">
      <c r="E368" s="3"/>
      <c r="G368" s="3"/>
      <c r="H368" s="3"/>
    </row>
    <row r="369" spans="5:8" x14ac:dyDescent="0.35">
      <c r="E369" s="3"/>
      <c r="G369" s="3"/>
      <c r="H369" s="3"/>
    </row>
    <row r="370" spans="5:8" x14ac:dyDescent="0.35">
      <c r="E370" s="3"/>
      <c r="G370" s="3"/>
      <c r="H370" s="3"/>
    </row>
    <row r="371" spans="5:8" x14ac:dyDescent="0.35">
      <c r="E371" s="3"/>
      <c r="G371" s="3"/>
      <c r="H371" s="3"/>
    </row>
    <row r="372" spans="5:8" x14ac:dyDescent="0.35">
      <c r="E372" s="3"/>
      <c r="G372" s="3"/>
      <c r="H372" s="3"/>
    </row>
    <row r="373" spans="5:8" x14ac:dyDescent="0.35">
      <c r="E373" s="3"/>
      <c r="G373" s="3"/>
      <c r="H373" s="3"/>
    </row>
    <row r="374" spans="5:8" x14ac:dyDescent="0.35">
      <c r="E374" s="3"/>
      <c r="G374" s="3"/>
      <c r="H374" s="3"/>
    </row>
    <row r="375" spans="5:8" x14ac:dyDescent="0.35">
      <c r="E375" s="3"/>
      <c r="G375" s="3"/>
      <c r="H375" s="3"/>
    </row>
    <row r="376" spans="5:8" x14ac:dyDescent="0.35">
      <c r="E376" s="3"/>
      <c r="G376" s="3"/>
      <c r="H376" s="3"/>
    </row>
    <row r="377" spans="5:8" x14ac:dyDescent="0.35">
      <c r="E377" s="3"/>
      <c r="G377" s="3"/>
      <c r="H377" s="3"/>
    </row>
    <row r="378" spans="5:8" x14ac:dyDescent="0.35">
      <c r="E378" s="3"/>
      <c r="G378" s="3"/>
      <c r="H378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CCDC-ABFC-4437-A32E-8B64AECDEBD8}">
  <dimension ref="A2:AB333"/>
  <sheetViews>
    <sheetView topLeftCell="D47" zoomScale="69" zoomScaleNormal="80" workbookViewId="0">
      <selection activeCell="Q41" sqref="Q41"/>
    </sheetView>
  </sheetViews>
  <sheetFormatPr defaultRowHeight="14.5" x14ac:dyDescent="0.35"/>
  <cols>
    <col min="1" max="1" width="8.7265625" style="5"/>
    <col min="2" max="2" width="14.81640625" customWidth="1"/>
    <col min="3" max="3" width="8.7265625" style="5"/>
    <col min="4" max="4" width="23.6328125" bestFit="1" customWidth="1"/>
    <col min="5" max="5" width="9.26953125" style="3" bestFit="1" customWidth="1"/>
    <col min="7" max="7" width="11.6328125" style="3" bestFit="1" customWidth="1"/>
    <col min="8" max="8" width="11.6328125" style="3" customWidth="1"/>
    <col min="10" max="10" width="14.26953125" bestFit="1" customWidth="1"/>
    <col min="11" max="11" width="9.1796875" bestFit="1" customWidth="1"/>
    <col min="12" max="12" width="18.1796875" style="3" bestFit="1" customWidth="1"/>
    <col min="15" max="15" width="23.6328125" bestFit="1" customWidth="1"/>
    <col min="16" max="16" width="9.1796875" bestFit="1" customWidth="1"/>
    <col min="18" max="18" width="11.81640625" bestFit="1" customWidth="1"/>
    <col min="21" max="21" width="23.6328125" bestFit="1" customWidth="1"/>
    <col min="24" max="24" width="11.81640625" bestFit="1" customWidth="1"/>
    <col min="26" max="26" width="23.26953125" bestFit="1" customWidth="1"/>
    <col min="27" max="27" width="11.6328125" bestFit="1" customWidth="1"/>
    <col min="28" max="28" width="18.1796875" style="3" bestFit="1" customWidth="1"/>
  </cols>
  <sheetData>
    <row r="2" spans="1:28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H2" s="79"/>
      <c r="J2" s="68" t="s">
        <v>170</v>
      </c>
      <c r="K2" t="s">
        <v>172</v>
      </c>
      <c r="L2" s="4" t="s">
        <v>82</v>
      </c>
      <c r="N2" s="40" t="s">
        <v>131</v>
      </c>
      <c r="Q2" t="s">
        <v>221</v>
      </c>
      <c r="T2" s="40" t="s">
        <v>169</v>
      </c>
      <c r="W2" t="s">
        <v>221</v>
      </c>
      <c r="Z2" s="68" t="s">
        <v>170</v>
      </c>
      <c r="AA2" t="s">
        <v>171</v>
      </c>
      <c r="AB2" s="4" t="s">
        <v>82</v>
      </c>
    </row>
    <row r="3" spans="1:28" x14ac:dyDescent="0.35">
      <c r="A3" s="108">
        <v>1</v>
      </c>
      <c r="B3" t="s">
        <v>187</v>
      </c>
      <c r="C3" s="108">
        <v>4</v>
      </c>
      <c r="D3" t="s">
        <v>22</v>
      </c>
      <c r="E3" s="3">
        <f>VLOOKUP(D3,'Bu Erta'!$C$2:$E$66,3,0)</f>
        <v>2500</v>
      </c>
      <c r="F3">
        <v>7.8</v>
      </c>
      <c r="G3" s="3">
        <f>E3*F3</f>
        <v>19500</v>
      </c>
      <c r="H3" s="3">
        <f>VLOOKUP(D3,'Bu Erta'!$C$2:$F$66,4,0)*F3</f>
        <v>23400</v>
      </c>
      <c r="J3" s="69" t="s">
        <v>200</v>
      </c>
      <c r="K3">
        <v>0</v>
      </c>
      <c r="L3" s="4">
        <v>13000</v>
      </c>
      <c r="N3" s="49" t="s">
        <v>8</v>
      </c>
      <c r="O3" s="50" t="s">
        <v>128</v>
      </c>
      <c r="P3" s="51" t="s">
        <v>1</v>
      </c>
      <c r="Q3" s="50" t="s">
        <v>0</v>
      </c>
      <c r="R3" s="51" t="s">
        <v>3</v>
      </c>
      <c r="T3" s="49" t="s">
        <v>8</v>
      </c>
      <c r="U3" s="50" t="s">
        <v>128</v>
      </c>
      <c r="V3" s="51" t="s">
        <v>1</v>
      </c>
      <c r="W3" s="50" t="s">
        <v>0</v>
      </c>
      <c r="X3" s="51" t="s">
        <v>3</v>
      </c>
      <c r="Z3" s="69" t="s">
        <v>215</v>
      </c>
      <c r="AA3">
        <v>4</v>
      </c>
      <c r="AB3" s="4">
        <v>24000</v>
      </c>
    </row>
    <row r="4" spans="1:28" x14ac:dyDescent="0.35">
      <c r="A4" s="106"/>
      <c r="B4" t="s">
        <v>187</v>
      </c>
      <c r="C4" s="106"/>
      <c r="D4" t="s">
        <v>41</v>
      </c>
      <c r="E4" s="3">
        <f>VLOOKUP(D4,'Bu Erta'!$C$2:$E$66,3,0)</f>
        <v>1500</v>
      </c>
      <c r="F4">
        <v>0.2</v>
      </c>
      <c r="G4" s="3">
        <f t="shared" ref="G4:G66" si="0">E4*F4</f>
        <v>300</v>
      </c>
      <c r="H4" s="3">
        <f>VLOOKUP(D4,'Bu Erta'!$C$2:$F$66,4,0)*F4</f>
        <v>400</v>
      </c>
      <c r="J4" s="69" t="s">
        <v>219</v>
      </c>
      <c r="K4">
        <v>0</v>
      </c>
      <c r="L4" s="4">
        <v>11095</v>
      </c>
      <c r="N4" s="44">
        <v>1</v>
      </c>
      <c r="O4" s="17" t="s">
        <v>13</v>
      </c>
      <c r="P4" s="52">
        <f>VLOOKUP(O4,'Bu Erta'!$C$2:$F$66,4,0)</f>
        <v>1500</v>
      </c>
      <c r="Q4" s="53">
        <f t="shared" ref="Q4:Q12" si="1">SUMIF($D$3:$D$332,O4,$F$3:$F$332)</f>
        <v>0</v>
      </c>
      <c r="R4" s="52">
        <f>P4*Q4</f>
        <v>0</v>
      </c>
      <c r="T4" s="44">
        <v>1</v>
      </c>
      <c r="U4" s="17" t="s">
        <v>13</v>
      </c>
      <c r="V4" s="52"/>
      <c r="W4" s="53"/>
      <c r="X4" s="52"/>
      <c r="Z4" s="69" t="s">
        <v>17</v>
      </c>
      <c r="AA4">
        <v>0.35</v>
      </c>
      <c r="AB4" s="4">
        <v>2800</v>
      </c>
    </row>
    <row r="5" spans="1:28" x14ac:dyDescent="0.35">
      <c r="A5" s="106"/>
      <c r="B5" t="s">
        <v>187</v>
      </c>
      <c r="C5" s="106"/>
      <c r="D5" t="s">
        <v>25</v>
      </c>
      <c r="E5" s="3">
        <f>VLOOKUP(D5,'Bu Erta'!$C$2:$E$66,3,0)</f>
        <v>1600</v>
      </c>
      <c r="F5">
        <v>0.3</v>
      </c>
      <c r="G5" s="3">
        <f t="shared" si="0"/>
        <v>480</v>
      </c>
      <c r="H5" s="3">
        <f>VLOOKUP(D5,'Bu Erta'!$C$2:$F$66,4,0)*F5</f>
        <v>510</v>
      </c>
      <c r="J5" s="69" t="s">
        <v>139</v>
      </c>
      <c r="K5">
        <v>1</v>
      </c>
      <c r="L5" s="4">
        <v>580</v>
      </c>
      <c r="N5" s="44">
        <v>2</v>
      </c>
      <c r="O5" s="17" t="s">
        <v>14</v>
      </c>
      <c r="P5" s="52">
        <f>VLOOKUP(O5,'Bu Erta'!$C$2:$F$66,4,0)</f>
        <v>100000</v>
      </c>
      <c r="Q5" s="53">
        <f t="shared" si="1"/>
        <v>0</v>
      </c>
      <c r="R5" s="52">
        <f t="shared" ref="R5:R67" si="2">P5*Q5</f>
        <v>0</v>
      </c>
      <c r="T5" s="44">
        <v>2</v>
      </c>
      <c r="U5" s="17" t="s">
        <v>14</v>
      </c>
      <c r="V5" s="52"/>
      <c r="W5" s="53"/>
      <c r="X5" s="52"/>
      <c r="Z5" s="69" t="s">
        <v>19</v>
      </c>
      <c r="AA5">
        <v>25.1</v>
      </c>
      <c r="AB5" s="4">
        <v>5020</v>
      </c>
    </row>
    <row r="6" spans="1:28" x14ac:dyDescent="0.35">
      <c r="A6" s="106"/>
      <c r="B6" t="s">
        <v>187</v>
      </c>
      <c r="C6" s="106"/>
      <c r="D6" t="s">
        <v>40</v>
      </c>
      <c r="E6" s="3">
        <f>VLOOKUP(D6,'Bu Erta'!$C$2:$E$66,3,0)</f>
        <v>1800</v>
      </c>
      <c r="F6">
        <v>0.5</v>
      </c>
      <c r="G6" s="3">
        <f t="shared" si="0"/>
        <v>900</v>
      </c>
      <c r="H6" s="3">
        <f>VLOOKUP(D6,'Bu Erta'!$C$2:$F$66,4,0)*F6</f>
        <v>1000</v>
      </c>
      <c r="J6" s="69" t="s">
        <v>138</v>
      </c>
      <c r="K6">
        <v>1</v>
      </c>
      <c r="L6" s="4">
        <v>2355</v>
      </c>
      <c r="N6" s="44">
        <v>3</v>
      </c>
      <c r="O6" s="17" t="s">
        <v>15</v>
      </c>
      <c r="P6" s="52">
        <f>VLOOKUP(O6,'Bu Erta'!$C$2:$F$66,4,0)</f>
        <v>40000</v>
      </c>
      <c r="Q6" s="53">
        <f t="shared" si="1"/>
        <v>0</v>
      </c>
      <c r="R6" s="52">
        <f t="shared" si="2"/>
        <v>0</v>
      </c>
      <c r="T6" s="44">
        <v>3</v>
      </c>
      <c r="U6" s="17" t="s">
        <v>15</v>
      </c>
      <c r="V6" s="52"/>
      <c r="W6" s="53"/>
      <c r="X6" s="52"/>
      <c r="Z6" s="69" t="s">
        <v>22</v>
      </c>
      <c r="AA6">
        <v>22.299999999999997</v>
      </c>
      <c r="AB6" s="4">
        <v>55750</v>
      </c>
    </row>
    <row r="7" spans="1:28" x14ac:dyDescent="0.35">
      <c r="A7" s="106"/>
      <c r="B7" t="s">
        <v>187</v>
      </c>
      <c r="C7" s="106"/>
      <c r="D7" t="s">
        <v>38</v>
      </c>
      <c r="E7" s="3">
        <f>VLOOKUP(D7,'Bu Erta'!$C$2:$E$66,3,0)</f>
        <v>1400</v>
      </c>
      <c r="F7">
        <v>0.55000000000000004</v>
      </c>
      <c r="G7" s="3">
        <f t="shared" si="0"/>
        <v>770.00000000000011</v>
      </c>
      <c r="H7" s="3">
        <f>VLOOKUP(D7,'Bu Erta'!$C$2:$F$66,4,0)*F7</f>
        <v>880.00000000000011</v>
      </c>
      <c r="J7" s="69" t="s">
        <v>218</v>
      </c>
      <c r="K7">
        <v>1</v>
      </c>
      <c r="L7" s="4">
        <v>11970</v>
      </c>
      <c r="N7" s="44">
        <v>4</v>
      </c>
      <c r="O7" s="17" t="s">
        <v>16</v>
      </c>
      <c r="P7" s="52">
        <f>VLOOKUP(O7,'Bu Erta'!$C$2:$F$66,4,0)</f>
        <v>6500</v>
      </c>
      <c r="Q7" s="53">
        <f t="shared" si="1"/>
        <v>4</v>
      </c>
      <c r="R7" s="52">
        <f t="shared" si="2"/>
        <v>26000</v>
      </c>
      <c r="T7" s="44">
        <v>4</v>
      </c>
      <c r="U7" s="17" t="s">
        <v>16</v>
      </c>
      <c r="V7" s="52"/>
      <c r="W7" s="53"/>
      <c r="X7" s="52"/>
      <c r="Z7" s="69" t="s">
        <v>23</v>
      </c>
      <c r="AA7">
        <v>18.45</v>
      </c>
      <c r="AB7" s="4">
        <v>5535</v>
      </c>
    </row>
    <row r="8" spans="1:28" x14ac:dyDescent="0.35">
      <c r="A8" s="106"/>
      <c r="B8" t="s">
        <v>187</v>
      </c>
      <c r="C8" s="106"/>
      <c r="D8" t="s">
        <v>6</v>
      </c>
      <c r="E8" s="3">
        <f>VLOOKUP(D8,'Bu Erta'!$C$2:$E$66,3,0)</f>
        <v>2000</v>
      </c>
      <c r="F8">
        <v>0.5</v>
      </c>
      <c r="G8" s="3">
        <f t="shared" si="0"/>
        <v>1000</v>
      </c>
      <c r="H8" s="3">
        <f>VLOOKUP(D8,'Bu Erta'!$C$2:$F$66,4,0)*F8</f>
        <v>1250</v>
      </c>
      <c r="J8" s="69" t="s">
        <v>83</v>
      </c>
      <c r="K8">
        <v>1</v>
      </c>
      <c r="L8" s="4">
        <v>9167.5</v>
      </c>
      <c r="N8" s="44">
        <v>5</v>
      </c>
      <c r="O8" s="17" t="s">
        <v>17</v>
      </c>
      <c r="P8" s="52">
        <f>VLOOKUP(O8,'Bu Erta'!$C$2:$F$66,4,0)</f>
        <v>8500</v>
      </c>
      <c r="Q8" s="53">
        <f t="shared" si="1"/>
        <v>0.35</v>
      </c>
      <c r="R8" s="52">
        <f t="shared" si="2"/>
        <v>2975</v>
      </c>
      <c r="T8" s="44">
        <v>5</v>
      </c>
      <c r="U8" s="17" t="s">
        <v>17</v>
      </c>
      <c r="V8" s="52"/>
      <c r="W8" s="53"/>
      <c r="X8" s="52"/>
      <c r="Z8" s="69" t="s">
        <v>25</v>
      </c>
      <c r="AA8">
        <v>9.75</v>
      </c>
      <c r="AB8" s="4">
        <v>15600</v>
      </c>
    </row>
    <row r="9" spans="1:28" x14ac:dyDescent="0.35">
      <c r="A9" s="106">
        <v>2</v>
      </c>
      <c r="B9" t="s">
        <v>98</v>
      </c>
      <c r="C9" s="106">
        <v>2</v>
      </c>
      <c r="D9" t="s">
        <v>27</v>
      </c>
      <c r="E9" s="3">
        <f>VLOOKUP(D9,'Bu Erta'!$C$2:$E$66,3,0)</f>
        <v>2800</v>
      </c>
      <c r="F9">
        <v>0.35</v>
      </c>
      <c r="G9" s="3">
        <f t="shared" si="0"/>
        <v>979.99999999999989</v>
      </c>
      <c r="H9" s="3">
        <f>VLOOKUP(D9,'Bu Erta'!$C$2:$F$66,4,0)*F9</f>
        <v>1085</v>
      </c>
      <c r="J9" s="69" t="s">
        <v>197</v>
      </c>
      <c r="K9">
        <v>1</v>
      </c>
      <c r="L9" s="4">
        <v>5380</v>
      </c>
      <c r="N9" s="44">
        <v>6</v>
      </c>
      <c r="O9" s="17" t="s">
        <v>18</v>
      </c>
      <c r="P9" s="52">
        <f>VLOOKUP(O9,'Bu Erta'!$C$2:$F$66,4,0)</f>
        <v>4000</v>
      </c>
      <c r="Q9" s="53">
        <f t="shared" si="1"/>
        <v>0</v>
      </c>
      <c r="R9" s="52">
        <f t="shared" si="2"/>
        <v>0</v>
      </c>
      <c r="T9" s="44">
        <v>6</v>
      </c>
      <c r="U9" s="17" t="s">
        <v>18</v>
      </c>
      <c r="V9" s="52"/>
      <c r="W9" s="53"/>
      <c r="X9" s="52"/>
      <c r="Z9" s="69" t="s">
        <v>24</v>
      </c>
      <c r="AA9">
        <v>31.200000000000006</v>
      </c>
      <c r="AB9" s="4">
        <v>4417.5</v>
      </c>
    </row>
    <row r="10" spans="1:28" x14ac:dyDescent="0.35">
      <c r="A10" s="106"/>
      <c r="B10" t="s">
        <v>98</v>
      </c>
      <c r="C10" s="106"/>
      <c r="D10" t="s">
        <v>7</v>
      </c>
      <c r="E10" s="3">
        <f>VLOOKUP(D10,'Bu Erta'!$C$2:$E$66,3,0)</f>
        <v>1400</v>
      </c>
      <c r="F10">
        <f>1.2+0.45+0.9+0.2</f>
        <v>2.75</v>
      </c>
      <c r="G10" s="3">
        <f t="shared" si="0"/>
        <v>3850</v>
      </c>
      <c r="H10" s="3">
        <f>VLOOKUP(D10,'Bu Erta'!$C$2:$F$66,4,0)*F10</f>
        <v>4400</v>
      </c>
      <c r="J10" s="69" t="s">
        <v>193</v>
      </c>
      <c r="K10">
        <v>1</v>
      </c>
      <c r="L10" s="4">
        <v>3065</v>
      </c>
      <c r="N10" s="44">
        <v>7</v>
      </c>
      <c r="O10" s="17" t="s">
        <v>19</v>
      </c>
      <c r="P10" s="52">
        <f>VLOOKUP(O10,'Bu Erta'!$C$2:$F$66,4,0)</f>
        <v>300</v>
      </c>
      <c r="Q10" s="53">
        <f t="shared" si="1"/>
        <v>25.1</v>
      </c>
      <c r="R10" s="52">
        <f t="shared" si="2"/>
        <v>7530</v>
      </c>
      <c r="T10" s="44">
        <v>7</v>
      </c>
      <c r="U10" s="17" t="s">
        <v>19</v>
      </c>
      <c r="V10" s="52"/>
      <c r="W10" s="53"/>
      <c r="X10" s="52"/>
      <c r="Z10" s="69" t="s">
        <v>27</v>
      </c>
      <c r="AA10">
        <v>15.800000000000002</v>
      </c>
      <c r="AB10" s="4">
        <v>44240</v>
      </c>
    </row>
    <row r="11" spans="1:28" x14ac:dyDescent="0.35">
      <c r="A11" s="106"/>
      <c r="B11" t="s">
        <v>98</v>
      </c>
      <c r="C11" s="106"/>
      <c r="D11" t="s">
        <v>34</v>
      </c>
      <c r="E11" s="3">
        <f>VLOOKUP(D11,'Bu Erta'!$C$2:$E$66,3,0)</f>
        <v>3500</v>
      </c>
      <c r="F11">
        <v>0.05</v>
      </c>
      <c r="G11" s="3">
        <f t="shared" si="0"/>
        <v>175</v>
      </c>
      <c r="H11" s="3">
        <f>VLOOKUP(D11,'Bu Erta'!$C$2:$F$66,4,0)*F11</f>
        <v>180</v>
      </c>
      <c r="J11" s="69" t="s">
        <v>217</v>
      </c>
      <c r="K11">
        <v>1</v>
      </c>
      <c r="L11" s="4">
        <v>17495</v>
      </c>
      <c r="N11" s="44">
        <v>8</v>
      </c>
      <c r="O11" s="17" t="s">
        <v>20</v>
      </c>
      <c r="P11" s="52">
        <f>VLOOKUP(O11,'Bu Erta'!$C$2:$F$66,4,0)</f>
        <v>8000</v>
      </c>
      <c r="Q11" s="53">
        <f t="shared" si="1"/>
        <v>0</v>
      </c>
      <c r="R11" s="52">
        <f t="shared" si="2"/>
        <v>0</v>
      </c>
      <c r="T11" s="44">
        <v>8</v>
      </c>
      <c r="U11" s="17" t="s">
        <v>20</v>
      </c>
      <c r="V11" s="52"/>
      <c r="W11" s="53"/>
      <c r="X11" s="52"/>
      <c r="Z11" s="69" t="s">
        <v>28</v>
      </c>
      <c r="AA11">
        <v>59.050000000000004</v>
      </c>
      <c r="AB11" s="4">
        <v>70860</v>
      </c>
    </row>
    <row r="12" spans="1:28" x14ac:dyDescent="0.35">
      <c r="A12" s="106"/>
      <c r="B12" t="s">
        <v>98</v>
      </c>
      <c r="C12" s="106"/>
      <c r="D12" t="s">
        <v>41</v>
      </c>
      <c r="E12" s="3">
        <f>VLOOKUP(D12,'Bu Erta'!$C$2:$E$66,3,0)</f>
        <v>1500</v>
      </c>
      <c r="F12">
        <f>0.7+0.2</f>
        <v>0.89999999999999991</v>
      </c>
      <c r="G12" s="3">
        <f t="shared" si="0"/>
        <v>1349.9999999999998</v>
      </c>
      <c r="H12" s="3">
        <f>VLOOKUP(D12,'Bu Erta'!$C$2:$F$66,4,0)*F12</f>
        <v>1799.9999999999998</v>
      </c>
      <c r="J12" s="69" t="s">
        <v>284</v>
      </c>
      <c r="K12">
        <v>2</v>
      </c>
      <c r="L12" s="4">
        <v>4255</v>
      </c>
      <c r="N12" s="44">
        <v>9</v>
      </c>
      <c r="O12" s="17" t="s">
        <v>21</v>
      </c>
      <c r="P12" s="52">
        <f>VLOOKUP(O12,'Bu Erta'!$C$2:$F$66,4,0)</f>
        <v>200</v>
      </c>
      <c r="Q12" s="53">
        <f t="shared" si="1"/>
        <v>0</v>
      </c>
      <c r="R12" s="52">
        <f t="shared" si="2"/>
        <v>0</v>
      </c>
      <c r="T12" s="44">
        <v>9</v>
      </c>
      <c r="U12" s="17" t="s">
        <v>21</v>
      </c>
      <c r="V12" s="52"/>
      <c r="W12" s="53"/>
      <c r="X12" s="52"/>
      <c r="Z12" s="69" t="s">
        <v>29</v>
      </c>
      <c r="AA12">
        <v>2.3499999999999996</v>
      </c>
      <c r="AB12" s="4">
        <v>11750</v>
      </c>
    </row>
    <row r="13" spans="1:28" x14ac:dyDescent="0.35">
      <c r="A13" s="106"/>
      <c r="B13" t="s">
        <v>98</v>
      </c>
      <c r="C13" s="106"/>
      <c r="D13" t="s">
        <v>23</v>
      </c>
      <c r="E13" s="3">
        <f>VLOOKUP(D13,'Bu Erta'!$C$2:$E$66,3,0)</f>
        <v>300</v>
      </c>
      <c r="F13">
        <v>0.55000000000000004</v>
      </c>
      <c r="G13" s="3">
        <f t="shared" si="0"/>
        <v>165</v>
      </c>
      <c r="H13" s="3">
        <f>VLOOKUP(D13,'Bu Erta'!$C$2:$F$66,4,0)*F13</f>
        <v>220.00000000000003</v>
      </c>
      <c r="J13" s="69" t="s">
        <v>175</v>
      </c>
      <c r="K13">
        <v>2</v>
      </c>
      <c r="L13" s="4">
        <v>8792.5</v>
      </c>
      <c r="N13" s="44">
        <v>10</v>
      </c>
      <c r="O13" s="17" t="s">
        <v>22</v>
      </c>
      <c r="P13" s="52">
        <f>VLOOKUP(O13,'Bu Erta'!$C$2:$F$66,4,0)</f>
        <v>3000</v>
      </c>
      <c r="Q13" s="53">
        <f>SUMIF($D$3:$D$332,O13,$F$3:$F$332)-18.95</f>
        <v>3.3499999999999979</v>
      </c>
      <c r="R13" s="52">
        <f t="shared" si="2"/>
        <v>10049.999999999993</v>
      </c>
      <c r="T13" s="44">
        <v>10</v>
      </c>
      <c r="U13" s="17" t="s">
        <v>22</v>
      </c>
      <c r="V13" s="3">
        <v>4200</v>
      </c>
      <c r="W13" s="53">
        <v>18</v>
      </c>
      <c r="X13" s="52">
        <f>V13*W13</f>
        <v>75600</v>
      </c>
      <c r="Y13" s="53">
        <f>9.05+0.9+0.6+7.8+0.6</f>
        <v>18.950000000000003</v>
      </c>
      <c r="Z13" s="69" t="s">
        <v>7</v>
      </c>
      <c r="AA13">
        <v>50.400000000000006</v>
      </c>
      <c r="AB13" s="4">
        <v>70560</v>
      </c>
    </row>
    <row r="14" spans="1:28" x14ac:dyDescent="0.35">
      <c r="A14" s="106"/>
      <c r="B14" t="s">
        <v>98</v>
      </c>
      <c r="C14" s="106"/>
      <c r="D14" t="s">
        <v>29</v>
      </c>
      <c r="E14" s="3">
        <f>VLOOKUP(D14,'Bu Erta'!$C$2:$E$66,3,0)</f>
        <v>5000</v>
      </c>
      <c r="F14">
        <v>1.2</v>
      </c>
      <c r="G14" s="3">
        <f t="shared" si="0"/>
        <v>6000</v>
      </c>
      <c r="H14" s="3">
        <f>VLOOKUP(D14,'Bu Erta'!$C$2:$F$66,4,0)*F14</f>
        <v>7200</v>
      </c>
      <c r="J14" s="69" t="s">
        <v>216</v>
      </c>
      <c r="K14">
        <v>2</v>
      </c>
      <c r="L14" s="4">
        <v>3289.9999999999995</v>
      </c>
      <c r="N14" s="44">
        <v>11</v>
      </c>
      <c r="O14" s="17" t="s">
        <v>23</v>
      </c>
      <c r="P14" s="52">
        <f>VLOOKUP(O14,'Bu Erta'!$C$2:$F$66,4,0)</f>
        <v>400</v>
      </c>
      <c r="Q14" s="53">
        <f t="shared" ref="Q14:Q45" si="3">SUMIF($D$3:$D$332,O14,$F$3:$F$332)</f>
        <v>18.45</v>
      </c>
      <c r="R14" s="52">
        <f t="shared" si="2"/>
        <v>7380</v>
      </c>
      <c r="T14" s="44">
        <v>11</v>
      </c>
      <c r="U14" s="17" t="s">
        <v>23</v>
      </c>
      <c r="V14" s="52"/>
      <c r="W14" s="53"/>
      <c r="X14" s="52"/>
      <c r="Z14" s="69" t="s">
        <v>31</v>
      </c>
      <c r="AA14">
        <v>26.75</v>
      </c>
      <c r="AB14" s="4">
        <v>26750</v>
      </c>
    </row>
    <row r="15" spans="1:28" x14ac:dyDescent="0.35">
      <c r="A15" s="106"/>
      <c r="B15" t="s">
        <v>98</v>
      </c>
      <c r="C15" s="106"/>
      <c r="D15" t="s">
        <v>38</v>
      </c>
      <c r="E15" s="3">
        <f>VLOOKUP(D15,'Bu Erta'!$C$2:$E$66,3,0)</f>
        <v>1400</v>
      </c>
      <c r="F15">
        <v>0.8</v>
      </c>
      <c r="G15" s="3">
        <f t="shared" si="0"/>
        <v>1120</v>
      </c>
      <c r="H15" s="3">
        <f>VLOOKUP(D15,'Bu Erta'!$C$2:$F$66,4,0)*F15</f>
        <v>1280</v>
      </c>
      <c r="J15" s="69" t="s">
        <v>181</v>
      </c>
      <c r="K15">
        <v>2</v>
      </c>
      <c r="L15" s="4">
        <v>23787.5</v>
      </c>
      <c r="N15" s="44">
        <v>12</v>
      </c>
      <c r="O15" s="17" t="s">
        <v>25</v>
      </c>
      <c r="P15" s="52">
        <f>VLOOKUP(O15,'Bu Erta'!$C$2:$F$66,4,0)</f>
        <v>1700</v>
      </c>
      <c r="Q15" s="53">
        <f>SUMIF($D$3:$D$332,O15,$F$3:$F$332)-1.75-(10*0.3)</f>
        <v>5</v>
      </c>
      <c r="R15" s="52">
        <f t="shared" si="2"/>
        <v>8500</v>
      </c>
      <c r="T15" s="44">
        <v>12</v>
      </c>
      <c r="U15" s="17" t="s">
        <v>25</v>
      </c>
      <c r="V15" s="52"/>
      <c r="W15" s="53"/>
      <c r="X15" s="52"/>
      <c r="Z15" s="69" t="s">
        <v>34</v>
      </c>
      <c r="AA15">
        <v>6.4</v>
      </c>
      <c r="AB15" s="4">
        <v>22400</v>
      </c>
    </row>
    <row r="16" spans="1:28" x14ac:dyDescent="0.35">
      <c r="A16" s="106"/>
      <c r="B16" t="s">
        <v>98</v>
      </c>
      <c r="C16" s="106"/>
      <c r="D16" t="s">
        <v>19</v>
      </c>
      <c r="E16" s="3">
        <f>VLOOKUP(D16,'Bu Erta'!$C$2:$E$66,3,0)</f>
        <v>200</v>
      </c>
      <c r="F16">
        <v>0.25</v>
      </c>
      <c r="G16" s="3">
        <f t="shared" si="0"/>
        <v>50</v>
      </c>
      <c r="H16" s="3">
        <f>VLOOKUP(D16,'Bu Erta'!$C$2:$F$66,4,0)*F16</f>
        <v>75</v>
      </c>
      <c r="J16" s="69" t="s">
        <v>115</v>
      </c>
      <c r="K16">
        <v>2</v>
      </c>
      <c r="L16" s="4">
        <v>1875</v>
      </c>
      <c r="N16" s="44">
        <v>13</v>
      </c>
      <c r="O16" s="17" t="s">
        <v>24</v>
      </c>
      <c r="P16" s="52">
        <f>VLOOKUP(O16,'Bu Erta'!$C$2:$F$66,4,0)</f>
        <v>200</v>
      </c>
      <c r="Q16" s="53">
        <f t="shared" si="3"/>
        <v>31.200000000000006</v>
      </c>
      <c r="R16" s="52">
        <f t="shared" si="2"/>
        <v>6240.0000000000009</v>
      </c>
      <c r="T16" s="44">
        <v>13</v>
      </c>
      <c r="U16" s="17" t="s">
        <v>24</v>
      </c>
      <c r="V16" s="52"/>
      <c r="W16" s="53"/>
      <c r="X16" s="52"/>
      <c r="Z16" s="69" t="s">
        <v>35</v>
      </c>
      <c r="AA16">
        <v>2</v>
      </c>
      <c r="AB16" s="4">
        <v>3600</v>
      </c>
    </row>
    <row r="17" spans="1:28" x14ac:dyDescent="0.35">
      <c r="A17" s="106"/>
      <c r="B17" t="s">
        <v>98</v>
      </c>
      <c r="C17" s="106"/>
      <c r="D17" t="s">
        <v>88</v>
      </c>
      <c r="E17" s="3">
        <f>VLOOKUP(D17,'Bu Erta'!$C$2:$E$66,3,0)</f>
        <v>300</v>
      </c>
      <c r="F17">
        <v>0.2</v>
      </c>
      <c r="G17" s="3">
        <f t="shared" si="0"/>
        <v>60</v>
      </c>
      <c r="H17" s="3">
        <f>VLOOKUP(D17,'Bu Erta'!$C$2:$F$66,4,0)*F17</f>
        <v>80</v>
      </c>
      <c r="J17" s="69" t="s">
        <v>78</v>
      </c>
      <c r="K17">
        <v>2</v>
      </c>
      <c r="L17" s="4">
        <v>23475</v>
      </c>
      <c r="N17" s="44">
        <v>14</v>
      </c>
      <c r="O17" s="17" t="s">
        <v>26</v>
      </c>
      <c r="P17" s="52">
        <f>VLOOKUP(O17,'Bu Erta'!$C$2:$F$66,4,0)</f>
        <v>1000</v>
      </c>
      <c r="Q17" s="53">
        <f t="shared" si="3"/>
        <v>0</v>
      </c>
      <c r="R17" s="52">
        <f t="shared" si="2"/>
        <v>0</v>
      </c>
      <c r="T17" s="44">
        <v>14</v>
      </c>
      <c r="U17" s="17" t="s">
        <v>26</v>
      </c>
      <c r="V17" s="52"/>
      <c r="W17" s="53"/>
      <c r="X17" s="52"/>
      <c r="Z17" s="69" t="s">
        <v>36</v>
      </c>
      <c r="AA17">
        <v>6.6000000000000014</v>
      </c>
      <c r="AB17" s="4">
        <v>3960</v>
      </c>
    </row>
    <row r="18" spans="1:28" x14ac:dyDescent="0.35">
      <c r="A18" s="106"/>
      <c r="B18" t="s">
        <v>98</v>
      </c>
      <c r="C18" s="106"/>
      <c r="D18" t="s">
        <v>69</v>
      </c>
      <c r="E18" s="3">
        <f>VLOOKUP(D18,'Bu Erta'!$C$2:$E$66,3,0)</f>
        <v>2500</v>
      </c>
      <c r="F18">
        <v>0.1</v>
      </c>
      <c r="G18" s="3">
        <f t="shared" si="0"/>
        <v>250</v>
      </c>
      <c r="H18" s="3">
        <f>VLOOKUP(D18,'Bu Erta'!$C$2:$F$66,4,0)*F18</f>
        <v>300</v>
      </c>
      <c r="J18" s="69" t="s">
        <v>5</v>
      </c>
      <c r="K18">
        <v>2</v>
      </c>
      <c r="L18" s="4">
        <v>5110</v>
      </c>
      <c r="N18" s="44">
        <v>15</v>
      </c>
      <c r="O18" s="17" t="s">
        <v>27</v>
      </c>
      <c r="P18" s="52">
        <f>VLOOKUP(O18,'Bu Erta'!$C$2:$F$66,4,0)</f>
        <v>3100</v>
      </c>
      <c r="Q18" s="53">
        <f>SUMIF($D$3:$D$332,O18,$F$3:$F$332)-15.8</f>
        <v>0</v>
      </c>
      <c r="R18" s="52">
        <f t="shared" si="2"/>
        <v>0</v>
      </c>
      <c r="T18" s="44">
        <v>15</v>
      </c>
      <c r="U18" s="17" t="s">
        <v>27</v>
      </c>
      <c r="V18" s="80">
        <v>4000</v>
      </c>
      <c r="W18" s="53">
        <v>17</v>
      </c>
      <c r="X18" s="52">
        <f>V18*W18</f>
        <v>68000</v>
      </c>
      <c r="Y18" s="78">
        <v>17.55</v>
      </c>
      <c r="Z18" s="69" t="s">
        <v>37</v>
      </c>
      <c r="AA18">
        <v>1.0499999999999998</v>
      </c>
      <c r="AB18" s="4">
        <v>1680</v>
      </c>
    </row>
    <row r="19" spans="1:28" x14ac:dyDescent="0.35">
      <c r="A19" s="106">
        <v>3</v>
      </c>
      <c r="B19" t="s">
        <v>192</v>
      </c>
      <c r="C19" s="106">
        <v>4</v>
      </c>
      <c r="D19" t="s">
        <v>42</v>
      </c>
      <c r="E19" s="3">
        <f>VLOOKUP(D19,'Bu Erta'!$C$2:$E$66,3,0)</f>
        <v>1000</v>
      </c>
      <c r="F19">
        <v>2.0499999999999998</v>
      </c>
      <c r="G19" s="3">
        <f t="shared" si="0"/>
        <v>2050</v>
      </c>
      <c r="H19" s="3">
        <f>VLOOKUP(D19,'Bu Erta'!$C$2:$F$66,4,0)*F19</f>
        <v>2460</v>
      </c>
      <c r="J19" s="69" t="s">
        <v>98</v>
      </c>
      <c r="K19">
        <v>2</v>
      </c>
      <c r="L19" s="4">
        <v>14000</v>
      </c>
      <c r="N19" s="44">
        <v>16</v>
      </c>
      <c r="O19" s="17" t="s">
        <v>28</v>
      </c>
      <c r="P19" s="52">
        <f>VLOOKUP(O19,'Bu Erta'!$C$2:$F$66,4,0)</f>
        <v>1300</v>
      </c>
      <c r="Q19" s="53">
        <f t="shared" si="3"/>
        <v>59.050000000000004</v>
      </c>
      <c r="R19" s="52">
        <f t="shared" si="2"/>
        <v>76765</v>
      </c>
      <c r="T19" s="44">
        <v>16</v>
      </c>
      <c r="U19" s="17" t="s">
        <v>28</v>
      </c>
      <c r="V19" s="52"/>
      <c r="W19" s="53"/>
      <c r="X19" s="52"/>
      <c r="Z19" s="69" t="s">
        <v>38</v>
      </c>
      <c r="AA19">
        <v>5.4499999999999993</v>
      </c>
      <c r="AB19" s="4">
        <v>7630</v>
      </c>
    </row>
    <row r="20" spans="1:28" x14ac:dyDescent="0.35">
      <c r="A20" s="106"/>
      <c r="B20" t="s">
        <v>192</v>
      </c>
      <c r="C20" s="106"/>
      <c r="D20" t="s">
        <v>34</v>
      </c>
      <c r="E20" s="3">
        <f>VLOOKUP(D20,'Bu Erta'!$C$2:$E$66,3,0)</f>
        <v>3500</v>
      </c>
      <c r="F20">
        <v>0.5</v>
      </c>
      <c r="G20" s="3">
        <f t="shared" si="0"/>
        <v>1750</v>
      </c>
      <c r="H20" s="3">
        <f>VLOOKUP(D20,'Bu Erta'!$C$2:$F$66,4,0)*F20</f>
        <v>1800</v>
      </c>
      <c r="J20" s="69" t="s">
        <v>127</v>
      </c>
      <c r="K20">
        <v>2</v>
      </c>
      <c r="L20" s="4">
        <v>32265</v>
      </c>
      <c r="N20" s="44">
        <v>17</v>
      </c>
      <c r="O20" s="17" t="s">
        <v>29</v>
      </c>
      <c r="P20" s="52">
        <f>VLOOKUP(O20,'Bu Erta'!$C$2:$F$66,4,0)</f>
        <v>6000</v>
      </c>
      <c r="Q20" s="53">
        <f t="shared" si="3"/>
        <v>2.3499999999999996</v>
      </c>
      <c r="R20" s="52">
        <f t="shared" si="2"/>
        <v>14099.999999999998</v>
      </c>
      <c r="T20" s="44">
        <v>17</v>
      </c>
      <c r="U20" s="17" t="s">
        <v>29</v>
      </c>
      <c r="V20" s="52"/>
      <c r="W20" s="53"/>
      <c r="X20" s="52"/>
      <c r="Z20" s="69" t="s">
        <v>40</v>
      </c>
      <c r="AA20">
        <v>19.000000000000004</v>
      </c>
      <c r="AB20" s="4">
        <v>34200</v>
      </c>
    </row>
    <row r="21" spans="1:28" x14ac:dyDescent="0.35">
      <c r="A21" s="106"/>
      <c r="B21" t="s">
        <v>192</v>
      </c>
      <c r="C21" s="106"/>
      <c r="D21" t="s">
        <v>27</v>
      </c>
      <c r="E21" s="3">
        <f>VLOOKUP(D21,'Bu Erta'!$C$2:$E$66,3,0)</f>
        <v>2800</v>
      </c>
      <c r="F21">
        <v>0.15</v>
      </c>
      <c r="G21" s="3">
        <f t="shared" si="0"/>
        <v>420</v>
      </c>
      <c r="H21" s="3">
        <f>VLOOKUP(D21,'Bu Erta'!$C$2:$F$66,4,0)*F21</f>
        <v>465</v>
      </c>
      <c r="J21" s="69" t="s">
        <v>147</v>
      </c>
      <c r="K21">
        <v>3</v>
      </c>
      <c r="L21" s="4">
        <v>5725</v>
      </c>
      <c r="N21" s="44">
        <v>18</v>
      </c>
      <c r="O21" s="17" t="s">
        <v>30</v>
      </c>
      <c r="P21" s="52">
        <f>VLOOKUP(O21,'Bu Erta'!$C$2:$F$66,4,0)</f>
        <v>15000</v>
      </c>
      <c r="Q21" s="53">
        <f t="shared" si="3"/>
        <v>0</v>
      </c>
      <c r="R21" s="52">
        <f t="shared" si="2"/>
        <v>0</v>
      </c>
      <c r="T21" s="44">
        <v>18</v>
      </c>
      <c r="U21" s="17" t="s">
        <v>30</v>
      </c>
      <c r="V21" s="52"/>
      <c r="W21" s="53"/>
      <c r="X21" s="52"/>
      <c r="Z21" s="69" t="s">
        <v>41</v>
      </c>
      <c r="AA21">
        <v>7.85</v>
      </c>
      <c r="AB21" s="4">
        <v>11775</v>
      </c>
    </row>
    <row r="22" spans="1:28" x14ac:dyDescent="0.35">
      <c r="A22" s="106"/>
      <c r="B22" t="s">
        <v>192</v>
      </c>
      <c r="C22" s="106"/>
      <c r="D22" t="s">
        <v>7</v>
      </c>
      <c r="E22" s="3">
        <f>VLOOKUP(D22,'Bu Erta'!$C$2:$E$66,3,0)</f>
        <v>1400</v>
      </c>
      <c r="F22">
        <v>0.75</v>
      </c>
      <c r="G22" s="3">
        <f t="shared" si="0"/>
        <v>1050</v>
      </c>
      <c r="H22" s="3">
        <f>VLOOKUP(D22,'Bu Erta'!$C$2:$F$66,4,0)*F22</f>
        <v>1200</v>
      </c>
      <c r="J22" s="69" t="s">
        <v>141</v>
      </c>
      <c r="K22">
        <v>3</v>
      </c>
      <c r="L22" s="4">
        <v>6440</v>
      </c>
      <c r="N22" s="44">
        <v>19</v>
      </c>
      <c r="O22" s="17" t="s">
        <v>7</v>
      </c>
      <c r="P22" s="52">
        <f>VLOOKUP(O22,'Bu Erta'!$C$2:$F$66,4,0)</f>
        <v>1600</v>
      </c>
      <c r="Q22" s="53">
        <f t="shared" si="3"/>
        <v>50.400000000000006</v>
      </c>
      <c r="R22" s="52">
        <f t="shared" si="2"/>
        <v>80640.000000000015</v>
      </c>
      <c r="T22" s="44">
        <v>19</v>
      </c>
      <c r="U22" s="17" t="s">
        <v>7</v>
      </c>
      <c r="V22" s="52"/>
      <c r="W22" s="53"/>
      <c r="X22" s="52"/>
      <c r="Z22" s="69" t="s">
        <v>42</v>
      </c>
      <c r="AA22">
        <v>93.2</v>
      </c>
      <c r="AB22" s="4">
        <v>93200</v>
      </c>
    </row>
    <row r="23" spans="1:28" x14ac:dyDescent="0.35">
      <c r="A23" s="106"/>
      <c r="B23" t="s">
        <v>192</v>
      </c>
      <c r="C23" s="106"/>
      <c r="D23" t="s">
        <v>36</v>
      </c>
      <c r="E23" s="3">
        <f>VLOOKUP(D23,'Bu Erta'!$C$2:$E$66,3,0)</f>
        <v>600</v>
      </c>
      <c r="F23">
        <v>0.15</v>
      </c>
      <c r="G23" s="3">
        <f t="shared" si="0"/>
        <v>90</v>
      </c>
      <c r="H23" s="3">
        <f>VLOOKUP(D23,'Bu Erta'!$C$2:$F$66,4,0)*F23</f>
        <v>97.5</v>
      </c>
      <c r="J23" s="69" t="s">
        <v>76</v>
      </c>
      <c r="K23">
        <v>3</v>
      </c>
      <c r="L23" s="4">
        <v>12905</v>
      </c>
      <c r="N23" s="44">
        <v>20</v>
      </c>
      <c r="O23" s="17" t="s">
        <v>31</v>
      </c>
      <c r="P23" s="52">
        <f>VLOOKUP(O23,'Bu Erta'!$C$2:$F$66,4,0)</f>
        <v>1100</v>
      </c>
      <c r="Q23" s="53">
        <f t="shared" si="3"/>
        <v>26.75</v>
      </c>
      <c r="R23" s="52">
        <f t="shared" si="2"/>
        <v>29425</v>
      </c>
      <c r="T23" s="44">
        <v>20</v>
      </c>
      <c r="U23" s="17" t="s">
        <v>31</v>
      </c>
      <c r="V23" s="52"/>
      <c r="W23" s="53"/>
      <c r="X23" s="52"/>
      <c r="Z23" s="69" t="s">
        <v>44</v>
      </c>
      <c r="AA23">
        <v>1.65</v>
      </c>
      <c r="AB23" s="4">
        <v>660</v>
      </c>
    </row>
    <row r="24" spans="1:28" x14ac:dyDescent="0.35">
      <c r="A24" s="106">
        <v>4</v>
      </c>
      <c r="B24" t="s">
        <v>178</v>
      </c>
      <c r="C24" s="106">
        <v>3</v>
      </c>
      <c r="D24" t="s">
        <v>31</v>
      </c>
      <c r="E24" s="3">
        <f>VLOOKUP(D24,'Bu Erta'!$C$2:$E$66,3,0)</f>
        <v>1000</v>
      </c>
      <c r="F24">
        <f>1.7+1</f>
        <v>2.7</v>
      </c>
      <c r="G24" s="3">
        <f t="shared" si="0"/>
        <v>2700</v>
      </c>
      <c r="H24" s="3">
        <f>VLOOKUP(D24,'Bu Erta'!$C$2:$F$66,4,0)*F24</f>
        <v>2970</v>
      </c>
      <c r="J24" s="69" t="s">
        <v>164</v>
      </c>
      <c r="K24">
        <v>3</v>
      </c>
      <c r="L24" s="4">
        <v>2000</v>
      </c>
      <c r="N24" s="44">
        <v>21</v>
      </c>
      <c r="O24" s="17" t="s">
        <v>32</v>
      </c>
      <c r="P24" s="52">
        <f>VLOOKUP(O24,'Bu Erta'!$C$2:$F$66,4,0)</f>
        <v>5000</v>
      </c>
      <c r="Q24" s="53">
        <f t="shared" si="3"/>
        <v>0</v>
      </c>
      <c r="R24" s="52">
        <f t="shared" si="2"/>
        <v>0</v>
      </c>
      <c r="T24" s="44">
        <v>21</v>
      </c>
      <c r="U24" s="17" t="s">
        <v>32</v>
      </c>
      <c r="V24" s="52">
        <v>700</v>
      </c>
      <c r="W24" s="52">
        <v>13</v>
      </c>
      <c r="X24" s="52">
        <f>V24*W24</f>
        <v>9100</v>
      </c>
      <c r="Z24" s="69" t="s">
        <v>45</v>
      </c>
      <c r="AA24">
        <v>0.25</v>
      </c>
      <c r="AB24" s="4">
        <v>175</v>
      </c>
    </row>
    <row r="25" spans="1:28" x14ac:dyDescent="0.35">
      <c r="A25" s="106"/>
      <c r="B25" t="s">
        <v>178</v>
      </c>
      <c r="C25" s="106"/>
      <c r="D25" t="s">
        <v>19</v>
      </c>
      <c r="E25" s="3">
        <f>VLOOKUP(D25,'Bu Erta'!$C$2:$E$66,3,0)</f>
        <v>200</v>
      </c>
      <c r="F25">
        <f>0.5+0.35</f>
        <v>0.85</v>
      </c>
      <c r="G25" s="3">
        <f t="shared" si="0"/>
        <v>170</v>
      </c>
      <c r="H25" s="3">
        <f>VLOOKUP(D25,'Bu Erta'!$C$2:$F$66,4,0)*F25</f>
        <v>255</v>
      </c>
      <c r="J25" s="69" t="s">
        <v>178</v>
      </c>
      <c r="K25">
        <v>3</v>
      </c>
      <c r="L25" s="4">
        <v>8490</v>
      </c>
      <c r="N25" s="44">
        <v>22</v>
      </c>
      <c r="O25" s="17" t="s">
        <v>33</v>
      </c>
      <c r="P25" s="52">
        <f>VLOOKUP(O25,'Bu Erta'!$C$2:$F$66,4,0)</f>
        <v>1400</v>
      </c>
      <c r="Q25" s="53">
        <f t="shared" si="3"/>
        <v>0</v>
      </c>
      <c r="R25" s="52">
        <f t="shared" si="2"/>
        <v>0</v>
      </c>
      <c r="T25" s="44">
        <v>22</v>
      </c>
      <c r="U25" s="17" t="s">
        <v>33</v>
      </c>
      <c r="V25" s="52"/>
      <c r="W25" s="53"/>
      <c r="X25" s="52"/>
      <c r="Z25" s="69" t="s">
        <v>46</v>
      </c>
      <c r="AA25">
        <v>4.75</v>
      </c>
      <c r="AB25" s="4">
        <v>6650</v>
      </c>
    </row>
    <row r="26" spans="1:28" x14ac:dyDescent="0.35">
      <c r="A26" s="106"/>
      <c r="B26" t="s">
        <v>178</v>
      </c>
      <c r="C26" s="106"/>
      <c r="D26" t="s">
        <v>23</v>
      </c>
      <c r="E26" s="3">
        <f>VLOOKUP(D26,'Bu Erta'!$C$2:$E$66,3,0)</f>
        <v>300</v>
      </c>
      <c r="F26">
        <v>0.9</v>
      </c>
      <c r="G26" s="3">
        <f t="shared" si="0"/>
        <v>270</v>
      </c>
      <c r="H26" s="3">
        <f>VLOOKUP(D26,'Bu Erta'!$C$2:$F$66,4,0)*F26</f>
        <v>360</v>
      </c>
      <c r="J26" s="69" t="s">
        <v>90</v>
      </c>
      <c r="K26">
        <v>3</v>
      </c>
      <c r="L26" s="4">
        <v>2520</v>
      </c>
      <c r="N26" s="44">
        <v>23</v>
      </c>
      <c r="O26" s="17" t="s">
        <v>34</v>
      </c>
      <c r="P26" s="52">
        <f>VLOOKUP(O26,'Bu Erta'!$C$2:$F$66,4,0)</f>
        <v>3600</v>
      </c>
      <c r="Q26" s="53">
        <f>SUMIF($D$3:$D$332,O26,$F$3:$F$332)-3.45</f>
        <v>2.95</v>
      </c>
      <c r="R26" s="52">
        <f t="shared" si="2"/>
        <v>10620</v>
      </c>
      <c r="T26" s="44">
        <v>23</v>
      </c>
      <c r="U26" s="17" t="s">
        <v>34</v>
      </c>
      <c r="V26" s="52">
        <v>4000</v>
      </c>
      <c r="W26" s="53">
        <v>4</v>
      </c>
      <c r="X26" s="52">
        <f>V26*W26</f>
        <v>16000</v>
      </c>
      <c r="Y26" s="53">
        <f>2.75+0.7</f>
        <v>3.45</v>
      </c>
      <c r="Z26" s="69" t="s">
        <v>48</v>
      </c>
      <c r="AA26">
        <v>2</v>
      </c>
      <c r="AB26" s="4">
        <v>26000</v>
      </c>
    </row>
    <row r="27" spans="1:28" x14ac:dyDescent="0.35">
      <c r="A27" s="106"/>
      <c r="B27" t="s">
        <v>178</v>
      </c>
      <c r="C27" s="106"/>
      <c r="D27" t="s">
        <v>42</v>
      </c>
      <c r="E27" s="3">
        <f>VLOOKUP(D27,'Bu Erta'!$C$2:$E$66,3,0)</f>
        <v>1000</v>
      </c>
      <c r="F27">
        <v>5.35</v>
      </c>
      <c r="G27" s="3">
        <f t="shared" si="0"/>
        <v>5350</v>
      </c>
      <c r="H27" s="3">
        <f>VLOOKUP(D27,'Bu Erta'!$C$2:$F$66,4,0)*F27</f>
        <v>6420</v>
      </c>
      <c r="J27" s="69" t="s">
        <v>151</v>
      </c>
      <c r="K27">
        <v>4</v>
      </c>
      <c r="L27" s="4">
        <v>14700</v>
      </c>
      <c r="N27" s="44">
        <v>24</v>
      </c>
      <c r="O27" s="17" t="s">
        <v>35</v>
      </c>
      <c r="P27" s="52">
        <f>VLOOKUP(O27,'Bu Erta'!$C$2:$F$66,4,0)</f>
        <v>2000</v>
      </c>
      <c r="Q27" s="53">
        <f>SUMIF($D$3:$D$332,O27,$F$3:$F$332)-2</f>
        <v>0</v>
      </c>
      <c r="R27" s="52">
        <f t="shared" si="2"/>
        <v>0</v>
      </c>
      <c r="T27" s="44">
        <v>24</v>
      </c>
      <c r="U27" s="17" t="s">
        <v>35</v>
      </c>
      <c r="V27" s="52"/>
      <c r="W27" s="53">
        <v>2</v>
      </c>
      <c r="X27" s="52"/>
      <c r="Y27" t="s">
        <v>176</v>
      </c>
      <c r="Z27" s="69" t="s">
        <v>49</v>
      </c>
      <c r="AA27">
        <v>10.4</v>
      </c>
      <c r="AB27" s="4">
        <v>8320</v>
      </c>
    </row>
    <row r="28" spans="1:28" x14ac:dyDescent="0.35">
      <c r="A28" s="106">
        <v>5</v>
      </c>
      <c r="B28" t="s">
        <v>142</v>
      </c>
      <c r="C28" s="106">
        <v>4</v>
      </c>
      <c r="D28" t="s">
        <v>42</v>
      </c>
      <c r="E28" s="3">
        <f>VLOOKUP(D28,'Bu Erta'!$C$2:$E$66,3,0)</f>
        <v>1000</v>
      </c>
      <c r="F28">
        <v>2.35</v>
      </c>
      <c r="G28" s="3">
        <f t="shared" si="0"/>
        <v>2350</v>
      </c>
      <c r="H28" s="3">
        <f>VLOOKUP(D28,'Bu Erta'!$C$2:$F$66,4,0)*F28</f>
        <v>2820</v>
      </c>
      <c r="J28" s="69" t="s">
        <v>112</v>
      </c>
      <c r="K28">
        <v>4</v>
      </c>
      <c r="L28" s="4">
        <v>1330</v>
      </c>
      <c r="N28" s="44">
        <v>25</v>
      </c>
      <c r="O28" s="17" t="s">
        <v>36</v>
      </c>
      <c r="P28" s="52">
        <f>VLOOKUP(O28,'Bu Erta'!$C$2:$F$66,4,0)</f>
        <v>650</v>
      </c>
      <c r="Q28" s="53">
        <f t="shared" si="3"/>
        <v>6.6000000000000014</v>
      </c>
      <c r="R28" s="52">
        <f t="shared" si="2"/>
        <v>4290.0000000000009</v>
      </c>
      <c r="T28" s="44">
        <v>25</v>
      </c>
      <c r="U28" s="17" t="s">
        <v>36</v>
      </c>
      <c r="V28" s="52"/>
      <c r="W28" s="53"/>
      <c r="X28" s="52"/>
      <c r="Z28" s="69" t="s">
        <v>53</v>
      </c>
      <c r="AA28">
        <v>1</v>
      </c>
      <c r="AB28" s="4">
        <v>10000</v>
      </c>
    </row>
    <row r="29" spans="1:28" x14ac:dyDescent="0.35">
      <c r="A29" s="106"/>
      <c r="B29" t="s">
        <v>142</v>
      </c>
      <c r="C29" s="106"/>
      <c r="D29" t="s">
        <v>41</v>
      </c>
      <c r="E29" s="3">
        <f>VLOOKUP(D29,'Bu Erta'!$C$2:$E$66,3,0)</f>
        <v>1500</v>
      </c>
      <c r="F29">
        <v>0.15</v>
      </c>
      <c r="G29" s="3">
        <f t="shared" si="0"/>
        <v>225</v>
      </c>
      <c r="H29" s="3">
        <f>VLOOKUP(D29,'Bu Erta'!$C$2:$F$66,4,0)*F29</f>
        <v>300</v>
      </c>
      <c r="J29" s="69" t="s">
        <v>89</v>
      </c>
      <c r="K29">
        <v>4</v>
      </c>
      <c r="L29" s="4">
        <v>7805</v>
      </c>
      <c r="N29" s="44">
        <v>26</v>
      </c>
      <c r="O29" s="17" t="s">
        <v>37</v>
      </c>
      <c r="P29" s="52">
        <f>VLOOKUP(O29,'Bu Erta'!$C$2:$F$66,4,0)</f>
        <v>2000</v>
      </c>
      <c r="Q29" s="53">
        <f t="shared" si="3"/>
        <v>1.0499999999999998</v>
      </c>
      <c r="R29" s="52">
        <f t="shared" si="2"/>
        <v>2099.9999999999995</v>
      </c>
      <c r="T29" s="44">
        <v>26</v>
      </c>
      <c r="U29" s="17" t="s">
        <v>37</v>
      </c>
      <c r="V29" s="52"/>
      <c r="W29" s="53"/>
      <c r="X29" s="52"/>
      <c r="Z29" s="69" t="s">
        <v>56</v>
      </c>
      <c r="AA29">
        <v>3.95</v>
      </c>
      <c r="AB29" s="4">
        <v>15800</v>
      </c>
    </row>
    <row r="30" spans="1:28" x14ac:dyDescent="0.35">
      <c r="A30" s="106"/>
      <c r="B30" t="s">
        <v>142</v>
      </c>
      <c r="C30" s="106"/>
      <c r="D30" t="s">
        <v>23</v>
      </c>
      <c r="E30" s="3">
        <f>VLOOKUP(D30,'Bu Erta'!$C$2:$E$66,3,0)</f>
        <v>300</v>
      </c>
      <c r="F30">
        <v>0.1</v>
      </c>
      <c r="G30" s="3">
        <f t="shared" si="0"/>
        <v>30</v>
      </c>
      <c r="H30" s="3">
        <f>VLOOKUP(D30,'Bu Erta'!$C$2:$F$66,4,0)*F30</f>
        <v>40</v>
      </c>
      <c r="J30" s="69" t="s">
        <v>142</v>
      </c>
      <c r="K30">
        <v>4</v>
      </c>
      <c r="L30" s="4">
        <v>8485</v>
      </c>
      <c r="N30" s="44">
        <v>27</v>
      </c>
      <c r="O30" s="17" t="s">
        <v>38</v>
      </c>
      <c r="P30" s="52">
        <f>VLOOKUP(O30,'Bu Erta'!$C$2:$F$66,4,0)</f>
        <v>1600</v>
      </c>
      <c r="Q30" s="53">
        <f t="shared" si="3"/>
        <v>5.4499999999999993</v>
      </c>
      <c r="R30" s="52">
        <f t="shared" si="2"/>
        <v>8719.9999999999982</v>
      </c>
      <c r="T30" s="44">
        <v>27</v>
      </c>
      <c r="U30" s="17" t="s">
        <v>38</v>
      </c>
      <c r="V30" s="52"/>
      <c r="W30" s="53"/>
      <c r="X30" s="52"/>
      <c r="Z30" s="69" t="s">
        <v>88</v>
      </c>
      <c r="AA30">
        <v>7.3</v>
      </c>
      <c r="AB30" s="4">
        <v>2190</v>
      </c>
    </row>
    <row r="31" spans="1:28" x14ac:dyDescent="0.35">
      <c r="A31" s="106"/>
      <c r="B31" t="s">
        <v>142</v>
      </c>
      <c r="C31" s="106"/>
      <c r="D31" t="s">
        <v>19</v>
      </c>
      <c r="E31" s="3">
        <f>VLOOKUP(D31,'Bu Erta'!$C$2:$E$66,3,0)</f>
        <v>200</v>
      </c>
      <c r="F31">
        <f>0.2+0.2</f>
        <v>0.4</v>
      </c>
      <c r="G31" s="3">
        <f t="shared" si="0"/>
        <v>80</v>
      </c>
      <c r="H31" s="3">
        <f>VLOOKUP(D31,'Bu Erta'!$C$2:$F$66,4,0)*F31</f>
        <v>120</v>
      </c>
      <c r="J31" s="69" t="s">
        <v>100</v>
      </c>
      <c r="K31">
        <v>4</v>
      </c>
      <c r="L31" s="4">
        <v>9437.5</v>
      </c>
      <c r="N31" s="44">
        <v>28</v>
      </c>
      <c r="O31" s="17" t="s">
        <v>39</v>
      </c>
      <c r="P31" s="52">
        <f>VLOOKUP(O31,'Bu Erta'!$C$2:$F$66,4,0)</f>
        <v>200</v>
      </c>
      <c r="Q31" s="53">
        <f t="shared" si="3"/>
        <v>0</v>
      </c>
      <c r="R31" s="52">
        <f t="shared" si="2"/>
        <v>0</v>
      </c>
      <c r="T31" s="44">
        <v>28</v>
      </c>
      <c r="U31" s="17" t="s">
        <v>39</v>
      </c>
      <c r="V31" s="52"/>
      <c r="W31" s="53"/>
      <c r="X31" s="52"/>
      <c r="Z31" s="69" t="s">
        <v>6</v>
      </c>
      <c r="AA31">
        <v>2.65</v>
      </c>
      <c r="AB31" s="4">
        <v>5300</v>
      </c>
    </row>
    <row r="32" spans="1:28" x14ac:dyDescent="0.35">
      <c r="A32" s="106"/>
      <c r="B32" t="s">
        <v>142</v>
      </c>
      <c r="C32" s="106"/>
      <c r="D32" t="s">
        <v>27</v>
      </c>
      <c r="E32" s="3">
        <f>VLOOKUP(D32,'Bu Erta'!$C$2:$E$66,3,0)</f>
        <v>2800</v>
      </c>
      <c r="F32">
        <v>0.4</v>
      </c>
      <c r="G32" s="3">
        <f t="shared" si="0"/>
        <v>1120</v>
      </c>
      <c r="H32" s="3">
        <f>VLOOKUP(D32,'Bu Erta'!$C$2:$F$66,4,0)*F32</f>
        <v>1240</v>
      </c>
      <c r="J32" s="69" t="s">
        <v>87</v>
      </c>
      <c r="K32">
        <v>4</v>
      </c>
      <c r="L32" s="4">
        <v>21050</v>
      </c>
      <c r="N32" s="44">
        <v>29</v>
      </c>
      <c r="O32" s="17" t="s">
        <v>77</v>
      </c>
      <c r="P32" s="52">
        <f>VLOOKUP(O32,'Bu Erta'!$C$2:$F$66,4,0)</f>
        <v>800</v>
      </c>
      <c r="Q32" s="53">
        <f t="shared" si="3"/>
        <v>0</v>
      </c>
      <c r="R32" s="52">
        <f t="shared" si="2"/>
        <v>0</v>
      </c>
      <c r="T32" s="44">
        <v>29</v>
      </c>
      <c r="U32" s="17" t="s">
        <v>77</v>
      </c>
      <c r="V32" s="52"/>
      <c r="W32" s="53"/>
      <c r="X32" s="52"/>
      <c r="Z32" s="69" t="s">
        <v>60</v>
      </c>
      <c r="AA32">
        <v>1.1499999999999999</v>
      </c>
      <c r="AB32" s="4">
        <v>1380</v>
      </c>
    </row>
    <row r="33" spans="1:28" x14ac:dyDescent="0.35">
      <c r="A33" s="106"/>
      <c r="B33" t="s">
        <v>142</v>
      </c>
      <c r="C33" s="106"/>
      <c r="D33" t="s">
        <v>69</v>
      </c>
      <c r="E33" s="3">
        <f>VLOOKUP(D33,'Bu Erta'!$C$2:$E$66,3,0)</f>
        <v>2500</v>
      </c>
      <c r="F33">
        <v>0.1</v>
      </c>
      <c r="G33" s="3">
        <f t="shared" si="0"/>
        <v>250</v>
      </c>
      <c r="H33" s="3">
        <f>VLOOKUP(D33,'Bu Erta'!$C$2:$F$66,4,0)*F33</f>
        <v>300</v>
      </c>
      <c r="J33" s="69" t="s">
        <v>133</v>
      </c>
      <c r="K33">
        <v>4</v>
      </c>
      <c r="L33" s="4">
        <v>5700</v>
      </c>
      <c r="N33" s="44">
        <v>30</v>
      </c>
      <c r="O33" s="17" t="s">
        <v>40</v>
      </c>
      <c r="P33" s="52">
        <f>VLOOKUP(O33,'Bu Erta'!$C$2:$F$66,4,0)</f>
        <v>2000</v>
      </c>
      <c r="Q33" s="53">
        <f t="shared" si="3"/>
        <v>19.000000000000004</v>
      </c>
      <c r="R33" s="52">
        <f t="shared" si="2"/>
        <v>38000.000000000007</v>
      </c>
      <c r="T33" s="44">
        <v>30</v>
      </c>
      <c r="U33" s="17" t="s">
        <v>40</v>
      </c>
      <c r="V33" s="52"/>
      <c r="W33" s="53"/>
      <c r="X33" s="52"/>
      <c r="Z33" s="69" t="s">
        <v>61</v>
      </c>
      <c r="AA33">
        <v>1.3</v>
      </c>
      <c r="AB33" s="4">
        <v>1040</v>
      </c>
    </row>
    <row r="34" spans="1:28" x14ac:dyDescent="0.35">
      <c r="A34" s="106"/>
      <c r="B34" t="s">
        <v>142</v>
      </c>
      <c r="C34" s="106"/>
      <c r="D34" t="s">
        <v>7</v>
      </c>
      <c r="E34" s="3">
        <f>VLOOKUP(D34,'Bu Erta'!$C$2:$E$66,3,0)</f>
        <v>1400</v>
      </c>
      <c r="F34">
        <v>1.05</v>
      </c>
      <c r="G34" s="3">
        <f t="shared" si="0"/>
        <v>1470</v>
      </c>
      <c r="H34" s="3">
        <f>VLOOKUP(D34,'Bu Erta'!$C$2:$F$66,4,0)*F34</f>
        <v>1680</v>
      </c>
      <c r="J34" s="69" t="s">
        <v>187</v>
      </c>
      <c r="K34">
        <v>4</v>
      </c>
      <c r="L34" s="4">
        <v>22950</v>
      </c>
      <c r="N34" s="44">
        <v>31</v>
      </c>
      <c r="O34" s="17" t="s">
        <v>41</v>
      </c>
      <c r="P34" s="52">
        <f>VLOOKUP(O34,'Bu Erta'!$C$2:$F$66,4,0)</f>
        <v>2000</v>
      </c>
      <c r="Q34" s="53">
        <f t="shared" si="3"/>
        <v>7.85</v>
      </c>
      <c r="R34" s="52">
        <f t="shared" si="2"/>
        <v>15700</v>
      </c>
      <c r="T34" s="44">
        <v>31</v>
      </c>
      <c r="U34" s="17" t="s">
        <v>41</v>
      </c>
      <c r="V34" s="52"/>
      <c r="W34" s="53"/>
      <c r="X34" s="52"/>
      <c r="Z34" s="69" t="s">
        <v>62</v>
      </c>
      <c r="AA34">
        <v>0.5</v>
      </c>
      <c r="AB34" s="4">
        <v>200</v>
      </c>
    </row>
    <row r="35" spans="1:28" x14ac:dyDescent="0.35">
      <c r="A35" s="106"/>
      <c r="B35" t="s">
        <v>142</v>
      </c>
      <c r="C35" s="106"/>
      <c r="D35" t="s">
        <v>34</v>
      </c>
      <c r="E35" s="3">
        <f>VLOOKUP(D35,'Bu Erta'!$C$2:$E$66,3,0)</f>
        <v>3500</v>
      </c>
      <c r="F35">
        <v>0.15</v>
      </c>
      <c r="G35" s="3">
        <f t="shared" si="0"/>
        <v>525</v>
      </c>
      <c r="H35" s="3">
        <f>VLOOKUP(D35,'Bu Erta'!$C$2:$F$66,4,0)*F35</f>
        <v>540</v>
      </c>
      <c r="J35" s="69" t="s">
        <v>114</v>
      </c>
      <c r="K35">
        <v>4</v>
      </c>
      <c r="L35" s="4">
        <v>91132.5</v>
      </c>
      <c r="N35" s="44">
        <v>32</v>
      </c>
      <c r="O35" s="17" t="s">
        <v>42</v>
      </c>
      <c r="P35" s="52">
        <f>VLOOKUP(O35,'Bu Erta'!$C$2:$F$66,4,0)</f>
        <v>1200</v>
      </c>
      <c r="Q35" s="53">
        <f t="shared" si="3"/>
        <v>93.2</v>
      </c>
      <c r="R35" s="52">
        <f t="shared" si="2"/>
        <v>111840</v>
      </c>
      <c r="T35" s="44">
        <v>32</v>
      </c>
      <c r="U35" s="17" t="s">
        <v>42</v>
      </c>
      <c r="V35" s="52"/>
      <c r="W35" s="53"/>
      <c r="X35" s="52"/>
      <c r="Z35" s="69" t="s">
        <v>65</v>
      </c>
      <c r="AA35">
        <v>2.1</v>
      </c>
      <c r="AB35" s="4">
        <v>315</v>
      </c>
    </row>
    <row r="36" spans="1:28" x14ac:dyDescent="0.35">
      <c r="A36" s="106"/>
      <c r="B36" t="s">
        <v>142</v>
      </c>
      <c r="C36" s="106"/>
      <c r="D36" t="s">
        <v>88</v>
      </c>
      <c r="E36" s="3">
        <f>VLOOKUP(D36,'Bu Erta'!$C$2:$E$66,3,0)</f>
        <v>300</v>
      </c>
      <c r="F36">
        <v>0.1</v>
      </c>
      <c r="G36" s="3">
        <f t="shared" si="0"/>
        <v>30</v>
      </c>
      <c r="H36" s="3">
        <f>VLOOKUP(D36,'Bu Erta'!$C$2:$F$66,4,0)*F36</f>
        <v>40</v>
      </c>
      <c r="J36" s="69" t="s">
        <v>86</v>
      </c>
      <c r="K36">
        <v>4</v>
      </c>
      <c r="L36" s="4">
        <v>20650</v>
      </c>
      <c r="N36" s="44">
        <v>33</v>
      </c>
      <c r="O36" s="17" t="s">
        <v>43</v>
      </c>
      <c r="P36" s="52">
        <f>VLOOKUP(O36,'Bu Erta'!$C$2:$F$66,4,0)</f>
        <v>500</v>
      </c>
      <c r="Q36" s="53">
        <f t="shared" si="3"/>
        <v>0</v>
      </c>
      <c r="R36" s="52">
        <f t="shared" si="2"/>
        <v>0</v>
      </c>
      <c r="T36" s="44">
        <v>33</v>
      </c>
      <c r="U36" s="17" t="s">
        <v>43</v>
      </c>
      <c r="V36" s="52"/>
      <c r="W36" s="53"/>
      <c r="X36" s="52"/>
      <c r="Z36" s="69" t="s">
        <v>67</v>
      </c>
      <c r="AA36">
        <v>0.35</v>
      </c>
      <c r="AB36" s="4">
        <v>945</v>
      </c>
    </row>
    <row r="37" spans="1:28" x14ac:dyDescent="0.35">
      <c r="A37" s="106"/>
      <c r="B37" t="s">
        <v>142</v>
      </c>
      <c r="C37" s="106"/>
      <c r="D37" t="s">
        <v>44</v>
      </c>
      <c r="E37" s="3">
        <f>VLOOKUP(D37,'Bu Erta'!$C$2:$E$66,3,0)</f>
        <v>400</v>
      </c>
      <c r="F37">
        <v>0.45</v>
      </c>
      <c r="G37" s="3">
        <f t="shared" si="0"/>
        <v>180</v>
      </c>
      <c r="H37" s="3">
        <f>VLOOKUP(D37,'Bu Erta'!$C$2:$F$66,4,0)*F37</f>
        <v>225</v>
      </c>
      <c r="J37" s="69" t="s">
        <v>137</v>
      </c>
      <c r="K37">
        <v>4</v>
      </c>
      <c r="L37" s="4">
        <v>10445</v>
      </c>
      <c r="N37" s="44">
        <v>34</v>
      </c>
      <c r="O37" s="17" t="s">
        <v>44</v>
      </c>
      <c r="P37" s="52">
        <f>VLOOKUP(O37,'Bu Erta'!$C$2:$F$66,4,0)</f>
        <v>500</v>
      </c>
      <c r="Q37" s="53">
        <f t="shared" si="3"/>
        <v>1.65</v>
      </c>
      <c r="R37" s="52">
        <f t="shared" si="2"/>
        <v>825</v>
      </c>
      <c r="T37" s="44">
        <v>34</v>
      </c>
      <c r="U37" s="17" t="s">
        <v>44</v>
      </c>
      <c r="V37" s="52"/>
      <c r="W37" s="53"/>
      <c r="X37" s="52"/>
      <c r="Z37" s="69" t="s">
        <v>68</v>
      </c>
      <c r="AA37">
        <v>18.899999999999999</v>
      </c>
      <c r="AB37" s="4">
        <v>2835</v>
      </c>
    </row>
    <row r="38" spans="1:28" x14ac:dyDescent="0.35">
      <c r="A38" s="106"/>
      <c r="B38" t="s">
        <v>142</v>
      </c>
      <c r="C38" s="106"/>
      <c r="D38" t="s">
        <v>56</v>
      </c>
      <c r="E38" s="3">
        <f>VLOOKUP(D38,'Bu Erta'!$C$2:$E$66,3,0)</f>
        <v>4000</v>
      </c>
      <c r="F38">
        <v>0.5</v>
      </c>
      <c r="G38" s="3">
        <f t="shared" si="0"/>
        <v>2000</v>
      </c>
      <c r="H38" s="3">
        <f>VLOOKUP(D38,'Bu Erta'!$C$2:$F$66,4,0)*F38</f>
        <v>2750</v>
      </c>
      <c r="J38" s="69" t="s">
        <v>136</v>
      </c>
      <c r="K38">
        <v>4</v>
      </c>
      <c r="L38" s="4">
        <v>2525</v>
      </c>
      <c r="N38" s="44">
        <v>35</v>
      </c>
      <c r="O38" s="17" t="s">
        <v>45</v>
      </c>
      <c r="P38" s="52">
        <f>VLOOKUP(O38,'Bu Erta'!$C$2:$F$66,4,0)</f>
        <v>800</v>
      </c>
      <c r="Q38" s="53">
        <f t="shared" si="3"/>
        <v>0.25</v>
      </c>
      <c r="R38" s="52">
        <f t="shared" si="2"/>
        <v>200</v>
      </c>
      <c r="T38" s="44">
        <v>35</v>
      </c>
      <c r="U38" s="17" t="s">
        <v>45</v>
      </c>
      <c r="V38" s="52"/>
      <c r="W38" s="53"/>
      <c r="X38" s="52"/>
      <c r="Z38" s="69" t="s">
        <v>69</v>
      </c>
      <c r="AA38">
        <v>1.9000000000000001</v>
      </c>
      <c r="AB38" s="4">
        <v>4750</v>
      </c>
    </row>
    <row r="39" spans="1:28" x14ac:dyDescent="0.35">
      <c r="A39" s="106"/>
      <c r="B39" t="s">
        <v>142</v>
      </c>
      <c r="C39" s="106"/>
      <c r="D39" t="s">
        <v>41</v>
      </c>
      <c r="E39" s="3">
        <f>VLOOKUP(D39,'Bu Erta'!$C$2:$E$66,3,0)</f>
        <v>1500</v>
      </c>
      <c r="F39">
        <v>0.15</v>
      </c>
      <c r="G39" s="3">
        <f t="shared" si="0"/>
        <v>225</v>
      </c>
      <c r="H39" s="3">
        <f>VLOOKUP(D39,'Bu Erta'!$C$2:$F$66,4,0)*F39</f>
        <v>300</v>
      </c>
      <c r="J39" s="69" t="s">
        <v>135</v>
      </c>
      <c r="K39">
        <v>4</v>
      </c>
      <c r="L39" s="4">
        <v>16910</v>
      </c>
      <c r="N39" s="44">
        <v>36</v>
      </c>
      <c r="O39" s="17" t="s">
        <v>46</v>
      </c>
      <c r="P39" s="52">
        <f>VLOOKUP(O39,'Bu Erta'!$C$2:$F$66,4,0)</f>
        <v>1500</v>
      </c>
      <c r="Q39" s="53">
        <f t="shared" si="3"/>
        <v>4.75</v>
      </c>
      <c r="R39" s="52">
        <f t="shared" si="2"/>
        <v>7125</v>
      </c>
      <c r="T39" s="44">
        <v>36</v>
      </c>
      <c r="U39" s="17" t="s">
        <v>46</v>
      </c>
      <c r="V39" s="52"/>
      <c r="W39" s="53"/>
      <c r="X39" s="52"/>
      <c r="Z39" s="69" t="s">
        <v>72</v>
      </c>
      <c r="AA39">
        <v>1</v>
      </c>
      <c r="AB39" s="4">
        <v>13000</v>
      </c>
    </row>
    <row r="40" spans="1:28" x14ac:dyDescent="0.35">
      <c r="A40" s="106">
        <v>6</v>
      </c>
      <c r="B40" t="s">
        <v>78</v>
      </c>
      <c r="C40" s="106">
        <v>2</v>
      </c>
      <c r="D40" t="s">
        <v>27</v>
      </c>
      <c r="E40" s="3">
        <f>VLOOKUP(D40,'Bu Erta'!$C$2:$E$66,3,0)</f>
        <v>2800</v>
      </c>
      <c r="F40">
        <f>0.55+0.3</f>
        <v>0.85000000000000009</v>
      </c>
      <c r="G40" s="3">
        <f t="shared" si="0"/>
        <v>2380.0000000000005</v>
      </c>
      <c r="H40" s="3">
        <f>VLOOKUP(D40,'Bu Erta'!$C$2:$F$66,4,0)*F40</f>
        <v>2635.0000000000005</v>
      </c>
      <c r="J40" s="69" t="s">
        <v>148</v>
      </c>
      <c r="K40">
        <v>4</v>
      </c>
      <c r="L40" s="4">
        <v>2430</v>
      </c>
      <c r="N40" s="44">
        <v>37</v>
      </c>
      <c r="O40" s="17" t="s">
        <v>47</v>
      </c>
      <c r="P40" s="52">
        <f>VLOOKUP(O40,'Bu Erta'!$C$2:$F$66,4,0)</f>
        <v>1500</v>
      </c>
      <c r="Q40" s="53">
        <f t="shared" si="3"/>
        <v>0</v>
      </c>
      <c r="R40" s="52">
        <f t="shared" si="2"/>
        <v>0</v>
      </c>
      <c r="T40" s="44">
        <v>37</v>
      </c>
      <c r="U40" s="17" t="s">
        <v>47</v>
      </c>
      <c r="V40" s="52"/>
      <c r="W40" s="53"/>
      <c r="X40" s="52"/>
      <c r="Z40" s="69" t="s">
        <v>81</v>
      </c>
      <c r="AA40">
        <v>468.19999999999993</v>
      </c>
      <c r="AB40" s="4">
        <v>615287.5</v>
      </c>
    </row>
    <row r="41" spans="1:28" x14ac:dyDescent="0.35">
      <c r="A41" s="106"/>
      <c r="B41" t="s">
        <v>78</v>
      </c>
      <c r="C41" s="106"/>
      <c r="D41" t="s">
        <v>24</v>
      </c>
      <c r="E41" s="3">
        <f>VLOOKUP(D41,'Bu Erta'!$C$2:$E$66,3,0)</f>
        <v>150</v>
      </c>
      <c r="F41">
        <v>1.2</v>
      </c>
      <c r="G41" s="3">
        <f t="shared" si="0"/>
        <v>180</v>
      </c>
      <c r="H41" s="3">
        <f>VLOOKUP(D41,'Bu Erta'!$C$2:$F$66,4,0)*F41</f>
        <v>240</v>
      </c>
      <c r="J41" s="69" t="s">
        <v>94</v>
      </c>
      <c r="K41">
        <v>4</v>
      </c>
      <c r="L41" s="4">
        <v>4990</v>
      </c>
      <c r="N41" s="44">
        <v>38</v>
      </c>
      <c r="O41" s="17" t="s">
        <v>48</v>
      </c>
      <c r="P41" s="52">
        <f>VLOOKUP(O41,'Bu Erta'!$C$2:$F$66,4,0)</f>
        <v>15000</v>
      </c>
      <c r="Q41" s="53">
        <f>SUMIF($D$3:$D$332,O41,$F$3:$F$332)-1</f>
        <v>1</v>
      </c>
      <c r="R41" s="52">
        <f t="shared" si="2"/>
        <v>15000</v>
      </c>
      <c r="T41" s="44">
        <v>38</v>
      </c>
      <c r="U41" s="17" t="s">
        <v>48</v>
      </c>
      <c r="V41" s="52"/>
      <c r="W41" s="53">
        <v>1</v>
      </c>
      <c r="X41" s="52"/>
      <c r="Y41" t="s">
        <v>176</v>
      </c>
    </row>
    <row r="42" spans="1:28" x14ac:dyDescent="0.35">
      <c r="A42" s="106"/>
      <c r="B42" t="s">
        <v>78</v>
      </c>
      <c r="C42" s="106"/>
      <c r="D42" t="s">
        <v>88</v>
      </c>
      <c r="E42" s="3">
        <f>VLOOKUP(D42,'Bu Erta'!$C$2:$E$66,3,0)</f>
        <v>300</v>
      </c>
      <c r="F42">
        <v>0.1</v>
      </c>
      <c r="G42" s="3">
        <f t="shared" si="0"/>
        <v>30</v>
      </c>
      <c r="H42" s="3">
        <f>VLOOKUP(D42,'Bu Erta'!$C$2:$F$66,4,0)*F42</f>
        <v>40</v>
      </c>
      <c r="J42" s="69" t="s">
        <v>85</v>
      </c>
      <c r="K42">
        <v>4</v>
      </c>
      <c r="L42" s="4">
        <v>9575</v>
      </c>
      <c r="N42" s="44">
        <v>39</v>
      </c>
      <c r="O42" s="17" t="s">
        <v>49</v>
      </c>
      <c r="P42" s="52">
        <f>VLOOKUP(O42,'Bu Erta'!$C$2:$F$66,4,0)</f>
        <v>900</v>
      </c>
      <c r="Q42" s="53">
        <f t="shared" si="3"/>
        <v>10.4</v>
      </c>
      <c r="R42" s="52">
        <f t="shared" si="2"/>
        <v>9360</v>
      </c>
      <c r="T42" s="44">
        <v>39</v>
      </c>
      <c r="U42" s="17" t="s">
        <v>49</v>
      </c>
      <c r="V42" s="52"/>
      <c r="W42" s="53"/>
      <c r="X42" s="52"/>
    </row>
    <row r="43" spans="1:28" x14ac:dyDescent="0.35">
      <c r="A43" s="106"/>
      <c r="B43" t="s">
        <v>78</v>
      </c>
      <c r="C43" s="106"/>
      <c r="D43" t="s">
        <v>19</v>
      </c>
      <c r="E43" s="3">
        <f>VLOOKUP(D43,'Bu Erta'!$C$2:$E$66,3,0)</f>
        <v>200</v>
      </c>
      <c r="F43">
        <v>0.4</v>
      </c>
      <c r="G43" s="3">
        <f t="shared" si="0"/>
        <v>80</v>
      </c>
      <c r="H43" s="3">
        <f>VLOOKUP(D43,'Bu Erta'!$C$2:$F$66,4,0)*F43</f>
        <v>120</v>
      </c>
      <c r="J43" s="69" t="s">
        <v>102</v>
      </c>
      <c r="K43">
        <v>4</v>
      </c>
      <c r="L43" s="4">
        <v>29490</v>
      </c>
      <c r="N43" s="44">
        <v>40</v>
      </c>
      <c r="O43" s="17" t="s">
        <v>50</v>
      </c>
      <c r="P43" s="52">
        <f>VLOOKUP(O43,'Bu Erta'!$C$2:$F$66,4,0)</f>
        <v>45000</v>
      </c>
      <c r="Q43" s="53">
        <f t="shared" si="3"/>
        <v>0</v>
      </c>
      <c r="R43" s="52">
        <f t="shared" si="2"/>
        <v>0</v>
      </c>
      <c r="T43" s="44">
        <v>40</v>
      </c>
      <c r="U43" s="17" t="s">
        <v>50</v>
      </c>
      <c r="V43" s="52"/>
      <c r="W43" s="53"/>
      <c r="X43" s="52"/>
    </row>
    <row r="44" spans="1:28" x14ac:dyDescent="0.35">
      <c r="A44" s="106"/>
      <c r="B44" t="s">
        <v>78</v>
      </c>
      <c r="C44" s="106"/>
      <c r="D44" t="s">
        <v>23</v>
      </c>
      <c r="E44" s="3">
        <f>VLOOKUP(D44,'Bu Erta'!$C$2:$E$66,3,0)</f>
        <v>300</v>
      </c>
      <c r="F44">
        <v>0.15</v>
      </c>
      <c r="G44" s="3">
        <f t="shared" si="0"/>
        <v>45</v>
      </c>
      <c r="H44" s="3">
        <f>VLOOKUP(D44,'Bu Erta'!$C$2:$F$66,4,0)*F44</f>
        <v>60</v>
      </c>
      <c r="J44" s="69" t="s">
        <v>132</v>
      </c>
      <c r="K44">
        <v>4</v>
      </c>
      <c r="L44" s="4">
        <v>2030</v>
      </c>
      <c r="N44" s="44">
        <v>41</v>
      </c>
      <c r="O44" s="17" t="s">
        <v>51</v>
      </c>
      <c r="P44" s="52">
        <f>VLOOKUP(O44,'Bu Erta'!$C$2:$F$66,4,0)</f>
        <v>55000</v>
      </c>
      <c r="Q44" s="53">
        <f t="shared" si="3"/>
        <v>0</v>
      </c>
      <c r="R44" s="52">
        <f t="shared" si="2"/>
        <v>0</v>
      </c>
      <c r="T44" s="44">
        <v>41</v>
      </c>
      <c r="U44" s="17" t="s">
        <v>51</v>
      </c>
      <c r="V44" s="52"/>
      <c r="W44" s="53"/>
      <c r="X44" s="52"/>
    </row>
    <row r="45" spans="1:28" x14ac:dyDescent="0.35">
      <c r="A45" s="106"/>
      <c r="B45" t="s">
        <v>78</v>
      </c>
      <c r="C45" s="106"/>
      <c r="D45" t="s">
        <v>7</v>
      </c>
      <c r="E45" s="3">
        <f>VLOOKUP(D45,'Bu Erta'!$C$2:$E$66,3,0)</f>
        <v>1400</v>
      </c>
      <c r="F45">
        <f>0.1+0.2</f>
        <v>0.30000000000000004</v>
      </c>
      <c r="G45" s="3">
        <f t="shared" si="0"/>
        <v>420.00000000000006</v>
      </c>
      <c r="H45" s="3">
        <f>VLOOKUP(D45,'Bu Erta'!$C$2:$F$66,4,0)*F45</f>
        <v>480.00000000000006</v>
      </c>
      <c r="J45" s="69" t="s">
        <v>145</v>
      </c>
      <c r="K45">
        <v>4</v>
      </c>
      <c r="L45" s="4">
        <v>9287.5</v>
      </c>
      <c r="N45" s="44">
        <v>42</v>
      </c>
      <c r="O45" s="17" t="s">
        <v>52</v>
      </c>
      <c r="P45" s="52">
        <f>VLOOKUP(O45,'Bu Erta'!$C$2:$F$66,4,0)</f>
        <v>30000</v>
      </c>
      <c r="Q45" s="53">
        <f t="shared" si="3"/>
        <v>0</v>
      </c>
      <c r="R45" s="52">
        <f t="shared" si="2"/>
        <v>0</v>
      </c>
      <c r="T45" s="44">
        <v>42</v>
      </c>
      <c r="U45" s="17" t="s">
        <v>52</v>
      </c>
      <c r="V45" s="52"/>
      <c r="W45" s="53"/>
      <c r="X45" s="52"/>
    </row>
    <row r="46" spans="1:28" x14ac:dyDescent="0.35">
      <c r="A46" s="106"/>
      <c r="B46" t="s">
        <v>78</v>
      </c>
      <c r="C46" s="106"/>
      <c r="D46" t="s">
        <v>35</v>
      </c>
      <c r="E46" s="3">
        <f>VLOOKUP(D46,'Bu Erta'!$C$2:$E$66,3,0)</f>
        <v>1800</v>
      </c>
      <c r="F46">
        <v>1</v>
      </c>
      <c r="G46" s="3">
        <f t="shared" si="0"/>
        <v>1800</v>
      </c>
      <c r="H46" s="3">
        <f>VLOOKUP(D46,'Bu Erta'!$C$2:$F$66,4,0)*F46</f>
        <v>2000</v>
      </c>
      <c r="J46" s="69" t="s">
        <v>152</v>
      </c>
      <c r="K46">
        <v>4</v>
      </c>
      <c r="L46" s="4">
        <v>1502.5</v>
      </c>
      <c r="N46" s="44">
        <v>43</v>
      </c>
      <c r="O46" s="17" t="s">
        <v>53</v>
      </c>
      <c r="P46" s="52">
        <f>VLOOKUP(O46,'Bu Erta'!$C$2:$F$66,4,0)</f>
        <v>12000</v>
      </c>
      <c r="Q46" s="53">
        <f t="shared" ref="Q46:Q66" si="4">SUMIF($D$3:$D$332,O46,$F$3:$F$332)</f>
        <v>1</v>
      </c>
      <c r="R46" s="52">
        <f t="shared" si="2"/>
        <v>12000</v>
      </c>
      <c r="T46" s="44">
        <v>43</v>
      </c>
      <c r="U46" s="17" t="s">
        <v>53</v>
      </c>
      <c r="V46" s="52"/>
      <c r="W46" s="53"/>
      <c r="X46" s="52"/>
    </row>
    <row r="47" spans="1:28" x14ac:dyDescent="0.35">
      <c r="A47" s="106"/>
      <c r="B47" t="s">
        <v>78</v>
      </c>
      <c r="C47" s="106"/>
      <c r="D47" t="s">
        <v>40</v>
      </c>
      <c r="E47" s="3">
        <f>VLOOKUP(D47,'Bu Erta'!$C$2:$E$66,3,0)</f>
        <v>1800</v>
      </c>
      <c r="F47">
        <v>10.3</v>
      </c>
      <c r="G47" s="3">
        <f t="shared" si="0"/>
        <v>18540</v>
      </c>
      <c r="H47" s="3">
        <f>VLOOKUP(D47,'Bu Erta'!$C$2:$F$66,4,0)*F47</f>
        <v>20600</v>
      </c>
      <c r="J47" s="69" t="s">
        <v>192</v>
      </c>
      <c r="K47">
        <v>4</v>
      </c>
      <c r="L47" s="4">
        <v>5360</v>
      </c>
      <c r="N47" s="44">
        <v>44</v>
      </c>
      <c r="O47" s="17" t="s">
        <v>54</v>
      </c>
      <c r="P47" s="52">
        <f>VLOOKUP(O47,'Bu Erta'!$C$2:$F$66,4,0)</f>
        <v>650</v>
      </c>
      <c r="Q47" s="53">
        <f t="shared" si="4"/>
        <v>0</v>
      </c>
      <c r="R47" s="52">
        <f t="shared" si="2"/>
        <v>0</v>
      </c>
      <c r="T47" s="44">
        <v>44</v>
      </c>
      <c r="U47" s="17" t="s">
        <v>54</v>
      </c>
      <c r="V47" s="52"/>
      <c r="W47" s="53"/>
      <c r="X47" s="52"/>
    </row>
    <row r="48" spans="1:28" x14ac:dyDescent="0.35">
      <c r="A48" s="106">
        <v>7</v>
      </c>
      <c r="B48" t="s">
        <v>189</v>
      </c>
      <c r="C48" s="106">
        <v>5</v>
      </c>
      <c r="D48" t="s">
        <v>42</v>
      </c>
      <c r="E48" s="3">
        <f>VLOOKUP(D48,'Bu Erta'!$C$2:$E$66,3,0)</f>
        <v>1000</v>
      </c>
      <c r="F48">
        <v>4.6500000000000004</v>
      </c>
      <c r="G48" s="3">
        <f t="shared" si="0"/>
        <v>4650</v>
      </c>
      <c r="H48" s="3">
        <f>VLOOKUP(D48,'Bu Erta'!$C$2:$F$66,4,0)*F48</f>
        <v>5580</v>
      </c>
      <c r="J48" s="69" t="s">
        <v>144</v>
      </c>
      <c r="K48">
        <v>4</v>
      </c>
      <c r="L48" s="4">
        <v>7380</v>
      </c>
      <c r="N48" s="44">
        <v>45</v>
      </c>
      <c r="O48" s="17" t="s">
        <v>55</v>
      </c>
      <c r="P48" s="52">
        <f>VLOOKUP(O48,'Bu Erta'!$C$2:$F$66,4,0)</f>
        <v>40000</v>
      </c>
      <c r="Q48" s="53">
        <f t="shared" si="4"/>
        <v>0</v>
      </c>
      <c r="R48" s="52">
        <f t="shared" si="2"/>
        <v>0</v>
      </c>
      <c r="T48" s="44">
        <v>45</v>
      </c>
      <c r="U48" s="17" t="s">
        <v>55</v>
      </c>
      <c r="V48" s="52"/>
      <c r="W48" s="53"/>
      <c r="X48" s="52"/>
    </row>
    <row r="49" spans="1:24" x14ac:dyDescent="0.35">
      <c r="A49" s="106"/>
      <c r="B49" t="s">
        <v>189</v>
      </c>
      <c r="C49" s="106"/>
      <c r="D49" t="s">
        <v>34</v>
      </c>
      <c r="E49" s="3">
        <f>VLOOKUP(D49,'Bu Erta'!$C$2:$E$66,3,0)</f>
        <v>3500</v>
      </c>
      <c r="F49">
        <v>2.2999999999999998</v>
      </c>
      <c r="G49" s="3">
        <f t="shared" si="0"/>
        <v>8049.9999999999991</v>
      </c>
      <c r="H49" s="3">
        <f>VLOOKUP(D49,'Bu Erta'!$C$2:$F$66,4,0)*F49</f>
        <v>8280</v>
      </c>
      <c r="J49" s="69" t="s">
        <v>111</v>
      </c>
      <c r="K49">
        <v>5</v>
      </c>
      <c r="L49" s="4">
        <v>4670</v>
      </c>
      <c r="N49" s="44">
        <v>46</v>
      </c>
      <c r="O49" s="17" t="s">
        <v>56</v>
      </c>
      <c r="P49" s="52">
        <f>VLOOKUP(O49,'Bu Erta'!$C$2:$F$66,4,0)</f>
        <v>5500</v>
      </c>
      <c r="Q49" s="53">
        <f t="shared" si="4"/>
        <v>3.95</v>
      </c>
      <c r="R49" s="52">
        <f t="shared" si="2"/>
        <v>21725</v>
      </c>
      <c r="T49" s="44">
        <v>46</v>
      </c>
      <c r="U49" s="17" t="s">
        <v>56</v>
      </c>
      <c r="V49" s="52"/>
      <c r="W49" s="53"/>
      <c r="X49" s="52"/>
    </row>
    <row r="50" spans="1:24" x14ac:dyDescent="0.35">
      <c r="A50" s="106"/>
      <c r="B50" t="s">
        <v>189</v>
      </c>
      <c r="C50" s="106"/>
      <c r="D50" t="s">
        <v>19</v>
      </c>
      <c r="E50" s="3">
        <f>VLOOKUP(D50,'Bu Erta'!$C$2:$E$66,3,0)</f>
        <v>200</v>
      </c>
      <c r="F50">
        <v>1.2</v>
      </c>
      <c r="G50" s="3">
        <f t="shared" si="0"/>
        <v>240</v>
      </c>
      <c r="H50" s="3">
        <f>VLOOKUP(D50,'Bu Erta'!$C$2:$F$66,4,0)*F50</f>
        <v>360</v>
      </c>
      <c r="J50" s="69" t="s">
        <v>149</v>
      </c>
      <c r="K50">
        <v>5</v>
      </c>
      <c r="L50" s="4">
        <v>5050</v>
      </c>
      <c r="N50" s="44">
        <v>47</v>
      </c>
      <c r="O50" s="17" t="s">
        <v>88</v>
      </c>
      <c r="P50" s="52">
        <f>VLOOKUP(O50,'Bu Erta'!$C$2:$F$66,4,0)</f>
        <v>400</v>
      </c>
      <c r="Q50" s="53">
        <f t="shared" si="4"/>
        <v>7.3</v>
      </c>
      <c r="R50" s="52">
        <f t="shared" si="2"/>
        <v>2920</v>
      </c>
      <c r="T50" s="44">
        <v>47</v>
      </c>
      <c r="U50" s="17" t="s">
        <v>88</v>
      </c>
      <c r="V50" s="52"/>
      <c r="W50" s="53"/>
      <c r="X50" s="52"/>
    </row>
    <row r="51" spans="1:24" x14ac:dyDescent="0.35">
      <c r="A51" s="106"/>
      <c r="B51" t="s">
        <v>189</v>
      </c>
      <c r="C51" s="106"/>
      <c r="D51" t="s">
        <v>27</v>
      </c>
      <c r="E51" s="3">
        <f>VLOOKUP(D51,'Bu Erta'!$C$2:$E$66,3,0)</f>
        <v>2800</v>
      </c>
      <c r="F51">
        <v>0.55000000000000004</v>
      </c>
      <c r="G51" s="3">
        <f t="shared" si="0"/>
        <v>1540.0000000000002</v>
      </c>
      <c r="H51" s="3">
        <f>VLOOKUP(D51,'Bu Erta'!$C$2:$F$66,4,0)*F51</f>
        <v>1705.0000000000002</v>
      </c>
      <c r="J51" s="69" t="s">
        <v>107</v>
      </c>
      <c r="K51">
        <v>5</v>
      </c>
      <c r="L51" s="4">
        <v>36695</v>
      </c>
      <c r="N51" s="44">
        <v>48</v>
      </c>
      <c r="O51" s="17" t="s">
        <v>57</v>
      </c>
      <c r="P51" s="52">
        <f>VLOOKUP(O51,'Bu Erta'!$C$2:$F$66,4,0)</f>
        <v>10000</v>
      </c>
      <c r="Q51" s="53">
        <f t="shared" si="4"/>
        <v>0</v>
      </c>
      <c r="R51" s="52">
        <f t="shared" si="2"/>
        <v>0</v>
      </c>
      <c r="T51" s="44">
        <v>48</v>
      </c>
      <c r="U51" s="17" t="s">
        <v>57</v>
      </c>
      <c r="V51" s="52"/>
      <c r="W51" s="53"/>
      <c r="X51" s="52"/>
    </row>
    <row r="52" spans="1:24" x14ac:dyDescent="0.35">
      <c r="A52" s="106"/>
      <c r="B52" t="s">
        <v>189</v>
      </c>
      <c r="C52" s="106"/>
      <c r="D52" t="s">
        <v>23</v>
      </c>
      <c r="E52" s="3">
        <f>VLOOKUP(D52,'Bu Erta'!$C$2:$E$66,3,0)</f>
        <v>300</v>
      </c>
      <c r="F52">
        <v>0.7</v>
      </c>
      <c r="G52" s="3">
        <f t="shared" si="0"/>
        <v>210</v>
      </c>
      <c r="H52" s="3">
        <f>VLOOKUP(D52,'Bu Erta'!$C$2:$F$66,4,0)*F52</f>
        <v>280</v>
      </c>
      <c r="J52" s="69" t="s">
        <v>189</v>
      </c>
      <c r="K52">
        <v>5</v>
      </c>
      <c r="L52" s="4">
        <v>14690</v>
      </c>
      <c r="N52" s="44">
        <v>49</v>
      </c>
      <c r="O52" s="17" t="s">
        <v>58</v>
      </c>
      <c r="P52" s="52">
        <f>VLOOKUP(O52,'Bu Erta'!$C$2:$F$66,4,0)</f>
        <v>15000</v>
      </c>
      <c r="Q52" s="53">
        <f t="shared" si="4"/>
        <v>0</v>
      </c>
      <c r="R52" s="52">
        <f t="shared" si="2"/>
        <v>0</v>
      </c>
      <c r="T52" s="44">
        <v>49</v>
      </c>
      <c r="U52" s="17" t="s">
        <v>58</v>
      </c>
      <c r="V52" s="52"/>
      <c r="W52" s="53"/>
      <c r="X52" s="52"/>
    </row>
    <row r="53" spans="1:24" x14ac:dyDescent="0.35">
      <c r="A53" s="106">
        <v>8</v>
      </c>
      <c r="B53" t="s">
        <v>86</v>
      </c>
      <c r="C53" s="106">
        <v>4</v>
      </c>
      <c r="D53" t="s">
        <v>40</v>
      </c>
      <c r="E53" s="3">
        <f>VLOOKUP(D53,'Bu Erta'!$C$2:$E$66,3,0)</f>
        <v>1800</v>
      </c>
      <c r="F53">
        <f>1+0.3</f>
        <v>1.3</v>
      </c>
      <c r="G53" s="3">
        <f t="shared" si="0"/>
        <v>2340</v>
      </c>
      <c r="H53" s="3">
        <f>VLOOKUP(D53,'Bu Erta'!$C$2:$F$66,4,0)*F53</f>
        <v>2600</v>
      </c>
      <c r="J53" s="69" t="s">
        <v>188</v>
      </c>
      <c r="K53">
        <v>7</v>
      </c>
      <c r="L53" s="4">
        <v>14830</v>
      </c>
      <c r="N53" s="44">
        <v>50</v>
      </c>
      <c r="O53" s="17" t="s">
        <v>6</v>
      </c>
      <c r="P53" s="52">
        <f>VLOOKUP(O53,'Bu Erta'!$C$2:$F$66,4,0)</f>
        <v>2500</v>
      </c>
      <c r="Q53" s="53">
        <f t="shared" si="4"/>
        <v>2.65</v>
      </c>
      <c r="R53" s="52">
        <f t="shared" si="2"/>
        <v>6625</v>
      </c>
      <c r="T53" s="44">
        <v>50</v>
      </c>
      <c r="U53" s="17" t="s">
        <v>6</v>
      </c>
      <c r="V53" s="52"/>
      <c r="W53" s="53"/>
      <c r="X53" s="52"/>
    </row>
    <row r="54" spans="1:24" x14ac:dyDescent="0.35">
      <c r="A54" s="106"/>
      <c r="B54" t="s">
        <v>86</v>
      </c>
      <c r="C54" s="106"/>
      <c r="D54" t="s">
        <v>19</v>
      </c>
      <c r="E54" s="3">
        <f>VLOOKUP(D54,'Bu Erta'!$C$2:$E$66,3,0)</f>
        <v>200</v>
      </c>
      <c r="F54">
        <v>1.3</v>
      </c>
      <c r="G54" s="3">
        <f t="shared" si="0"/>
        <v>260</v>
      </c>
      <c r="H54" s="3">
        <f>VLOOKUP(D54,'Bu Erta'!$C$2:$F$66,4,0)*F54</f>
        <v>390</v>
      </c>
      <c r="J54" s="69" t="s">
        <v>183</v>
      </c>
      <c r="K54">
        <v>7</v>
      </c>
      <c r="L54" s="4">
        <v>5150</v>
      </c>
      <c r="N54" s="44">
        <v>51</v>
      </c>
      <c r="O54" s="17" t="s">
        <v>59</v>
      </c>
      <c r="P54" s="52">
        <f>VLOOKUP(O54,'Bu Erta'!$C$2:$F$66,4,0)</f>
        <v>600</v>
      </c>
      <c r="Q54" s="53">
        <f t="shared" si="4"/>
        <v>0</v>
      </c>
      <c r="R54" s="52">
        <f t="shared" si="2"/>
        <v>0</v>
      </c>
      <c r="T54" s="44">
        <v>51</v>
      </c>
      <c r="U54" s="17" t="s">
        <v>59</v>
      </c>
      <c r="V54" s="52"/>
      <c r="W54" s="53"/>
      <c r="X54" s="52"/>
    </row>
    <row r="55" spans="1:24" x14ac:dyDescent="0.35">
      <c r="A55" s="106"/>
      <c r="B55" t="s">
        <v>86</v>
      </c>
      <c r="C55" s="106"/>
      <c r="D55" t="s">
        <v>88</v>
      </c>
      <c r="E55" s="3">
        <f>VLOOKUP(D55,'Bu Erta'!$C$2:$E$66,3,0)</f>
        <v>300</v>
      </c>
      <c r="F55">
        <v>0.95</v>
      </c>
      <c r="G55" s="3">
        <f t="shared" si="0"/>
        <v>285</v>
      </c>
      <c r="H55" s="3">
        <f>VLOOKUP(D55,'Bu Erta'!$C$2:$F$66,4,0)*F55</f>
        <v>380</v>
      </c>
      <c r="J55" s="69" t="s">
        <v>81</v>
      </c>
      <c r="K55">
        <v>165</v>
      </c>
      <c r="L55" s="4">
        <v>615287.5</v>
      </c>
      <c r="N55" s="44">
        <v>52</v>
      </c>
      <c r="O55" s="17" t="s">
        <v>60</v>
      </c>
      <c r="P55" s="52">
        <f>VLOOKUP(O55,'Bu Erta'!$C$2:$F$66,4,0)</f>
        <v>1500</v>
      </c>
      <c r="Q55" s="53">
        <f t="shared" si="4"/>
        <v>1.1499999999999999</v>
      </c>
      <c r="R55" s="52">
        <f t="shared" si="2"/>
        <v>1724.9999999999998</v>
      </c>
      <c r="T55" s="44">
        <v>52</v>
      </c>
      <c r="U55" s="17" t="s">
        <v>60</v>
      </c>
      <c r="V55" s="52"/>
      <c r="W55" s="53"/>
      <c r="X55" s="52"/>
    </row>
    <row r="56" spans="1:24" x14ac:dyDescent="0.35">
      <c r="A56" s="106"/>
      <c r="B56" t="s">
        <v>86</v>
      </c>
      <c r="C56" s="106"/>
      <c r="D56" t="s">
        <v>36</v>
      </c>
      <c r="E56" s="3">
        <f>VLOOKUP(D56,'Bu Erta'!$C$2:$E$66,3,0)</f>
        <v>600</v>
      </c>
      <c r="F56">
        <f>1.8+2.95</f>
        <v>4.75</v>
      </c>
      <c r="G56" s="3">
        <f t="shared" si="0"/>
        <v>2850</v>
      </c>
      <c r="H56" s="3">
        <f>VLOOKUP(D56,'Bu Erta'!$C$2:$F$66,4,0)*F56</f>
        <v>3087.5</v>
      </c>
      <c r="N56" s="44">
        <v>53</v>
      </c>
      <c r="O56" s="17" t="s">
        <v>61</v>
      </c>
      <c r="P56" s="52">
        <f>VLOOKUP(O56,'Bu Erta'!$C$2:$F$66,4,0)</f>
        <v>900</v>
      </c>
      <c r="Q56" s="53">
        <f t="shared" si="4"/>
        <v>1.3</v>
      </c>
      <c r="R56" s="52">
        <f t="shared" si="2"/>
        <v>1170</v>
      </c>
      <c r="T56" s="44">
        <v>53</v>
      </c>
      <c r="U56" s="17" t="s">
        <v>61</v>
      </c>
      <c r="V56" s="52"/>
      <c r="W56" s="53"/>
      <c r="X56" s="52"/>
    </row>
    <row r="57" spans="1:24" x14ac:dyDescent="0.35">
      <c r="A57" s="106"/>
      <c r="B57" t="s">
        <v>86</v>
      </c>
      <c r="C57" s="106"/>
      <c r="D57" t="s">
        <v>7</v>
      </c>
      <c r="E57" s="3">
        <f>VLOOKUP(D57,'Bu Erta'!$C$2:$E$66,3,0)</f>
        <v>1400</v>
      </c>
      <c r="F57">
        <f>1.85+1.65</f>
        <v>3.5</v>
      </c>
      <c r="G57" s="3">
        <f t="shared" si="0"/>
        <v>4900</v>
      </c>
      <c r="H57" s="3">
        <f>VLOOKUP(D57,'Bu Erta'!$C$2:$F$66,4,0)*F57</f>
        <v>5600</v>
      </c>
      <c r="N57" s="44">
        <v>54</v>
      </c>
      <c r="O57" s="17" t="s">
        <v>62</v>
      </c>
      <c r="P57" s="52">
        <f>VLOOKUP(O57,'Bu Erta'!$C$2:$F$66,4,0)</f>
        <v>500</v>
      </c>
      <c r="Q57" s="53">
        <f t="shared" si="4"/>
        <v>0.5</v>
      </c>
      <c r="R57" s="52">
        <f t="shared" si="2"/>
        <v>250</v>
      </c>
      <c r="T57" s="44">
        <v>54</v>
      </c>
      <c r="U57" s="17" t="s">
        <v>62</v>
      </c>
      <c r="V57" s="52"/>
      <c r="W57" s="53"/>
      <c r="X57" s="52"/>
    </row>
    <row r="58" spans="1:24" x14ac:dyDescent="0.35">
      <c r="A58" s="106"/>
      <c r="B58" t="s">
        <v>86</v>
      </c>
      <c r="C58" s="106"/>
      <c r="D58" t="s">
        <v>31</v>
      </c>
      <c r="E58" s="3">
        <f>VLOOKUP(D58,'Bu Erta'!$C$2:$E$66,3,0)</f>
        <v>1000</v>
      </c>
      <c r="F58">
        <v>2.5499999999999998</v>
      </c>
      <c r="G58" s="3">
        <f t="shared" si="0"/>
        <v>2550</v>
      </c>
      <c r="H58" s="3">
        <f>VLOOKUP(D58,'Bu Erta'!$C$2:$F$66,4,0)*F58</f>
        <v>2805</v>
      </c>
      <c r="N58" s="44">
        <v>55</v>
      </c>
      <c r="O58" s="17" t="s">
        <v>63</v>
      </c>
      <c r="P58" s="52">
        <f>VLOOKUP(O58,'Bu Erta'!$C$2:$F$66,4,0)</f>
        <v>1000</v>
      </c>
      <c r="Q58" s="53">
        <f t="shared" si="4"/>
        <v>0</v>
      </c>
      <c r="R58" s="52">
        <f t="shared" si="2"/>
        <v>0</v>
      </c>
      <c r="T58" s="44">
        <v>55</v>
      </c>
      <c r="U58" s="17" t="s">
        <v>63</v>
      </c>
      <c r="V58" s="52"/>
      <c r="W58" s="53"/>
      <c r="X58" s="52"/>
    </row>
    <row r="59" spans="1:24" x14ac:dyDescent="0.35">
      <c r="A59" s="106"/>
      <c r="B59" t="s">
        <v>86</v>
      </c>
      <c r="C59" s="106"/>
      <c r="D59" t="s">
        <v>42</v>
      </c>
      <c r="E59" s="3">
        <f>VLOOKUP(D59,'Bu Erta'!$C$2:$E$66,3,0)</f>
        <v>1000</v>
      </c>
      <c r="F59">
        <v>0.15</v>
      </c>
      <c r="G59" s="3">
        <f t="shared" si="0"/>
        <v>150</v>
      </c>
      <c r="H59" s="3">
        <f>VLOOKUP(D59,'Bu Erta'!$C$2:$F$66,4,0)*F59</f>
        <v>180</v>
      </c>
      <c r="N59" s="44">
        <v>56</v>
      </c>
      <c r="O59" s="17" t="s">
        <v>64</v>
      </c>
      <c r="P59" s="52">
        <f>VLOOKUP(O59,'Bu Erta'!$C$2:$F$66,4,0)</f>
        <v>900</v>
      </c>
      <c r="Q59" s="53">
        <f t="shared" si="4"/>
        <v>0</v>
      </c>
      <c r="R59" s="52">
        <f t="shared" si="2"/>
        <v>0</v>
      </c>
      <c r="T59" s="44">
        <v>56</v>
      </c>
      <c r="U59" s="17" t="s">
        <v>64</v>
      </c>
      <c r="V59" s="52"/>
      <c r="W59" s="53"/>
      <c r="X59" s="52"/>
    </row>
    <row r="60" spans="1:24" x14ac:dyDescent="0.35">
      <c r="A60" s="106"/>
      <c r="B60" t="s">
        <v>86</v>
      </c>
      <c r="C60" s="106"/>
      <c r="D60" t="s">
        <v>22</v>
      </c>
      <c r="E60" s="3">
        <f>VLOOKUP(D60,'Bu Erta'!$C$2:$E$66,3,0)</f>
        <v>2500</v>
      </c>
      <c r="F60">
        <v>0.95</v>
      </c>
      <c r="G60" s="3">
        <f t="shared" si="0"/>
        <v>2375</v>
      </c>
      <c r="H60" s="3">
        <f>VLOOKUP(D60,'Bu Erta'!$C$2:$F$66,4,0)*F60</f>
        <v>2850</v>
      </c>
      <c r="N60" s="44">
        <v>57</v>
      </c>
      <c r="O60" s="17" t="s">
        <v>65</v>
      </c>
      <c r="P60" s="52">
        <f>VLOOKUP(O60,'Bu Erta'!$C$2:$F$66,4,0)</f>
        <v>200</v>
      </c>
      <c r="Q60" s="53">
        <f t="shared" si="4"/>
        <v>2.1</v>
      </c>
      <c r="R60" s="52">
        <f t="shared" si="2"/>
        <v>420</v>
      </c>
      <c r="T60" s="44">
        <v>57</v>
      </c>
      <c r="U60" s="17" t="s">
        <v>65</v>
      </c>
      <c r="V60" s="52"/>
      <c r="W60" s="53"/>
      <c r="X60" s="52"/>
    </row>
    <row r="61" spans="1:24" x14ac:dyDescent="0.35">
      <c r="A61" s="106"/>
      <c r="B61" t="s">
        <v>86</v>
      </c>
      <c r="C61" s="106"/>
      <c r="D61" t="s">
        <v>38</v>
      </c>
      <c r="E61" s="3">
        <f>VLOOKUP(D61,'Bu Erta'!$C$2:$E$66,3,0)</f>
        <v>1400</v>
      </c>
      <c r="F61">
        <v>0.1</v>
      </c>
      <c r="G61" s="3">
        <f t="shared" si="0"/>
        <v>140</v>
      </c>
      <c r="H61" s="3">
        <f>VLOOKUP(D61,'Bu Erta'!$C$2:$F$66,4,0)*F61</f>
        <v>160</v>
      </c>
      <c r="N61" s="44">
        <v>58</v>
      </c>
      <c r="O61" s="17" t="s">
        <v>66</v>
      </c>
      <c r="P61" s="52">
        <f>VLOOKUP(O61,'Bu Erta'!$C$2:$F$66,4,0)</f>
        <v>55000</v>
      </c>
      <c r="Q61" s="53">
        <f t="shared" si="4"/>
        <v>0</v>
      </c>
      <c r="R61" s="52">
        <f t="shared" si="2"/>
        <v>0</v>
      </c>
      <c r="T61" s="44">
        <v>58</v>
      </c>
      <c r="U61" s="17" t="s">
        <v>66</v>
      </c>
      <c r="V61" s="52"/>
      <c r="W61" s="53"/>
      <c r="X61" s="52"/>
    </row>
    <row r="62" spans="1:24" x14ac:dyDescent="0.35">
      <c r="A62" s="106"/>
      <c r="B62" t="s">
        <v>86</v>
      </c>
      <c r="C62" s="106"/>
      <c r="D62" t="s">
        <v>28</v>
      </c>
      <c r="E62" s="3">
        <f>VLOOKUP(D62,'Bu Erta'!$C$2:$E$66,3,0)</f>
        <v>1200</v>
      </c>
      <c r="F62">
        <v>4</v>
      </c>
      <c r="G62" s="3">
        <f t="shared" si="0"/>
        <v>4800</v>
      </c>
      <c r="H62" s="3">
        <f>VLOOKUP(D62,'Bu Erta'!$C$2:$F$66,4,0)*F62</f>
        <v>5200</v>
      </c>
      <c r="L62" s="3" t="s">
        <v>228</v>
      </c>
      <c r="N62" s="44">
        <v>59</v>
      </c>
      <c r="O62" s="17" t="s">
        <v>67</v>
      </c>
      <c r="P62" s="52">
        <f>VLOOKUP(O62,'Bu Erta'!$C$2:$F$66,4,0)</f>
        <v>3000</v>
      </c>
      <c r="Q62" s="53">
        <f t="shared" si="4"/>
        <v>0.35</v>
      </c>
      <c r="R62" s="52">
        <f t="shared" si="2"/>
        <v>1050</v>
      </c>
      <c r="T62" s="44">
        <v>59</v>
      </c>
      <c r="U62" s="17" t="s">
        <v>67</v>
      </c>
      <c r="V62" s="52"/>
      <c r="W62" s="53"/>
      <c r="X62" s="52"/>
    </row>
    <row r="63" spans="1:24" x14ac:dyDescent="0.35">
      <c r="A63" s="106">
        <v>9</v>
      </c>
      <c r="B63" t="s">
        <v>145</v>
      </c>
      <c r="C63" s="106">
        <v>4</v>
      </c>
      <c r="D63" t="s">
        <v>27</v>
      </c>
      <c r="E63" s="3">
        <f>VLOOKUP(D63,'Bu Erta'!$C$2:$E$66,3,0)</f>
        <v>2800</v>
      </c>
      <c r="F63">
        <v>1.05</v>
      </c>
      <c r="G63" s="3">
        <f t="shared" si="0"/>
        <v>2940</v>
      </c>
      <c r="H63" s="3">
        <f>VLOOKUP(D63,'Bu Erta'!$C$2:$F$66,4,0)*F63</f>
        <v>3255</v>
      </c>
      <c r="L63" s="3">
        <f>R68+X68-GETPIVOTDATA("Sum of Total Harga",$J$2)</f>
        <v>129162.5</v>
      </c>
      <c r="N63" s="44">
        <v>60</v>
      </c>
      <c r="O63" s="17" t="s">
        <v>68</v>
      </c>
      <c r="P63" s="52">
        <f>VLOOKUP(O63,'Bu Erta'!$C$2:$F$66,4,0)</f>
        <v>200</v>
      </c>
      <c r="Q63" s="53">
        <f t="shared" si="4"/>
        <v>18.899999999999999</v>
      </c>
      <c r="R63" s="52">
        <f t="shared" si="2"/>
        <v>3779.9999999999995</v>
      </c>
      <c r="T63" s="44">
        <v>60</v>
      </c>
      <c r="U63" s="17" t="s">
        <v>68</v>
      </c>
      <c r="V63" s="52"/>
      <c r="W63" s="53"/>
      <c r="X63" s="52"/>
    </row>
    <row r="64" spans="1:24" x14ac:dyDescent="0.35">
      <c r="A64" s="106"/>
      <c r="B64" t="s">
        <v>145</v>
      </c>
      <c r="C64" s="106"/>
      <c r="D64" t="s">
        <v>7</v>
      </c>
      <c r="E64" s="3">
        <f>VLOOKUP(D64,'Bu Erta'!$C$2:$E$66,3,0)</f>
        <v>1400</v>
      </c>
      <c r="F64">
        <v>0.6</v>
      </c>
      <c r="G64" s="3">
        <f t="shared" si="0"/>
        <v>840</v>
      </c>
      <c r="H64" s="3">
        <f>VLOOKUP(D64,'Bu Erta'!$C$2:$F$66,4,0)*F64</f>
        <v>960</v>
      </c>
      <c r="N64" s="44">
        <v>61</v>
      </c>
      <c r="O64" s="17" t="s">
        <v>69</v>
      </c>
      <c r="P64" s="52">
        <f>VLOOKUP(O64,'Bu Erta'!$C$2:$F$66,4,0)</f>
        <v>3000</v>
      </c>
      <c r="Q64" s="53">
        <f t="shared" si="4"/>
        <v>1.9000000000000001</v>
      </c>
      <c r="R64" s="52">
        <f t="shared" si="2"/>
        <v>5700</v>
      </c>
      <c r="T64" s="44">
        <v>61</v>
      </c>
      <c r="U64" s="17" t="s">
        <v>69</v>
      </c>
      <c r="V64" s="52"/>
      <c r="W64" s="53"/>
      <c r="X64" s="52"/>
    </row>
    <row r="65" spans="1:24" x14ac:dyDescent="0.35">
      <c r="A65" s="106"/>
      <c r="B65" t="s">
        <v>145</v>
      </c>
      <c r="C65" s="106"/>
      <c r="D65" t="s">
        <v>68</v>
      </c>
      <c r="E65" s="3">
        <f>VLOOKUP(D65,'Bu Erta'!$C$2:$E$66,3,0)</f>
        <v>150</v>
      </c>
      <c r="F65">
        <v>0.75</v>
      </c>
      <c r="G65" s="3">
        <f t="shared" si="0"/>
        <v>112.5</v>
      </c>
      <c r="H65" s="3">
        <f>VLOOKUP(D65,'Bu Erta'!$C$2:$F$66,4,0)*F65</f>
        <v>150</v>
      </c>
      <c r="N65" s="44">
        <v>62</v>
      </c>
      <c r="O65" s="17" t="s">
        <v>70</v>
      </c>
      <c r="P65" s="52">
        <f>VLOOKUP(O65,'Bu Erta'!$C$2:$F$66,4,0)</f>
        <v>4000</v>
      </c>
      <c r="Q65" s="53">
        <f t="shared" si="4"/>
        <v>0</v>
      </c>
      <c r="R65" s="52">
        <f t="shared" si="2"/>
        <v>0</v>
      </c>
      <c r="T65" s="44">
        <v>62</v>
      </c>
      <c r="U65" s="17" t="s">
        <v>70</v>
      </c>
      <c r="V65" s="52"/>
      <c r="W65" s="53"/>
      <c r="X65" s="52"/>
    </row>
    <row r="66" spans="1:24" x14ac:dyDescent="0.35">
      <c r="A66" s="106"/>
      <c r="B66" t="s">
        <v>145</v>
      </c>
      <c r="C66" s="106"/>
      <c r="D66" t="s">
        <v>42</v>
      </c>
      <c r="E66" s="3">
        <f>VLOOKUP(D66,'Bu Erta'!$C$2:$E$66,3,0)</f>
        <v>1000</v>
      </c>
      <c r="F66">
        <v>3.85</v>
      </c>
      <c r="G66" s="3">
        <f t="shared" si="0"/>
        <v>3850</v>
      </c>
      <c r="H66" s="3">
        <f>VLOOKUP(D66,'Bu Erta'!$C$2:$F$66,4,0)*F66</f>
        <v>4620</v>
      </c>
      <c r="N66" s="44">
        <v>63</v>
      </c>
      <c r="O66" s="17" t="s">
        <v>71</v>
      </c>
      <c r="P66" s="52">
        <f>VLOOKUP(O66,'Bu Erta'!$C$2:$F$66,4,0)</f>
        <v>10000</v>
      </c>
      <c r="Q66" s="53">
        <f t="shared" si="4"/>
        <v>0</v>
      </c>
      <c r="R66" s="52">
        <f t="shared" si="2"/>
        <v>0</v>
      </c>
      <c r="T66" s="44">
        <v>63</v>
      </c>
      <c r="U66" s="17" t="s">
        <v>71</v>
      </c>
      <c r="V66" s="52"/>
      <c r="W66" s="53"/>
      <c r="X66" s="52"/>
    </row>
    <row r="67" spans="1:24" x14ac:dyDescent="0.35">
      <c r="A67" s="106"/>
      <c r="B67" t="s">
        <v>145</v>
      </c>
      <c r="C67" s="106"/>
      <c r="D67" t="s">
        <v>41</v>
      </c>
      <c r="E67" s="3">
        <f>VLOOKUP(D67,'Bu Erta'!$C$2:$E$66,3,0)</f>
        <v>1500</v>
      </c>
      <c r="F67">
        <v>0.15</v>
      </c>
      <c r="G67" s="3">
        <f t="shared" ref="G67:G130" si="5">E67*F67</f>
        <v>225</v>
      </c>
      <c r="H67" s="3">
        <f>VLOOKUP(D67,'Bu Erta'!$C$2:$F$66,4,0)*F67</f>
        <v>300</v>
      </c>
      <c r="N67" s="44">
        <v>64</v>
      </c>
      <c r="O67" s="17" t="s">
        <v>72</v>
      </c>
      <c r="P67" s="52">
        <f>VLOOKUP(O67,'Bu Erta'!$C$2:$F$66,4,0)</f>
        <v>15000</v>
      </c>
      <c r="Q67" s="53"/>
      <c r="R67" s="52">
        <f t="shared" si="2"/>
        <v>0</v>
      </c>
      <c r="T67" s="44">
        <v>64</v>
      </c>
      <c r="U67" s="17" t="s">
        <v>72</v>
      </c>
      <c r="V67" s="52">
        <v>25000</v>
      </c>
      <c r="W67" s="53">
        <v>1</v>
      </c>
      <c r="X67" s="52">
        <f>V67*W67</f>
        <v>25000</v>
      </c>
    </row>
    <row r="68" spans="1:24" x14ac:dyDescent="0.35">
      <c r="A68" s="106"/>
      <c r="B68" t="s">
        <v>145</v>
      </c>
      <c r="C68" s="106"/>
      <c r="D68" t="s">
        <v>31</v>
      </c>
      <c r="E68" s="3">
        <f>VLOOKUP(D68,'Bu Erta'!$C$2:$E$66,3,0)</f>
        <v>1000</v>
      </c>
      <c r="F68">
        <v>0.65</v>
      </c>
      <c r="G68" s="3">
        <f t="shared" si="5"/>
        <v>650</v>
      </c>
      <c r="H68" s="3">
        <f>VLOOKUP(D68,'Bu Erta'!$C$2:$F$66,4,0)*F68</f>
        <v>715</v>
      </c>
      <c r="N68" s="17"/>
      <c r="O68" s="17"/>
      <c r="P68" s="54" t="s">
        <v>130</v>
      </c>
      <c r="Q68" s="54">
        <f>SUM(Q4:Q67)</f>
        <v>421.24999999999994</v>
      </c>
      <c r="R68" s="55">
        <f>SUM(R4:R67)</f>
        <v>550750</v>
      </c>
      <c r="T68" s="17"/>
      <c r="U68" s="17"/>
      <c r="V68" s="54" t="s">
        <v>130</v>
      </c>
      <c r="W68" s="54">
        <f>SUM(W4:W67)</f>
        <v>56</v>
      </c>
      <c r="X68" s="55">
        <f>SUM(X4:X67)</f>
        <v>193700</v>
      </c>
    </row>
    <row r="69" spans="1:24" x14ac:dyDescent="0.35">
      <c r="A69" s="106"/>
      <c r="B69" t="s">
        <v>145</v>
      </c>
      <c r="C69" s="106"/>
      <c r="D69" t="s">
        <v>23</v>
      </c>
      <c r="E69" s="3">
        <f>VLOOKUP(D69,'Bu Erta'!$C$2:$E$66,3,0)</f>
        <v>300</v>
      </c>
      <c r="F69">
        <v>1.6</v>
      </c>
      <c r="G69" s="3">
        <f t="shared" si="5"/>
        <v>480</v>
      </c>
      <c r="H69" s="3">
        <f>VLOOKUP(D69,'Bu Erta'!$C$2:$F$66,4,0)*F69</f>
        <v>640</v>
      </c>
    </row>
    <row r="70" spans="1:24" x14ac:dyDescent="0.35">
      <c r="A70" s="106"/>
      <c r="B70" t="s">
        <v>145</v>
      </c>
      <c r="C70" s="106"/>
      <c r="D70" t="s">
        <v>19</v>
      </c>
      <c r="E70" s="3">
        <f>VLOOKUP(D70,'Bu Erta'!$C$2:$E$66,3,0)</f>
        <v>200</v>
      </c>
      <c r="F70">
        <v>0.95</v>
      </c>
      <c r="G70" s="3">
        <f t="shared" si="5"/>
        <v>190</v>
      </c>
      <c r="H70" s="3">
        <f>VLOOKUP(D70,'Bu Erta'!$C$2:$F$66,4,0)*F70</f>
        <v>285</v>
      </c>
    </row>
    <row r="71" spans="1:24" x14ac:dyDescent="0.35">
      <c r="A71" s="106">
        <v>10</v>
      </c>
      <c r="B71" t="s">
        <v>183</v>
      </c>
      <c r="C71" s="106">
        <v>7</v>
      </c>
      <c r="D71" t="s">
        <v>27</v>
      </c>
      <c r="E71" s="3">
        <f>VLOOKUP(D71,'Bu Erta'!$C$2:$E$66,3,0)</f>
        <v>2800</v>
      </c>
      <c r="F71">
        <f>0.25+0.6+0.6+0.3</f>
        <v>1.75</v>
      </c>
      <c r="G71" s="3">
        <f t="shared" si="5"/>
        <v>4900</v>
      </c>
      <c r="H71" s="3">
        <f>VLOOKUP(D71,'Bu Erta'!$C$2:$F$66,4,0)*F71</f>
        <v>5425</v>
      </c>
    </row>
    <row r="72" spans="1:24" x14ac:dyDescent="0.35">
      <c r="A72" s="106"/>
      <c r="B72" t="s">
        <v>183</v>
      </c>
      <c r="C72" s="106"/>
      <c r="D72" t="s">
        <v>69</v>
      </c>
      <c r="E72" s="3">
        <f>VLOOKUP(D72,'Bu Erta'!$C$2:$E$66,3,0)</f>
        <v>2500</v>
      </c>
      <c r="F72">
        <v>0.1</v>
      </c>
      <c r="G72" s="3">
        <f t="shared" si="5"/>
        <v>250</v>
      </c>
      <c r="H72" s="3">
        <f>VLOOKUP(D72,'Bu Erta'!$C$2:$F$66,4,0)*F72</f>
        <v>300</v>
      </c>
      <c r="S72" s="4">
        <f>R68+X68</f>
        <v>744450</v>
      </c>
    </row>
    <row r="73" spans="1:24" x14ac:dyDescent="0.35">
      <c r="A73" s="106">
        <v>11</v>
      </c>
      <c r="B73" t="s">
        <v>284</v>
      </c>
      <c r="C73" s="106">
        <v>2</v>
      </c>
      <c r="D73" t="s">
        <v>27</v>
      </c>
      <c r="E73" s="3">
        <f>VLOOKUP(D73,'Bu Erta'!$C$2:$E$66,3,0)</f>
        <v>2800</v>
      </c>
      <c r="F73">
        <f>0.4+0.3</f>
        <v>0.7</v>
      </c>
      <c r="G73" s="3">
        <f t="shared" si="5"/>
        <v>1959.9999999999998</v>
      </c>
      <c r="H73" s="3">
        <f>VLOOKUP(D73,'Bu Erta'!$C$2:$F$66,4,0)*F73</f>
        <v>2170</v>
      </c>
      <c r="S73" s="4">
        <f>S72-GETPIVOTDATA("Sum of Total Harga",$J$2)</f>
        <v>129162.5</v>
      </c>
    </row>
    <row r="74" spans="1:24" x14ac:dyDescent="0.35">
      <c r="A74" s="106"/>
      <c r="B74" t="s">
        <v>284</v>
      </c>
      <c r="C74" s="106"/>
      <c r="D74" t="s">
        <v>7</v>
      </c>
      <c r="E74" s="3">
        <f>VLOOKUP(D74,'Bu Erta'!$C$2:$E$66,3,0)</f>
        <v>1400</v>
      </c>
      <c r="F74">
        <v>0.5</v>
      </c>
      <c r="G74" s="3">
        <f t="shared" si="5"/>
        <v>700</v>
      </c>
      <c r="H74" s="3">
        <f>VLOOKUP(D74,'Bu Erta'!$C$2:$F$66,4,0)*F74</f>
        <v>800</v>
      </c>
    </row>
    <row r="75" spans="1:24" x14ac:dyDescent="0.35">
      <c r="A75" s="106"/>
      <c r="B75" t="s">
        <v>284</v>
      </c>
      <c r="C75" s="106"/>
      <c r="D75" t="s">
        <v>41</v>
      </c>
      <c r="E75" s="3">
        <f>VLOOKUP(D75,'Bu Erta'!$C$2:$E$66,3,0)</f>
        <v>1500</v>
      </c>
      <c r="F75">
        <v>0.25</v>
      </c>
      <c r="G75" s="3">
        <f t="shared" si="5"/>
        <v>375</v>
      </c>
      <c r="H75" s="3">
        <f>VLOOKUP(D75,'Bu Erta'!$C$2:$F$66,4,0)*F75</f>
        <v>500</v>
      </c>
    </row>
    <row r="76" spans="1:24" x14ac:dyDescent="0.35">
      <c r="A76" s="106"/>
      <c r="B76" t="s">
        <v>284</v>
      </c>
      <c r="C76" s="106"/>
      <c r="D76" t="s">
        <v>24</v>
      </c>
      <c r="E76" s="3">
        <f>VLOOKUP(D76,'Bu Erta'!$C$2:$E$66,3,0)</f>
        <v>150</v>
      </c>
      <c r="F76">
        <v>2.5</v>
      </c>
      <c r="G76" s="3">
        <f t="shared" si="5"/>
        <v>375</v>
      </c>
      <c r="H76" s="3">
        <f>VLOOKUP(D76,'Bu Erta'!$C$2:$F$66,4,0)*F76</f>
        <v>500</v>
      </c>
    </row>
    <row r="77" spans="1:24" x14ac:dyDescent="0.35">
      <c r="A77" s="106"/>
      <c r="B77" t="s">
        <v>284</v>
      </c>
      <c r="C77" s="106"/>
      <c r="D77" t="s">
        <v>19</v>
      </c>
      <c r="E77" s="3">
        <f>VLOOKUP(D77,'Bu Erta'!$C$2:$E$66,3,0)</f>
        <v>200</v>
      </c>
      <c r="F77">
        <v>0.2</v>
      </c>
      <c r="G77" s="3">
        <f t="shared" si="5"/>
        <v>40</v>
      </c>
      <c r="H77" s="3">
        <f>VLOOKUP(D77,'Bu Erta'!$C$2:$F$66,4,0)*F77</f>
        <v>60</v>
      </c>
    </row>
    <row r="78" spans="1:24" x14ac:dyDescent="0.35">
      <c r="A78" s="106"/>
      <c r="B78" t="s">
        <v>284</v>
      </c>
      <c r="C78" s="106"/>
      <c r="D78" t="s">
        <v>42</v>
      </c>
      <c r="E78" s="3">
        <f>VLOOKUP(D78,'Bu Erta'!$C$2:$E$66,3,0)</f>
        <v>1000</v>
      </c>
      <c r="F78">
        <v>0.4</v>
      </c>
      <c r="G78" s="3">
        <f t="shared" si="5"/>
        <v>400</v>
      </c>
      <c r="H78" s="3">
        <f>VLOOKUP(D78,'Bu Erta'!$C$2:$F$66,4,0)*F78</f>
        <v>480</v>
      </c>
    </row>
    <row r="79" spans="1:24" x14ac:dyDescent="0.35">
      <c r="A79" s="106"/>
      <c r="B79" t="s">
        <v>284</v>
      </c>
      <c r="C79" s="106"/>
      <c r="D79" t="s">
        <v>23</v>
      </c>
      <c r="E79" s="3">
        <f>VLOOKUP(D79,'Bu Erta'!$C$2:$E$66,3,0)</f>
        <v>300</v>
      </c>
      <c r="F79">
        <v>0.1</v>
      </c>
      <c r="G79" s="3">
        <f t="shared" si="5"/>
        <v>30</v>
      </c>
      <c r="H79" s="3">
        <f>VLOOKUP(D79,'Bu Erta'!$C$2:$F$66,4,0)*F79</f>
        <v>40</v>
      </c>
    </row>
    <row r="80" spans="1:24" x14ac:dyDescent="0.35">
      <c r="A80" s="106"/>
      <c r="B80" t="s">
        <v>284</v>
      </c>
      <c r="C80" s="106"/>
      <c r="D80" t="s">
        <v>69</v>
      </c>
      <c r="E80" s="3">
        <f>VLOOKUP(D80,'Bu Erta'!$C$2:$E$66,3,0)</f>
        <v>2500</v>
      </c>
      <c r="F80">
        <v>0.15</v>
      </c>
      <c r="G80" s="3">
        <f t="shared" si="5"/>
        <v>375</v>
      </c>
      <c r="H80" s="3">
        <f>VLOOKUP(D80,'Bu Erta'!$C$2:$F$66,4,0)*F80</f>
        <v>450</v>
      </c>
    </row>
    <row r="81" spans="1:8" x14ac:dyDescent="0.35">
      <c r="A81" s="106">
        <v>12</v>
      </c>
      <c r="B81" t="s">
        <v>135</v>
      </c>
      <c r="C81" s="106">
        <v>4</v>
      </c>
      <c r="D81" t="s">
        <v>88</v>
      </c>
      <c r="E81" s="3">
        <f>VLOOKUP(D81,'Bu Erta'!$C$2:$E$66,3,0)</f>
        <v>300</v>
      </c>
      <c r="F81">
        <v>0.3</v>
      </c>
      <c r="G81" s="3">
        <f t="shared" si="5"/>
        <v>90</v>
      </c>
      <c r="H81" s="3">
        <f>VLOOKUP(D81,'Bu Erta'!$C$2:$F$66,4,0)*F81</f>
        <v>120</v>
      </c>
    </row>
    <row r="82" spans="1:8" x14ac:dyDescent="0.35">
      <c r="A82" s="106"/>
      <c r="B82" t="s">
        <v>135</v>
      </c>
      <c r="C82" s="106"/>
      <c r="D82" t="s">
        <v>27</v>
      </c>
      <c r="E82" s="3">
        <f>VLOOKUP(D82,'Bu Erta'!$C$2:$E$66,3,0)</f>
        <v>2800</v>
      </c>
      <c r="F82">
        <v>0.35</v>
      </c>
      <c r="G82" s="3">
        <f t="shared" si="5"/>
        <v>979.99999999999989</v>
      </c>
      <c r="H82" s="3">
        <f>VLOOKUP(D82,'Bu Erta'!$C$2:$F$66,4,0)*F82</f>
        <v>1085</v>
      </c>
    </row>
    <row r="83" spans="1:8" x14ac:dyDescent="0.35">
      <c r="A83" s="106"/>
      <c r="B83" t="s">
        <v>135</v>
      </c>
      <c r="C83" s="106"/>
      <c r="D83" t="s">
        <v>19</v>
      </c>
      <c r="E83" s="3">
        <f>VLOOKUP(D83,'Bu Erta'!$C$2:$E$66,3,0)</f>
        <v>200</v>
      </c>
      <c r="F83">
        <v>1.3</v>
      </c>
      <c r="G83" s="3">
        <f t="shared" si="5"/>
        <v>260</v>
      </c>
      <c r="H83" s="3">
        <f>VLOOKUP(D83,'Bu Erta'!$C$2:$F$66,4,0)*F83</f>
        <v>390</v>
      </c>
    </row>
    <row r="84" spans="1:8" x14ac:dyDescent="0.35">
      <c r="A84" s="106"/>
      <c r="B84" t="s">
        <v>135</v>
      </c>
      <c r="C84" s="106"/>
      <c r="D84" t="s">
        <v>38</v>
      </c>
      <c r="E84" s="3">
        <f>VLOOKUP(D84,'Bu Erta'!$C$2:$E$66,3,0)</f>
        <v>1400</v>
      </c>
      <c r="F84">
        <f>0.5+2.9</f>
        <v>3.4</v>
      </c>
      <c r="G84" s="3">
        <f t="shared" si="5"/>
        <v>4760</v>
      </c>
      <c r="H84" s="3">
        <f>VLOOKUP(D84,'Bu Erta'!$C$2:$F$66,4,0)*F84</f>
        <v>5440</v>
      </c>
    </row>
    <row r="85" spans="1:8" x14ac:dyDescent="0.35">
      <c r="A85" s="106"/>
      <c r="B85" t="s">
        <v>135</v>
      </c>
      <c r="C85" s="106"/>
      <c r="D85" t="s">
        <v>7</v>
      </c>
      <c r="E85" s="3">
        <f>VLOOKUP(D85,'Bu Erta'!$C$2:$E$66,3,0)</f>
        <v>1400</v>
      </c>
      <c r="F85">
        <f>0.2+1.45+1.35+1.45</f>
        <v>4.45</v>
      </c>
      <c r="G85" s="3">
        <f t="shared" si="5"/>
        <v>6230</v>
      </c>
      <c r="H85" s="3">
        <f>VLOOKUP(D85,'Bu Erta'!$C$2:$F$66,4,0)*F85</f>
        <v>7120</v>
      </c>
    </row>
    <row r="86" spans="1:8" x14ac:dyDescent="0.35">
      <c r="A86" s="106"/>
      <c r="B86" t="s">
        <v>135</v>
      </c>
      <c r="C86" s="106"/>
      <c r="D86" t="s">
        <v>40</v>
      </c>
      <c r="E86" s="3">
        <f>VLOOKUP(D86,'Bu Erta'!$C$2:$E$66,3,0)</f>
        <v>1800</v>
      </c>
      <c r="F86">
        <v>2.5499999999999998</v>
      </c>
      <c r="G86" s="3">
        <f t="shared" si="5"/>
        <v>4590</v>
      </c>
      <c r="H86" s="3">
        <f>VLOOKUP(D86,'Bu Erta'!$C$2:$F$66,4,0)*F86</f>
        <v>5100</v>
      </c>
    </row>
    <row r="87" spans="1:8" x14ac:dyDescent="0.35">
      <c r="A87" s="106">
        <v>13</v>
      </c>
      <c r="B87" t="s">
        <v>188</v>
      </c>
      <c r="C87" s="106">
        <v>7</v>
      </c>
      <c r="D87" t="s">
        <v>42</v>
      </c>
      <c r="E87" s="3">
        <f>VLOOKUP(D87,'Bu Erta'!$C$2:$E$66,3,0)</f>
        <v>1000</v>
      </c>
      <c r="F87">
        <v>3.6</v>
      </c>
      <c r="G87" s="3">
        <f t="shared" si="5"/>
        <v>3600</v>
      </c>
      <c r="H87" s="3">
        <f>VLOOKUP(D87,'Bu Erta'!$C$2:$F$66,4,0)*F87</f>
        <v>4320</v>
      </c>
    </row>
    <row r="88" spans="1:8" x14ac:dyDescent="0.35">
      <c r="A88" s="106"/>
      <c r="B88" t="s">
        <v>188</v>
      </c>
      <c r="C88" s="106"/>
      <c r="D88" t="s">
        <v>25</v>
      </c>
      <c r="E88" s="3">
        <f>VLOOKUP(D88,'Bu Erta'!$C$2:$E$66,3,0)</f>
        <v>1600</v>
      </c>
      <c r="F88">
        <v>0.55000000000000004</v>
      </c>
      <c r="G88" s="3">
        <f t="shared" si="5"/>
        <v>880.00000000000011</v>
      </c>
      <c r="H88" s="3">
        <f>VLOOKUP(D88,'Bu Erta'!$C$2:$F$66,4,0)*F88</f>
        <v>935.00000000000011</v>
      </c>
    </row>
    <row r="89" spans="1:8" x14ac:dyDescent="0.35">
      <c r="A89" s="106"/>
      <c r="B89" t="s">
        <v>188</v>
      </c>
      <c r="C89" s="106"/>
      <c r="D89" t="s">
        <v>7</v>
      </c>
      <c r="E89" s="3">
        <f>VLOOKUP(D89,'Bu Erta'!$C$2:$E$66,3,0)</f>
        <v>1400</v>
      </c>
      <c r="F89">
        <v>0.25</v>
      </c>
      <c r="G89" s="3">
        <f t="shared" si="5"/>
        <v>350</v>
      </c>
      <c r="H89" s="3">
        <f>VLOOKUP(D89,'Bu Erta'!$C$2:$F$66,4,0)*F89</f>
        <v>400</v>
      </c>
    </row>
    <row r="90" spans="1:8" x14ac:dyDescent="0.35">
      <c r="A90" s="106"/>
      <c r="B90" t="s">
        <v>188</v>
      </c>
      <c r="C90" s="106"/>
      <c r="D90" t="s">
        <v>53</v>
      </c>
      <c r="E90" s="3">
        <f>VLOOKUP(D90,'Bu Erta'!$C$2:$E$66,3,0)</f>
        <v>10000</v>
      </c>
      <c r="F90">
        <v>1</v>
      </c>
      <c r="G90" s="3">
        <f t="shared" si="5"/>
        <v>10000</v>
      </c>
      <c r="H90" s="3">
        <f>VLOOKUP(D90,'Bu Erta'!$C$2:$F$66,4,0)*F90</f>
        <v>12000</v>
      </c>
    </row>
    <row r="91" spans="1:8" x14ac:dyDescent="0.35">
      <c r="A91" s="106">
        <v>14</v>
      </c>
      <c r="B91" t="s">
        <v>94</v>
      </c>
      <c r="C91" s="106">
        <v>4</v>
      </c>
      <c r="D91" t="s">
        <v>42</v>
      </c>
      <c r="E91" s="3">
        <f>VLOOKUP(D91,'Bu Erta'!$C$2:$E$66,3,0)</f>
        <v>1000</v>
      </c>
      <c r="F91">
        <v>0.65</v>
      </c>
      <c r="G91" s="3">
        <f t="shared" si="5"/>
        <v>650</v>
      </c>
      <c r="H91" s="3">
        <f>VLOOKUP(D91,'Bu Erta'!$C$2:$F$66,4,0)*F91</f>
        <v>780</v>
      </c>
    </row>
    <row r="92" spans="1:8" x14ac:dyDescent="0.35">
      <c r="A92" s="106"/>
      <c r="B92" t="s">
        <v>94</v>
      </c>
      <c r="C92" s="106"/>
      <c r="D92" t="s">
        <v>27</v>
      </c>
      <c r="E92" s="3">
        <f>VLOOKUP(D92,'Bu Erta'!$C$2:$E$66,3,0)</f>
        <v>2800</v>
      </c>
      <c r="F92">
        <v>0.15</v>
      </c>
      <c r="G92" s="3">
        <f t="shared" si="5"/>
        <v>420</v>
      </c>
      <c r="H92" s="3">
        <f>VLOOKUP(D92,'Bu Erta'!$C$2:$F$66,4,0)*F92</f>
        <v>465</v>
      </c>
    </row>
    <row r="93" spans="1:8" x14ac:dyDescent="0.35">
      <c r="A93" s="106"/>
      <c r="B93" t="s">
        <v>94</v>
      </c>
      <c r="C93" s="106"/>
      <c r="D93" t="s">
        <v>7</v>
      </c>
      <c r="E93" s="3">
        <f>VLOOKUP(D93,'Bu Erta'!$C$2:$E$66,3,0)</f>
        <v>1400</v>
      </c>
      <c r="F93">
        <f>0.35+0.1+1.45</f>
        <v>1.9</v>
      </c>
      <c r="G93" s="3">
        <f t="shared" si="5"/>
        <v>2660</v>
      </c>
      <c r="H93" s="3">
        <f>VLOOKUP(D93,'Bu Erta'!$C$2:$F$66,4,0)*F93</f>
        <v>3040</v>
      </c>
    </row>
    <row r="94" spans="1:8" x14ac:dyDescent="0.35">
      <c r="A94" s="106"/>
      <c r="B94" t="s">
        <v>94</v>
      </c>
      <c r="C94" s="106"/>
      <c r="D94" t="s">
        <v>36</v>
      </c>
      <c r="E94" s="3">
        <f>VLOOKUP(D94,'Bu Erta'!$C$2:$E$66,3,0)</f>
        <v>600</v>
      </c>
      <c r="F94">
        <v>0.2</v>
      </c>
      <c r="G94" s="3">
        <f t="shared" si="5"/>
        <v>120</v>
      </c>
      <c r="H94" s="3">
        <f>VLOOKUP(D94,'Bu Erta'!$C$2:$F$66,4,0)*F94</f>
        <v>130</v>
      </c>
    </row>
    <row r="95" spans="1:8" x14ac:dyDescent="0.35">
      <c r="A95" s="106"/>
      <c r="B95" t="s">
        <v>94</v>
      </c>
      <c r="C95" s="106"/>
      <c r="D95" t="s">
        <v>6</v>
      </c>
      <c r="E95" s="3">
        <f>VLOOKUP(D95,'Bu Erta'!$C$2:$E$66,3,0)</f>
        <v>2000</v>
      </c>
      <c r="F95">
        <v>0.2</v>
      </c>
      <c r="G95" s="3">
        <f t="shared" si="5"/>
        <v>400</v>
      </c>
      <c r="H95" s="3">
        <f>VLOOKUP(D95,'Bu Erta'!$C$2:$F$66,4,0)*F95</f>
        <v>500</v>
      </c>
    </row>
    <row r="96" spans="1:8" x14ac:dyDescent="0.35">
      <c r="A96" s="106"/>
      <c r="B96" t="s">
        <v>94</v>
      </c>
      <c r="C96" s="106"/>
      <c r="D96" t="s">
        <v>19</v>
      </c>
      <c r="E96" s="3">
        <f>VLOOKUP(D96,'Bu Erta'!$C$2:$E$66,3,0)</f>
        <v>200</v>
      </c>
      <c r="F96">
        <f>0.15+0.25</f>
        <v>0.4</v>
      </c>
      <c r="G96" s="3">
        <f t="shared" si="5"/>
        <v>80</v>
      </c>
      <c r="H96" s="3">
        <f>VLOOKUP(D96,'Bu Erta'!$C$2:$F$66,4,0)*F96</f>
        <v>120</v>
      </c>
    </row>
    <row r="97" spans="1:8" x14ac:dyDescent="0.35">
      <c r="A97" s="106"/>
      <c r="B97" t="s">
        <v>94</v>
      </c>
      <c r="C97" s="106"/>
      <c r="D97" t="s">
        <v>23</v>
      </c>
      <c r="E97" s="3">
        <f>VLOOKUP(D97,'Bu Erta'!$C$2:$E$66,3,0)</f>
        <v>300</v>
      </c>
      <c r="F97">
        <v>0.35</v>
      </c>
      <c r="G97" s="3">
        <f t="shared" si="5"/>
        <v>105</v>
      </c>
      <c r="H97" s="3">
        <f>VLOOKUP(D97,'Bu Erta'!$C$2:$F$66,4,0)*F97</f>
        <v>140</v>
      </c>
    </row>
    <row r="98" spans="1:8" x14ac:dyDescent="0.35">
      <c r="A98" s="106"/>
      <c r="B98" t="s">
        <v>94</v>
      </c>
      <c r="C98" s="106"/>
      <c r="D98" t="s">
        <v>24</v>
      </c>
      <c r="E98" s="3">
        <f>VLOOKUP(D98,'Bu Erta'!$C$2:$E$66,3,0)</f>
        <v>150</v>
      </c>
      <c r="F98">
        <v>3.7</v>
      </c>
      <c r="G98" s="3">
        <f t="shared" si="5"/>
        <v>555</v>
      </c>
      <c r="H98" s="3">
        <f>VLOOKUP(D98,'Bu Erta'!$C$2:$F$66,4,0)*F98</f>
        <v>740</v>
      </c>
    </row>
    <row r="99" spans="1:8" x14ac:dyDescent="0.35">
      <c r="A99" s="106">
        <v>15</v>
      </c>
      <c r="B99" t="s">
        <v>112</v>
      </c>
      <c r="C99" s="106">
        <v>4</v>
      </c>
      <c r="D99" t="s">
        <v>40</v>
      </c>
      <c r="E99" s="3">
        <f>VLOOKUP(D99,'Bu Erta'!$C$2:$E$66,3,0)</f>
        <v>1800</v>
      </c>
      <c r="F99">
        <v>0.1</v>
      </c>
      <c r="G99" s="3">
        <f t="shared" si="5"/>
        <v>180</v>
      </c>
      <c r="H99" s="3">
        <f>VLOOKUP(D99,'Bu Erta'!$C$2:$F$66,4,0)*F99</f>
        <v>200</v>
      </c>
    </row>
    <row r="100" spans="1:8" x14ac:dyDescent="0.35">
      <c r="A100" s="106"/>
      <c r="B100" t="s">
        <v>112</v>
      </c>
      <c r="C100" s="106"/>
      <c r="D100" t="s">
        <v>31</v>
      </c>
      <c r="E100" s="3">
        <f>VLOOKUP(D100,'Bu Erta'!$C$2:$E$66,3,0)</f>
        <v>1000</v>
      </c>
      <c r="F100">
        <f>0.45+0.7</f>
        <v>1.1499999999999999</v>
      </c>
      <c r="G100" s="3">
        <f t="shared" si="5"/>
        <v>1150</v>
      </c>
      <c r="H100" s="3">
        <f>VLOOKUP(D100,'Bu Erta'!$C$2:$F$66,4,0)*F100</f>
        <v>1265</v>
      </c>
    </row>
    <row r="101" spans="1:8" x14ac:dyDescent="0.35">
      <c r="A101" s="106">
        <v>16</v>
      </c>
      <c r="B101" t="s">
        <v>5</v>
      </c>
      <c r="C101" s="106">
        <v>2</v>
      </c>
      <c r="D101" t="s">
        <v>41</v>
      </c>
      <c r="E101" s="3">
        <f>VLOOKUP(D101,'Bu Erta'!$C$2:$E$66,3,0)</f>
        <v>1500</v>
      </c>
      <c r="F101">
        <v>2</v>
      </c>
      <c r="G101" s="3">
        <f t="shared" si="5"/>
        <v>3000</v>
      </c>
      <c r="H101" s="3">
        <f>VLOOKUP(D101,'Bu Erta'!$C$2:$F$66,4,0)*F101</f>
        <v>4000</v>
      </c>
    </row>
    <row r="102" spans="1:8" x14ac:dyDescent="0.35">
      <c r="A102" s="106"/>
      <c r="B102" t="s">
        <v>5</v>
      </c>
      <c r="C102" s="106"/>
      <c r="D102" t="s">
        <v>42</v>
      </c>
      <c r="E102" s="3">
        <f>VLOOKUP(D102,'Bu Erta'!$C$2:$E$66,3,0)</f>
        <v>1000</v>
      </c>
      <c r="F102">
        <f>0.5+0.3</f>
        <v>0.8</v>
      </c>
      <c r="G102" s="3">
        <f t="shared" si="5"/>
        <v>800</v>
      </c>
      <c r="H102" s="3">
        <f>VLOOKUP(D102,'Bu Erta'!$C$2:$F$66,4,0)*F102</f>
        <v>960</v>
      </c>
    </row>
    <row r="103" spans="1:8" x14ac:dyDescent="0.35">
      <c r="A103" s="106"/>
      <c r="B103" t="s">
        <v>5</v>
      </c>
      <c r="C103" s="106"/>
      <c r="D103" t="s">
        <v>23</v>
      </c>
      <c r="E103" s="3">
        <f>VLOOKUP(D103,'Bu Erta'!$C$2:$E$66,3,0)</f>
        <v>300</v>
      </c>
      <c r="F103">
        <v>0.1</v>
      </c>
      <c r="G103" s="3">
        <f t="shared" si="5"/>
        <v>30</v>
      </c>
      <c r="H103" s="3">
        <f>VLOOKUP(D103,'Bu Erta'!$C$2:$F$66,4,0)*F103</f>
        <v>40</v>
      </c>
    </row>
    <row r="104" spans="1:8" x14ac:dyDescent="0.35">
      <c r="A104" s="106"/>
      <c r="B104" t="s">
        <v>5</v>
      </c>
      <c r="C104" s="106"/>
      <c r="D104" t="s">
        <v>25</v>
      </c>
      <c r="E104" s="3">
        <f>VLOOKUP(D104,'Bu Erta'!$C$2:$E$66,3,0)</f>
        <v>1600</v>
      </c>
      <c r="F104">
        <v>0.8</v>
      </c>
      <c r="G104" s="3">
        <f t="shared" si="5"/>
        <v>1280</v>
      </c>
      <c r="H104" s="3">
        <f>VLOOKUP(D104,'Bu Erta'!$C$2:$F$66,4,0)*F104</f>
        <v>1360</v>
      </c>
    </row>
    <row r="105" spans="1:8" x14ac:dyDescent="0.35">
      <c r="A105" s="106">
        <v>17</v>
      </c>
      <c r="B105" t="s">
        <v>102</v>
      </c>
      <c r="C105" s="106">
        <v>4</v>
      </c>
      <c r="D105" t="s">
        <v>24</v>
      </c>
      <c r="E105" s="3">
        <f>VLOOKUP(D105,'Bu Erta'!$C$2:$E$66,3,0)</f>
        <v>150</v>
      </c>
      <c r="F105">
        <v>6.95</v>
      </c>
      <c r="G105" s="3">
        <f t="shared" si="5"/>
        <v>1042.5</v>
      </c>
      <c r="H105" s="3">
        <f>VLOOKUP(D105,'Bu Erta'!$C$2:$F$66,4,0)*F105</f>
        <v>1390</v>
      </c>
    </row>
    <row r="106" spans="1:8" x14ac:dyDescent="0.35">
      <c r="A106" s="106"/>
      <c r="B106" t="s">
        <v>102</v>
      </c>
      <c r="C106" s="106"/>
      <c r="D106" t="s">
        <v>215</v>
      </c>
      <c r="E106" s="3">
        <f>VLOOKUP(D106,'Bu Erta'!$C$2:$E$66,3,0)</f>
        <v>6000</v>
      </c>
      <c r="F106">
        <v>3</v>
      </c>
      <c r="G106" s="3">
        <f t="shared" si="5"/>
        <v>18000</v>
      </c>
      <c r="H106" s="3">
        <f>VLOOKUP(D106,'Bu Erta'!$C$2:$F$66,4,0)*F106</f>
        <v>19500</v>
      </c>
    </row>
    <row r="107" spans="1:8" x14ac:dyDescent="0.35">
      <c r="A107" s="106"/>
      <c r="B107" t="s">
        <v>102</v>
      </c>
      <c r="C107" s="106"/>
      <c r="D107" t="s">
        <v>22</v>
      </c>
      <c r="E107" s="3">
        <f>VLOOKUP(D107,'Bu Erta'!$C$2:$E$66,3,0)</f>
        <v>2500</v>
      </c>
      <c r="F107">
        <v>1.1000000000000001</v>
      </c>
      <c r="G107" s="3">
        <f t="shared" si="5"/>
        <v>2750</v>
      </c>
      <c r="H107" s="3">
        <f>VLOOKUP(D107,'Bu Erta'!$C$2:$F$66,4,0)*F107</f>
        <v>3300.0000000000005</v>
      </c>
    </row>
    <row r="108" spans="1:8" x14ac:dyDescent="0.35">
      <c r="A108" s="106"/>
      <c r="B108" t="s">
        <v>102</v>
      </c>
      <c r="C108" s="106"/>
      <c r="D108" t="s">
        <v>40</v>
      </c>
      <c r="E108" s="3">
        <f>VLOOKUP(D108,'Bu Erta'!$C$2:$E$66,3,0)</f>
        <v>1800</v>
      </c>
      <c r="F108">
        <f>0.5+0.1+0.5</f>
        <v>1.1000000000000001</v>
      </c>
      <c r="G108" s="3">
        <f t="shared" si="5"/>
        <v>1980.0000000000002</v>
      </c>
      <c r="H108" s="3">
        <f>VLOOKUP(D108,'Bu Erta'!$C$2:$F$66,4,0)*F108</f>
        <v>2200</v>
      </c>
    </row>
    <row r="109" spans="1:8" x14ac:dyDescent="0.35">
      <c r="A109" s="106"/>
      <c r="B109" t="s">
        <v>102</v>
      </c>
      <c r="C109" s="106"/>
      <c r="D109" t="s">
        <v>6</v>
      </c>
      <c r="E109" s="3">
        <f>VLOOKUP(D109,'Bu Erta'!$C$2:$E$66,3,0)</f>
        <v>2000</v>
      </c>
      <c r="F109">
        <v>0.7</v>
      </c>
      <c r="G109" s="3">
        <f t="shared" si="5"/>
        <v>1400</v>
      </c>
      <c r="H109" s="3">
        <f>VLOOKUP(D109,'Bu Erta'!$C$2:$F$66,4,0)*F109</f>
        <v>1750</v>
      </c>
    </row>
    <row r="110" spans="1:8" x14ac:dyDescent="0.35">
      <c r="A110" s="106"/>
      <c r="B110" t="s">
        <v>102</v>
      </c>
      <c r="C110" s="106"/>
      <c r="D110" t="s">
        <v>27</v>
      </c>
      <c r="E110" s="3">
        <f>VLOOKUP(D110,'Bu Erta'!$C$2:$E$66,3,0)</f>
        <v>2800</v>
      </c>
      <c r="F110">
        <v>0.45</v>
      </c>
      <c r="G110" s="3">
        <f t="shared" si="5"/>
        <v>1260</v>
      </c>
      <c r="H110" s="3">
        <f>VLOOKUP(D110,'Bu Erta'!$C$2:$F$66,4,0)*F110</f>
        <v>1395</v>
      </c>
    </row>
    <row r="111" spans="1:8" x14ac:dyDescent="0.35">
      <c r="A111" s="106"/>
      <c r="B111" t="s">
        <v>102</v>
      </c>
      <c r="C111" s="106"/>
      <c r="D111" t="s">
        <v>41</v>
      </c>
      <c r="E111" s="3">
        <f>VLOOKUP(D111,'Bu Erta'!$C$2:$E$66,3,0)</f>
        <v>1500</v>
      </c>
      <c r="F111">
        <v>0.15</v>
      </c>
      <c r="G111" s="3">
        <f t="shared" si="5"/>
        <v>225</v>
      </c>
      <c r="H111" s="3">
        <f>VLOOKUP(D111,'Bu Erta'!$C$2:$F$66,4,0)*F111</f>
        <v>300</v>
      </c>
    </row>
    <row r="112" spans="1:8" x14ac:dyDescent="0.35">
      <c r="A112" s="106"/>
      <c r="B112" t="s">
        <v>102</v>
      </c>
      <c r="C112" s="106"/>
      <c r="D112" t="s">
        <v>69</v>
      </c>
      <c r="E112" s="3">
        <f>VLOOKUP(D112,'Bu Erta'!$C$2:$E$66,3,0)</f>
        <v>2500</v>
      </c>
      <c r="F112">
        <v>0.1</v>
      </c>
      <c r="G112" s="3">
        <f t="shared" si="5"/>
        <v>250</v>
      </c>
      <c r="H112" s="3">
        <f>VLOOKUP(D112,'Bu Erta'!$C$2:$F$66,4,0)*F112</f>
        <v>300</v>
      </c>
    </row>
    <row r="113" spans="1:8" x14ac:dyDescent="0.35">
      <c r="A113" s="106"/>
      <c r="B113" t="s">
        <v>102</v>
      </c>
      <c r="C113" s="106"/>
      <c r="D113" t="s">
        <v>88</v>
      </c>
      <c r="E113" s="3">
        <f>VLOOKUP(D113,'Bu Erta'!$C$2:$E$66,3,0)</f>
        <v>300</v>
      </c>
      <c r="F113">
        <v>0.2</v>
      </c>
      <c r="G113" s="3">
        <f t="shared" si="5"/>
        <v>60</v>
      </c>
      <c r="H113" s="3">
        <f>VLOOKUP(D113,'Bu Erta'!$C$2:$F$66,4,0)*F113</f>
        <v>80</v>
      </c>
    </row>
    <row r="114" spans="1:8" x14ac:dyDescent="0.35">
      <c r="A114" s="106"/>
      <c r="B114" t="s">
        <v>102</v>
      </c>
      <c r="C114" s="106"/>
      <c r="D114" t="s">
        <v>44</v>
      </c>
      <c r="E114" s="3">
        <f>VLOOKUP(D114,'Bu Erta'!$C$2:$E$66,3,0)</f>
        <v>400</v>
      </c>
      <c r="F114">
        <v>0.2</v>
      </c>
      <c r="G114" s="3">
        <f t="shared" si="5"/>
        <v>80</v>
      </c>
      <c r="H114" s="3">
        <f>VLOOKUP(D114,'Bu Erta'!$C$2:$F$66,4,0)*F114</f>
        <v>100</v>
      </c>
    </row>
    <row r="115" spans="1:8" x14ac:dyDescent="0.35">
      <c r="A115" s="106"/>
      <c r="B115" t="s">
        <v>102</v>
      </c>
      <c r="C115" s="106"/>
      <c r="D115" t="s">
        <v>61</v>
      </c>
      <c r="E115" s="3">
        <f>VLOOKUP(D115,'Bu Erta'!$C$2:$E$66,3,0)</f>
        <v>800</v>
      </c>
      <c r="F115">
        <v>0.15</v>
      </c>
      <c r="G115" s="3">
        <f t="shared" si="5"/>
        <v>120</v>
      </c>
      <c r="H115" s="3">
        <f>VLOOKUP(D115,'Bu Erta'!$C$2:$F$66,4,0)*F115</f>
        <v>135</v>
      </c>
    </row>
    <row r="116" spans="1:8" x14ac:dyDescent="0.35">
      <c r="A116" s="106"/>
      <c r="B116" t="s">
        <v>102</v>
      </c>
      <c r="C116" s="106"/>
      <c r="D116" t="s">
        <v>7</v>
      </c>
      <c r="E116" s="3">
        <f>VLOOKUP(D116,'Bu Erta'!$C$2:$E$66,3,0)</f>
        <v>1400</v>
      </c>
      <c r="F116">
        <f>0.15+0.8</f>
        <v>0.95000000000000007</v>
      </c>
      <c r="G116" s="3">
        <f t="shared" si="5"/>
        <v>1330</v>
      </c>
      <c r="H116" s="3">
        <f>VLOOKUP(D116,'Bu Erta'!$C$2:$F$66,4,0)*F116</f>
        <v>1520</v>
      </c>
    </row>
    <row r="117" spans="1:8" x14ac:dyDescent="0.35">
      <c r="A117" s="106"/>
      <c r="B117" t="s">
        <v>102</v>
      </c>
      <c r="C117" s="106"/>
      <c r="D117" t="s">
        <v>38</v>
      </c>
      <c r="E117" s="3">
        <f>VLOOKUP(D117,'Bu Erta'!$C$2:$E$66,3,0)</f>
        <v>1400</v>
      </c>
      <c r="F117">
        <v>0.3</v>
      </c>
      <c r="G117" s="3">
        <f t="shared" si="5"/>
        <v>420</v>
      </c>
      <c r="H117" s="3">
        <f>VLOOKUP(D117,'Bu Erta'!$C$2:$F$66,4,0)*F117</f>
        <v>480</v>
      </c>
    </row>
    <row r="118" spans="1:8" x14ac:dyDescent="0.35">
      <c r="A118" s="106"/>
      <c r="B118" t="s">
        <v>102</v>
      </c>
      <c r="C118" s="106"/>
      <c r="D118" t="s">
        <v>24</v>
      </c>
      <c r="E118" s="3">
        <f>VLOOKUP(D118,'Bu Erta'!$C$2:$E$66,3,0)</f>
        <v>150</v>
      </c>
      <c r="F118">
        <v>0.4</v>
      </c>
      <c r="G118" s="3">
        <f t="shared" si="5"/>
        <v>60</v>
      </c>
      <c r="H118" s="3">
        <f>VLOOKUP(D118,'Bu Erta'!$C$2:$F$66,4,0)*F118</f>
        <v>80</v>
      </c>
    </row>
    <row r="119" spans="1:8" x14ac:dyDescent="0.35">
      <c r="A119" s="106"/>
      <c r="B119" t="s">
        <v>102</v>
      </c>
      <c r="C119" s="106"/>
      <c r="D119" t="s">
        <v>65</v>
      </c>
      <c r="E119" s="3">
        <f>VLOOKUP(D119,'Bu Erta'!$C$2:$E$66,3,0)</f>
        <v>150</v>
      </c>
      <c r="F119">
        <v>0.35</v>
      </c>
      <c r="G119" s="3">
        <f t="shared" si="5"/>
        <v>52.5</v>
      </c>
      <c r="H119" s="3">
        <f>VLOOKUP(D119,'Bu Erta'!$C$2:$F$66,4,0)*F119</f>
        <v>70</v>
      </c>
    </row>
    <row r="120" spans="1:8" x14ac:dyDescent="0.35">
      <c r="A120" s="106"/>
      <c r="B120" t="s">
        <v>102</v>
      </c>
      <c r="C120" s="106"/>
      <c r="D120" t="s">
        <v>42</v>
      </c>
      <c r="E120" s="3">
        <f>VLOOKUP(D120,'Bu Erta'!$C$2:$E$66,3,0)</f>
        <v>1000</v>
      </c>
      <c r="F120">
        <f>0.15+0.15</f>
        <v>0.3</v>
      </c>
      <c r="G120" s="3">
        <f t="shared" si="5"/>
        <v>300</v>
      </c>
      <c r="H120" s="3">
        <f>VLOOKUP(D120,'Bu Erta'!$C$2:$F$66,4,0)*F120</f>
        <v>360</v>
      </c>
    </row>
    <row r="121" spans="1:8" x14ac:dyDescent="0.35">
      <c r="A121" s="106"/>
      <c r="B121" t="s">
        <v>102</v>
      </c>
      <c r="C121" s="106"/>
      <c r="D121" t="s">
        <v>19</v>
      </c>
      <c r="E121" s="3">
        <f>VLOOKUP(D121,'Bu Erta'!$C$2:$E$66,3,0)</f>
        <v>200</v>
      </c>
      <c r="F121">
        <v>0.8</v>
      </c>
      <c r="G121" s="3">
        <f t="shared" si="5"/>
        <v>160</v>
      </c>
      <c r="H121" s="3">
        <f>VLOOKUP(D121,'Bu Erta'!$C$2:$F$66,4,0)*F121</f>
        <v>240</v>
      </c>
    </row>
    <row r="122" spans="1:8" x14ac:dyDescent="0.35">
      <c r="A122" s="106">
        <v>18</v>
      </c>
      <c r="B122" t="s">
        <v>137</v>
      </c>
      <c r="C122" s="106">
        <v>4</v>
      </c>
      <c r="D122" t="s">
        <v>19</v>
      </c>
      <c r="E122" s="3">
        <f>VLOOKUP(D122,'Bu Erta'!$C$2:$E$66,3,0)</f>
        <v>200</v>
      </c>
      <c r="F122">
        <v>0.55000000000000004</v>
      </c>
      <c r="G122" s="3">
        <f t="shared" si="5"/>
        <v>110.00000000000001</v>
      </c>
      <c r="H122" s="3">
        <f>VLOOKUP(D122,'Bu Erta'!$C$2:$F$66,4,0)*F122</f>
        <v>165</v>
      </c>
    </row>
    <row r="123" spans="1:8" x14ac:dyDescent="0.35">
      <c r="A123" s="106"/>
      <c r="B123" t="s">
        <v>137</v>
      </c>
      <c r="C123" s="106"/>
      <c r="D123" t="s">
        <v>88</v>
      </c>
      <c r="E123" s="3">
        <f>VLOOKUP(D123,'Bu Erta'!$C$2:$E$66,3,0)</f>
        <v>300</v>
      </c>
      <c r="F123">
        <v>0.6</v>
      </c>
      <c r="G123" s="3">
        <f t="shared" si="5"/>
        <v>180</v>
      </c>
      <c r="H123" s="3">
        <f>VLOOKUP(D123,'Bu Erta'!$C$2:$F$66,4,0)*F123</f>
        <v>240</v>
      </c>
    </row>
    <row r="124" spans="1:8" x14ac:dyDescent="0.35">
      <c r="A124" s="106"/>
      <c r="B124" t="s">
        <v>137</v>
      </c>
      <c r="C124" s="106"/>
      <c r="D124" t="s">
        <v>41</v>
      </c>
      <c r="E124" s="3">
        <f>VLOOKUP(D124,'Bu Erta'!$C$2:$E$66,3,0)</f>
        <v>1500</v>
      </c>
      <c r="F124">
        <v>0.45</v>
      </c>
      <c r="G124" s="3">
        <f t="shared" si="5"/>
        <v>675</v>
      </c>
      <c r="H124" s="3">
        <f>VLOOKUP(D124,'Bu Erta'!$C$2:$F$66,4,0)*F124</f>
        <v>900</v>
      </c>
    </row>
    <row r="125" spans="1:8" x14ac:dyDescent="0.35">
      <c r="A125" s="106"/>
      <c r="B125" t="s">
        <v>137</v>
      </c>
      <c r="C125" s="106"/>
      <c r="D125" t="s">
        <v>60</v>
      </c>
      <c r="E125" s="3">
        <f>VLOOKUP(D125,'Bu Erta'!$C$2:$E$66,3,0)</f>
        <v>1200</v>
      </c>
      <c r="F125">
        <v>1.1499999999999999</v>
      </c>
      <c r="G125" s="3">
        <f t="shared" si="5"/>
        <v>1380</v>
      </c>
      <c r="H125" s="3">
        <f>VLOOKUP(D125,'Bu Erta'!$C$2:$F$66,4,0)*F125</f>
        <v>1724.9999999999998</v>
      </c>
    </row>
    <row r="126" spans="1:8" x14ac:dyDescent="0.35">
      <c r="A126" s="106"/>
      <c r="B126" t="s">
        <v>137</v>
      </c>
      <c r="C126" s="106"/>
      <c r="D126" t="s">
        <v>38</v>
      </c>
      <c r="E126" s="3">
        <f>VLOOKUP(D126,'Bu Erta'!$C$2:$E$66,3,0)</f>
        <v>1400</v>
      </c>
      <c r="F126">
        <v>0.1</v>
      </c>
      <c r="G126" s="3">
        <f t="shared" si="5"/>
        <v>140</v>
      </c>
      <c r="H126" s="3">
        <f>VLOOKUP(D126,'Bu Erta'!$C$2:$F$66,4,0)*F126</f>
        <v>160</v>
      </c>
    </row>
    <row r="127" spans="1:8" x14ac:dyDescent="0.35">
      <c r="A127" s="106"/>
      <c r="B127" t="s">
        <v>137</v>
      </c>
      <c r="C127" s="106"/>
      <c r="D127" t="s">
        <v>40</v>
      </c>
      <c r="E127" s="3">
        <f>VLOOKUP(D127,'Bu Erta'!$C$2:$E$66,3,0)</f>
        <v>1800</v>
      </c>
      <c r="F127">
        <v>1.2</v>
      </c>
      <c r="G127" s="3">
        <f t="shared" si="5"/>
        <v>2160</v>
      </c>
      <c r="H127" s="3">
        <f>VLOOKUP(D127,'Bu Erta'!$C$2:$F$66,4,0)*F127</f>
        <v>2400</v>
      </c>
    </row>
    <row r="128" spans="1:8" x14ac:dyDescent="0.35">
      <c r="A128" s="106"/>
      <c r="B128" t="s">
        <v>137</v>
      </c>
      <c r="C128" s="106"/>
      <c r="D128" t="s">
        <v>22</v>
      </c>
      <c r="E128" s="3">
        <f>VLOOKUP(D128,'Bu Erta'!$C$2:$E$66,3,0)</f>
        <v>2500</v>
      </c>
      <c r="F128">
        <v>0.75</v>
      </c>
      <c r="G128" s="3">
        <f t="shared" si="5"/>
        <v>1875</v>
      </c>
      <c r="H128" s="3">
        <f>VLOOKUP(D128,'Bu Erta'!$C$2:$F$66,4,0)*F128</f>
        <v>2250</v>
      </c>
    </row>
    <row r="129" spans="1:8" x14ac:dyDescent="0.35">
      <c r="A129" s="106"/>
      <c r="B129" t="s">
        <v>137</v>
      </c>
      <c r="C129" s="106"/>
      <c r="D129" t="s">
        <v>42</v>
      </c>
      <c r="E129" s="3">
        <f>VLOOKUP(D129,'Bu Erta'!$C$2:$E$66,3,0)</f>
        <v>1000</v>
      </c>
      <c r="F129">
        <v>1.35</v>
      </c>
      <c r="G129" s="3">
        <f t="shared" si="5"/>
        <v>1350</v>
      </c>
      <c r="H129" s="3">
        <f>VLOOKUP(D129,'Bu Erta'!$C$2:$F$66,4,0)*F129</f>
        <v>1620</v>
      </c>
    </row>
    <row r="130" spans="1:8" x14ac:dyDescent="0.35">
      <c r="A130" s="106"/>
      <c r="B130" t="s">
        <v>137</v>
      </c>
      <c r="C130" s="106"/>
      <c r="D130" t="s">
        <v>69</v>
      </c>
      <c r="E130" s="3">
        <f>VLOOKUP(D130,'Bu Erta'!$C$2:$E$66,3,0)</f>
        <v>2500</v>
      </c>
      <c r="F130">
        <v>0.35</v>
      </c>
      <c r="G130" s="3">
        <f t="shared" si="5"/>
        <v>875</v>
      </c>
      <c r="H130" s="3">
        <f>VLOOKUP(D130,'Bu Erta'!$C$2:$F$66,4,0)*F130</f>
        <v>1050</v>
      </c>
    </row>
    <row r="131" spans="1:8" x14ac:dyDescent="0.35">
      <c r="A131" s="106"/>
      <c r="B131" t="s">
        <v>137</v>
      </c>
      <c r="C131" s="106"/>
      <c r="D131" t="s">
        <v>31</v>
      </c>
      <c r="E131" s="3">
        <f>VLOOKUP(D131,'Bu Erta'!$C$2:$E$66,3,0)</f>
        <v>1000</v>
      </c>
      <c r="F131">
        <v>1.7</v>
      </c>
      <c r="G131" s="3">
        <f t="shared" ref="G131:G194" si="6">E131*F131</f>
        <v>1700</v>
      </c>
      <c r="H131" s="3">
        <f>VLOOKUP(D131,'Bu Erta'!$C$2:$F$66,4,0)*F131</f>
        <v>1870</v>
      </c>
    </row>
    <row r="132" spans="1:8" x14ac:dyDescent="0.35">
      <c r="A132" s="106">
        <v>19</v>
      </c>
      <c r="B132" t="s">
        <v>175</v>
      </c>
      <c r="C132" s="106">
        <v>2</v>
      </c>
      <c r="D132" t="s">
        <v>88</v>
      </c>
      <c r="E132" s="3">
        <f>VLOOKUP(D132,'Bu Erta'!$C$2:$E$66,3,0)</f>
        <v>300</v>
      </c>
      <c r="F132">
        <v>0.65</v>
      </c>
      <c r="G132" s="3">
        <f t="shared" si="6"/>
        <v>195</v>
      </c>
      <c r="H132" s="3">
        <f>VLOOKUP(D132,'Bu Erta'!$C$2:$F$66,4,0)*F132</f>
        <v>260</v>
      </c>
    </row>
    <row r="133" spans="1:8" x14ac:dyDescent="0.35">
      <c r="A133" s="106"/>
      <c r="B133" t="s">
        <v>175</v>
      </c>
      <c r="C133" s="106"/>
      <c r="D133" t="s">
        <v>41</v>
      </c>
      <c r="E133" s="3">
        <f>VLOOKUP(D133,'Bu Erta'!$C$2:$E$66,3,0)</f>
        <v>1500</v>
      </c>
      <c r="F133">
        <v>0.5</v>
      </c>
      <c r="G133" s="3">
        <f t="shared" si="6"/>
        <v>750</v>
      </c>
      <c r="H133" s="3">
        <f>VLOOKUP(D133,'Bu Erta'!$C$2:$F$66,4,0)*F133</f>
        <v>1000</v>
      </c>
    </row>
    <row r="134" spans="1:8" x14ac:dyDescent="0.35">
      <c r="A134" s="106"/>
      <c r="B134" t="s">
        <v>175</v>
      </c>
      <c r="C134" s="106"/>
      <c r="D134" t="s">
        <v>24</v>
      </c>
      <c r="E134" s="3">
        <f>VLOOKUP(D134,'Bu Erta'!$C$2:$E$66,3,0)</f>
        <v>150</v>
      </c>
      <c r="F134">
        <v>1.65</v>
      </c>
      <c r="G134" s="3">
        <f t="shared" si="6"/>
        <v>247.5</v>
      </c>
      <c r="H134" s="3">
        <f>VLOOKUP(D134,'Bu Erta'!$C$2:$F$66,4,0)*F134</f>
        <v>330</v>
      </c>
    </row>
    <row r="135" spans="1:8" x14ac:dyDescent="0.35">
      <c r="A135" s="106"/>
      <c r="B135" t="s">
        <v>175</v>
      </c>
      <c r="C135" s="106"/>
      <c r="D135" t="s">
        <v>7</v>
      </c>
      <c r="E135" s="3">
        <f>VLOOKUP(D135,'Bu Erta'!$C$2:$E$66,3,0)</f>
        <v>1400</v>
      </c>
      <c r="F135">
        <v>0.8</v>
      </c>
      <c r="G135" s="3">
        <f t="shared" si="6"/>
        <v>1120</v>
      </c>
      <c r="H135" s="3">
        <f>VLOOKUP(D135,'Bu Erta'!$C$2:$F$66,4,0)*F135</f>
        <v>1280</v>
      </c>
    </row>
    <row r="136" spans="1:8" x14ac:dyDescent="0.35">
      <c r="A136" s="106"/>
      <c r="B136" t="s">
        <v>175</v>
      </c>
      <c r="C136" s="106"/>
      <c r="D136" t="s">
        <v>22</v>
      </c>
      <c r="E136" s="3">
        <f>VLOOKUP(D136,'Bu Erta'!$C$2:$E$66,3,0)</f>
        <v>2500</v>
      </c>
      <c r="F136">
        <v>1.2</v>
      </c>
      <c r="G136" s="3">
        <f t="shared" si="6"/>
        <v>3000</v>
      </c>
      <c r="H136" s="3">
        <f>VLOOKUP(D136,'Bu Erta'!$C$2:$F$66,4,0)*F136</f>
        <v>3600</v>
      </c>
    </row>
    <row r="137" spans="1:8" x14ac:dyDescent="0.35">
      <c r="A137" s="106"/>
      <c r="B137" t="s">
        <v>175</v>
      </c>
      <c r="C137" s="106"/>
      <c r="D137" t="s">
        <v>38</v>
      </c>
      <c r="E137" s="3">
        <f>VLOOKUP(D137,'Bu Erta'!$C$2:$E$66,3,0)</f>
        <v>1400</v>
      </c>
      <c r="F137">
        <v>0.2</v>
      </c>
      <c r="G137" s="3">
        <f t="shared" si="6"/>
        <v>280</v>
      </c>
      <c r="H137" s="3">
        <f>VLOOKUP(D137,'Bu Erta'!$C$2:$F$66,4,0)*F137</f>
        <v>320</v>
      </c>
    </row>
    <row r="138" spans="1:8" x14ac:dyDescent="0.35">
      <c r="A138" s="106"/>
      <c r="B138" t="s">
        <v>175</v>
      </c>
      <c r="C138" s="106"/>
      <c r="D138" t="s">
        <v>31</v>
      </c>
      <c r="E138" s="3">
        <f>VLOOKUP(D138,'Bu Erta'!$C$2:$E$66,3,0)</f>
        <v>1000</v>
      </c>
      <c r="F138">
        <v>3.2</v>
      </c>
      <c r="G138" s="3">
        <f t="shared" si="6"/>
        <v>3200</v>
      </c>
      <c r="H138" s="3">
        <f>VLOOKUP(D138,'Bu Erta'!$C$2:$F$66,4,0)*F138</f>
        <v>3520</v>
      </c>
    </row>
    <row r="139" spans="1:8" x14ac:dyDescent="0.35">
      <c r="A139" s="106">
        <v>20</v>
      </c>
      <c r="B139" t="s">
        <v>216</v>
      </c>
      <c r="C139" s="106">
        <v>2</v>
      </c>
      <c r="D139" t="s">
        <v>25</v>
      </c>
      <c r="E139" s="3">
        <f>VLOOKUP(D139,'Bu Erta'!$C$2:$E$66,3,0)</f>
        <v>1600</v>
      </c>
      <c r="F139">
        <f>0.25+0.1+0.95</f>
        <v>1.2999999999999998</v>
      </c>
      <c r="G139" s="3">
        <f t="shared" si="6"/>
        <v>2079.9999999999995</v>
      </c>
      <c r="H139" s="3">
        <f>VLOOKUP(D139,'Bu Erta'!$C$2:$F$66,4,0)*F139</f>
        <v>2209.9999999999995</v>
      </c>
    </row>
    <row r="140" spans="1:8" x14ac:dyDescent="0.35">
      <c r="A140" s="106"/>
      <c r="B140" t="s">
        <v>216</v>
      </c>
      <c r="C140" s="106"/>
      <c r="D140" t="s">
        <v>69</v>
      </c>
      <c r="E140" s="3">
        <f>VLOOKUP(D140,'Bu Erta'!$C$2:$E$66,3,0)</f>
        <v>2500</v>
      </c>
      <c r="F140">
        <v>0.15</v>
      </c>
      <c r="G140" s="3">
        <f t="shared" si="6"/>
        <v>375</v>
      </c>
      <c r="H140" s="3">
        <f>VLOOKUP(D140,'Bu Erta'!$C$2:$F$66,4,0)*F140</f>
        <v>450</v>
      </c>
    </row>
    <row r="141" spans="1:8" x14ac:dyDescent="0.35">
      <c r="A141" s="106"/>
      <c r="B141" t="s">
        <v>216</v>
      </c>
      <c r="C141" s="106"/>
      <c r="D141" t="s">
        <v>24</v>
      </c>
      <c r="E141" s="3">
        <f>VLOOKUP(D141,'Bu Erta'!$C$2:$E$66,3,0)</f>
        <v>150</v>
      </c>
      <c r="F141">
        <v>0.3</v>
      </c>
      <c r="G141" s="3">
        <f t="shared" si="6"/>
        <v>45</v>
      </c>
      <c r="H141" s="3">
        <f>VLOOKUP(D141,'Bu Erta'!$C$2:$F$66,4,0)*F141</f>
        <v>60</v>
      </c>
    </row>
    <row r="142" spans="1:8" x14ac:dyDescent="0.35">
      <c r="A142" s="106"/>
      <c r="B142" t="s">
        <v>216</v>
      </c>
      <c r="C142" s="106"/>
      <c r="D142" t="s">
        <v>7</v>
      </c>
      <c r="E142" s="3">
        <f>VLOOKUP(D142,'Bu Erta'!$C$2:$E$66,3,0)</f>
        <v>1400</v>
      </c>
      <c r="F142">
        <v>0.35</v>
      </c>
      <c r="G142" s="3">
        <f t="shared" si="6"/>
        <v>489.99999999999994</v>
      </c>
      <c r="H142" s="3">
        <f>VLOOKUP(D142,'Bu Erta'!$C$2:$F$66,4,0)*F142</f>
        <v>560</v>
      </c>
    </row>
    <row r="143" spans="1:8" x14ac:dyDescent="0.35">
      <c r="A143" s="106"/>
      <c r="B143" t="s">
        <v>216</v>
      </c>
      <c r="C143" s="106"/>
      <c r="D143" t="s">
        <v>41</v>
      </c>
      <c r="E143" s="3">
        <f>VLOOKUP(D143,'Bu Erta'!$C$2:$E$66,3,0)</f>
        <v>1500</v>
      </c>
      <c r="F143">
        <v>0.2</v>
      </c>
      <c r="G143" s="3">
        <f t="shared" si="6"/>
        <v>300</v>
      </c>
      <c r="H143" s="3">
        <f>VLOOKUP(D143,'Bu Erta'!$C$2:$F$66,4,0)*F143</f>
        <v>400</v>
      </c>
    </row>
    <row r="144" spans="1:8" x14ac:dyDescent="0.35">
      <c r="A144" s="106">
        <v>21</v>
      </c>
      <c r="B144" t="s">
        <v>133</v>
      </c>
      <c r="C144" s="106">
        <v>4</v>
      </c>
      <c r="D144" t="s">
        <v>44</v>
      </c>
      <c r="E144" s="3">
        <f>VLOOKUP(D144,'Bu Erta'!$C$2:$E$66,3,0)</f>
        <v>400</v>
      </c>
      <c r="F144">
        <v>1</v>
      </c>
      <c r="G144" s="3">
        <f t="shared" si="6"/>
        <v>400</v>
      </c>
      <c r="H144" s="3">
        <f>VLOOKUP(D144,'Bu Erta'!$C$2:$F$66,4,0)*F144</f>
        <v>500</v>
      </c>
    </row>
    <row r="145" spans="1:8" x14ac:dyDescent="0.35">
      <c r="A145" s="106"/>
      <c r="B145" t="s">
        <v>133</v>
      </c>
      <c r="C145" s="106"/>
      <c r="D145" t="s">
        <v>42</v>
      </c>
      <c r="E145" s="3">
        <f>VLOOKUP(D145,'Bu Erta'!$C$2:$E$66,3,0)</f>
        <v>1000</v>
      </c>
      <c r="F145">
        <v>2.7</v>
      </c>
      <c r="G145" s="3">
        <f t="shared" si="6"/>
        <v>2700</v>
      </c>
      <c r="H145" s="3">
        <f>VLOOKUP(D145,'Bu Erta'!$C$2:$F$66,4,0)*F145</f>
        <v>3240</v>
      </c>
    </row>
    <row r="146" spans="1:8" x14ac:dyDescent="0.35">
      <c r="A146" s="106"/>
      <c r="B146" t="s">
        <v>133</v>
      </c>
      <c r="C146" s="106"/>
      <c r="D146" t="s">
        <v>23</v>
      </c>
      <c r="E146" s="3">
        <f>VLOOKUP(D146,'Bu Erta'!$C$2:$E$66,3,0)</f>
        <v>300</v>
      </c>
      <c r="F146">
        <v>1</v>
      </c>
      <c r="G146" s="3">
        <f t="shared" si="6"/>
        <v>300</v>
      </c>
      <c r="H146" s="3">
        <f>VLOOKUP(D146,'Bu Erta'!$C$2:$F$66,4,0)*F146</f>
        <v>400</v>
      </c>
    </row>
    <row r="147" spans="1:8" x14ac:dyDescent="0.35">
      <c r="A147" s="106"/>
      <c r="B147" t="s">
        <v>133</v>
      </c>
      <c r="C147" s="106"/>
      <c r="D147" t="s">
        <v>65</v>
      </c>
      <c r="E147" s="3">
        <f>VLOOKUP(D147,'Bu Erta'!$C$2:$E$66,3,0)</f>
        <v>150</v>
      </c>
      <c r="F147">
        <v>0.1</v>
      </c>
      <c r="G147" s="3">
        <f t="shared" si="6"/>
        <v>15</v>
      </c>
      <c r="H147" s="3">
        <f>VLOOKUP(D147,'Bu Erta'!$C$2:$F$66,4,0)*F147</f>
        <v>20</v>
      </c>
    </row>
    <row r="148" spans="1:8" x14ac:dyDescent="0.35">
      <c r="A148" s="106"/>
      <c r="B148" t="s">
        <v>133</v>
      </c>
      <c r="C148" s="106"/>
      <c r="D148" t="s">
        <v>67</v>
      </c>
      <c r="E148" s="3">
        <f>VLOOKUP(D148,'Bu Erta'!$C$2:$E$66,3,0)</f>
        <v>2700</v>
      </c>
      <c r="F148">
        <v>0.15</v>
      </c>
      <c r="G148" s="3">
        <f t="shared" si="6"/>
        <v>405</v>
      </c>
      <c r="H148" s="3">
        <f>VLOOKUP(D148,'Bu Erta'!$C$2:$F$66,4,0)*F148</f>
        <v>450</v>
      </c>
    </row>
    <row r="149" spans="1:8" x14ac:dyDescent="0.35">
      <c r="A149" s="106"/>
      <c r="B149" t="s">
        <v>133</v>
      </c>
      <c r="C149" s="106"/>
      <c r="D149" t="s">
        <v>61</v>
      </c>
      <c r="E149" s="3">
        <f>VLOOKUP(D149,'Bu Erta'!$C$2:$E$66,3,0)</f>
        <v>800</v>
      </c>
      <c r="F149">
        <v>0.55000000000000004</v>
      </c>
      <c r="G149" s="3">
        <f t="shared" si="6"/>
        <v>440.00000000000006</v>
      </c>
      <c r="H149" s="3">
        <f>VLOOKUP(D149,'Bu Erta'!$C$2:$F$66,4,0)*F149</f>
        <v>495.00000000000006</v>
      </c>
    </row>
    <row r="150" spans="1:8" x14ac:dyDescent="0.35">
      <c r="A150" s="106"/>
      <c r="B150" t="s">
        <v>133</v>
      </c>
      <c r="C150" s="106"/>
      <c r="D150" t="s">
        <v>34</v>
      </c>
      <c r="E150" s="3">
        <f>VLOOKUP(D150,'Bu Erta'!$C$2:$E$66,3,0)</f>
        <v>3500</v>
      </c>
      <c r="F150">
        <v>0.15</v>
      </c>
      <c r="G150" s="3">
        <f t="shared" si="6"/>
        <v>525</v>
      </c>
      <c r="H150" s="3">
        <f>VLOOKUP(D150,'Bu Erta'!$C$2:$F$66,4,0)*F150</f>
        <v>540</v>
      </c>
    </row>
    <row r="151" spans="1:8" x14ac:dyDescent="0.35">
      <c r="A151" s="106"/>
      <c r="B151" t="s">
        <v>133</v>
      </c>
      <c r="C151" s="106"/>
      <c r="D151" t="s">
        <v>36</v>
      </c>
      <c r="E151" s="3">
        <f>VLOOKUP(D151,'Bu Erta'!$C$2:$E$66,3,0)</f>
        <v>600</v>
      </c>
      <c r="F151">
        <v>0.15</v>
      </c>
      <c r="G151" s="3">
        <f t="shared" si="6"/>
        <v>90</v>
      </c>
      <c r="H151" s="3">
        <f>VLOOKUP(D151,'Bu Erta'!$C$2:$F$66,4,0)*F151</f>
        <v>97.5</v>
      </c>
    </row>
    <row r="152" spans="1:8" x14ac:dyDescent="0.35">
      <c r="A152" s="106"/>
      <c r="B152" t="s">
        <v>133</v>
      </c>
      <c r="C152" s="106"/>
      <c r="D152" t="s">
        <v>7</v>
      </c>
      <c r="E152" s="3">
        <f>VLOOKUP(D152,'Bu Erta'!$C$2:$E$66,3,0)</f>
        <v>1400</v>
      </c>
      <c r="F152">
        <v>0.45</v>
      </c>
      <c r="G152" s="3">
        <f t="shared" si="6"/>
        <v>630</v>
      </c>
      <c r="H152" s="3">
        <f>VLOOKUP(D152,'Bu Erta'!$C$2:$F$66,4,0)*F152</f>
        <v>720</v>
      </c>
    </row>
    <row r="153" spans="1:8" x14ac:dyDescent="0.35">
      <c r="A153" s="106"/>
      <c r="B153" t="s">
        <v>133</v>
      </c>
      <c r="C153" s="106"/>
      <c r="D153" t="s">
        <v>41</v>
      </c>
      <c r="E153" s="3">
        <f>VLOOKUP(D153,'Bu Erta'!$C$2:$E$66,3,0)</f>
        <v>1500</v>
      </c>
      <c r="F153">
        <v>0.1</v>
      </c>
      <c r="G153" s="3">
        <f t="shared" si="6"/>
        <v>150</v>
      </c>
      <c r="H153" s="3">
        <f>VLOOKUP(D153,'Bu Erta'!$C$2:$F$66,4,0)*F153</f>
        <v>200</v>
      </c>
    </row>
    <row r="154" spans="1:8" x14ac:dyDescent="0.35">
      <c r="A154" s="106"/>
      <c r="B154" t="s">
        <v>133</v>
      </c>
      <c r="C154" s="106"/>
      <c r="D154" t="s">
        <v>24</v>
      </c>
      <c r="E154" s="3">
        <f>VLOOKUP(D154,'Bu Erta'!$C$2:$E$66,3,0)</f>
        <v>150</v>
      </c>
      <c r="F154">
        <v>0.3</v>
      </c>
      <c r="G154" s="3">
        <f t="shared" si="6"/>
        <v>45</v>
      </c>
      <c r="H154" s="3">
        <f>VLOOKUP(D154,'Bu Erta'!$C$2:$F$66,4,0)*F154</f>
        <v>60</v>
      </c>
    </row>
    <row r="155" spans="1:8" x14ac:dyDescent="0.35">
      <c r="A155" s="106">
        <v>22</v>
      </c>
      <c r="B155" t="s">
        <v>85</v>
      </c>
      <c r="C155" s="106">
        <v>4</v>
      </c>
      <c r="D155" t="s">
        <v>42</v>
      </c>
      <c r="E155" s="3">
        <f>VLOOKUP(D155,'Bu Erta'!$C$2:$E$66,3,0)</f>
        <v>1000</v>
      </c>
      <c r="F155">
        <v>0.75</v>
      </c>
      <c r="G155" s="3">
        <f t="shared" si="6"/>
        <v>750</v>
      </c>
      <c r="H155" s="3">
        <f>VLOOKUP(D155,'Bu Erta'!$C$2:$F$66,4,0)*F155</f>
        <v>900</v>
      </c>
    </row>
    <row r="156" spans="1:8" x14ac:dyDescent="0.35">
      <c r="A156" s="106"/>
      <c r="B156" t="s">
        <v>85</v>
      </c>
      <c r="C156" s="106"/>
      <c r="D156" t="s">
        <v>23</v>
      </c>
      <c r="E156" s="3">
        <f>VLOOKUP(D156,'Bu Erta'!$C$2:$E$66,3,0)</f>
        <v>300</v>
      </c>
      <c r="F156">
        <v>0.5</v>
      </c>
      <c r="G156" s="3">
        <f t="shared" si="6"/>
        <v>150</v>
      </c>
      <c r="H156" s="3">
        <f>VLOOKUP(D156,'Bu Erta'!$C$2:$F$66,4,0)*F156</f>
        <v>200</v>
      </c>
    </row>
    <row r="157" spans="1:8" x14ac:dyDescent="0.35">
      <c r="A157" s="106"/>
      <c r="B157" t="s">
        <v>85</v>
      </c>
      <c r="C157" s="106"/>
      <c r="D157" t="s">
        <v>46</v>
      </c>
      <c r="E157" s="3">
        <f>VLOOKUP(D157,'Bu Erta'!$C$2:$E$66,3,0)</f>
        <v>1400</v>
      </c>
      <c r="F157">
        <v>4.75</v>
      </c>
      <c r="G157" s="3">
        <f t="shared" si="6"/>
        <v>6650</v>
      </c>
      <c r="H157" s="3">
        <f>VLOOKUP(D157,'Bu Erta'!$C$2:$F$66,4,0)*F157</f>
        <v>7125</v>
      </c>
    </row>
    <row r="158" spans="1:8" x14ac:dyDescent="0.35">
      <c r="A158" s="106"/>
      <c r="B158" t="s">
        <v>85</v>
      </c>
      <c r="C158" s="106"/>
      <c r="D158" t="s">
        <v>27</v>
      </c>
      <c r="E158" s="3">
        <f>VLOOKUP(D158,'Bu Erta'!$C$2:$E$66,3,0)</f>
        <v>2800</v>
      </c>
      <c r="F158">
        <v>0.2</v>
      </c>
      <c r="G158" s="3">
        <f t="shared" si="6"/>
        <v>560</v>
      </c>
      <c r="H158" s="3">
        <f>VLOOKUP(D158,'Bu Erta'!$C$2:$F$66,4,0)*F158</f>
        <v>620</v>
      </c>
    </row>
    <row r="159" spans="1:8" x14ac:dyDescent="0.35">
      <c r="A159" s="106"/>
      <c r="B159" t="s">
        <v>85</v>
      </c>
      <c r="C159" s="106"/>
      <c r="D159" t="s">
        <v>34</v>
      </c>
      <c r="E159" s="3">
        <f>VLOOKUP(D159,'Bu Erta'!$C$2:$E$66,3,0)</f>
        <v>3500</v>
      </c>
      <c r="F159">
        <v>0.15</v>
      </c>
      <c r="G159" s="3">
        <f t="shared" si="6"/>
        <v>525</v>
      </c>
      <c r="H159" s="3">
        <f>VLOOKUP(D159,'Bu Erta'!$C$2:$F$66,4,0)*F159</f>
        <v>540</v>
      </c>
    </row>
    <row r="160" spans="1:8" x14ac:dyDescent="0.35">
      <c r="A160" s="106"/>
      <c r="B160" t="s">
        <v>85</v>
      </c>
      <c r="C160" s="106"/>
      <c r="D160" t="s">
        <v>88</v>
      </c>
      <c r="E160" s="3">
        <f>VLOOKUP(D160,'Bu Erta'!$C$2:$E$66,3,0)</f>
        <v>300</v>
      </c>
      <c r="F160">
        <v>0.1</v>
      </c>
      <c r="G160" s="3">
        <f t="shared" si="6"/>
        <v>30</v>
      </c>
      <c r="H160" s="3">
        <f>VLOOKUP(D160,'Bu Erta'!$C$2:$F$66,4,0)*F160</f>
        <v>40</v>
      </c>
    </row>
    <row r="161" spans="1:8" x14ac:dyDescent="0.35">
      <c r="A161" s="106"/>
      <c r="B161" t="s">
        <v>85</v>
      </c>
      <c r="C161" s="106"/>
      <c r="D161" t="s">
        <v>7</v>
      </c>
      <c r="E161" s="3">
        <f>VLOOKUP(D161,'Bu Erta'!$C$2:$E$66,3,0)</f>
        <v>1400</v>
      </c>
      <c r="F161">
        <v>0.65</v>
      </c>
      <c r="G161" s="3">
        <f t="shared" si="6"/>
        <v>910</v>
      </c>
      <c r="H161" s="3">
        <f>VLOOKUP(D161,'Bu Erta'!$C$2:$F$66,4,0)*F161</f>
        <v>1040</v>
      </c>
    </row>
    <row r="162" spans="1:8" x14ac:dyDescent="0.35">
      <c r="A162" s="106">
        <v>23</v>
      </c>
      <c r="B162" t="s">
        <v>100</v>
      </c>
      <c r="C162" s="106">
        <v>4</v>
      </c>
      <c r="D162" t="s">
        <v>42</v>
      </c>
      <c r="E162" s="3">
        <f>VLOOKUP(D162,'Bu Erta'!$C$2:$E$66,3,0)</f>
        <v>1000</v>
      </c>
      <c r="F162">
        <v>7.95</v>
      </c>
      <c r="G162" s="3">
        <f t="shared" si="6"/>
        <v>7950</v>
      </c>
      <c r="H162" s="3">
        <f>VLOOKUP(D162,'Bu Erta'!$C$2:$F$66,4,0)*F162</f>
        <v>9540</v>
      </c>
    </row>
    <row r="163" spans="1:8" x14ac:dyDescent="0.35">
      <c r="A163" s="106"/>
      <c r="B163" t="s">
        <v>100</v>
      </c>
      <c r="C163" s="106"/>
      <c r="D163" t="s">
        <v>65</v>
      </c>
      <c r="E163" s="3">
        <f>VLOOKUP(D163,'Bu Erta'!$C$2:$E$66,3,0)</f>
        <v>150</v>
      </c>
      <c r="F163">
        <v>0.35</v>
      </c>
      <c r="G163" s="3">
        <f t="shared" si="6"/>
        <v>52.5</v>
      </c>
      <c r="H163" s="3">
        <f>VLOOKUP(D163,'Bu Erta'!$C$2:$F$66,4,0)*F163</f>
        <v>70</v>
      </c>
    </row>
    <row r="164" spans="1:8" x14ac:dyDescent="0.35">
      <c r="A164" s="106"/>
      <c r="B164" t="s">
        <v>100</v>
      </c>
      <c r="C164" s="106"/>
      <c r="D164" t="s">
        <v>25</v>
      </c>
      <c r="E164" s="3">
        <f>VLOOKUP(D164,'Bu Erta'!$C$2:$E$66,3,0)</f>
        <v>1600</v>
      </c>
      <c r="F164">
        <f>0.1+0.25</f>
        <v>0.35</v>
      </c>
      <c r="G164" s="3">
        <f t="shared" si="6"/>
        <v>560</v>
      </c>
      <c r="H164" s="3">
        <f>VLOOKUP(D164,'Bu Erta'!$C$2:$F$66,4,0)*F164</f>
        <v>595</v>
      </c>
    </row>
    <row r="165" spans="1:8" x14ac:dyDescent="0.35">
      <c r="A165" s="106"/>
      <c r="B165" t="s">
        <v>100</v>
      </c>
      <c r="C165" s="106"/>
      <c r="D165" t="s">
        <v>41</v>
      </c>
      <c r="E165" s="3">
        <f>VLOOKUP(D165,'Bu Erta'!$C$2:$E$66,3,0)</f>
        <v>1500</v>
      </c>
      <c r="F165">
        <f>0.2+0.15</f>
        <v>0.35</v>
      </c>
      <c r="G165" s="3">
        <f t="shared" si="6"/>
        <v>525</v>
      </c>
      <c r="H165" s="3">
        <f>VLOOKUP(D165,'Bu Erta'!$C$2:$F$66,4,0)*F165</f>
        <v>700</v>
      </c>
    </row>
    <row r="166" spans="1:8" x14ac:dyDescent="0.35">
      <c r="A166" s="106"/>
      <c r="B166" t="s">
        <v>100</v>
      </c>
      <c r="C166" s="106"/>
      <c r="D166" t="s">
        <v>31</v>
      </c>
      <c r="E166" s="3">
        <f>VLOOKUP(D166,'Bu Erta'!$C$2:$E$66,3,0)</f>
        <v>1000</v>
      </c>
      <c r="F166">
        <v>0.35</v>
      </c>
      <c r="G166" s="3">
        <f t="shared" si="6"/>
        <v>350</v>
      </c>
      <c r="H166" s="3">
        <f>VLOOKUP(D166,'Bu Erta'!$C$2:$F$66,4,0)*F166</f>
        <v>385</v>
      </c>
    </row>
    <row r="167" spans="1:8" x14ac:dyDescent="0.35">
      <c r="A167" s="106">
        <v>24</v>
      </c>
      <c r="B167" t="s">
        <v>83</v>
      </c>
      <c r="C167" s="106">
        <v>1</v>
      </c>
      <c r="D167" t="s">
        <v>7</v>
      </c>
      <c r="E167" s="3">
        <f>VLOOKUP(D167,'Bu Erta'!$C$2:$E$66,3,0)</f>
        <v>1400</v>
      </c>
      <c r="F167">
        <f>3+1.65</f>
        <v>4.6500000000000004</v>
      </c>
      <c r="G167" s="3">
        <f t="shared" si="6"/>
        <v>6510.0000000000009</v>
      </c>
      <c r="H167" s="3">
        <f>VLOOKUP(D167,'Bu Erta'!$C$2:$F$66,4,0)*F167</f>
        <v>7440.0000000000009</v>
      </c>
    </row>
    <row r="168" spans="1:8" x14ac:dyDescent="0.35">
      <c r="A168" s="106"/>
      <c r="B168" t="s">
        <v>83</v>
      </c>
      <c r="C168" s="106"/>
      <c r="D168" t="s">
        <v>27</v>
      </c>
      <c r="E168" s="3">
        <f>VLOOKUP(D168,'Bu Erta'!$C$2:$E$66,3,0)</f>
        <v>2800</v>
      </c>
      <c r="F168">
        <v>0.45</v>
      </c>
      <c r="G168" s="3">
        <f t="shared" si="6"/>
        <v>1260</v>
      </c>
      <c r="H168" s="3">
        <f>VLOOKUP(D168,'Bu Erta'!$C$2:$F$66,4,0)*F168</f>
        <v>1395</v>
      </c>
    </row>
    <row r="169" spans="1:8" x14ac:dyDescent="0.35">
      <c r="A169" s="106"/>
      <c r="B169" t="s">
        <v>83</v>
      </c>
      <c r="C169" s="106"/>
      <c r="D169" t="s">
        <v>24</v>
      </c>
      <c r="E169" s="3">
        <f>VLOOKUP(D169,'Bu Erta'!$C$2:$E$66,3,0)</f>
        <v>150</v>
      </c>
      <c r="F169">
        <v>1.1000000000000001</v>
      </c>
      <c r="G169" s="3">
        <f t="shared" si="6"/>
        <v>165</v>
      </c>
      <c r="H169" s="3">
        <f>VLOOKUP(D169,'Bu Erta'!$C$2:$F$66,4,0)*F169</f>
        <v>220.00000000000003</v>
      </c>
    </row>
    <row r="170" spans="1:8" x14ac:dyDescent="0.35">
      <c r="A170" s="106"/>
      <c r="B170" t="s">
        <v>83</v>
      </c>
      <c r="C170" s="106"/>
      <c r="D170" t="s">
        <v>88</v>
      </c>
      <c r="E170" s="3">
        <f>VLOOKUP(D170,'Bu Erta'!$C$2:$E$66,3,0)</f>
        <v>300</v>
      </c>
      <c r="F170">
        <v>0.15</v>
      </c>
      <c r="G170" s="3">
        <f t="shared" si="6"/>
        <v>45</v>
      </c>
      <c r="H170" s="3">
        <f>VLOOKUP(D170,'Bu Erta'!$C$2:$F$66,4,0)*F170</f>
        <v>60</v>
      </c>
    </row>
    <row r="171" spans="1:8" x14ac:dyDescent="0.35">
      <c r="A171" s="106"/>
      <c r="B171" t="s">
        <v>83</v>
      </c>
      <c r="C171" s="106"/>
      <c r="D171" t="s">
        <v>19</v>
      </c>
      <c r="E171" s="3">
        <f>VLOOKUP(D171,'Bu Erta'!$C$2:$E$66,3,0)</f>
        <v>200</v>
      </c>
      <c r="F171">
        <v>0.35</v>
      </c>
      <c r="G171" s="3">
        <f t="shared" si="6"/>
        <v>70</v>
      </c>
      <c r="H171" s="3">
        <f>VLOOKUP(D171,'Bu Erta'!$C$2:$F$66,4,0)*F171</f>
        <v>105</v>
      </c>
    </row>
    <row r="172" spans="1:8" x14ac:dyDescent="0.35">
      <c r="A172" s="106"/>
      <c r="B172" t="s">
        <v>83</v>
      </c>
      <c r="C172" s="106"/>
      <c r="D172" t="s">
        <v>34</v>
      </c>
      <c r="E172" s="3">
        <f>VLOOKUP(D172,'Bu Erta'!$C$2:$E$66,3,0)</f>
        <v>3500</v>
      </c>
      <c r="F172">
        <v>0.3</v>
      </c>
      <c r="G172" s="3">
        <f t="shared" si="6"/>
        <v>1050</v>
      </c>
      <c r="H172" s="3">
        <f>VLOOKUP(D172,'Bu Erta'!$C$2:$F$66,4,0)*F172</f>
        <v>1080</v>
      </c>
    </row>
    <row r="173" spans="1:8" x14ac:dyDescent="0.35">
      <c r="A173" s="106"/>
      <c r="B173" t="s">
        <v>83</v>
      </c>
      <c r="C173" s="106"/>
      <c r="D173" t="s">
        <v>65</v>
      </c>
      <c r="E173" s="3">
        <f>VLOOKUP(D173,'Bu Erta'!$C$2:$E$66,3,0)</f>
        <v>150</v>
      </c>
      <c r="F173">
        <v>0.45</v>
      </c>
      <c r="G173" s="3">
        <f t="shared" si="6"/>
        <v>67.5</v>
      </c>
      <c r="H173" s="3">
        <f>VLOOKUP(D173,'Bu Erta'!$C$2:$F$66,4,0)*F173</f>
        <v>90</v>
      </c>
    </row>
    <row r="174" spans="1:8" x14ac:dyDescent="0.35">
      <c r="A174" s="106">
        <v>25</v>
      </c>
      <c r="B174" t="s">
        <v>217</v>
      </c>
      <c r="C174" s="106">
        <v>1</v>
      </c>
      <c r="D174" t="s">
        <v>25</v>
      </c>
      <c r="E174" s="3">
        <f>VLOOKUP(D174,'Bu Erta'!$C$2:$E$66,3,0)</f>
        <v>1600</v>
      </c>
      <c r="F174">
        <v>0.75</v>
      </c>
      <c r="G174" s="3">
        <f t="shared" si="6"/>
        <v>1200</v>
      </c>
      <c r="H174" s="3">
        <f>VLOOKUP(D174,'Bu Erta'!$C$2:$F$66,4,0)*F174</f>
        <v>1275</v>
      </c>
    </row>
    <row r="175" spans="1:8" x14ac:dyDescent="0.35">
      <c r="A175" s="106"/>
      <c r="B175" t="s">
        <v>217</v>
      </c>
      <c r="C175" s="106"/>
      <c r="D175" t="s">
        <v>41</v>
      </c>
      <c r="E175" s="3">
        <f>VLOOKUP(D175,'Bu Erta'!$C$2:$E$66,3,0)</f>
        <v>1500</v>
      </c>
      <c r="F175">
        <v>0.1</v>
      </c>
      <c r="G175" s="3">
        <f t="shared" si="6"/>
        <v>150</v>
      </c>
      <c r="H175" s="3">
        <f>VLOOKUP(D175,'Bu Erta'!$C$2:$F$66,4,0)*F175</f>
        <v>200</v>
      </c>
    </row>
    <row r="176" spans="1:8" x14ac:dyDescent="0.35">
      <c r="A176" s="106"/>
      <c r="B176" t="s">
        <v>217</v>
      </c>
      <c r="C176" s="106"/>
      <c r="D176" t="s">
        <v>6</v>
      </c>
      <c r="E176" s="3">
        <f>VLOOKUP(D176,'Bu Erta'!$C$2:$E$66,3,0)</f>
        <v>2000</v>
      </c>
      <c r="F176">
        <v>0.35</v>
      </c>
      <c r="G176" s="3">
        <f t="shared" si="6"/>
        <v>700</v>
      </c>
      <c r="H176" s="3">
        <f>VLOOKUP(D176,'Bu Erta'!$C$2:$F$66,4,0)*F176</f>
        <v>875</v>
      </c>
    </row>
    <row r="177" spans="1:8" x14ac:dyDescent="0.35">
      <c r="A177" s="106"/>
      <c r="B177" t="s">
        <v>217</v>
      </c>
      <c r="C177" s="106"/>
      <c r="D177" t="s">
        <v>31</v>
      </c>
      <c r="E177" s="3">
        <f>VLOOKUP(D177,'Bu Erta'!$C$2:$E$66,3,0)</f>
        <v>1000</v>
      </c>
      <c r="F177">
        <v>1.95</v>
      </c>
      <c r="G177" s="3">
        <f t="shared" si="6"/>
        <v>1950</v>
      </c>
      <c r="H177" s="3">
        <f>VLOOKUP(D177,'Bu Erta'!$C$2:$F$66,4,0)*F177</f>
        <v>2145</v>
      </c>
    </row>
    <row r="178" spans="1:8" x14ac:dyDescent="0.35">
      <c r="A178" s="106"/>
      <c r="B178" t="s">
        <v>217</v>
      </c>
      <c r="C178" s="106"/>
      <c r="D178" t="s">
        <v>88</v>
      </c>
      <c r="E178" s="3">
        <f>VLOOKUP(D178,'Bu Erta'!$C$2:$E$66,3,0)</f>
        <v>300</v>
      </c>
      <c r="F178">
        <v>0.25</v>
      </c>
      <c r="G178" s="3">
        <f t="shared" si="6"/>
        <v>75</v>
      </c>
      <c r="H178" s="3">
        <f>VLOOKUP(D178,'Bu Erta'!$C$2:$F$66,4,0)*F178</f>
        <v>100</v>
      </c>
    </row>
    <row r="179" spans="1:8" x14ac:dyDescent="0.35">
      <c r="A179" s="106"/>
      <c r="B179" t="s">
        <v>217</v>
      </c>
      <c r="C179" s="106"/>
      <c r="D179" t="s">
        <v>19</v>
      </c>
      <c r="E179" s="3">
        <f>VLOOKUP(D179,'Bu Erta'!$C$2:$E$66,3,0)</f>
        <v>200</v>
      </c>
      <c r="F179">
        <v>0.1</v>
      </c>
      <c r="G179" s="3">
        <f t="shared" si="6"/>
        <v>20</v>
      </c>
      <c r="H179" s="3">
        <f>VLOOKUP(D179,'Bu Erta'!$C$2:$F$66,4,0)*F179</f>
        <v>30</v>
      </c>
    </row>
    <row r="180" spans="1:8" x14ac:dyDescent="0.35">
      <c r="A180" s="106"/>
      <c r="B180" t="s">
        <v>217</v>
      </c>
      <c r="C180" s="106"/>
      <c r="D180" t="s">
        <v>42</v>
      </c>
      <c r="E180" s="3">
        <f>VLOOKUP(D180,'Bu Erta'!$C$2:$E$66,3,0)</f>
        <v>1000</v>
      </c>
      <c r="F180">
        <v>13.4</v>
      </c>
      <c r="G180" s="3">
        <f t="shared" si="6"/>
        <v>13400</v>
      </c>
      <c r="H180" s="3">
        <f>VLOOKUP(D180,'Bu Erta'!$C$2:$F$66,4,0)*F180</f>
        <v>16080</v>
      </c>
    </row>
    <row r="181" spans="1:8" x14ac:dyDescent="0.35">
      <c r="A181" s="106">
        <v>26</v>
      </c>
      <c r="B181" t="s">
        <v>197</v>
      </c>
      <c r="C181" s="106">
        <v>1</v>
      </c>
      <c r="D181" t="s">
        <v>19</v>
      </c>
      <c r="E181" s="3">
        <f>VLOOKUP(D181,'Bu Erta'!$C$2:$E$66,3,0)</f>
        <v>200</v>
      </c>
      <c r="F181">
        <v>0.9</v>
      </c>
      <c r="G181" s="3">
        <f t="shared" si="6"/>
        <v>180</v>
      </c>
      <c r="H181" s="3">
        <f>VLOOKUP(D181,'Bu Erta'!$C$2:$F$66,4,0)*F181</f>
        <v>270</v>
      </c>
    </row>
    <row r="182" spans="1:8" x14ac:dyDescent="0.35">
      <c r="A182" s="106"/>
      <c r="B182" t="s">
        <v>197</v>
      </c>
      <c r="C182" s="106"/>
      <c r="D182" t="s">
        <v>31</v>
      </c>
      <c r="E182" s="3">
        <f>VLOOKUP(D182,'Bu Erta'!$C$2:$E$66,3,0)</f>
        <v>1000</v>
      </c>
      <c r="F182">
        <v>2</v>
      </c>
      <c r="G182" s="3">
        <f t="shared" si="6"/>
        <v>2000</v>
      </c>
      <c r="H182" s="3">
        <f>VLOOKUP(D182,'Bu Erta'!$C$2:$F$66,4,0)*F182</f>
        <v>2200</v>
      </c>
    </row>
    <row r="183" spans="1:8" x14ac:dyDescent="0.35">
      <c r="A183" s="106"/>
      <c r="B183" t="s">
        <v>197</v>
      </c>
      <c r="C183" s="106"/>
      <c r="D183" t="s">
        <v>88</v>
      </c>
      <c r="E183" s="3">
        <f>VLOOKUP(D183,'Bu Erta'!$C$2:$E$66,3,0)</f>
        <v>300</v>
      </c>
      <c r="F183">
        <v>0.85</v>
      </c>
      <c r="G183" s="3">
        <f t="shared" si="6"/>
        <v>255</v>
      </c>
      <c r="H183" s="3">
        <f>VLOOKUP(D183,'Bu Erta'!$C$2:$F$66,4,0)*F183</f>
        <v>340</v>
      </c>
    </row>
    <row r="184" spans="1:8" x14ac:dyDescent="0.35">
      <c r="A184" s="106"/>
      <c r="B184" t="s">
        <v>197</v>
      </c>
      <c r="C184" s="106"/>
      <c r="D184" t="s">
        <v>24</v>
      </c>
      <c r="E184" s="3">
        <f>VLOOKUP(D184,'Bu Erta'!$C$2:$E$66,3,0)</f>
        <v>150</v>
      </c>
      <c r="F184">
        <v>4.3</v>
      </c>
      <c r="G184" s="3">
        <f t="shared" si="6"/>
        <v>645</v>
      </c>
      <c r="H184" s="3">
        <f>VLOOKUP(D184,'Bu Erta'!$C$2:$F$66,4,0)*F184</f>
        <v>860</v>
      </c>
    </row>
    <row r="185" spans="1:8" x14ac:dyDescent="0.35">
      <c r="A185" s="106"/>
      <c r="B185" t="s">
        <v>197</v>
      </c>
      <c r="C185" s="106"/>
      <c r="D185" t="s">
        <v>41</v>
      </c>
      <c r="E185" s="3">
        <f>VLOOKUP(D185,'Bu Erta'!$C$2:$E$66,3,0)</f>
        <v>1500</v>
      </c>
      <c r="F185">
        <v>0.2</v>
      </c>
      <c r="G185" s="3">
        <f t="shared" si="6"/>
        <v>300</v>
      </c>
      <c r="H185" s="3">
        <f>VLOOKUP(D185,'Bu Erta'!$C$2:$F$66,4,0)*F185</f>
        <v>400</v>
      </c>
    </row>
    <row r="186" spans="1:8" x14ac:dyDescent="0.35">
      <c r="A186" s="106"/>
      <c r="B186" t="s">
        <v>197</v>
      </c>
      <c r="C186" s="106"/>
      <c r="D186" t="s">
        <v>17</v>
      </c>
      <c r="E186" s="3">
        <f>VLOOKUP(D186,'Bu Erta'!$C$2:$E$66,3,0)</f>
        <v>8000</v>
      </c>
      <c r="F186">
        <v>0.25</v>
      </c>
      <c r="G186" s="3">
        <f t="shared" si="6"/>
        <v>2000</v>
      </c>
      <c r="H186" s="3">
        <f>VLOOKUP(D186,'Bu Erta'!$C$2:$F$66,4,0)*F186</f>
        <v>2125</v>
      </c>
    </row>
    <row r="187" spans="1:8" x14ac:dyDescent="0.35">
      <c r="A187" s="106">
        <v>27</v>
      </c>
      <c r="B187" t="s">
        <v>90</v>
      </c>
      <c r="C187" s="106">
        <v>3</v>
      </c>
      <c r="D187" t="s">
        <v>42</v>
      </c>
      <c r="E187" s="3">
        <f>VLOOKUP(D187,'Bu Erta'!$C$2:$E$66,3,0)</f>
        <v>1000</v>
      </c>
      <c r="F187">
        <v>1.4</v>
      </c>
      <c r="G187" s="3">
        <f t="shared" si="6"/>
        <v>1400</v>
      </c>
      <c r="H187" s="3">
        <f>VLOOKUP(D187,'Bu Erta'!$C$2:$F$66,4,0)*F187</f>
        <v>1680</v>
      </c>
    </row>
    <row r="188" spans="1:8" x14ac:dyDescent="0.35">
      <c r="A188" s="106"/>
      <c r="B188" t="s">
        <v>90</v>
      </c>
      <c r="C188" s="106"/>
      <c r="D188" t="s">
        <v>7</v>
      </c>
      <c r="E188" s="3">
        <f>VLOOKUP(D188,'Bu Erta'!$C$2:$E$66,3,0)</f>
        <v>1400</v>
      </c>
      <c r="F188">
        <v>0.8</v>
      </c>
      <c r="G188" s="3">
        <f t="shared" si="6"/>
        <v>1120</v>
      </c>
      <c r="H188" s="3">
        <f>VLOOKUP(D188,'Bu Erta'!$C$2:$F$66,4,0)*F188</f>
        <v>1280</v>
      </c>
    </row>
    <row r="189" spans="1:8" x14ac:dyDescent="0.35">
      <c r="A189" s="106">
        <v>28</v>
      </c>
      <c r="B189" t="s">
        <v>138</v>
      </c>
      <c r="C189" s="106">
        <v>1</v>
      </c>
      <c r="D189" t="s">
        <v>19</v>
      </c>
      <c r="E189" s="3">
        <f>VLOOKUP(D189,'Bu Erta'!$C$2:$E$66,3,0)</f>
        <v>200</v>
      </c>
      <c r="F189">
        <v>1.6</v>
      </c>
      <c r="G189" s="3">
        <f t="shared" si="6"/>
        <v>320</v>
      </c>
      <c r="H189" s="3">
        <f>VLOOKUP(D189,'Bu Erta'!$C$2:$F$66,4,0)*F189</f>
        <v>480</v>
      </c>
    </row>
    <row r="190" spans="1:8" x14ac:dyDescent="0.35">
      <c r="A190" s="106"/>
      <c r="B190" t="s">
        <v>138</v>
      </c>
      <c r="C190" s="106"/>
      <c r="D190" t="s">
        <v>88</v>
      </c>
      <c r="E190" s="3">
        <f>VLOOKUP(D190,'Bu Erta'!$C$2:$E$66,3,0)</f>
        <v>300</v>
      </c>
      <c r="F190">
        <v>0.35</v>
      </c>
      <c r="G190" s="3">
        <f t="shared" si="6"/>
        <v>105</v>
      </c>
      <c r="H190" s="3">
        <f>VLOOKUP(D190,'Bu Erta'!$C$2:$F$66,4,0)*F190</f>
        <v>140</v>
      </c>
    </row>
    <row r="191" spans="1:8" x14ac:dyDescent="0.35">
      <c r="A191" s="106"/>
      <c r="B191" t="s">
        <v>138</v>
      </c>
      <c r="C191" s="106"/>
      <c r="D191" t="s">
        <v>31</v>
      </c>
      <c r="E191" s="3">
        <f>VLOOKUP(D191,'Bu Erta'!$C$2:$E$66,3,0)</f>
        <v>1000</v>
      </c>
      <c r="F191">
        <v>1.4</v>
      </c>
      <c r="G191" s="3">
        <f t="shared" si="6"/>
        <v>1400</v>
      </c>
      <c r="H191" s="3">
        <f>VLOOKUP(D191,'Bu Erta'!$C$2:$F$66,4,0)*F191</f>
        <v>1540</v>
      </c>
    </row>
    <row r="192" spans="1:8" x14ac:dyDescent="0.35">
      <c r="A192" s="106"/>
      <c r="B192" t="s">
        <v>138</v>
      </c>
      <c r="C192" s="106"/>
      <c r="D192" t="s">
        <v>23</v>
      </c>
      <c r="E192" s="3">
        <f>VLOOKUP(D192,'Bu Erta'!$C$2:$E$66,3,0)</f>
        <v>300</v>
      </c>
      <c r="F192">
        <v>0.6</v>
      </c>
      <c r="G192" s="3">
        <f t="shared" si="6"/>
        <v>180</v>
      </c>
      <c r="H192" s="3">
        <f>VLOOKUP(D192,'Bu Erta'!$C$2:$F$66,4,0)*F192</f>
        <v>240</v>
      </c>
    </row>
    <row r="193" spans="1:8" x14ac:dyDescent="0.35">
      <c r="A193" s="106"/>
      <c r="B193" t="s">
        <v>138</v>
      </c>
      <c r="C193" s="106"/>
      <c r="D193" t="s">
        <v>42</v>
      </c>
      <c r="E193" s="3">
        <f>VLOOKUP(D193,'Bu Erta'!$C$2:$E$66,3,0)</f>
        <v>1000</v>
      </c>
      <c r="F193">
        <v>0.35</v>
      </c>
      <c r="G193" s="3">
        <f t="shared" si="6"/>
        <v>350</v>
      </c>
      <c r="H193" s="3">
        <f>VLOOKUP(D193,'Bu Erta'!$C$2:$F$66,4,0)*F193</f>
        <v>420</v>
      </c>
    </row>
    <row r="194" spans="1:8" x14ac:dyDescent="0.35">
      <c r="A194" s="106">
        <v>29</v>
      </c>
      <c r="B194" t="s">
        <v>139</v>
      </c>
      <c r="C194" s="106">
        <v>1</v>
      </c>
      <c r="D194" t="s">
        <v>19</v>
      </c>
      <c r="E194" s="3">
        <f>VLOOKUP(D194,'Bu Erta'!$C$2:$E$66,3,0)</f>
        <v>200</v>
      </c>
      <c r="F194">
        <f>0.6+1.25+0.45</f>
        <v>2.3000000000000003</v>
      </c>
      <c r="G194" s="3">
        <f t="shared" si="6"/>
        <v>460.00000000000006</v>
      </c>
      <c r="H194" s="3">
        <f>VLOOKUP(D194,'Bu Erta'!$C$2:$F$66,4,0)*F194</f>
        <v>690.00000000000011</v>
      </c>
    </row>
    <row r="195" spans="1:8" x14ac:dyDescent="0.35">
      <c r="A195" s="106"/>
      <c r="B195" t="s">
        <v>139</v>
      </c>
      <c r="C195" s="106"/>
      <c r="D195" t="s">
        <v>23</v>
      </c>
      <c r="E195" s="3">
        <f>VLOOKUP(D195,'Bu Erta'!$C$2:$E$66,3,0)</f>
        <v>300</v>
      </c>
      <c r="F195">
        <v>0.4</v>
      </c>
      <c r="G195" s="3">
        <f t="shared" ref="G195:G254" si="7">E195*F195</f>
        <v>120</v>
      </c>
      <c r="H195" s="3">
        <f>VLOOKUP(D195,'Bu Erta'!$C$2:$F$66,4,0)*F195</f>
        <v>160</v>
      </c>
    </row>
    <row r="196" spans="1:8" x14ac:dyDescent="0.35">
      <c r="A196" s="106">
        <v>30</v>
      </c>
      <c r="B196" t="s">
        <v>76</v>
      </c>
      <c r="C196" s="106">
        <v>3</v>
      </c>
      <c r="D196" t="s">
        <v>27</v>
      </c>
      <c r="E196" s="3">
        <f>VLOOKUP(D196,'Bu Erta'!$C$2:$E$66,3,0)</f>
        <v>2800</v>
      </c>
      <c r="F196">
        <f>0.25+0.75</f>
        <v>1</v>
      </c>
      <c r="G196" s="3">
        <f t="shared" si="7"/>
        <v>2800</v>
      </c>
      <c r="H196" s="3">
        <f>VLOOKUP(D196,'Bu Erta'!$C$2:$F$66,4,0)*F196</f>
        <v>3100</v>
      </c>
    </row>
    <row r="197" spans="1:8" x14ac:dyDescent="0.35">
      <c r="A197" s="106"/>
      <c r="B197" t="s">
        <v>76</v>
      </c>
      <c r="C197" s="106"/>
      <c r="D197" t="s">
        <v>24</v>
      </c>
      <c r="F197">
        <v>1.75</v>
      </c>
      <c r="H197" s="3">
        <f>VLOOKUP(D197,'Bu Erta'!$C$2:$F$66,4,0)*F197</f>
        <v>350</v>
      </c>
    </row>
    <row r="198" spans="1:8" x14ac:dyDescent="0.35">
      <c r="A198" s="106"/>
      <c r="B198" t="s">
        <v>76</v>
      </c>
      <c r="C198" s="106"/>
      <c r="D198" t="s">
        <v>69</v>
      </c>
      <c r="E198" s="3">
        <f>VLOOKUP(D198,'Bu Erta'!$C$2:$E$66,3,0)</f>
        <v>2500</v>
      </c>
      <c r="F198">
        <v>0.1</v>
      </c>
      <c r="G198" s="3">
        <f t="shared" si="7"/>
        <v>250</v>
      </c>
      <c r="H198" s="3">
        <f>VLOOKUP(D198,'Bu Erta'!$C$2:$F$66,4,0)*F198</f>
        <v>300</v>
      </c>
    </row>
    <row r="199" spans="1:8" x14ac:dyDescent="0.35">
      <c r="A199" s="106"/>
      <c r="B199" t="s">
        <v>76</v>
      </c>
      <c r="C199" s="106"/>
      <c r="D199" t="s">
        <v>41</v>
      </c>
      <c r="E199" s="3">
        <f>VLOOKUP(D199,'Bu Erta'!$C$2:$E$66,3,0)</f>
        <v>1500</v>
      </c>
      <c r="F199">
        <v>0.25</v>
      </c>
      <c r="G199" s="3">
        <f t="shared" si="7"/>
        <v>375</v>
      </c>
      <c r="H199" s="3">
        <f>VLOOKUP(D199,'Bu Erta'!$C$2:$F$66,4,0)*F199</f>
        <v>500</v>
      </c>
    </row>
    <row r="200" spans="1:8" x14ac:dyDescent="0.35">
      <c r="A200" s="106"/>
      <c r="B200" t="s">
        <v>76</v>
      </c>
      <c r="C200" s="106"/>
      <c r="D200" t="s">
        <v>19</v>
      </c>
      <c r="E200" s="3">
        <f>VLOOKUP(D200,'Bu Erta'!$C$2:$E$66,3,0)</f>
        <v>200</v>
      </c>
      <c r="F200">
        <f>0.75+0.15</f>
        <v>0.9</v>
      </c>
      <c r="G200" s="3">
        <f t="shared" si="7"/>
        <v>180</v>
      </c>
      <c r="H200" s="3">
        <f>VLOOKUP(D200,'Bu Erta'!$C$2:$F$66,4,0)*F200</f>
        <v>270</v>
      </c>
    </row>
    <row r="201" spans="1:8" x14ac:dyDescent="0.35">
      <c r="A201" s="106"/>
      <c r="B201" t="s">
        <v>76</v>
      </c>
      <c r="C201" s="106"/>
      <c r="D201" t="s">
        <v>23</v>
      </c>
      <c r="E201" s="3">
        <f>VLOOKUP(D201,'Bu Erta'!$C$2:$E$66,3,0)</f>
        <v>300</v>
      </c>
      <c r="F201">
        <v>1.1000000000000001</v>
      </c>
      <c r="G201" s="3">
        <f t="shared" si="7"/>
        <v>330</v>
      </c>
      <c r="H201" s="3">
        <f>VLOOKUP(D201,'Bu Erta'!$C$2:$F$66,4,0)*F201</f>
        <v>440.00000000000006</v>
      </c>
    </row>
    <row r="202" spans="1:8" x14ac:dyDescent="0.35">
      <c r="A202" s="106"/>
      <c r="B202" t="s">
        <v>76</v>
      </c>
      <c r="C202" s="106"/>
      <c r="D202" t="s">
        <v>61</v>
      </c>
      <c r="E202" s="3">
        <f>VLOOKUP(D202,'Bu Erta'!$C$2:$E$66,3,0)</f>
        <v>800</v>
      </c>
      <c r="F202">
        <v>0.35</v>
      </c>
      <c r="G202" s="3">
        <f t="shared" si="7"/>
        <v>280</v>
      </c>
      <c r="H202" s="3">
        <f>VLOOKUP(D202,'Bu Erta'!$C$2:$F$66,4,0)*F202</f>
        <v>315</v>
      </c>
    </row>
    <row r="203" spans="1:8" x14ac:dyDescent="0.35">
      <c r="A203" s="106"/>
      <c r="B203" t="s">
        <v>76</v>
      </c>
      <c r="C203" s="106"/>
      <c r="D203" t="s">
        <v>65</v>
      </c>
      <c r="E203" s="3">
        <f>VLOOKUP(D203,'Bu Erta'!$C$2:$E$66,3,0)</f>
        <v>150</v>
      </c>
      <c r="F203">
        <v>0.3</v>
      </c>
      <c r="G203" s="3">
        <f t="shared" si="7"/>
        <v>45</v>
      </c>
      <c r="H203" s="3">
        <f>VLOOKUP(D203,'Bu Erta'!$C$2:$F$66,4,0)*F203</f>
        <v>60</v>
      </c>
    </row>
    <row r="204" spans="1:8" x14ac:dyDescent="0.35">
      <c r="A204" s="106"/>
      <c r="B204" t="s">
        <v>76</v>
      </c>
      <c r="C204" s="106"/>
      <c r="D204" t="s">
        <v>215</v>
      </c>
      <c r="E204" s="3">
        <f>VLOOKUP(D204,'Bu Erta'!$C$2:$E$66,3,0)</f>
        <v>6000</v>
      </c>
      <c r="F204">
        <v>1</v>
      </c>
      <c r="G204" s="3">
        <f t="shared" si="7"/>
        <v>6000</v>
      </c>
      <c r="H204" s="3">
        <f>VLOOKUP(D204,'Bu Erta'!$C$2:$F$66,4,0)*F204</f>
        <v>6500</v>
      </c>
    </row>
    <row r="205" spans="1:8" x14ac:dyDescent="0.35">
      <c r="A205" s="106"/>
      <c r="B205" t="s">
        <v>76</v>
      </c>
      <c r="C205" s="106"/>
      <c r="D205" t="s">
        <v>88</v>
      </c>
      <c r="E205" s="3">
        <f>VLOOKUP(D205,'Bu Erta'!$C$2:$E$66,3,0)</f>
        <v>300</v>
      </c>
      <c r="F205">
        <v>0.35</v>
      </c>
      <c r="G205" s="3">
        <f t="shared" si="7"/>
        <v>105</v>
      </c>
      <c r="H205" s="3">
        <f>VLOOKUP(D205,'Bu Erta'!$C$2:$F$66,4,0)*F205</f>
        <v>140</v>
      </c>
    </row>
    <row r="206" spans="1:8" x14ac:dyDescent="0.35">
      <c r="A206" s="106"/>
      <c r="B206" t="s">
        <v>76</v>
      </c>
      <c r="C206" s="106"/>
      <c r="D206" t="s">
        <v>7</v>
      </c>
      <c r="E206" s="3">
        <f>VLOOKUP(D206,'Bu Erta'!$C$2:$E$66,3,0)</f>
        <v>1400</v>
      </c>
      <c r="F206">
        <v>0.6</v>
      </c>
      <c r="G206" s="3">
        <f t="shared" si="7"/>
        <v>840</v>
      </c>
      <c r="H206" s="3">
        <f>VLOOKUP(D206,'Bu Erta'!$C$2:$F$66,4,0)*F206</f>
        <v>960</v>
      </c>
    </row>
    <row r="207" spans="1:8" x14ac:dyDescent="0.35">
      <c r="A207" s="106"/>
      <c r="B207" t="s">
        <v>76</v>
      </c>
      <c r="C207" s="106"/>
      <c r="D207" t="s">
        <v>6</v>
      </c>
      <c r="E207" s="3">
        <f>VLOOKUP(D207,'Bu Erta'!$C$2:$E$66,3,0)</f>
        <v>2000</v>
      </c>
      <c r="F207">
        <v>0.4</v>
      </c>
      <c r="G207" s="3">
        <f t="shared" si="7"/>
        <v>800</v>
      </c>
      <c r="H207" s="3">
        <f>VLOOKUP(D207,'Bu Erta'!$C$2:$F$66,4,0)*F207</f>
        <v>1000</v>
      </c>
    </row>
    <row r="208" spans="1:8" x14ac:dyDescent="0.35">
      <c r="A208" s="106"/>
      <c r="B208" t="s">
        <v>76</v>
      </c>
      <c r="C208" s="106"/>
      <c r="D208" t="s">
        <v>42</v>
      </c>
      <c r="E208" s="3">
        <f>VLOOKUP(D208,'Bu Erta'!$C$2:$E$66,3,0)</f>
        <v>1000</v>
      </c>
      <c r="F208">
        <v>0.9</v>
      </c>
      <c r="G208" s="3">
        <f t="shared" si="7"/>
        <v>900</v>
      </c>
      <c r="H208" s="3">
        <f>VLOOKUP(D208,'Bu Erta'!$C$2:$F$66,4,0)*F208</f>
        <v>1080</v>
      </c>
    </row>
    <row r="209" spans="1:8" x14ac:dyDescent="0.35">
      <c r="A209" s="106">
        <v>31</v>
      </c>
      <c r="B209" t="s">
        <v>136</v>
      </c>
      <c r="C209" s="106">
        <v>4</v>
      </c>
      <c r="D209" t="s">
        <v>34</v>
      </c>
      <c r="E209" s="3">
        <f>VLOOKUP(D209,'Bu Erta'!$C$2:$E$66,3,0)</f>
        <v>3500</v>
      </c>
      <c r="F209">
        <v>0.25</v>
      </c>
      <c r="G209" s="3">
        <f t="shared" si="7"/>
        <v>875</v>
      </c>
      <c r="H209" s="3">
        <f>VLOOKUP(D209,'Bu Erta'!$C$2:$F$66,4,0)*F209</f>
        <v>900</v>
      </c>
    </row>
    <row r="210" spans="1:8" x14ac:dyDescent="0.35">
      <c r="A210" s="106"/>
      <c r="B210" t="s">
        <v>136</v>
      </c>
      <c r="C210" s="106"/>
      <c r="D210" t="s">
        <v>24</v>
      </c>
      <c r="E210" s="3">
        <f>VLOOKUP(D210,'Bu Erta'!$C$2:$E$66,3,0)</f>
        <v>150</v>
      </c>
      <c r="F210">
        <v>1.1000000000000001</v>
      </c>
      <c r="G210" s="3">
        <f t="shared" si="7"/>
        <v>165</v>
      </c>
      <c r="H210" s="3">
        <f>VLOOKUP(D210,'Bu Erta'!$C$2:$F$66,4,0)*F210</f>
        <v>220.00000000000003</v>
      </c>
    </row>
    <row r="211" spans="1:8" x14ac:dyDescent="0.35">
      <c r="A211" s="106"/>
      <c r="B211" t="s">
        <v>136</v>
      </c>
      <c r="C211" s="106"/>
      <c r="D211" t="s">
        <v>23</v>
      </c>
      <c r="E211" s="3">
        <f>VLOOKUP(D211,'Bu Erta'!$C$2:$E$66,3,0)</f>
        <v>300</v>
      </c>
      <c r="F211">
        <v>0.75</v>
      </c>
      <c r="G211" s="3">
        <f t="shared" si="7"/>
        <v>225</v>
      </c>
      <c r="H211" s="3">
        <f>VLOOKUP(D211,'Bu Erta'!$C$2:$F$66,4,0)*F211</f>
        <v>300</v>
      </c>
    </row>
    <row r="212" spans="1:8" x14ac:dyDescent="0.35">
      <c r="A212" s="106"/>
      <c r="B212" t="s">
        <v>136</v>
      </c>
      <c r="C212" s="106"/>
      <c r="D212" t="s">
        <v>27</v>
      </c>
      <c r="E212" s="3">
        <f>VLOOKUP(D212,'Bu Erta'!$C$2:$E$66,3,0)</f>
        <v>2800</v>
      </c>
      <c r="F212">
        <v>0.4</v>
      </c>
      <c r="G212" s="3">
        <f t="shared" si="7"/>
        <v>1120</v>
      </c>
      <c r="H212" s="3">
        <f>VLOOKUP(D212,'Bu Erta'!$C$2:$F$66,4,0)*F212</f>
        <v>1240</v>
      </c>
    </row>
    <row r="213" spans="1:8" x14ac:dyDescent="0.35">
      <c r="A213" s="106"/>
      <c r="B213" t="s">
        <v>136</v>
      </c>
      <c r="C213" s="106"/>
      <c r="D213" t="s">
        <v>7</v>
      </c>
      <c r="E213" s="3">
        <f>VLOOKUP(D213,'Bu Erta'!$C$2:$E$66,3,0)</f>
        <v>1400</v>
      </c>
      <c r="F213">
        <v>0.1</v>
      </c>
      <c r="G213" s="3">
        <f t="shared" si="7"/>
        <v>140</v>
      </c>
      <c r="H213" s="3">
        <f>VLOOKUP(D213,'Bu Erta'!$C$2:$F$66,4,0)*F213</f>
        <v>160</v>
      </c>
    </row>
    <row r="214" spans="1:8" x14ac:dyDescent="0.35">
      <c r="A214" s="5">
        <v>32</v>
      </c>
      <c r="B214" t="s">
        <v>149</v>
      </c>
      <c r="C214" s="5">
        <v>5</v>
      </c>
      <c r="D214" t="s">
        <v>31</v>
      </c>
      <c r="E214" s="3">
        <f>VLOOKUP(D214,'Bu Erta'!$C$2:$E$66,3,0)</f>
        <v>1000</v>
      </c>
      <c r="F214">
        <f>4.05+1</f>
        <v>5.05</v>
      </c>
      <c r="G214" s="3">
        <f t="shared" si="7"/>
        <v>5050</v>
      </c>
      <c r="H214" s="3">
        <f>VLOOKUP(D214,'Bu Erta'!$C$2:$F$66,4,0)*F214</f>
        <v>5555</v>
      </c>
    </row>
    <row r="215" spans="1:8" x14ac:dyDescent="0.35">
      <c r="A215" s="106">
        <v>33</v>
      </c>
      <c r="B215" t="s">
        <v>144</v>
      </c>
      <c r="C215" s="106">
        <v>4</v>
      </c>
      <c r="D215" t="s">
        <v>7</v>
      </c>
      <c r="E215" s="3">
        <f>VLOOKUP(D215,'Bu Erta'!$C$2:$E$66,3,0)</f>
        <v>1400</v>
      </c>
      <c r="F215">
        <f>0.85+0.45</f>
        <v>1.3</v>
      </c>
      <c r="G215" s="3">
        <f t="shared" si="7"/>
        <v>1820</v>
      </c>
      <c r="H215" s="3">
        <f>VLOOKUP(D215,'Bu Erta'!$C$2:$F$66,4,0)*F215</f>
        <v>2080</v>
      </c>
    </row>
    <row r="216" spans="1:8" x14ac:dyDescent="0.35">
      <c r="A216" s="106"/>
      <c r="B216" t="s">
        <v>144</v>
      </c>
      <c r="C216" s="106"/>
      <c r="D216" t="s">
        <v>37</v>
      </c>
      <c r="E216" s="3">
        <f>VLOOKUP(D216,'Bu Erta'!$C$2:$E$66,3,0)</f>
        <v>1600</v>
      </c>
      <c r="F216">
        <v>0.7</v>
      </c>
      <c r="G216" s="3">
        <f t="shared" si="7"/>
        <v>1120</v>
      </c>
      <c r="H216" s="3">
        <f>VLOOKUP(D216,'Bu Erta'!$C$2:$F$66,4,0)*F216</f>
        <v>1400</v>
      </c>
    </row>
    <row r="217" spans="1:8" x14ac:dyDescent="0.35">
      <c r="A217" s="106"/>
      <c r="B217" t="s">
        <v>144</v>
      </c>
      <c r="C217" s="106"/>
      <c r="D217" t="s">
        <v>23</v>
      </c>
      <c r="E217" s="3">
        <f>VLOOKUP(D217,'Bu Erta'!$C$2:$E$66,3,0)</f>
        <v>300</v>
      </c>
      <c r="F217">
        <v>0.4</v>
      </c>
      <c r="G217" s="3">
        <f t="shared" si="7"/>
        <v>120</v>
      </c>
      <c r="H217" s="3">
        <f>VLOOKUP(D217,'Bu Erta'!$C$2:$F$66,4,0)*F217</f>
        <v>160</v>
      </c>
    </row>
    <row r="218" spans="1:8" x14ac:dyDescent="0.35">
      <c r="A218" s="106"/>
      <c r="B218" t="s">
        <v>144</v>
      </c>
      <c r="C218" s="106"/>
      <c r="D218" t="s">
        <v>28</v>
      </c>
      <c r="E218" s="3">
        <f>VLOOKUP(D218,'Bu Erta'!$C$2:$E$66,3,0)</f>
        <v>1200</v>
      </c>
      <c r="F218">
        <v>3.6</v>
      </c>
      <c r="G218" s="3">
        <f t="shared" si="7"/>
        <v>4320</v>
      </c>
      <c r="H218" s="3">
        <f>VLOOKUP(D218,'Bu Erta'!$C$2:$F$66,4,0)*F218</f>
        <v>4680</v>
      </c>
    </row>
    <row r="219" spans="1:8" x14ac:dyDescent="0.35">
      <c r="A219" s="106">
        <v>34</v>
      </c>
      <c r="B219" t="s">
        <v>141</v>
      </c>
      <c r="C219" s="106">
        <v>3</v>
      </c>
      <c r="D219" t="s">
        <v>7</v>
      </c>
      <c r="E219" s="3">
        <f>VLOOKUP(D219,'Bu Erta'!$C$2:$E$66,3,0)</f>
        <v>1400</v>
      </c>
      <c r="F219">
        <f>1+1.4+0.8</f>
        <v>3.2</v>
      </c>
      <c r="G219" s="3">
        <f t="shared" si="7"/>
        <v>4480</v>
      </c>
      <c r="H219" s="3">
        <f>VLOOKUP(D219,'Bu Erta'!$C$2:$F$66,4,0)*F219</f>
        <v>5120</v>
      </c>
    </row>
    <row r="220" spans="1:8" x14ac:dyDescent="0.35">
      <c r="A220" s="106"/>
      <c r="B220" t="s">
        <v>141</v>
      </c>
      <c r="C220" s="106"/>
      <c r="D220" t="s">
        <v>42</v>
      </c>
      <c r="E220" s="3">
        <f>VLOOKUP(D220,'Bu Erta'!$C$2:$E$66,3,0)</f>
        <v>1000</v>
      </c>
      <c r="F220">
        <v>0.85</v>
      </c>
      <c r="G220" s="3">
        <f t="shared" si="7"/>
        <v>850</v>
      </c>
      <c r="H220" s="3">
        <f>VLOOKUP(D220,'Bu Erta'!$C$2:$F$66,4,0)*F220</f>
        <v>1020</v>
      </c>
    </row>
    <row r="221" spans="1:8" x14ac:dyDescent="0.35">
      <c r="A221" s="106"/>
      <c r="B221" t="s">
        <v>141</v>
      </c>
      <c r="C221" s="106"/>
      <c r="D221" t="s">
        <v>25</v>
      </c>
      <c r="E221" s="3">
        <f>VLOOKUP(D221,'Bu Erta'!$C$2:$E$66,3,0)</f>
        <v>1600</v>
      </c>
      <c r="F221">
        <v>0.35</v>
      </c>
      <c r="G221" s="3">
        <f t="shared" si="7"/>
        <v>560</v>
      </c>
      <c r="H221" s="3">
        <f>VLOOKUP(D221,'Bu Erta'!$C$2:$F$66,4,0)*F221</f>
        <v>595</v>
      </c>
    </row>
    <row r="222" spans="1:8" x14ac:dyDescent="0.35">
      <c r="A222" s="106"/>
      <c r="B222" t="s">
        <v>141</v>
      </c>
      <c r="C222" s="106"/>
      <c r="D222" t="s">
        <v>31</v>
      </c>
      <c r="E222" s="3">
        <f>VLOOKUP(D222,'Bu Erta'!$C$2:$E$66,3,0)</f>
        <v>1000</v>
      </c>
      <c r="F222">
        <v>0.5</v>
      </c>
      <c r="G222" s="3">
        <f t="shared" si="7"/>
        <v>500</v>
      </c>
      <c r="H222" s="3">
        <f>VLOOKUP(D222,'Bu Erta'!$C$2:$F$66,4,0)*F222</f>
        <v>550</v>
      </c>
    </row>
    <row r="223" spans="1:8" x14ac:dyDescent="0.35">
      <c r="A223" s="106"/>
      <c r="B223" t="s">
        <v>141</v>
      </c>
      <c r="C223" s="106"/>
      <c r="D223" t="s">
        <v>19</v>
      </c>
      <c r="E223" s="3">
        <f>VLOOKUP(D223,'Bu Erta'!$C$2:$E$66,3,0)</f>
        <v>200</v>
      </c>
      <c r="F223">
        <v>0.25</v>
      </c>
      <c r="G223" s="3">
        <f t="shared" si="7"/>
        <v>50</v>
      </c>
      <c r="H223" s="3">
        <f>VLOOKUP(D223,'Bu Erta'!$C$2:$F$66,4,0)*F223</f>
        <v>75</v>
      </c>
    </row>
    <row r="224" spans="1:8" x14ac:dyDescent="0.35">
      <c r="A224" s="106">
        <v>35</v>
      </c>
      <c r="B224" t="s">
        <v>107</v>
      </c>
      <c r="C224" s="106">
        <v>5</v>
      </c>
      <c r="D224" t="s">
        <v>27</v>
      </c>
      <c r="E224" s="3">
        <f>VLOOKUP(D224,'Bu Erta'!$C$2:$E$66,3,0)</f>
        <v>2800</v>
      </c>
      <c r="F224">
        <v>1.55</v>
      </c>
      <c r="G224" s="3">
        <f t="shared" si="7"/>
        <v>4340</v>
      </c>
      <c r="H224" s="3">
        <f>VLOOKUP(D224,'Bu Erta'!$C$2:$F$66,4,0)*F224</f>
        <v>4805</v>
      </c>
    </row>
    <row r="225" spans="1:8" x14ac:dyDescent="0.35">
      <c r="A225" s="106"/>
      <c r="B225" t="s">
        <v>107</v>
      </c>
      <c r="C225" s="106"/>
      <c r="D225" t="s">
        <v>69</v>
      </c>
      <c r="E225" s="3">
        <f>VLOOKUP(D225,'Bu Erta'!$C$2:$E$66,3,0)</f>
        <v>2500</v>
      </c>
      <c r="F225">
        <v>0.3</v>
      </c>
      <c r="G225" s="3">
        <f t="shared" si="7"/>
        <v>750</v>
      </c>
      <c r="H225" s="3">
        <f>VLOOKUP(D225,'Bu Erta'!$C$2:$F$66,4,0)*F225</f>
        <v>900</v>
      </c>
    </row>
    <row r="226" spans="1:8" x14ac:dyDescent="0.35">
      <c r="A226" s="106"/>
      <c r="B226" t="s">
        <v>107</v>
      </c>
      <c r="C226" s="106"/>
      <c r="D226" t="s">
        <v>7</v>
      </c>
      <c r="E226" s="3">
        <f>VLOOKUP(D226,'Bu Erta'!$C$2:$E$66,3,0)</f>
        <v>1400</v>
      </c>
      <c r="F226">
        <f>2.15+0.65+0.25</f>
        <v>3.05</v>
      </c>
      <c r="G226" s="3">
        <f t="shared" si="7"/>
        <v>4270</v>
      </c>
      <c r="H226" s="3">
        <f>VLOOKUP(D226,'Bu Erta'!$C$2:$F$66,4,0)*F226</f>
        <v>4880</v>
      </c>
    </row>
    <row r="227" spans="1:8" x14ac:dyDescent="0.35">
      <c r="A227" s="106"/>
      <c r="B227" t="s">
        <v>107</v>
      </c>
      <c r="C227" s="106"/>
      <c r="D227" t="s">
        <v>62</v>
      </c>
      <c r="E227" s="3">
        <f>VLOOKUP(D227,'Bu Erta'!$C$2:$E$66,3,0)</f>
        <v>400</v>
      </c>
      <c r="F227">
        <v>0.5</v>
      </c>
      <c r="G227" s="3">
        <f t="shared" si="7"/>
        <v>200</v>
      </c>
      <c r="H227" s="3">
        <f>VLOOKUP(D227,'Bu Erta'!$C$2:$F$66,4,0)*F227</f>
        <v>250</v>
      </c>
    </row>
    <row r="228" spans="1:8" x14ac:dyDescent="0.35">
      <c r="A228" s="106"/>
      <c r="B228" t="s">
        <v>107</v>
      </c>
      <c r="C228" s="106"/>
      <c r="D228" t="s">
        <v>36</v>
      </c>
      <c r="E228" s="3">
        <f>VLOOKUP(D228,'Bu Erta'!$C$2:$E$66,3,0)</f>
        <v>600</v>
      </c>
      <c r="F228">
        <v>0.4</v>
      </c>
      <c r="G228" s="3">
        <f t="shared" si="7"/>
        <v>240</v>
      </c>
      <c r="H228" s="3">
        <f>VLOOKUP(D228,'Bu Erta'!$C$2:$F$66,4,0)*F228</f>
        <v>260</v>
      </c>
    </row>
    <row r="229" spans="1:8" x14ac:dyDescent="0.35">
      <c r="A229" s="106"/>
      <c r="B229" t="s">
        <v>107</v>
      </c>
      <c r="C229" s="106"/>
      <c r="D229" t="s">
        <v>19</v>
      </c>
      <c r="E229" s="3">
        <f>VLOOKUP(D229,'Bu Erta'!$C$2:$E$66,3,0)</f>
        <v>200</v>
      </c>
      <c r="F229">
        <v>0.2</v>
      </c>
      <c r="G229" s="3">
        <f t="shared" si="7"/>
        <v>40</v>
      </c>
      <c r="H229" s="3">
        <f>VLOOKUP(D229,'Bu Erta'!$C$2:$F$66,4,0)*F229</f>
        <v>60</v>
      </c>
    </row>
    <row r="230" spans="1:8" x14ac:dyDescent="0.35">
      <c r="A230" s="106"/>
      <c r="B230" t="s">
        <v>107</v>
      </c>
      <c r="C230" s="106"/>
      <c r="D230" t="s">
        <v>22</v>
      </c>
      <c r="E230" s="3">
        <f>VLOOKUP(D230,'Bu Erta'!$C$2:$E$66,3,0)</f>
        <v>2500</v>
      </c>
      <c r="F230">
        <f>0.75+2.55</f>
        <v>3.3</v>
      </c>
      <c r="G230" s="3">
        <f t="shared" si="7"/>
        <v>8250</v>
      </c>
      <c r="H230" s="3">
        <f>VLOOKUP(D230,'Bu Erta'!$C$2:$F$66,4,0)*F230</f>
        <v>9900</v>
      </c>
    </row>
    <row r="231" spans="1:8" x14ac:dyDescent="0.35">
      <c r="A231" s="106"/>
      <c r="B231" t="s">
        <v>107</v>
      </c>
      <c r="C231" s="106"/>
      <c r="D231" t="s">
        <v>45</v>
      </c>
      <c r="E231" s="3">
        <f>VLOOKUP(D231,'Bu Erta'!$C$2:$E$66,3,0)</f>
        <v>700</v>
      </c>
      <c r="F231">
        <v>0.25</v>
      </c>
      <c r="G231" s="3">
        <f t="shared" si="7"/>
        <v>175</v>
      </c>
      <c r="H231" s="3">
        <f>VLOOKUP(D231,'Bu Erta'!$C$2:$F$66,4,0)*F231</f>
        <v>200</v>
      </c>
    </row>
    <row r="232" spans="1:8" x14ac:dyDescent="0.35">
      <c r="A232" s="106"/>
      <c r="B232" t="s">
        <v>107</v>
      </c>
      <c r="C232" s="106"/>
      <c r="D232" t="s">
        <v>40</v>
      </c>
      <c r="E232" s="3">
        <f>VLOOKUP(D232,'Bu Erta'!$C$2:$E$66,3,0)</f>
        <v>1800</v>
      </c>
      <c r="F232">
        <v>0.85</v>
      </c>
      <c r="G232" s="3">
        <f t="shared" si="7"/>
        <v>1530</v>
      </c>
      <c r="H232" s="3">
        <f>VLOOKUP(D232,'Bu Erta'!$C$2:$F$66,4,0)*F232</f>
        <v>1700</v>
      </c>
    </row>
    <row r="233" spans="1:8" x14ac:dyDescent="0.35">
      <c r="A233" s="106"/>
      <c r="B233" t="s">
        <v>107</v>
      </c>
      <c r="C233" s="106"/>
      <c r="D233" t="s">
        <v>23</v>
      </c>
      <c r="E233" s="3">
        <f>VLOOKUP(D233,'Bu Erta'!$C$2:$E$66,3,0)</f>
        <v>300</v>
      </c>
      <c r="F233">
        <v>0.5</v>
      </c>
      <c r="G233" s="3">
        <f t="shared" si="7"/>
        <v>150</v>
      </c>
      <c r="H233" s="3">
        <f>VLOOKUP(D233,'Bu Erta'!$C$2:$F$66,4,0)*F233</f>
        <v>200</v>
      </c>
    </row>
    <row r="234" spans="1:8" x14ac:dyDescent="0.35">
      <c r="A234" s="106"/>
      <c r="B234" t="s">
        <v>107</v>
      </c>
      <c r="C234" s="106"/>
      <c r="D234" t="s">
        <v>42</v>
      </c>
      <c r="E234" s="3">
        <f>VLOOKUP(D234,'Bu Erta'!$C$2:$E$66,3,0)</f>
        <v>1000</v>
      </c>
      <c r="F234">
        <f>1.9+1.05</f>
        <v>2.95</v>
      </c>
      <c r="G234" s="3">
        <f t="shared" si="7"/>
        <v>2950</v>
      </c>
      <c r="H234" s="3">
        <f>VLOOKUP(D234,'Bu Erta'!$C$2:$F$66,4,0)*F234</f>
        <v>3540</v>
      </c>
    </row>
    <row r="235" spans="1:8" x14ac:dyDescent="0.35">
      <c r="A235" s="106"/>
      <c r="B235" t="s">
        <v>107</v>
      </c>
      <c r="C235" s="106"/>
      <c r="D235" t="s">
        <v>56</v>
      </c>
      <c r="E235" s="3">
        <f>VLOOKUP(D235,'Bu Erta'!$C$2:$E$66,3,0)</f>
        <v>4000</v>
      </c>
      <c r="F235">
        <v>3.45</v>
      </c>
      <c r="G235" s="3">
        <f t="shared" si="7"/>
        <v>13800</v>
      </c>
      <c r="H235" s="3">
        <f>VLOOKUP(D235,'Bu Erta'!$C$2:$F$66,4,0)*F235</f>
        <v>18975</v>
      </c>
    </row>
    <row r="236" spans="1:8" x14ac:dyDescent="0.35">
      <c r="A236" s="106">
        <v>36</v>
      </c>
      <c r="B236" t="s">
        <v>87</v>
      </c>
      <c r="C236" s="106">
        <v>4</v>
      </c>
      <c r="D236" t="s">
        <v>42</v>
      </c>
      <c r="E236" s="3">
        <f>VLOOKUP(D236,'Bu Erta'!$C$2:$E$66,3,0)</f>
        <v>1000</v>
      </c>
      <c r="F236">
        <v>3.5</v>
      </c>
      <c r="G236" s="3">
        <f t="shared" si="7"/>
        <v>3500</v>
      </c>
      <c r="H236" s="3">
        <f>VLOOKUP(D236,'Bu Erta'!$C$2:$F$66,4,0)*F236</f>
        <v>4200</v>
      </c>
    </row>
    <row r="237" spans="1:8" x14ac:dyDescent="0.35">
      <c r="A237" s="106"/>
      <c r="B237" t="s">
        <v>87</v>
      </c>
      <c r="C237" s="106"/>
      <c r="D237" t="s">
        <v>61</v>
      </c>
      <c r="E237" s="3">
        <f>VLOOKUP(D237,'Bu Erta'!$C$2:$E$66,3,0)</f>
        <v>800</v>
      </c>
      <c r="F237">
        <v>0.15</v>
      </c>
      <c r="G237" s="3">
        <f t="shared" si="7"/>
        <v>120</v>
      </c>
      <c r="H237" s="3">
        <f>VLOOKUP(D237,'Bu Erta'!$C$2:$F$66,4,0)*F237</f>
        <v>135</v>
      </c>
    </row>
    <row r="238" spans="1:8" x14ac:dyDescent="0.35">
      <c r="A238" s="106"/>
      <c r="B238" t="s">
        <v>87</v>
      </c>
      <c r="C238" s="106"/>
      <c r="D238" t="s">
        <v>7</v>
      </c>
      <c r="E238" s="3">
        <f>VLOOKUP(D238,'Bu Erta'!$C$2:$E$66,3,0)</f>
        <v>1400</v>
      </c>
      <c r="F238">
        <f>1.75+1.9+0.3+1.1+0.1</f>
        <v>5.1499999999999995</v>
      </c>
      <c r="G238" s="3">
        <f t="shared" si="7"/>
        <v>7209.9999999999991</v>
      </c>
      <c r="H238" s="3">
        <f>VLOOKUP(D238,'Bu Erta'!$C$2:$F$66,4,0)*F238</f>
        <v>8240</v>
      </c>
    </row>
    <row r="239" spans="1:8" x14ac:dyDescent="0.35">
      <c r="A239" s="106"/>
      <c r="B239" t="s">
        <v>87</v>
      </c>
      <c r="C239" s="106"/>
      <c r="D239" t="s">
        <v>29</v>
      </c>
      <c r="E239" s="3">
        <f>VLOOKUP(D239,'Bu Erta'!$C$2:$E$66,3,0)</f>
        <v>5000</v>
      </c>
      <c r="F239">
        <v>1.1499999999999999</v>
      </c>
      <c r="G239" s="3">
        <f t="shared" si="7"/>
        <v>5750</v>
      </c>
      <c r="H239" s="3">
        <f>VLOOKUP(D239,'Bu Erta'!$C$2:$F$66,4,0)*F239</f>
        <v>6899.9999999999991</v>
      </c>
    </row>
    <row r="240" spans="1:8" x14ac:dyDescent="0.35">
      <c r="A240" s="106"/>
      <c r="B240" t="s">
        <v>87</v>
      </c>
      <c r="C240" s="106"/>
      <c r="D240" t="s">
        <v>22</v>
      </c>
      <c r="E240" s="3">
        <f>VLOOKUP(D240,'Bu Erta'!$C$2:$E$66,3,0)</f>
        <v>2500</v>
      </c>
      <c r="F240">
        <f>0.25+0.5</f>
        <v>0.75</v>
      </c>
      <c r="G240" s="3">
        <f t="shared" si="7"/>
        <v>1875</v>
      </c>
      <c r="H240" s="3">
        <f>VLOOKUP(D240,'Bu Erta'!$C$2:$F$66,4,0)*F240</f>
        <v>2250</v>
      </c>
    </row>
    <row r="241" spans="1:8" x14ac:dyDescent="0.35">
      <c r="A241" s="106"/>
      <c r="B241" t="s">
        <v>87</v>
      </c>
      <c r="C241" s="106"/>
      <c r="D241" t="s">
        <v>34</v>
      </c>
      <c r="E241" s="3">
        <f>VLOOKUP(D241,'Bu Erta'!$C$2:$E$66,3,0)</f>
        <v>3500</v>
      </c>
      <c r="F241">
        <v>0.25</v>
      </c>
      <c r="G241" s="3">
        <f t="shared" si="7"/>
        <v>875</v>
      </c>
      <c r="H241" s="3">
        <f>VLOOKUP(D241,'Bu Erta'!$C$2:$F$66,4,0)*F241</f>
        <v>900</v>
      </c>
    </row>
    <row r="242" spans="1:8" x14ac:dyDescent="0.35">
      <c r="A242" s="106"/>
      <c r="B242" t="s">
        <v>87</v>
      </c>
      <c r="C242" s="106"/>
      <c r="D242" t="s">
        <v>40</v>
      </c>
      <c r="E242" s="3">
        <f>VLOOKUP(D242,'Bu Erta'!$C$2:$E$66,3,0)</f>
        <v>1800</v>
      </c>
      <c r="F242">
        <v>0.3</v>
      </c>
      <c r="G242" s="3">
        <f t="shared" si="7"/>
        <v>540</v>
      </c>
      <c r="H242" s="3">
        <f>VLOOKUP(D242,'Bu Erta'!$C$2:$F$66,4,0)*F242</f>
        <v>600</v>
      </c>
    </row>
    <row r="243" spans="1:8" x14ac:dyDescent="0.35">
      <c r="A243" s="106"/>
      <c r="B243" t="s">
        <v>87</v>
      </c>
      <c r="C243" s="106"/>
      <c r="D243" t="s">
        <v>27</v>
      </c>
      <c r="E243" s="3">
        <f>VLOOKUP(D243,'Bu Erta'!$C$2:$E$66,3,0)</f>
        <v>2800</v>
      </c>
      <c r="F243">
        <v>0.4</v>
      </c>
      <c r="G243" s="3">
        <f t="shared" si="7"/>
        <v>1120</v>
      </c>
      <c r="H243" s="3">
        <f>VLOOKUP(D243,'Bu Erta'!$C$2:$F$66,4,0)*F243</f>
        <v>1240</v>
      </c>
    </row>
    <row r="244" spans="1:8" x14ac:dyDescent="0.35">
      <c r="A244" s="106"/>
      <c r="B244" t="s">
        <v>87</v>
      </c>
      <c r="C244" s="106"/>
      <c r="D244" t="s">
        <v>88</v>
      </c>
      <c r="E244" s="3">
        <f>VLOOKUP(D244,'Bu Erta'!$C$2:$E$66,3,0)</f>
        <v>300</v>
      </c>
      <c r="F244">
        <v>0.2</v>
      </c>
      <c r="G244" s="3">
        <f t="shared" si="7"/>
        <v>60</v>
      </c>
      <c r="H244" s="3">
        <f>VLOOKUP(D244,'Bu Erta'!$C$2:$F$66,4,0)*F244</f>
        <v>80</v>
      </c>
    </row>
    <row r="245" spans="1:8" x14ac:dyDescent="0.35">
      <c r="A245" s="106">
        <v>37</v>
      </c>
      <c r="B245" t="s">
        <v>114</v>
      </c>
      <c r="C245" s="106">
        <v>4</v>
      </c>
      <c r="D245" t="s">
        <v>19</v>
      </c>
      <c r="E245" s="3">
        <f>VLOOKUP(D245,'Bu Erta'!$C$2:$E$66,3,0)</f>
        <v>200</v>
      </c>
      <c r="F245">
        <f>2.4+2.25+0.8+0.2</f>
        <v>5.65</v>
      </c>
      <c r="G245" s="3">
        <f t="shared" si="7"/>
        <v>1130</v>
      </c>
      <c r="H245" s="3">
        <f>VLOOKUP(D245,'Bu Erta'!$C$2:$F$66,4,0)*F245</f>
        <v>1695</v>
      </c>
    </row>
    <row r="246" spans="1:8" x14ac:dyDescent="0.35">
      <c r="A246" s="106"/>
      <c r="B246" t="s">
        <v>114</v>
      </c>
      <c r="C246" s="106"/>
      <c r="D246" t="s">
        <v>31</v>
      </c>
      <c r="E246" s="3">
        <f>VLOOKUP(D246,'Bu Erta'!$C$2:$E$66,3,0)</f>
        <v>1000</v>
      </c>
      <c r="F246">
        <v>0.65</v>
      </c>
      <c r="G246" s="3">
        <f t="shared" si="7"/>
        <v>650</v>
      </c>
      <c r="H246" s="3">
        <f>VLOOKUP(D246,'Bu Erta'!$C$2:$F$66,4,0)*F246</f>
        <v>715</v>
      </c>
    </row>
    <row r="247" spans="1:8" x14ac:dyDescent="0.35">
      <c r="A247" s="106"/>
      <c r="B247" t="s">
        <v>114</v>
      </c>
      <c r="C247" s="106"/>
      <c r="D247" t="s">
        <v>25</v>
      </c>
      <c r="E247" s="3">
        <f>VLOOKUP(D247,'Bu Erta'!$C$2:$E$66,3,0)</f>
        <v>1600</v>
      </c>
      <c r="F247">
        <v>1.35</v>
      </c>
      <c r="G247" s="3">
        <f t="shared" si="7"/>
        <v>2160</v>
      </c>
      <c r="H247" s="3">
        <f>VLOOKUP(D247,'Bu Erta'!$C$2:$F$66,4,0)*F247</f>
        <v>2295</v>
      </c>
    </row>
    <row r="248" spans="1:8" x14ac:dyDescent="0.35">
      <c r="A248" s="106"/>
      <c r="B248" t="s">
        <v>114</v>
      </c>
      <c r="C248" s="106"/>
      <c r="D248" t="s">
        <v>28</v>
      </c>
      <c r="E248" s="3">
        <f>VLOOKUP(D248,'Bu Erta'!$C$2:$E$66,3,0)</f>
        <v>1200</v>
      </c>
      <c r="F248">
        <f>22.2+16+4.4</f>
        <v>42.6</v>
      </c>
      <c r="G248" s="3">
        <f t="shared" si="7"/>
        <v>51120</v>
      </c>
      <c r="H248" s="3">
        <f>VLOOKUP(D248,'Bu Erta'!$C$2:$F$66,4,0)*F248</f>
        <v>55380</v>
      </c>
    </row>
    <row r="249" spans="1:8" x14ac:dyDescent="0.35">
      <c r="A249" s="106"/>
      <c r="B249" t="s">
        <v>114</v>
      </c>
      <c r="C249" s="106"/>
      <c r="D249" t="s">
        <v>42</v>
      </c>
      <c r="E249" s="3">
        <f>VLOOKUP(D249,'Bu Erta'!$C$2:$E$66,3,0)</f>
        <v>1000</v>
      </c>
      <c r="F249">
        <f>10.4+0.55</f>
        <v>10.950000000000001</v>
      </c>
      <c r="G249" s="3">
        <f t="shared" si="7"/>
        <v>10950.000000000002</v>
      </c>
      <c r="H249" s="3">
        <f>VLOOKUP(D249,'Bu Erta'!$C$2:$F$66,4,0)*F249</f>
        <v>13140.000000000002</v>
      </c>
    </row>
    <row r="250" spans="1:8" x14ac:dyDescent="0.35">
      <c r="A250" s="106"/>
      <c r="B250" t="s">
        <v>114</v>
      </c>
      <c r="C250" s="106"/>
      <c r="D250" t="s">
        <v>23</v>
      </c>
      <c r="E250" s="3">
        <f>VLOOKUP(D250,'Bu Erta'!$C$2:$E$66,3,0)</f>
        <v>300</v>
      </c>
      <c r="F250">
        <f>0.75+0.3+0.3</f>
        <v>1.35</v>
      </c>
      <c r="G250" s="3">
        <f t="shared" si="7"/>
        <v>405</v>
      </c>
      <c r="H250" s="3">
        <f>VLOOKUP(D250,'Bu Erta'!$C$2:$F$66,4,0)*F250</f>
        <v>540</v>
      </c>
    </row>
    <row r="251" spans="1:8" x14ac:dyDescent="0.35">
      <c r="A251" s="106"/>
      <c r="B251" t="s">
        <v>114</v>
      </c>
      <c r="C251" s="106"/>
      <c r="D251" t="s">
        <v>68</v>
      </c>
      <c r="E251" s="3">
        <f>VLOOKUP(D251,'Bu Erta'!$C$2:$E$66,3,0)</f>
        <v>150</v>
      </c>
      <c r="F251">
        <v>1.95</v>
      </c>
      <c r="G251" s="3">
        <f t="shared" si="7"/>
        <v>292.5</v>
      </c>
      <c r="H251" s="3">
        <f>VLOOKUP(D251,'Bu Erta'!$C$2:$F$66,4,0)*F251</f>
        <v>390</v>
      </c>
    </row>
    <row r="252" spans="1:8" x14ac:dyDescent="0.35">
      <c r="A252" s="106"/>
      <c r="B252" t="s">
        <v>114</v>
      </c>
      <c r="C252" s="106"/>
      <c r="D252" t="s">
        <v>7</v>
      </c>
      <c r="E252" s="3">
        <f>VLOOKUP(D252,'Bu Erta'!$C$2:$E$66,3,0)</f>
        <v>1400</v>
      </c>
      <c r="F252">
        <f>2.5+2</f>
        <v>4.5</v>
      </c>
      <c r="G252" s="3">
        <f t="shared" si="7"/>
        <v>6300</v>
      </c>
      <c r="H252" s="3">
        <f>VLOOKUP(D252,'Bu Erta'!$C$2:$F$66,4,0)*F252</f>
        <v>7200</v>
      </c>
    </row>
    <row r="253" spans="1:8" x14ac:dyDescent="0.35">
      <c r="A253" s="106"/>
      <c r="B253" t="s">
        <v>114</v>
      </c>
      <c r="C253" s="106"/>
      <c r="D253" t="s">
        <v>49</v>
      </c>
      <c r="E253" s="3">
        <f>VLOOKUP(D253,'Bu Erta'!$C$2:$E$66,3,0)</f>
        <v>800</v>
      </c>
      <c r="F253">
        <v>2.5</v>
      </c>
      <c r="G253" s="3">
        <f t="shared" si="7"/>
        <v>2000</v>
      </c>
      <c r="H253" s="3">
        <f>VLOOKUP(D253,'Bu Erta'!$C$2:$F$66,4,0)*F253</f>
        <v>2250</v>
      </c>
    </row>
    <row r="254" spans="1:8" x14ac:dyDescent="0.35">
      <c r="A254" s="106"/>
      <c r="B254" t="s">
        <v>114</v>
      </c>
      <c r="C254" s="106"/>
      <c r="D254" t="s">
        <v>22</v>
      </c>
      <c r="E254" s="3">
        <f>VLOOKUP(D254,'Bu Erta'!$C$2:$E$66,3,0)</f>
        <v>2500</v>
      </c>
      <c r="F254">
        <v>6.45</v>
      </c>
      <c r="G254" s="3">
        <f t="shared" si="7"/>
        <v>16125</v>
      </c>
      <c r="H254" s="3">
        <f>VLOOKUP(D254,'Bu Erta'!$C$2:$F$66,4,0)*F254</f>
        <v>19350</v>
      </c>
    </row>
    <row r="255" spans="1:8" x14ac:dyDescent="0.35">
      <c r="A255" s="106">
        <v>38</v>
      </c>
      <c r="B255" t="s">
        <v>181</v>
      </c>
      <c r="C255" s="106">
        <v>2</v>
      </c>
      <c r="D255" t="s">
        <v>6</v>
      </c>
      <c r="E255" s="3">
        <f>VLOOKUP(D255,'Bu Erta'!$C$2:$E$66,3,0)</f>
        <v>2000</v>
      </c>
      <c r="F255">
        <v>0.1</v>
      </c>
      <c r="G255" s="3">
        <f t="shared" ref="G255:G308" si="8">E255*F255</f>
        <v>200</v>
      </c>
      <c r="H255" s="3">
        <f>VLOOKUP(D255,'Bu Erta'!$C$2:$F$66,4,0)*F255</f>
        <v>250</v>
      </c>
    </row>
    <row r="256" spans="1:8" x14ac:dyDescent="0.35">
      <c r="A256" s="106"/>
      <c r="B256" t="s">
        <v>181</v>
      </c>
      <c r="C256" s="106"/>
      <c r="D256" t="s">
        <v>27</v>
      </c>
      <c r="E256" s="3">
        <f>VLOOKUP(D256,'Bu Erta'!$C$2:$E$66,3,0)</f>
        <v>2800</v>
      </c>
      <c r="F256">
        <v>0.8</v>
      </c>
      <c r="G256" s="3">
        <f t="shared" si="8"/>
        <v>2240</v>
      </c>
      <c r="H256" s="3">
        <f>VLOOKUP(D256,'Bu Erta'!$C$2:$F$66,4,0)*F256</f>
        <v>2480</v>
      </c>
    </row>
    <row r="257" spans="1:8" x14ac:dyDescent="0.35">
      <c r="A257" s="106"/>
      <c r="B257" t="s">
        <v>181</v>
      </c>
      <c r="C257" s="106"/>
      <c r="D257" t="s">
        <v>67</v>
      </c>
      <c r="E257" s="3">
        <f>VLOOKUP(D257,'Bu Erta'!$C$2:$E$66,3,0)</f>
        <v>2700</v>
      </c>
      <c r="F257">
        <v>0.2</v>
      </c>
      <c r="G257" s="3">
        <f t="shared" si="8"/>
        <v>540</v>
      </c>
      <c r="H257" s="3">
        <f>VLOOKUP(D257,'Bu Erta'!$C$2:$F$66,4,0)*F257</f>
        <v>600</v>
      </c>
    </row>
    <row r="258" spans="1:8" x14ac:dyDescent="0.35">
      <c r="A258" s="106"/>
      <c r="B258" t="s">
        <v>181</v>
      </c>
      <c r="C258" s="106"/>
      <c r="D258" t="s">
        <v>7</v>
      </c>
      <c r="E258" s="3">
        <f>VLOOKUP(D258,'Bu Erta'!$C$2:$E$66,3,0)</f>
        <v>1400</v>
      </c>
      <c r="F258">
        <f>0.45+0.25+0.15</f>
        <v>0.85</v>
      </c>
      <c r="G258" s="3">
        <f t="shared" si="8"/>
        <v>1190</v>
      </c>
      <c r="H258" s="3">
        <f>VLOOKUP(D258,'Bu Erta'!$C$2:$F$66,4,0)*F258</f>
        <v>1360</v>
      </c>
    </row>
    <row r="259" spans="1:8" x14ac:dyDescent="0.35">
      <c r="A259" s="106"/>
      <c r="B259" t="s">
        <v>181</v>
      </c>
      <c r="C259" s="106"/>
      <c r="D259" t="s">
        <v>69</v>
      </c>
      <c r="E259" s="3">
        <f>VLOOKUP(D259,'Bu Erta'!$C$2:$E$66,3,0)</f>
        <v>2500</v>
      </c>
      <c r="F259">
        <v>0.15</v>
      </c>
      <c r="G259" s="3">
        <f t="shared" si="8"/>
        <v>375</v>
      </c>
      <c r="H259" s="3">
        <f>VLOOKUP(D259,'Bu Erta'!$C$2:$F$66,4,0)*F259</f>
        <v>450</v>
      </c>
    </row>
    <row r="260" spans="1:8" x14ac:dyDescent="0.35">
      <c r="A260" s="106"/>
      <c r="B260" t="s">
        <v>181</v>
      </c>
      <c r="C260" s="106"/>
      <c r="D260" t="s">
        <v>41</v>
      </c>
      <c r="E260" s="3">
        <f>VLOOKUP(D260,'Bu Erta'!$C$2:$E$66,3,0)</f>
        <v>1500</v>
      </c>
      <c r="F260">
        <f>0.2+0.1+0.15</f>
        <v>0.45000000000000007</v>
      </c>
      <c r="G260" s="3">
        <f t="shared" si="8"/>
        <v>675.00000000000011</v>
      </c>
      <c r="H260" s="3">
        <f>VLOOKUP(D260,'Bu Erta'!$C$2:$F$66,4,0)*F260</f>
        <v>900.00000000000011</v>
      </c>
    </row>
    <row r="261" spans="1:8" x14ac:dyDescent="0.35">
      <c r="A261" s="106"/>
      <c r="B261" t="s">
        <v>181</v>
      </c>
      <c r="C261" s="106"/>
      <c r="D261" t="s">
        <v>24</v>
      </c>
      <c r="E261" s="3">
        <f>VLOOKUP(D261,'Bu Erta'!$C$2:$E$66,3,0)</f>
        <v>150</v>
      </c>
      <c r="F261">
        <f>0.4+2.75</f>
        <v>3.15</v>
      </c>
      <c r="G261" s="3">
        <f t="shared" si="8"/>
        <v>472.5</v>
      </c>
      <c r="H261" s="3">
        <f>VLOOKUP(D261,'Bu Erta'!$C$2:$F$66,4,0)*F261</f>
        <v>630</v>
      </c>
    </row>
    <row r="262" spans="1:8" x14ac:dyDescent="0.35">
      <c r="A262" s="106"/>
      <c r="B262" t="s">
        <v>181</v>
      </c>
      <c r="C262" s="106"/>
      <c r="D262" t="s">
        <v>19</v>
      </c>
      <c r="E262" s="3">
        <f>VLOOKUP(D262,'Bu Erta'!$C$2:$E$66,3,0)</f>
        <v>200</v>
      </c>
      <c r="F262">
        <v>0.15</v>
      </c>
      <c r="G262" s="3">
        <f t="shared" si="8"/>
        <v>30</v>
      </c>
      <c r="H262" s="3">
        <f>VLOOKUP(D262,'Bu Erta'!$C$2:$F$66,4,0)*F262</f>
        <v>45</v>
      </c>
    </row>
    <row r="263" spans="1:8" x14ac:dyDescent="0.35">
      <c r="A263" s="106"/>
      <c r="B263" t="s">
        <v>181</v>
      </c>
      <c r="C263" s="106"/>
      <c r="D263" t="s">
        <v>23</v>
      </c>
      <c r="E263" s="3">
        <f>VLOOKUP(D263,'Bu Erta'!$C$2:$E$66,3,0)</f>
        <v>300</v>
      </c>
      <c r="F263">
        <f>0.2+0.35</f>
        <v>0.55000000000000004</v>
      </c>
      <c r="G263" s="3">
        <f t="shared" si="8"/>
        <v>165</v>
      </c>
      <c r="H263" s="3">
        <f>VLOOKUP(D263,'Bu Erta'!$C$2:$F$66,4,0)*F263</f>
        <v>220.00000000000003</v>
      </c>
    </row>
    <row r="264" spans="1:8" x14ac:dyDescent="0.35">
      <c r="A264" s="106"/>
      <c r="B264" t="s">
        <v>181</v>
      </c>
      <c r="C264" s="106"/>
      <c r="D264" t="s">
        <v>48</v>
      </c>
      <c r="E264" s="3">
        <f>VLOOKUP(D264,'Bu Erta'!$C$2:$E$66,3,0)</f>
        <v>13000</v>
      </c>
      <c r="F264">
        <v>1</v>
      </c>
      <c r="G264" s="3">
        <f t="shared" si="8"/>
        <v>13000</v>
      </c>
      <c r="H264" s="3">
        <f>VLOOKUP(D264,'Bu Erta'!$C$2:$F$66,4,0)*F264</f>
        <v>15000</v>
      </c>
    </row>
    <row r="265" spans="1:8" x14ac:dyDescent="0.35">
      <c r="A265" s="106"/>
      <c r="B265" t="s">
        <v>181</v>
      </c>
      <c r="C265" s="106"/>
      <c r="D265" t="s">
        <v>35</v>
      </c>
      <c r="E265" s="3">
        <f>VLOOKUP(D265,'Bu Erta'!$C$2:$E$66,3,0)</f>
        <v>1800</v>
      </c>
      <c r="F265">
        <v>1</v>
      </c>
      <c r="G265" s="3">
        <f t="shared" si="8"/>
        <v>1800</v>
      </c>
      <c r="H265" s="3">
        <f>VLOOKUP(D265,'Bu Erta'!$C$2:$F$66,4,0)*F265</f>
        <v>2000</v>
      </c>
    </row>
    <row r="266" spans="1:8" x14ac:dyDescent="0.35">
      <c r="A266" s="106"/>
      <c r="B266" t="s">
        <v>181</v>
      </c>
      <c r="C266" s="106"/>
      <c r="D266" t="s">
        <v>42</v>
      </c>
      <c r="E266" s="3">
        <f>VLOOKUP(D266,'Bu Erta'!$C$2:$E$66,3,0)</f>
        <v>1000</v>
      </c>
      <c r="F266">
        <v>3.1</v>
      </c>
      <c r="G266" s="3">
        <f t="shared" si="8"/>
        <v>3100</v>
      </c>
      <c r="H266" s="3">
        <f>VLOOKUP(D266,'Bu Erta'!$C$2:$F$66,4,0)*F266</f>
        <v>3720</v>
      </c>
    </row>
    <row r="267" spans="1:8" x14ac:dyDescent="0.35">
      <c r="A267" s="106">
        <v>39</v>
      </c>
      <c r="B267" t="s">
        <v>127</v>
      </c>
      <c r="C267" s="106">
        <v>2</v>
      </c>
      <c r="D267" t="s">
        <v>6</v>
      </c>
      <c r="E267" s="3">
        <f>VLOOKUP(D267,'Bu Erta'!$C$2:$E$66,3,0)</f>
        <v>2000</v>
      </c>
      <c r="F267">
        <v>0.4</v>
      </c>
      <c r="G267" s="3">
        <f t="shared" si="8"/>
        <v>800</v>
      </c>
      <c r="H267" s="3">
        <f>VLOOKUP(D267,'Bu Erta'!$C$2:$F$66,4,0)*F267</f>
        <v>1000</v>
      </c>
    </row>
    <row r="268" spans="1:8" x14ac:dyDescent="0.35">
      <c r="A268" s="106"/>
      <c r="B268" t="s">
        <v>127</v>
      </c>
      <c r="C268" s="106"/>
      <c r="D268" t="s">
        <v>7</v>
      </c>
      <c r="E268" s="3">
        <f>VLOOKUP(D268,'Bu Erta'!$C$2:$E$66,3,0)</f>
        <v>1400</v>
      </c>
      <c r="F268">
        <f>0.7+1.15</f>
        <v>1.8499999999999999</v>
      </c>
      <c r="G268" s="3">
        <f t="shared" si="8"/>
        <v>2590</v>
      </c>
      <c r="H268" s="3">
        <f>VLOOKUP(D268,'Bu Erta'!$C$2:$F$66,4,0)*F268</f>
        <v>2960</v>
      </c>
    </row>
    <row r="269" spans="1:8" x14ac:dyDescent="0.35">
      <c r="A269" s="106"/>
      <c r="B269" t="s">
        <v>127</v>
      </c>
      <c r="C269" s="106"/>
      <c r="D269" t="s">
        <v>37</v>
      </c>
      <c r="E269" s="3">
        <f>VLOOKUP(D269,'Bu Erta'!$C$2:$E$66,3,0)</f>
        <v>1600</v>
      </c>
      <c r="F269">
        <v>0.35</v>
      </c>
      <c r="G269" s="3">
        <f t="shared" si="8"/>
        <v>560</v>
      </c>
      <c r="H269" s="3">
        <f>VLOOKUP(D269,'Bu Erta'!$C$2:$F$66,4,0)*F269</f>
        <v>700</v>
      </c>
    </row>
    <row r="270" spans="1:8" x14ac:dyDescent="0.35">
      <c r="A270" s="106"/>
      <c r="B270" t="s">
        <v>127</v>
      </c>
      <c r="C270" s="106"/>
      <c r="D270" t="s">
        <v>27</v>
      </c>
      <c r="E270" s="3">
        <f>VLOOKUP(D270,'Bu Erta'!$C$2:$E$66,3,0)</f>
        <v>2800</v>
      </c>
      <c r="F270">
        <v>0.8</v>
      </c>
      <c r="G270" s="3">
        <f t="shared" si="8"/>
        <v>2240</v>
      </c>
      <c r="H270" s="3">
        <f>VLOOKUP(D270,'Bu Erta'!$C$2:$F$66,4,0)*F270</f>
        <v>2480</v>
      </c>
    </row>
    <row r="271" spans="1:8" x14ac:dyDescent="0.35">
      <c r="A271" s="106"/>
      <c r="B271" t="s">
        <v>127</v>
      </c>
      <c r="C271" s="106"/>
      <c r="D271" t="s">
        <v>69</v>
      </c>
      <c r="E271" s="3">
        <f>VLOOKUP(D271,'Bu Erta'!$C$2:$E$66,3,0)</f>
        <v>2500</v>
      </c>
      <c r="F271">
        <v>0.3</v>
      </c>
      <c r="G271" s="3">
        <f t="shared" si="8"/>
        <v>750</v>
      </c>
      <c r="H271" s="3">
        <f>VLOOKUP(D271,'Bu Erta'!$C$2:$F$66,4,0)*F271</f>
        <v>900</v>
      </c>
    </row>
    <row r="272" spans="1:8" x14ac:dyDescent="0.35">
      <c r="A272" s="106"/>
      <c r="B272" t="s">
        <v>127</v>
      </c>
      <c r="C272" s="106"/>
      <c r="D272" t="s">
        <v>41</v>
      </c>
      <c r="E272" s="3">
        <f>VLOOKUP(D272,'Bu Erta'!$C$2:$E$66,3,0)</f>
        <v>1500</v>
      </c>
      <c r="F272">
        <v>0.9</v>
      </c>
      <c r="G272" s="3">
        <f t="shared" si="8"/>
        <v>1350</v>
      </c>
      <c r="H272" s="3">
        <f>VLOOKUP(D272,'Bu Erta'!$C$2:$F$66,4,0)*F272</f>
        <v>1800</v>
      </c>
    </row>
    <row r="273" spans="1:8" x14ac:dyDescent="0.35">
      <c r="A273" s="106"/>
      <c r="B273" t="s">
        <v>127</v>
      </c>
      <c r="C273" s="106"/>
      <c r="D273" t="s">
        <v>17</v>
      </c>
      <c r="E273" s="3">
        <f>VLOOKUP(D273,'Bu Erta'!$C$2:$E$66,3,0)</f>
        <v>8000</v>
      </c>
      <c r="F273">
        <v>0.1</v>
      </c>
      <c r="G273" s="3">
        <f t="shared" si="8"/>
        <v>800</v>
      </c>
      <c r="H273" s="3">
        <f>VLOOKUP(D273,'Bu Erta'!$C$2:$F$66,4,0)*F273</f>
        <v>850</v>
      </c>
    </row>
    <row r="274" spans="1:8" x14ac:dyDescent="0.35">
      <c r="A274" s="106"/>
      <c r="B274" t="s">
        <v>127</v>
      </c>
      <c r="C274" s="106"/>
      <c r="D274" t="s">
        <v>40</v>
      </c>
      <c r="E274" s="3">
        <f>VLOOKUP(D274,'Bu Erta'!$C$2:$E$66,3,0)</f>
        <v>1800</v>
      </c>
      <c r="F274">
        <f>0.7+0.1</f>
        <v>0.79999999999999993</v>
      </c>
      <c r="G274" s="3">
        <f t="shared" si="8"/>
        <v>1439.9999999999998</v>
      </c>
      <c r="H274" s="3">
        <f>VLOOKUP(D274,'Bu Erta'!$C$2:$F$66,4,0)*F274</f>
        <v>1599.9999999999998</v>
      </c>
    </row>
    <row r="275" spans="1:8" x14ac:dyDescent="0.35">
      <c r="A275" s="106"/>
      <c r="B275" t="s">
        <v>127</v>
      </c>
      <c r="C275" s="106"/>
      <c r="D275" t="s">
        <v>25</v>
      </c>
      <c r="E275" s="3">
        <f>VLOOKUP(D275,'Bu Erta'!$C$2:$E$66,3,0)</f>
        <v>1600</v>
      </c>
      <c r="F275">
        <v>0.1</v>
      </c>
      <c r="G275" s="3">
        <f t="shared" si="8"/>
        <v>160</v>
      </c>
      <c r="H275" s="3">
        <f>VLOOKUP(D275,'Bu Erta'!$C$2:$F$66,4,0)*F275</f>
        <v>170</v>
      </c>
    </row>
    <row r="276" spans="1:8" x14ac:dyDescent="0.35">
      <c r="A276" s="106"/>
      <c r="B276" t="s">
        <v>127</v>
      </c>
      <c r="C276" s="106"/>
      <c r="D276" t="s">
        <v>36</v>
      </c>
      <c r="E276" s="3">
        <f>VLOOKUP(D276,'Bu Erta'!$C$2:$E$66,3,0)</f>
        <v>600</v>
      </c>
      <c r="F276">
        <v>0.95</v>
      </c>
      <c r="G276" s="3">
        <f t="shared" si="8"/>
        <v>570</v>
      </c>
      <c r="H276" s="3">
        <f>VLOOKUP(D276,'Bu Erta'!$C$2:$F$66,4,0)*F276</f>
        <v>617.5</v>
      </c>
    </row>
    <row r="277" spans="1:8" x14ac:dyDescent="0.35">
      <c r="A277" s="106"/>
      <c r="B277" t="s">
        <v>127</v>
      </c>
      <c r="C277" s="106"/>
      <c r="D277" t="s">
        <v>19</v>
      </c>
      <c r="E277" s="3">
        <f>VLOOKUP(D277,'Bu Erta'!$C$2:$E$66,3,0)</f>
        <v>200</v>
      </c>
      <c r="F277">
        <v>1.1000000000000001</v>
      </c>
      <c r="G277" s="3">
        <f t="shared" si="8"/>
        <v>220.00000000000003</v>
      </c>
      <c r="H277" s="3">
        <f>VLOOKUP(D277,'Bu Erta'!$C$2:$F$66,4,0)*F277</f>
        <v>330</v>
      </c>
    </row>
    <row r="278" spans="1:8" x14ac:dyDescent="0.35">
      <c r="A278" s="106"/>
      <c r="B278" t="s">
        <v>127</v>
      </c>
      <c r="C278" s="106"/>
      <c r="D278" t="s">
        <v>24</v>
      </c>
      <c r="E278" s="3">
        <f>VLOOKUP(D278,'Bu Erta'!$C$2:$E$66,3,0)</f>
        <v>150</v>
      </c>
      <c r="F278">
        <v>2.2999999999999998</v>
      </c>
      <c r="G278" s="3">
        <f t="shared" si="8"/>
        <v>345</v>
      </c>
      <c r="H278" s="3">
        <f>VLOOKUP(D278,'Bu Erta'!$C$2:$F$66,4,0)*F278</f>
        <v>459.99999999999994</v>
      </c>
    </row>
    <row r="279" spans="1:8" x14ac:dyDescent="0.35">
      <c r="A279" s="106"/>
      <c r="B279" t="s">
        <v>127</v>
      </c>
      <c r="C279" s="106"/>
      <c r="D279" t="s">
        <v>49</v>
      </c>
      <c r="E279" s="3">
        <f>VLOOKUP(D279,'Bu Erta'!$C$2:$E$66,3,0)</f>
        <v>800</v>
      </c>
      <c r="F279">
        <v>7.9</v>
      </c>
      <c r="G279" s="3">
        <f t="shared" si="8"/>
        <v>6320</v>
      </c>
      <c r="H279" s="3">
        <f>VLOOKUP(D279,'Bu Erta'!$C$2:$F$66,4,0)*F279</f>
        <v>7110</v>
      </c>
    </row>
    <row r="280" spans="1:8" x14ac:dyDescent="0.35">
      <c r="A280" s="106"/>
      <c r="B280" t="s">
        <v>127</v>
      </c>
      <c r="C280" s="106"/>
      <c r="D280" t="s">
        <v>28</v>
      </c>
      <c r="E280" s="3">
        <f>VLOOKUP(D280,'Bu Erta'!$C$2:$E$66,3,0)</f>
        <v>1200</v>
      </c>
      <c r="F280">
        <v>8.85</v>
      </c>
      <c r="G280" s="3">
        <f t="shared" si="8"/>
        <v>10620</v>
      </c>
      <c r="H280" s="3">
        <f>VLOOKUP(D280,'Bu Erta'!$C$2:$F$66,4,0)*F280</f>
        <v>11505</v>
      </c>
    </row>
    <row r="281" spans="1:8" x14ac:dyDescent="0.35">
      <c r="A281" s="106"/>
      <c r="B281" t="s">
        <v>127</v>
      </c>
      <c r="C281" s="106"/>
      <c r="D281" t="s">
        <v>42</v>
      </c>
      <c r="E281" s="3">
        <f>VLOOKUP(D281,'Bu Erta'!$C$2:$E$66,3,0)</f>
        <v>1000</v>
      </c>
      <c r="F281">
        <v>2.9</v>
      </c>
      <c r="G281" s="3">
        <f t="shared" si="8"/>
        <v>2900</v>
      </c>
      <c r="H281" s="3">
        <f>VLOOKUP(D281,'Bu Erta'!$C$2:$F$66,4,0)*F281</f>
        <v>3480</v>
      </c>
    </row>
    <row r="282" spans="1:8" x14ac:dyDescent="0.35">
      <c r="A282" s="106"/>
      <c r="B282" t="s">
        <v>127</v>
      </c>
      <c r="C282" s="106"/>
      <c r="D282" t="s">
        <v>23</v>
      </c>
      <c r="E282" s="3">
        <f>VLOOKUP(D282,'Bu Erta'!$C$2:$E$66,3,0)</f>
        <v>300</v>
      </c>
      <c r="F282">
        <v>2</v>
      </c>
      <c r="G282" s="3">
        <f t="shared" si="8"/>
        <v>600</v>
      </c>
      <c r="H282" s="3">
        <f>VLOOKUP(D282,'Bu Erta'!$C$2:$F$66,4,0)*F282</f>
        <v>800</v>
      </c>
    </row>
    <row r="283" spans="1:8" x14ac:dyDescent="0.35">
      <c r="A283" s="106">
        <v>40</v>
      </c>
      <c r="B283" t="s">
        <v>147</v>
      </c>
      <c r="C283" s="106">
        <v>3</v>
      </c>
      <c r="D283" t="s">
        <v>34</v>
      </c>
      <c r="E283" s="3">
        <f>VLOOKUP(D283,'Bu Erta'!$C$2:$E$66,3,0)</f>
        <v>3500</v>
      </c>
      <c r="F283">
        <v>1.45</v>
      </c>
      <c r="G283" s="3">
        <f t="shared" si="8"/>
        <v>5075</v>
      </c>
      <c r="H283" s="3">
        <f>VLOOKUP(D283,'Bu Erta'!$C$2:$F$66,4,0)*F283</f>
        <v>5220</v>
      </c>
    </row>
    <row r="284" spans="1:8" x14ac:dyDescent="0.35">
      <c r="A284" s="106"/>
      <c r="B284" t="s">
        <v>147</v>
      </c>
      <c r="C284" s="106"/>
      <c r="D284" t="s">
        <v>27</v>
      </c>
      <c r="E284" s="3">
        <f>VLOOKUP(D284,'Bu Erta'!$C$2:$E$66,3,0)</f>
        <v>2800</v>
      </c>
      <c r="F284">
        <v>0.2</v>
      </c>
      <c r="G284" s="3">
        <f t="shared" si="8"/>
        <v>560</v>
      </c>
      <c r="H284" s="3">
        <f>VLOOKUP(D284,'Bu Erta'!$C$2:$F$66,4,0)*F284</f>
        <v>620</v>
      </c>
    </row>
    <row r="285" spans="1:8" x14ac:dyDescent="0.35">
      <c r="A285" s="106"/>
      <c r="B285" t="s">
        <v>147</v>
      </c>
      <c r="C285" s="106"/>
      <c r="D285" t="s">
        <v>88</v>
      </c>
      <c r="E285" s="3">
        <f>VLOOKUP(D285,'Bu Erta'!$C$2:$E$66,3,0)</f>
        <v>300</v>
      </c>
      <c r="F285">
        <v>0.2</v>
      </c>
      <c r="G285" s="3">
        <f t="shared" si="8"/>
        <v>60</v>
      </c>
      <c r="H285" s="3">
        <f>VLOOKUP(D285,'Bu Erta'!$C$2:$F$66,4,0)*F285</f>
        <v>80</v>
      </c>
    </row>
    <row r="286" spans="1:8" x14ac:dyDescent="0.35">
      <c r="A286" s="106"/>
      <c r="B286" t="s">
        <v>147</v>
      </c>
      <c r="C286" s="106"/>
      <c r="D286" t="s">
        <v>19</v>
      </c>
      <c r="E286" s="3">
        <f>VLOOKUP(D286,'Bu Erta'!$C$2:$E$66,3,0)</f>
        <v>200</v>
      </c>
      <c r="F286">
        <v>0.15</v>
      </c>
      <c r="G286" s="3">
        <f t="shared" si="8"/>
        <v>30</v>
      </c>
      <c r="H286" s="3">
        <f>VLOOKUP(D286,'Bu Erta'!$C$2:$F$66,4,0)*F286</f>
        <v>45</v>
      </c>
    </row>
    <row r="287" spans="1:8" x14ac:dyDescent="0.35">
      <c r="A287" s="106">
        <v>41</v>
      </c>
      <c r="B287" t="s">
        <v>111</v>
      </c>
      <c r="C287" s="106">
        <v>5</v>
      </c>
      <c r="D287" t="s">
        <v>41</v>
      </c>
      <c r="E287" s="3">
        <f>VLOOKUP(D287,'Bu Erta'!$C$2:$E$66,3,0)</f>
        <v>1500</v>
      </c>
      <c r="F287">
        <v>0.4</v>
      </c>
      <c r="G287" s="3">
        <f t="shared" si="8"/>
        <v>600</v>
      </c>
      <c r="H287" s="3">
        <f>VLOOKUP(D287,'Bu Erta'!$C$2:$F$66,4,0)*F287</f>
        <v>800</v>
      </c>
    </row>
    <row r="288" spans="1:8" x14ac:dyDescent="0.35">
      <c r="A288" s="106"/>
      <c r="B288" t="s">
        <v>111</v>
      </c>
      <c r="C288" s="106"/>
      <c r="D288" t="s">
        <v>23</v>
      </c>
      <c r="E288" s="3">
        <f>VLOOKUP(D288,'Bu Erta'!$C$2:$E$66,3,0)</f>
        <v>300</v>
      </c>
      <c r="F288">
        <v>0.95</v>
      </c>
      <c r="G288" s="3">
        <f t="shared" si="8"/>
        <v>285</v>
      </c>
      <c r="H288" s="3">
        <f>VLOOKUP(D288,'Bu Erta'!$C$2:$F$66,4,0)*F288</f>
        <v>380</v>
      </c>
    </row>
    <row r="289" spans="1:8" x14ac:dyDescent="0.35">
      <c r="A289" s="106"/>
      <c r="B289" t="s">
        <v>111</v>
      </c>
      <c r="C289" s="106"/>
      <c r="D289" t="s">
        <v>88</v>
      </c>
      <c r="E289" s="3">
        <f>VLOOKUP(D289,'Bu Erta'!$C$2:$E$66,3,0)</f>
        <v>300</v>
      </c>
      <c r="F289">
        <f>0.15+0.15</f>
        <v>0.3</v>
      </c>
      <c r="G289" s="3">
        <f t="shared" si="8"/>
        <v>90</v>
      </c>
      <c r="H289" s="3">
        <f>VLOOKUP(D289,'Bu Erta'!$C$2:$F$66,4,0)*F289</f>
        <v>120</v>
      </c>
    </row>
    <row r="290" spans="1:8" x14ac:dyDescent="0.35">
      <c r="A290" s="106"/>
      <c r="B290" t="s">
        <v>111</v>
      </c>
      <c r="C290" s="106"/>
      <c r="D290" t="s">
        <v>19</v>
      </c>
      <c r="E290" s="3">
        <f>VLOOKUP(D290,'Bu Erta'!$C$2:$E$66,3,0)</f>
        <v>200</v>
      </c>
      <c r="F290">
        <v>1</v>
      </c>
      <c r="G290" s="3">
        <f t="shared" si="8"/>
        <v>200</v>
      </c>
      <c r="H290" s="3">
        <f>VLOOKUP(D290,'Bu Erta'!$C$2:$F$66,4,0)*F290</f>
        <v>300</v>
      </c>
    </row>
    <row r="291" spans="1:8" x14ac:dyDescent="0.35">
      <c r="A291" s="106"/>
      <c r="B291" t="s">
        <v>111</v>
      </c>
      <c r="C291" s="106"/>
      <c r="D291" t="s">
        <v>27</v>
      </c>
      <c r="E291" s="3">
        <f>VLOOKUP(D291,'Bu Erta'!$C$2:$E$66,3,0)</f>
        <v>2800</v>
      </c>
      <c r="F291">
        <v>1.1499999999999999</v>
      </c>
      <c r="G291" s="3">
        <f t="shared" si="8"/>
        <v>3219.9999999999995</v>
      </c>
      <c r="H291" s="3">
        <f>VLOOKUP(D291,'Bu Erta'!$C$2:$F$66,4,0)*F291</f>
        <v>3564.9999999999995</v>
      </c>
    </row>
    <row r="292" spans="1:8" x14ac:dyDescent="0.35">
      <c r="A292" s="106"/>
      <c r="B292" t="s">
        <v>111</v>
      </c>
      <c r="C292" s="106"/>
      <c r="D292" t="s">
        <v>31</v>
      </c>
      <c r="E292" s="3">
        <f>VLOOKUP(D292,'Bu Erta'!$C$2:$E$66,3,0)</f>
        <v>1000</v>
      </c>
      <c r="F292">
        <v>0.2</v>
      </c>
      <c r="G292" s="3">
        <f t="shared" si="8"/>
        <v>200</v>
      </c>
      <c r="H292" s="3">
        <f>VLOOKUP(D292,'Bu Erta'!$C$2:$F$66,4,0)*F292</f>
        <v>220</v>
      </c>
    </row>
    <row r="293" spans="1:8" x14ac:dyDescent="0.35">
      <c r="A293" s="106"/>
      <c r="B293" t="s">
        <v>111</v>
      </c>
      <c r="C293" s="106"/>
      <c r="D293" t="s">
        <v>24</v>
      </c>
      <c r="E293" s="3">
        <f>VLOOKUP(D293,'Bu Erta'!$C$2:$E$66,3,0)</f>
        <v>150</v>
      </c>
      <c r="F293">
        <v>0.5</v>
      </c>
      <c r="G293" s="3">
        <f t="shared" si="8"/>
        <v>75</v>
      </c>
      <c r="H293" s="3">
        <f>VLOOKUP(D293,'Bu Erta'!$C$2:$F$66,4,0)*F293</f>
        <v>100</v>
      </c>
    </row>
    <row r="294" spans="1:8" x14ac:dyDescent="0.35">
      <c r="A294" s="106">
        <v>42</v>
      </c>
      <c r="B294" t="s">
        <v>193</v>
      </c>
      <c r="C294" s="106">
        <v>1</v>
      </c>
      <c r="D294" t="s">
        <v>7</v>
      </c>
      <c r="E294" s="3">
        <f>VLOOKUP(D294,'Bu Erta'!$C$2:$E$66,3,0)</f>
        <v>1400</v>
      </c>
      <c r="F294">
        <v>0.2</v>
      </c>
      <c r="G294" s="3">
        <f t="shared" si="8"/>
        <v>280</v>
      </c>
      <c r="H294" s="3">
        <f>VLOOKUP(D294,'Bu Erta'!$C$2:$F$66,4,0)*F294</f>
        <v>320</v>
      </c>
    </row>
    <row r="295" spans="1:8" x14ac:dyDescent="0.35">
      <c r="A295" s="106"/>
      <c r="B295" t="s">
        <v>193</v>
      </c>
      <c r="C295" s="106"/>
      <c r="D295" t="s">
        <v>88</v>
      </c>
      <c r="E295" s="3">
        <f>VLOOKUP(D295,'Bu Erta'!$C$2:$E$66,3,0)</f>
        <v>300</v>
      </c>
      <c r="F295">
        <v>0.25</v>
      </c>
      <c r="G295" s="3">
        <f t="shared" si="8"/>
        <v>75</v>
      </c>
      <c r="H295" s="3">
        <f>VLOOKUP(D295,'Bu Erta'!$C$2:$F$66,4,0)*F295</f>
        <v>100</v>
      </c>
    </row>
    <row r="296" spans="1:8" x14ac:dyDescent="0.35">
      <c r="A296" s="106"/>
      <c r="B296" t="s">
        <v>193</v>
      </c>
      <c r="C296" s="106"/>
      <c r="D296" t="s">
        <v>25</v>
      </c>
      <c r="E296" s="3">
        <f>VLOOKUP(D296,'Bu Erta'!$C$2:$E$66,3,0)</f>
        <v>1600</v>
      </c>
      <c r="F296">
        <v>0.3</v>
      </c>
      <c r="G296" s="3">
        <f t="shared" si="8"/>
        <v>480</v>
      </c>
      <c r="H296" s="3">
        <f>VLOOKUP(D296,'Bu Erta'!$C$2:$F$66,4,0)*F296</f>
        <v>510</v>
      </c>
    </row>
    <row r="297" spans="1:8" x14ac:dyDescent="0.35">
      <c r="A297" s="106"/>
      <c r="B297" t="s">
        <v>193</v>
      </c>
      <c r="C297" s="106"/>
      <c r="D297" t="s">
        <v>42</v>
      </c>
      <c r="E297" s="3">
        <f>VLOOKUP(D297,'Bu Erta'!$C$2:$E$66,3,0)</f>
        <v>1000</v>
      </c>
      <c r="F297">
        <v>2.2000000000000002</v>
      </c>
      <c r="G297" s="3">
        <f t="shared" si="8"/>
        <v>2200</v>
      </c>
      <c r="H297" s="3">
        <f>VLOOKUP(D297,'Bu Erta'!$C$2:$F$66,4,0)*F297</f>
        <v>2640</v>
      </c>
    </row>
    <row r="298" spans="1:8" x14ac:dyDescent="0.35">
      <c r="A298" s="106"/>
      <c r="B298" t="s">
        <v>193</v>
      </c>
      <c r="C298" s="106"/>
      <c r="D298" t="s">
        <v>23</v>
      </c>
      <c r="E298" s="3">
        <f>VLOOKUP(D298,'Bu Erta'!$C$2:$E$66,3,0)</f>
        <v>300</v>
      </c>
      <c r="F298">
        <v>0.1</v>
      </c>
      <c r="G298" s="3">
        <f t="shared" si="8"/>
        <v>30</v>
      </c>
      <c r="H298" s="3">
        <f>VLOOKUP(D298,'Bu Erta'!$C$2:$F$66,4,0)*F298</f>
        <v>40</v>
      </c>
    </row>
    <row r="299" spans="1:8" x14ac:dyDescent="0.35">
      <c r="A299" s="5">
        <v>43</v>
      </c>
      <c r="B299" t="s">
        <v>148</v>
      </c>
      <c r="C299" s="5">
        <v>4</v>
      </c>
      <c r="D299" t="s">
        <v>68</v>
      </c>
      <c r="E299" s="3">
        <f>VLOOKUP(D299,'Bu Erta'!$C$2:$E$66,3,0)</f>
        <v>150</v>
      </c>
      <c r="F299">
        <f>9.15+7.05</f>
        <v>16.2</v>
      </c>
      <c r="G299" s="3">
        <f t="shared" si="8"/>
        <v>2430</v>
      </c>
      <c r="H299" s="3">
        <f>VLOOKUP(D299,'Bu Erta'!$C$2:$F$66,4,0)*F299</f>
        <v>3240</v>
      </c>
    </row>
    <row r="300" spans="1:8" x14ac:dyDescent="0.35">
      <c r="A300" s="106">
        <v>44</v>
      </c>
      <c r="B300" t="s">
        <v>218</v>
      </c>
      <c r="C300" s="106">
        <v>1</v>
      </c>
      <c r="D300" t="s">
        <v>42</v>
      </c>
      <c r="E300" s="3">
        <f>VLOOKUP(D300,'Bu Erta'!$C$2:$E$66,3,0)</f>
        <v>1000</v>
      </c>
      <c r="F300">
        <v>7.65</v>
      </c>
      <c r="G300" s="3">
        <f t="shared" si="8"/>
        <v>7650</v>
      </c>
      <c r="H300" s="3">
        <f>VLOOKUP(D300,'Bu Erta'!$C$2:$F$66,4,0)*F300</f>
        <v>9180</v>
      </c>
    </row>
    <row r="301" spans="1:8" x14ac:dyDescent="0.35">
      <c r="A301" s="106"/>
      <c r="B301" t="s">
        <v>218</v>
      </c>
      <c r="C301" s="106"/>
      <c r="D301" t="s">
        <v>25</v>
      </c>
      <c r="E301" s="3">
        <f>VLOOKUP(D301,'Bu Erta'!$C$2:$E$66,3,0)</f>
        <v>1600</v>
      </c>
      <c r="F301">
        <v>2.7</v>
      </c>
      <c r="G301" s="3">
        <f t="shared" si="8"/>
        <v>4320</v>
      </c>
      <c r="H301" s="3">
        <f>VLOOKUP(D301,'Bu Erta'!$C$2:$F$66,4,0)*F301</f>
        <v>4590</v>
      </c>
    </row>
    <row r="302" spans="1:8" x14ac:dyDescent="0.35">
      <c r="A302" s="106">
        <v>45</v>
      </c>
      <c r="B302" t="s">
        <v>164</v>
      </c>
      <c r="C302" s="106">
        <v>3</v>
      </c>
      <c r="D302" t="s">
        <v>42</v>
      </c>
      <c r="E302" s="3">
        <f>VLOOKUP(D302,'Bu Erta'!$C$2:$E$66,3,0)</f>
        <v>1000</v>
      </c>
      <c r="F302">
        <v>0.95</v>
      </c>
      <c r="G302" s="3">
        <f t="shared" si="8"/>
        <v>950</v>
      </c>
      <c r="H302" s="3">
        <f>VLOOKUP(D302,'Bu Erta'!$C$2:$F$66,4,0)*F302</f>
        <v>1140</v>
      </c>
    </row>
    <row r="303" spans="1:8" x14ac:dyDescent="0.35">
      <c r="A303" s="106"/>
      <c r="B303" t="s">
        <v>164</v>
      </c>
      <c r="C303" s="106"/>
      <c r="D303" t="s">
        <v>31</v>
      </c>
      <c r="E303" s="3">
        <f>VLOOKUP(D303,'Bu Erta'!$C$2:$E$66,3,0)</f>
        <v>1000</v>
      </c>
      <c r="F303">
        <v>1.05</v>
      </c>
      <c r="G303" s="3">
        <f t="shared" si="8"/>
        <v>1050</v>
      </c>
      <c r="H303" s="3">
        <f>VLOOKUP(D303,'Bu Erta'!$C$2:$F$66,4,0)*F303</f>
        <v>1155</v>
      </c>
    </row>
    <row r="304" spans="1:8" x14ac:dyDescent="0.35">
      <c r="A304" s="106">
        <v>46</v>
      </c>
      <c r="B304" t="s">
        <v>219</v>
      </c>
      <c r="C304" s="106" t="s">
        <v>201</v>
      </c>
      <c r="D304" t="s">
        <v>34</v>
      </c>
      <c r="E304" s="3">
        <f>VLOOKUP(D304,'Bu Erta'!$C$2:$E$66,3,0)</f>
        <v>3500</v>
      </c>
      <c r="F304">
        <v>0.65</v>
      </c>
      <c r="G304" s="3">
        <f t="shared" si="8"/>
        <v>2275</v>
      </c>
      <c r="H304" s="3">
        <f>VLOOKUP(D304,'Bu Erta'!$C$2:$F$66,4,0)*F304</f>
        <v>2340</v>
      </c>
    </row>
    <row r="305" spans="1:8" x14ac:dyDescent="0.35">
      <c r="A305" s="106"/>
      <c r="B305" t="s">
        <v>219</v>
      </c>
      <c r="C305" s="106"/>
      <c r="D305" t="s">
        <v>27</v>
      </c>
      <c r="E305" s="3">
        <f>VLOOKUP(D305,'Bu Erta'!$C$2:$E$66,3,0)</f>
        <v>2800</v>
      </c>
      <c r="F305">
        <v>1.1000000000000001</v>
      </c>
      <c r="G305" s="3">
        <f t="shared" si="8"/>
        <v>3080.0000000000005</v>
      </c>
      <c r="H305" s="3">
        <f>VLOOKUP(D305,'Bu Erta'!$C$2:$F$66,4,0)*F305</f>
        <v>3410.0000000000005</v>
      </c>
    </row>
    <row r="306" spans="1:8" x14ac:dyDescent="0.35">
      <c r="A306" s="106"/>
      <c r="B306" t="s">
        <v>219</v>
      </c>
      <c r="C306" s="106"/>
      <c r="D306" t="s">
        <v>42</v>
      </c>
      <c r="E306" s="3">
        <f>VLOOKUP(D306,'Bu Erta'!$C$2:$E$66,3,0)</f>
        <v>1000</v>
      </c>
      <c r="F306">
        <f>1.4+1.3+0.85</f>
        <v>3.5500000000000003</v>
      </c>
      <c r="G306" s="3">
        <f t="shared" si="8"/>
        <v>3550.0000000000005</v>
      </c>
      <c r="H306" s="3">
        <f>VLOOKUP(D306,'Bu Erta'!$C$2:$F$66,4,0)*F306</f>
        <v>4260</v>
      </c>
    </row>
    <row r="307" spans="1:8" x14ac:dyDescent="0.35">
      <c r="A307" s="106"/>
      <c r="B307" t="s">
        <v>219</v>
      </c>
      <c r="C307" s="106"/>
      <c r="D307" t="s">
        <v>7</v>
      </c>
      <c r="E307" s="3">
        <f>VLOOKUP(D307,'Bu Erta'!$C$2:$E$66,3,0)</f>
        <v>1400</v>
      </c>
      <c r="F307">
        <v>0.45</v>
      </c>
      <c r="G307" s="3">
        <f t="shared" si="8"/>
        <v>630</v>
      </c>
      <c r="H307" s="3">
        <f>VLOOKUP(D307,'Bu Erta'!$C$2:$F$66,4,0)*F307</f>
        <v>720</v>
      </c>
    </row>
    <row r="308" spans="1:8" x14ac:dyDescent="0.35">
      <c r="A308" s="106"/>
      <c r="B308" t="s">
        <v>219</v>
      </c>
      <c r="C308" s="106"/>
      <c r="D308" t="s">
        <v>23</v>
      </c>
      <c r="E308" s="3">
        <f>VLOOKUP(D308,'Bu Erta'!$C$2:$E$66,3,0)</f>
        <v>300</v>
      </c>
      <c r="F308">
        <v>1.2</v>
      </c>
      <c r="G308" s="3">
        <f t="shared" si="8"/>
        <v>360</v>
      </c>
      <c r="H308" s="3">
        <f>VLOOKUP(D308,'Bu Erta'!$C$2:$F$66,4,0)*F308</f>
        <v>480</v>
      </c>
    </row>
    <row r="309" spans="1:8" x14ac:dyDescent="0.35">
      <c r="A309" s="106"/>
      <c r="B309" t="s">
        <v>219</v>
      </c>
      <c r="C309" s="106"/>
      <c r="D309" t="s">
        <v>25</v>
      </c>
      <c r="E309" s="3">
        <f>VLOOKUP(D309,'Bu Erta'!$C$2:$E$66,3,0)</f>
        <v>1600</v>
      </c>
      <c r="F309">
        <v>0.75</v>
      </c>
      <c r="G309" s="3">
        <f t="shared" ref="G309:G332" si="9">E309*F309</f>
        <v>1200</v>
      </c>
      <c r="H309" s="3">
        <f>VLOOKUP(D309,'Bu Erta'!$C$2:$F$66,4,0)*F309</f>
        <v>1275</v>
      </c>
    </row>
    <row r="310" spans="1:8" x14ac:dyDescent="0.35">
      <c r="A310" s="106">
        <v>47</v>
      </c>
      <c r="B310" t="s">
        <v>115</v>
      </c>
      <c r="C310" s="106">
        <v>2</v>
      </c>
      <c r="D310" t="s">
        <v>23</v>
      </c>
      <c r="E310" s="3">
        <f>VLOOKUP(D310,'Bu Erta'!$C$2:$E$66,3,0)</f>
        <v>300</v>
      </c>
      <c r="F310">
        <v>0.65</v>
      </c>
      <c r="G310" s="3">
        <f t="shared" si="9"/>
        <v>195</v>
      </c>
      <c r="H310" s="3">
        <f>VLOOKUP(D310,'Bu Erta'!$C$2:$F$66,4,0)*F310</f>
        <v>260</v>
      </c>
    </row>
    <row r="311" spans="1:8" x14ac:dyDescent="0.35">
      <c r="A311" s="106"/>
      <c r="B311" t="s">
        <v>115</v>
      </c>
      <c r="C311" s="106"/>
      <c r="D311" t="s">
        <v>19</v>
      </c>
      <c r="E311" s="3">
        <f>VLOOKUP(D311,'Bu Erta'!$C$2:$E$66,3,0)</f>
        <v>200</v>
      </c>
      <c r="F311">
        <f>0.35+0.35</f>
        <v>0.7</v>
      </c>
      <c r="G311" s="3">
        <f t="shared" si="9"/>
        <v>140</v>
      </c>
      <c r="H311" s="3">
        <f>VLOOKUP(D311,'Bu Erta'!$C$2:$F$66,4,0)*F311</f>
        <v>210</v>
      </c>
    </row>
    <row r="312" spans="1:8" x14ac:dyDescent="0.35">
      <c r="A312" s="106"/>
      <c r="B312" t="s">
        <v>115</v>
      </c>
      <c r="C312" s="106"/>
      <c r="D312" t="s">
        <v>7</v>
      </c>
      <c r="E312" s="3">
        <f>VLOOKUP(D312,'Bu Erta'!$C$2:$E$66,3,0)</f>
        <v>1400</v>
      </c>
      <c r="F312">
        <v>0.35</v>
      </c>
      <c r="G312" s="3">
        <f t="shared" si="9"/>
        <v>489.99999999999994</v>
      </c>
      <c r="H312" s="3">
        <f>VLOOKUP(D312,'Bu Erta'!$C$2:$F$66,4,0)*F312</f>
        <v>560</v>
      </c>
    </row>
    <row r="313" spans="1:8" x14ac:dyDescent="0.35">
      <c r="A313" s="106"/>
      <c r="B313" t="s">
        <v>115</v>
      </c>
      <c r="C313" s="106"/>
      <c r="D313" t="s">
        <v>27</v>
      </c>
      <c r="E313" s="3">
        <f>VLOOKUP(D313,'Bu Erta'!$C$2:$E$66,3,0)</f>
        <v>2800</v>
      </c>
      <c r="F313">
        <v>0.3</v>
      </c>
      <c r="G313" s="3">
        <f t="shared" si="9"/>
        <v>840</v>
      </c>
      <c r="H313" s="3">
        <f>VLOOKUP(D313,'Bu Erta'!$C$2:$F$66,4,0)*F313</f>
        <v>930</v>
      </c>
    </row>
    <row r="314" spans="1:8" x14ac:dyDescent="0.35">
      <c r="A314" s="106"/>
      <c r="B314" t="s">
        <v>115</v>
      </c>
      <c r="C314" s="106"/>
      <c r="D314" t="s">
        <v>88</v>
      </c>
      <c r="E314" s="3">
        <f>VLOOKUP(D314,'Bu Erta'!$C$2:$E$66,3,0)</f>
        <v>300</v>
      </c>
      <c r="F314">
        <v>0.7</v>
      </c>
      <c r="G314" s="3">
        <f t="shared" si="9"/>
        <v>210</v>
      </c>
      <c r="H314" s="3">
        <f>VLOOKUP(D314,'Bu Erta'!$C$2:$F$66,4,0)*F314</f>
        <v>280</v>
      </c>
    </row>
    <row r="315" spans="1:8" x14ac:dyDescent="0.35">
      <c r="A315" s="106">
        <v>48</v>
      </c>
      <c r="B315" t="s">
        <v>89</v>
      </c>
      <c r="C315" s="107">
        <v>4</v>
      </c>
      <c r="D315" t="s">
        <v>7</v>
      </c>
      <c r="E315" s="3">
        <f>VLOOKUP(D315,'Bu Erta'!$C$2:$E$66,3,0)</f>
        <v>1400</v>
      </c>
      <c r="F315">
        <f>2.3+1</f>
        <v>3.3</v>
      </c>
      <c r="G315" s="3">
        <f t="shared" si="9"/>
        <v>4620</v>
      </c>
      <c r="H315" s="3">
        <f>VLOOKUP(D315,'Bu Erta'!$C$2:$F$66,4,0)*F315</f>
        <v>5280</v>
      </c>
    </row>
    <row r="316" spans="1:8" x14ac:dyDescent="0.35">
      <c r="A316" s="106"/>
      <c r="B316" t="s">
        <v>89</v>
      </c>
      <c r="C316" s="107"/>
      <c r="D316" t="s">
        <v>23</v>
      </c>
      <c r="E316" s="3">
        <f>VLOOKUP(D316,'Bu Erta'!$C$2:$E$66,3,0)</f>
        <v>300</v>
      </c>
      <c r="F316">
        <v>1.85</v>
      </c>
      <c r="G316" s="3">
        <f t="shared" si="9"/>
        <v>555</v>
      </c>
      <c r="H316" s="3">
        <f>VLOOKUP(D316,'Bu Erta'!$C$2:$F$66,4,0)*F316</f>
        <v>740</v>
      </c>
    </row>
    <row r="317" spans="1:8" x14ac:dyDescent="0.35">
      <c r="A317" s="106"/>
      <c r="B317" t="s">
        <v>89</v>
      </c>
      <c r="C317" s="107"/>
      <c r="D317" t="s">
        <v>42</v>
      </c>
      <c r="E317" s="3">
        <f>VLOOKUP(D317,'Bu Erta'!$C$2:$E$66,3,0)</f>
        <v>1000</v>
      </c>
      <c r="F317">
        <v>0.55000000000000004</v>
      </c>
      <c r="G317" s="3">
        <f t="shared" si="9"/>
        <v>550</v>
      </c>
      <c r="H317" s="3">
        <f>VLOOKUP(D317,'Bu Erta'!$C$2:$F$66,4,0)*F317</f>
        <v>660</v>
      </c>
    </row>
    <row r="318" spans="1:8" x14ac:dyDescent="0.35">
      <c r="A318" s="106"/>
      <c r="B318" t="s">
        <v>89</v>
      </c>
      <c r="C318" s="107"/>
      <c r="D318" t="s">
        <v>27</v>
      </c>
      <c r="E318" s="3">
        <f>VLOOKUP(D318,'Bu Erta'!$C$2:$E$66,3,0)</f>
        <v>2800</v>
      </c>
      <c r="F318">
        <v>0.7</v>
      </c>
      <c r="G318" s="3">
        <f t="shared" si="9"/>
        <v>1959.9999999999998</v>
      </c>
      <c r="H318" s="3">
        <f>VLOOKUP(D318,'Bu Erta'!$C$2:$F$66,4,0)*F318</f>
        <v>2170</v>
      </c>
    </row>
    <row r="319" spans="1:8" x14ac:dyDescent="0.35">
      <c r="A319" s="106"/>
      <c r="B319" t="s">
        <v>89</v>
      </c>
      <c r="C319" s="107"/>
      <c r="D319" t="s">
        <v>19</v>
      </c>
      <c r="E319" s="3">
        <f>VLOOKUP(D319,'Bu Erta'!$C$2:$E$66,3,0)</f>
        <v>200</v>
      </c>
      <c r="F319">
        <v>0.6</v>
      </c>
      <c r="G319" s="3">
        <f t="shared" si="9"/>
        <v>120</v>
      </c>
      <c r="H319" s="3">
        <f>VLOOKUP(D319,'Bu Erta'!$C$2:$F$66,4,0)*F319</f>
        <v>180</v>
      </c>
    </row>
    <row r="320" spans="1:8" x14ac:dyDescent="0.35">
      <c r="A320" s="106">
        <v>49</v>
      </c>
      <c r="B320" t="s">
        <v>152</v>
      </c>
      <c r="C320" s="106">
        <v>4</v>
      </c>
      <c r="D320" t="s">
        <v>42</v>
      </c>
      <c r="E320" s="3">
        <f>VLOOKUP(D320,'Bu Erta'!$C$2:$E$66,3,0)</f>
        <v>1000</v>
      </c>
      <c r="F320">
        <v>1.1000000000000001</v>
      </c>
      <c r="G320" s="3">
        <f t="shared" si="9"/>
        <v>1100</v>
      </c>
      <c r="H320" s="3">
        <f>VLOOKUP(D320,'Bu Erta'!$C$2:$F$66,4,0)*F320</f>
        <v>1320</v>
      </c>
    </row>
    <row r="321" spans="1:9" x14ac:dyDescent="0.35">
      <c r="A321" s="106"/>
      <c r="B321" t="s">
        <v>152</v>
      </c>
      <c r="C321" s="106"/>
      <c r="D321" t="s">
        <v>65</v>
      </c>
      <c r="E321" s="3">
        <f>VLOOKUP(D321,'Bu Erta'!$C$2:$E$66,3,0)</f>
        <v>150</v>
      </c>
      <c r="F321">
        <v>0.55000000000000004</v>
      </c>
      <c r="G321" s="3">
        <f t="shared" si="9"/>
        <v>82.5</v>
      </c>
      <c r="H321" s="3">
        <f>VLOOKUP(D321,'Bu Erta'!$C$2:$F$66,4,0)*F321</f>
        <v>110.00000000000001</v>
      </c>
    </row>
    <row r="322" spans="1:9" x14ac:dyDescent="0.35">
      <c r="A322" s="106"/>
      <c r="B322" t="s">
        <v>152</v>
      </c>
      <c r="C322" s="106"/>
      <c r="D322" t="s">
        <v>61</v>
      </c>
      <c r="E322" s="3">
        <f>VLOOKUP(D322,'Bu Erta'!$C$2:$E$66,3,0)</f>
        <v>800</v>
      </c>
      <c r="F322">
        <v>0.1</v>
      </c>
      <c r="G322" s="3">
        <f t="shared" si="9"/>
        <v>80</v>
      </c>
      <c r="H322" s="3">
        <f>VLOOKUP(D322,'Bu Erta'!$C$2:$F$66,4,0)*F322</f>
        <v>90</v>
      </c>
    </row>
    <row r="323" spans="1:9" x14ac:dyDescent="0.35">
      <c r="A323" s="106"/>
      <c r="B323" t="s">
        <v>152</v>
      </c>
      <c r="C323" s="106"/>
      <c r="D323" t="s">
        <v>25</v>
      </c>
      <c r="E323" s="3">
        <f>VLOOKUP(D323,'Bu Erta'!$C$2:$E$66,3,0)</f>
        <v>1600</v>
      </c>
      <c r="F323">
        <v>0.15</v>
      </c>
      <c r="G323" s="3">
        <f t="shared" si="9"/>
        <v>240</v>
      </c>
      <c r="H323" s="3">
        <f>VLOOKUP(D323,'Bu Erta'!$C$2:$F$66,4,0)*F323</f>
        <v>255</v>
      </c>
    </row>
    <row r="324" spans="1:9" x14ac:dyDescent="0.35">
      <c r="A324" s="106">
        <v>50</v>
      </c>
      <c r="B324" t="s">
        <v>151</v>
      </c>
      <c r="C324" s="106">
        <v>4</v>
      </c>
      <c r="D324" t="s">
        <v>48</v>
      </c>
      <c r="E324" s="3">
        <f>VLOOKUP(D324,'Bu Erta'!$C$2:$E$66,3,0)</f>
        <v>13000</v>
      </c>
      <c r="F324">
        <v>1</v>
      </c>
      <c r="G324" s="3">
        <f t="shared" si="9"/>
        <v>13000</v>
      </c>
      <c r="H324" s="3">
        <f>VLOOKUP(D324,'Bu Erta'!$C$2:$F$66,4,0)*F324</f>
        <v>15000</v>
      </c>
    </row>
    <row r="325" spans="1:9" x14ac:dyDescent="0.35">
      <c r="A325" s="106"/>
      <c r="B325" t="s">
        <v>151</v>
      </c>
      <c r="C325" s="106"/>
      <c r="D325" t="s">
        <v>7</v>
      </c>
      <c r="E325" s="3">
        <f>VLOOKUP(D325,'Bu Erta'!$C$2:$E$66,3,0)</f>
        <v>1400</v>
      </c>
      <c r="F325">
        <v>0.25</v>
      </c>
      <c r="G325" s="3">
        <f t="shared" si="9"/>
        <v>350</v>
      </c>
      <c r="H325" s="3">
        <f>VLOOKUP(D325,'Bu Erta'!$C$2:$F$66,4,0)*F325</f>
        <v>400</v>
      </c>
    </row>
    <row r="326" spans="1:9" x14ac:dyDescent="0.35">
      <c r="A326" s="106"/>
      <c r="B326" t="s">
        <v>151</v>
      </c>
      <c r="C326" s="106"/>
      <c r="D326" t="s">
        <v>31</v>
      </c>
      <c r="E326" s="3">
        <f>VLOOKUP(D326,'Bu Erta'!$C$2:$E$66,3,0)</f>
        <v>1000</v>
      </c>
      <c r="F326">
        <v>1.35</v>
      </c>
      <c r="G326" s="3">
        <f t="shared" si="9"/>
        <v>1350</v>
      </c>
      <c r="H326" s="3">
        <f>VLOOKUP(D326,'Bu Erta'!$C$2:$F$66,4,0)*F326</f>
        <v>1485</v>
      </c>
    </row>
    <row r="327" spans="1:9" x14ac:dyDescent="0.35">
      <c r="A327" s="5">
        <v>51</v>
      </c>
      <c r="B327" t="s">
        <v>200</v>
      </c>
      <c r="C327" s="5" t="s">
        <v>201</v>
      </c>
      <c r="D327" t="s">
        <v>72</v>
      </c>
      <c r="E327" s="3">
        <f>VLOOKUP(D327,'Bu Erta'!$C$2:$E$66,3,0)</f>
        <v>13000</v>
      </c>
      <c r="F327">
        <v>1</v>
      </c>
      <c r="G327" s="3">
        <f t="shared" si="9"/>
        <v>13000</v>
      </c>
      <c r="H327" s="3">
        <f>VLOOKUP(D327,'Bu Erta'!$C$2:$F$66,4,0)*F327</f>
        <v>15000</v>
      </c>
    </row>
    <row r="328" spans="1:9" x14ac:dyDescent="0.35">
      <c r="A328" s="106">
        <v>52</v>
      </c>
      <c r="B328" t="s">
        <v>132</v>
      </c>
      <c r="C328" s="106">
        <v>4</v>
      </c>
      <c r="D328" t="s">
        <v>88</v>
      </c>
      <c r="E328" s="3">
        <f>VLOOKUP(D328,'Bu Erta'!$C$2:$E$66,3,0)</f>
        <v>300</v>
      </c>
      <c r="F328">
        <v>0.5</v>
      </c>
      <c r="G328" s="3">
        <f t="shared" si="9"/>
        <v>150</v>
      </c>
      <c r="H328" s="3">
        <f>VLOOKUP(D328,'Bu Erta'!$C$2:$F$66,4,0)*F328</f>
        <v>200</v>
      </c>
    </row>
    <row r="329" spans="1:9" x14ac:dyDescent="0.35">
      <c r="A329" s="106"/>
      <c r="B329" t="s">
        <v>132</v>
      </c>
      <c r="C329" s="106"/>
      <c r="D329" t="s">
        <v>7</v>
      </c>
      <c r="E329" s="3">
        <f>VLOOKUP(D329,'Bu Erta'!$C$2:$E$66,3,0)</f>
        <v>1400</v>
      </c>
      <c r="F329">
        <v>0.55000000000000004</v>
      </c>
      <c r="G329" s="3">
        <f t="shared" si="9"/>
        <v>770.00000000000011</v>
      </c>
      <c r="H329" s="3">
        <f>VLOOKUP(D329,'Bu Erta'!$C$2:$F$66,4,0)*F329</f>
        <v>880.00000000000011</v>
      </c>
    </row>
    <row r="330" spans="1:9" x14ac:dyDescent="0.35">
      <c r="A330" s="106"/>
      <c r="B330" t="s">
        <v>132</v>
      </c>
      <c r="C330" s="106"/>
      <c r="D330" t="s">
        <v>34</v>
      </c>
      <c r="E330" s="3">
        <f>VLOOKUP(D330,'Bu Erta'!$C$2:$E$66,3,0)</f>
        <v>3500</v>
      </c>
      <c r="F330">
        <v>0.2</v>
      </c>
      <c r="G330" s="3">
        <f t="shared" si="9"/>
        <v>700</v>
      </c>
      <c r="H330" s="3">
        <f>VLOOKUP(D330,'Bu Erta'!$C$2:$F$66,4,0)*F330</f>
        <v>720</v>
      </c>
    </row>
    <row r="331" spans="1:9" x14ac:dyDescent="0.35">
      <c r="A331" s="106"/>
      <c r="B331" t="s">
        <v>132</v>
      </c>
      <c r="C331" s="106"/>
      <c r="D331" t="s">
        <v>19</v>
      </c>
      <c r="E331" s="3">
        <f>VLOOKUP(D331,'Bu Erta'!$C$2:$E$66,3,0)</f>
        <v>200</v>
      </c>
      <c r="F331">
        <v>0.55000000000000004</v>
      </c>
      <c r="G331" s="3">
        <f t="shared" si="9"/>
        <v>110.00000000000001</v>
      </c>
      <c r="H331" s="3">
        <f>VLOOKUP(D331,'Bu Erta'!$C$2:$F$66,4,0)*F331</f>
        <v>165</v>
      </c>
    </row>
    <row r="332" spans="1:9" x14ac:dyDescent="0.35">
      <c r="A332" s="106"/>
      <c r="B332" t="s">
        <v>132</v>
      </c>
      <c r="C332" s="106"/>
      <c r="D332" t="s">
        <v>31</v>
      </c>
      <c r="E332" s="3">
        <f>VLOOKUP(D332,'Bu Erta'!$C$2:$E$66,3,0)</f>
        <v>1000</v>
      </c>
      <c r="F332">
        <v>0.3</v>
      </c>
      <c r="G332" s="3">
        <f t="shared" si="9"/>
        <v>300</v>
      </c>
      <c r="H332" s="3">
        <f>VLOOKUP(D332,'Bu Erta'!$C$2:$F$66,4,0)*F332</f>
        <v>330</v>
      </c>
    </row>
    <row r="333" spans="1:9" x14ac:dyDescent="0.35">
      <c r="F333">
        <f>SUM(F3:F332)</f>
        <v>468.19999999999976</v>
      </c>
      <c r="G333" s="3">
        <f t="shared" ref="G333:H333" si="10">SUM(G3:G332)</f>
        <v>615287.5</v>
      </c>
      <c r="H333" s="3">
        <f t="shared" si="10"/>
        <v>711075</v>
      </c>
      <c r="I333" s="4">
        <f>H333-G333</f>
        <v>95787.5</v>
      </c>
    </row>
  </sheetData>
  <mergeCells count="98">
    <mergeCell ref="C328:C332"/>
    <mergeCell ref="A328:A332"/>
    <mergeCell ref="A304:A309"/>
    <mergeCell ref="C304:C309"/>
    <mergeCell ref="C310:C314"/>
    <mergeCell ref="A310:A314"/>
    <mergeCell ref="A315:A319"/>
    <mergeCell ref="C315:C319"/>
    <mergeCell ref="C324:C326"/>
    <mergeCell ref="A324:A326"/>
    <mergeCell ref="A320:A323"/>
    <mergeCell ref="C320:C323"/>
    <mergeCell ref="C302:C303"/>
    <mergeCell ref="A302:A303"/>
    <mergeCell ref="A300:A301"/>
    <mergeCell ref="C267:C282"/>
    <mergeCell ref="A267:A282"/>
    <mergeCell ref="C287:C293"/>
    <mergeCell ref="A287:A293"/>
    <mergeCell ref="A294:A298"/>
    <mergeCell ref="C294:C298"/>
    <mergeCell ref="C300:C301"/>
    <mergeCell ref="C255:C266"/>
    <mergeCell ref="A255:A266"/>
    <mergeCell ref="A283:A286"/>
    <mergeCell ref="C283:C286"/>
    <mergeCell ref="C224:C235"/>
    <mergeCell ref="A224:A235"/>
    <mergeCell ref="A236:A244"/>
    <mergeCell ref="C236:C244"/>
    <mergeCell ref="A245:A254"/>
    <mergeCell ref="C245:C254"/>
    <mergeCell ref="A209:A213"/>
    <mergeCell ref="C209:C213"/>
    <mergeCell ref="C215:C218"/>
    <mergeCell ref="A215:A218"/>
    <mergeCell ref="A219:A223"/>
    <mergeCell ref="C219:C223"/>
    <mergeCell ref="C189:C193"/>
    <mergeCell ref="A189:A193"/>
    <mergeCell ref="A194:A195"/>
    <mergeCell ref="C194:C195"/>
    <mergeCell ref="C196:C208"/>
    <mergeCell ref="A196:A208"/>
    <mergeCell ref="A174:A180"/>
    <mergeCell ref="C174:C180"/>
    <mergeCell ref="C181:C186"/>
    <mergeCell ref="A181:A186"/>
    <mergeCell ref="A187:A188"/>
    <mergeCell ref="C187:C188"/>
    <mergeCell ref="A155:A161"/>
    <mergeCell ref="C155:C161"/>
    <mergeCell ref="C162:C166"/>
    <mergeCell ref="C167:C173"/>
    <mergeCell ref="A162:A166"/>
    <mergeCell ref="A167:A173"/>
    <mergeCell ref="C132:C138"/>
    <mergeCell ref="A132:A138"/>
    <mergeCell ref="A139:A143"/>
    <mergeCell ref="C139:C143"/>
    <mergeCell ref="C144:C154"/>
    <mergeCell ref="A144:A154"/>
    <mergeCell ref="A101:A104"/>
    <mergeCell ref="C101:C104"/>
    <mergeCell ref="C105:C121"/>
    <mergeCell ref="A105:A121"/>
    <mergeCell ref="A122:A131"/>
    <mergeCell ref="C122:C131"/>
    <mergeCell ref="C87:C90"/>
    <mergeCell ref="A87:A90"/>
    <mergeCell ref="A91:A98"/>
    <mergeCell ref="C91:C98"/>
    <mergeCell ref="C99:C100"/>
    <mergeCell ref="A99:A100"/>
    <mergeCell ref="A71:A72"/>
    <mergeCell ref="C71:C72"/>
    <mergeCell ref="C73:C80"/>
    <mergeCell ref="A73:A80"/>
    <mergeCell ref="A81:A86"/>
    <mergeCell ref="C81:C86"/>
    <mergeCell ref="A48:A52"/>
    <mergeCell ref="C48:C52"/>
    <mergeCell ref="C53:C62"/>
    <mergeCell ref="C63:C70"/>
    <mergeCell ref="A63:A70"/>
    <mergeCell ref="A53:A62"/>
    <mergeCell ref="C24:C27"/>
    <mergeCell ref="A24:A27"/>
    <mergeCell ref="A28:A39"/>
    <mergeCell ref="C28:C39"/>
    <mergeCell ref="C40:C47"/>
    <mergeCell ref="A40:A47"/>
    <mergeCell ref="A3:A8"/>
    <mergeCell ref="C3:C8"/>
    <mergeCell ref="C9:C18"/>
    <mergeCell ref="A9:A18"/>
    <mergeCell ref="A19:A23"/>
    <mergeCell ref="C19:C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13CEF-67D8-483A-804E-67B8D3514EE3}">
  <dimension ref="A2:AF318"/>
  <sheetViews>
    <sheetView topLeftCell="K51" zoomScale="71" zoomScaleNormal="80" workbookViewId="0">
      <selection activeCell="P7" sqref="P7"/>
    </sheetView>
  </sheetViews>
  <sheetFormatPr defaultRowHeight="14.5" x14ac:dyDescent="0.35"/>
  <cols>
    <col min="1" max="1" width="8.7265625" style="5"/>
    <col min="2" max="2" width="16.26953125" bestFit="1" customWidth="1"/>
    <col min="3" max="3" width="8.7265625" style="5"/>
    <col min="4" max="4" width="23.6328125" bestFit="1" customWidth="1"/>
    <col min="5" max="5" width="9.26953125" style="3" bestFit="1" customWidth="1"/>
    <col min="7" max="7" width="11.81640625" style="3" bestFit="1" customWidth="1"/>
    <col min="8" max="8" width="11.81640625" style="3" customWidth="1"/>
    <col min="10" max="10" width="16.1796875" bestFit="1" customWidth="1"/>
    <col min="11" max="11" width="9.7265625" bestFit="1" customWidth="1"/>
    <col min="12" max="12" width="17.90625" bestFit="1" customWidth="1"/>
    <col min="14" max="14" width="16.26953125" bestFit="1" customWidth="1"/>
    <col min="15" max="15" width="7.81640625" style="1" customWidth="1"/>
    <col min="16" max="16" width="17.6328125" style="3" bestFit="1" customWidth="1"/>
    <col min="19" max="19" width="23.6328125" bestFit="1" customWidth="1"/>
    <col min="22" max="22" width="11.81640625" bestFit="1" customWidth="1"/>
    <col min="25" max="25" width="23.6328125" bestFit="1" customWidth="1"/>
    <col min="28" max="28" width="11.36328125" customWidth="1"/>
    <col min="30" max="30" width="23.6328125" bestFit="1" customWidth="1"/>
    <col min="31" max="31" width="12.26953125" bestFit="1" customWidth="1"/>
    <col min="32" max="32" width="17.90625" bestFit="1" customWidth="1"/>
  </cols>
  <sheetData>
    <row r="2" spans="1:32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H2" s="79"/>
      <c r="J2" s="68" t="s">
        <v>170</v>
      </c>
      <c r="K2" t="s">
        <v>172</v>
      </c>
      <c r="L2" t="s">
        <v>82</v>
      </c>
      <c r="N2" s="65" t="s">
        <v>2</v>
      </c>
      <c r="O2" s="65" t="s">
        <v>153</v>
      </c>
      <c r="P2" s="65" t="s">
        <v>82</v>
      </c>
      <c r="R2" s="40" t="s">
        <v>131</v>
      </c>
      <c r="U2" t="s">
        <v>202</v>
      </c>
      <c r="X2" s="40" t="s">
        <v>169</v>
      </c>
      <c r="AA2" t="s">
        <v>202</v>
      </c>
      <c r="AD2" s="68" t="s">
        <v>170</v>
      </c>
      <c r="AE2" t="s">
        <v>171</v>
      </c>
      <c r="AF2" t="s">
        <v>82</v>
      </c>
    </row>
    <row r="3" spans="1:32" x14ac:dyDescent="0.35">
      <c r="A3" s="108">
        <v>1</v>
      </c>
      <c r="B3" t="s">
        <v>97</v>
      </c>
      <c r="C3" s="108">
        <v>4</v>
      </c>
      <c r="D3" t="s">
        <v>42</v>
      </c>
      <c r="E3" s="3">
        <f>VLOOKUP(D3,'Bu Erta'!$C$2:$E$66,3,0)</f>
        <v>1000</v>
      </c>
      <c r="F3">
        <v>5.0999999999999996</v>
      </c>
      <c r="G3" s="3">
        <f>E3*F3</f>
        <v>5100</v>
      </c>
      <c r="H3" s="3">
        <f>VLOOKUP(D3,'Bu Erta'!$C$2:$F$66,4,0)*F3</f>
        <v>6120</v>
      </c>
      <c r="J3" s="69" t="s">
        <v>200</v>
      </c>
      <c r="K3">
        <v>0</v>
      </c>
      <c r="L3" s="4">
        <v>28275</v>
      </c>
      <c r="N3" t="s">
        <v>200</v>
      </c>
      <c r="O3" s="1">
        <v>0</v>
      </c>
      <c r="P3" s="3">
        <v>28245</v>
      </c>
      <c r="R3" s="49" t="s">
        <v>8</v>
      </c>
      <c r="S3" s="50" t="s">
        <v>128</v>
      </c>
      <c r="T3" s="51" t="s">
        <v>1</v>
      </c>
      <c r="U3" s="50" t="s">
        <v>0</v>
      </c>
      <c r="V3" s="51" t="s">
        <v>3</v>
      </c>
      <c r="X3" s="49" t="s">
        <v>8</v>
      </c>
      <c r="Y3" s="50" t="s">
        <v>128</v>
      </c>
      <c r="Z3" s="51" t="s">
        <v>1</v>
      </c>
      <c r="AA3" s="50" t="s">
        <v>0</v>
      </c>
      <c r="AB3" s="51" t="s">
        <v>3</v>
      </c>
      <c r="AD3" s="69" t="s">
        <v>17</v>
      </c>
      <c r="AE3">
        <v>0.65</v>
      </c>
      <c r="AF3" s="4">
        <v>5200</v>
      </c>
    </row>
    <row r="4" spans="1:32" x14ac:dyDescent="0.35">
      <c r="A4" s="106"/>
      <c r="B4" t="s">
        <v>97</v>
      </c>
      <c r="C4" s="106"/>
      <c r="D4" t="s">
        <v>46</v>
      </c>
      <c r="E4" s="3">
        <f>VLOOKUP(D4,'Bu Erta'!$C$2:$E$66,3,0)</f>
        <v>1400</v>
      </c>
      <c r="F4">
        <v>2.8</v>
      </c>
      <c r="G4" s="3">
        <f t="shared" ref="G4:G66" si="0">E4*F4</f>
        <v>3919.9999999999995</v>
      </c>
      <c r="H4" s="3">
        <f>VLOOKUP(D4,'Bu Erta'!$C$2:$F$66,4,0)*F4</f>
        <v>4200</v>
      </c>
      <c r="J4" s="69" t="s">
        <v>198</v>
      </c>
      <c r="K4">
        <v>0</v>
      </c>
      <c r="L4" s="4">
        <v>2639.9999999999995</v>
      </c>
      <c r="N4" t="s">
        <v>198</v>
      </c>
      <c r="O4" s="1">
        <v>0</v>
      </c>
      <c r="P4" s="3">
        <v>2639.9999999999995</v>
      </c>
      <c r="R4" s="44">
        <v>1</v>
      </c>
      <c r="S4" s="17" t="s">
        <v>13</v>
      </c>
      <c r="T4" s="52">
        <f>VLOOKUP(S4,'Bu Erta'!$C$2:$F$66,4,0)</f>
        <v>1500</v>
      </c>
      <c r="U4" s="53">
        <f>SUMIF($D$3:$D$317,S4,$F$3:$F$317)</f>
        <v>0</v>
      </c>
      <c r="V4" s="52">
        <f>T4*U4</f>
        <v>0</v>
      </c>
      <c r="X4" s="44">
        <v>1</v>
      </c>
      <c r="Y4" s="17" t="s">
        <v>13</v>
      </c>
      <c r="Z4" s="52"/>
      <c r="AA4" s="53"/>
      <c r="AB4" s="52"/>
      <c r="AD4" s="69" t="s">
        <v>19</v>
      </c>
      <c r="AE4">
        <v>24.199999999999996</v>
      </c>
      <c r="AF4" s="4">
        <v>4840</v>
      </c>
    </row>
    <row r="5" spans="1:32" x14ac:dyDescent="0.35">
      <c r="A5" s="106"/>
      <c r="B5" t="s">
        <v>97</v>
      </c>
      <c r="C5" s="106"/>
      <c r="D5" t="s">
        <v>54</v>
      </c>
      <c r="E5" s="3">
        <f>VLOOKUP(D5,'Bu Erta'!$C$2:$E$66,3,0)</f>
        <v>600</v>
      </c>
      <c r="F5">
        <v>2.1</v>
      </c>
      <c r="G5" s="3">
        <f t="shared" si="0"/>
        <v>1260</v>
      </c>
      <c r="H5" s="3">
        <f>VLOOKUP(D5,'Bu Erta'!$C$2:$F$66,4,0)*F5</f>
        <v>1365</v>
      </c>
      <c r="J5" s="69" t="s">
        <v>193</v>
      </c>
      <c r="K5">
        <v>1</v>
      </c>
      <c r="L5" s="4">
        <v>24060</v>
      </c>
      <c r="N5" t="s">
        <v>193</v>
      </c>
      <c r="O5" s="1">
        <v>1</v>
      </c>
      <c r="P5" s="3">
        <v>24060</v>
      </c>
      <c r="R5" s="44">
        <v>2</v>
      </c>
      <c r="S5" s="17" t="s">
        <v>14</v>
      </c>
      <c r="T5" s="52">
        <f>VLOOKUP(S5,'Bu Erta'!$C$2:$F$66,4,0)</f>
        <v>100000</v>
      </c>
      <c r="U5" s="53">
        <f t="shared" ref="U5:U67" si="1">SUMIF($D$3:$D$317,S5,$F$3:$F$317)</f>
        <v>0</v>
      </c>
      <c r="V5" s="52">
        <f t="shared" ref="V5:V67" si="2">T5*U5</f>
        <v>0</v>
      </c>
      <c r="X5" s="44">
        <v>2</v>
      </c>
      <c r="Y5" s="17" t="s">
        <v>14</v>
      </c>
      <c r="Z5" s="52"/>
      <c r="AA5" s="53"/>
      <c r="AB5" s="52"/>
      <c r="AD5" s="69" t="s">
        <v>21</v>
      </c>
      <c r="AE5">
        <v>16.05</v>
      </c>
      <c r="AF5" s="4">
        <v>2407.5</v>
      </c>
    </row>
    <row r="6" spans="1:32" x14ac:dyDescent="0.35">
      <c r="A6" s="106"/>
      <c r="B6" t="s">
        <v>97</v>
      </c>
      <c r="C6" s="106"/>
      <c r="D6" t="s">
        <v>28</v>
      </c>
      <c r="E6" s="3">
        <f>VLOOKUP(D6,'Bu Erta'!$C$2:$E$66,3,0)</f>
        <v>1200</v>
      </c>
      <c r="F6">
        <v>0.3</v>
      </c>
      <c r="G6" s="3">
        <f t="shared" si="0"/>
        <v>360</v>
      </c>
      <c r="H6" s="3">
        <f>VLOOKUP(D6,'Bu Erta'!$C$2:$F$66,4,0)*F6</f>
        <v>390</v>
      </c>
      <c r="J6" s="69" t="s">
        <v>83</v>
      </c>
      <c r="K6">
        <v>1</v>
      </c>
      <c r="L6" s="4">
        <v>7450</v>
      </c>
      <c r="N6" t="s">
        <v>83</v>
      </c>
      <c r="O6" s="1">
        <v>1</v>
      </c>
      <c r="P6" s="3">
        <v>7450</v>
      </c>
      <c r="R6" s="44">
        <v>3</v>
      </c>
      <c r="S6" s="17" t="s">
        <v>15</v>
      </c>
      <c r="T6" s="52">
        <f>VLOOKUP(S6,'Bu Erta'!$C$2:$F$66,4,0)</f>
        <v>40000</v>
      </c>
      <c r="U6" s="53">
        <f t="shared" si="1"/>
        <v>0</v>
      </c>
      <c r="V6" s="52">
        <f t="shared" si="2"/>
        <v>0</v>
      </c>
      <c r="X6" s="44">
        <v>3</v>
      </c>
      <c r="Y6" s="17" t="s">
        <v>15</v>
      </c>
      <c r="Z6" s="52"/>
      <c r="AA6" s="53"/>
      <c r="AB6" s="52"/>
      <c r="AD6" s="69" t="s">
        <v>22</v>
      </c>
      <c r="AE6">
        <v>30.85</v>
      </c>
      <c r="AF6" s="4">
        <v>78775</v>
      </c>
    </row>
    <row r="7" spans="1:32" x14ac:dyDescent="0.35">
      <c r="A7" s="106"/>
      <c r="B7" t="s">
        <v>97</v>
      </c>
      <c r="C7" s="106"/>
      <c r="D7" t="s">
        <v>27</v>
      </c>
      <c r="E7" s="3">
        <f>VLOOKUP(D7,'Bu Erta'!$C$2:$E$66,3,0)</f>
        <v>2800</v>
      </c>
      <c r="F7">
        <f>1.6+0.5</f>
        <v>2.1</v>
      </c>
      <c r="G7" s="3">
        <f t="shared" si="0"/>
        <v>5880</v>
      </c>
      <c r="H7" s="3">
        <f>VLOOKUP(D7,'Bu Erta'!$C$2:$F$66,4,0)*F7</f>
        <v>6510</v>
      </c>
      <c r="J7" s="69" t="s">
        <v>139</v>
      </c>
      <c r="K7">
        <v>1</v>
      </c>
      <c r="L7" s="4">
        <v>1060</v>
      </c>
      <c r="N7" t="s">
        <v>139</v>
      </c>
      <c r="O7" s="1">
        <v>1</v>
      </c>
      <c r="P7" s="3">
        <v>1060</v>
      </c>
      <c r="R7" s="44">
        <v>4</v>
      </c>
      <c r="S7" s="17" t="s">
        <v>16</v>
      </c>
      <c r="T7" s="52">
        <f>VLOOKUP(S7,'Bu Erta'!$C$2:$F$66,4,0)</f>
        <v>6500</v>
      </c>
      <c r="U7" s="53">
        <f t="shared" si="1"/>
        <v>0</v>
      </c>
      <c r="V7" s="52">
        <f t="shared" si="2"/>
        <v>0</v>
      </c>
      <c r="X7" s="44">
        <v>4</v>
      </c>
      <c r="Y7" s="17" t="s">
        <v>16</v>
      </c>
      <c r="Z7" s="52"/>
      <c r="AA7" s="53"/>
      <c r="AB7" s="52"/>
      <c r="AD7" s="69" t="s">
        <v>23</v>
      </c>
      <c r="AE7">
        <v>22.499999999999996</v>
      </c>
      <c r="AF7" s="4">
        <v>6750</v>
      </c>
    </row>
    <row r="8" spans="1:32" x14ac:dyDescent="0.35">
      <c r="A8" s="106"/>
      <c r="B8" t="s">
        <v>97</v>
      </c>
      <c r="C8" s="106"/>
      <c r="D8" t="s">
        <v>7</v>
      </c>
      <c r="E8" s="3">
        <f>VLOOKUP(D8,'Bu Erta'!$C$2:$E$66,3,0)</f>
        <v>1400</v>
      </c>
      <c r="F8">
        <v>1.1499999999999999</v>
      </c>
      <c r="G8" s="3">
        <f t="shared" si="0"/>
        <v>1609.9999999999998</v>
      </c>
      <c r="H8" s="3">
        <f>VLOOKUP(D8,'Bu Erta'!$C$2:$F$66,4,0)*F8</f>
        <v>1839.9999999999998</v>
      </c>
      <c r="J8" s="69" t="s">
        <v>195</v>
      </c>
      <c r="K8">
        <v>1</v>
      </c>
      <c r="L8" s="4">
        <v>2200</v>
      </c>
      <c r="N8" t="s">
        <v>195</v>
      </c>
      <c r="O8" s="1">
        <v>1</v>
      </c>
      <c r="P8" s="3">
        <v>2200</v>
      </c>
      <c r="R8" s="44">
        <v>5</v>
      </c>
      <c r="S8" s="17" t="s">
        <v>17</v>
      </c>
      <c r="T8" s="52">
        <f>VLOOKUP(S8,'Bu Erta'!$C$2:$F$66,4,0)</f>
        <v>8500</v>
      </c>
      <c r="U8" s="53">
        <f t="shared" si="1"/>
        <v>0.65</v>
      </c>
      <c r="V8" s="52">
        <f t="shared" si="2"/>
        <v>5525</v>
      </c>
      <c r="X8" s="44">
        <v>5</v>
      </c>
      <c r="Y8" s="17" t="s">
        <v>17</v>
      </c>
      <c r="Z8" s="52"/>
      <c r="AA8" s="53"/>
      <c r="AB8" s="52"/>
      <c r="AD8" s="69" t="s">
        <v>25</v>
      </c>
      <c r="AE8">
        <v>9.25</v>
      </c>
      <c r="AF8" s="4">
        <v>14800</v>
      </c>
    </row>
    <row r="9" spans="1:32" x14ac:dyDescent="0.35">
      <c r="A9" s="106"/>
      <c r="B9" t="s">
        <v>97</v>
      </c>
      <c r="C9" s="106"/>
      <c r="D9" t="s">
        <v>17</v>
      </c>
      <c r="E9" s="3">
        <f>VLOOKUP(D9,'Bu Erta'!$C$2:$E$66,3,0)</f>
        <v>8000</v>
      </c>
      <c r="F9">
        <v>0.15</v>
      </c>
      <c r="G9" s="3">
        <f t="shared" si="0"/>
        <v>1200</v>
      </c>
      <c r="H9" s="3">
        <f>VLOOKUP(D9,'Bu Erta'!$C$2:$F$66,4,0)*F9</f>
        <v>1275</v>
      </c>
      <c r="J9" s="69" t="s">
        <v>194</v>
      </c>
      <c r="K9">
        <v>1</v>
      </c>
      <c r="L9" s="4">
        <v>20520</v>
      </c>
      <c r="N9" t="s">
        <v>194</v>
      </c>
      <c r="O9" s="1">
        <v>1</v>
      </c>
      <c r="P9" s="3">
        <v>20520</v>
      </c>
      <c r="R9" s="44">
        <v>6</v>
      </c>
      <c r="S9" s="17" t="s">
        <v>18</v>
      </c>
      <c r="T9" s="52">
        <f>VLOOKUP(S9,'Bu Erta'!$C$2:$F$66,4,0)</f>
        <v>4000</v>
      </c>
      <c r="U9" s="53">
        <f t="shared" si="1"/>
        <v>0</v>
      </c>
      <c r="V9" s="52">
        <f t="shared" si="2"/>
        <v>0</v>
      </c>
      <c r="X9" s="44">
        <v>6</v>
      </c>
      <c r="Y9" s="17" t="s">
        <v>18</v>
      </c>
      <c r="Z9" s="52"/>
      <c r="AA9" s="53"/>
      <c r="AB9" s="52"/>
      <c r="AD9" s="69" t="s">
        <v>24</v>
      </c>
      <c r="AE9">
        <v>39.050000000000004</v>
      </c>
      <c r="AF9" s="4">
        <v>5857.5</v>
      </c>
    </row>
    <row r="10" spans="1:32" x14ac:dyDescent="0.35">
      <c r="A10" s="106"/>
      <c r="B10" t="s">
        <v>97</v>
      </c>
      <c r="C10" s="106"/>
      <c r="D10" t="s">
        <v>69</v>
      </c>
      <c r="E10" s="3">
        <f>VLOOKUP(D10,'Bu Erta'!$C$2:$E$66,3,0)</f>
        <v>2500</v>
      </c>
      <c r="F10">
        <v>0.5</v>
      </c>
      <c r="G10" s="3">
        <f t="shared" si="0"/>
        <v>1250</v>
      </c>
      <c r="H10" s="3">
        <f>VLOOKUP(D10,'Bu Erta'!$C$2:$F$66,4,0)*F10</f>
        <v>1500</v>
      </c>
      <c r="J10" s="69" t="s">
        <v>197</v>
      </c>
      <c r="K10">
        <v>1</v>
      </c>
      <c r="L10" s="4">
        <v>2800</v>
      </c>
      <c r="N10" t="s">
        <v>197</v>
      </c>
      <c r="O10" s="1">
        <v>1</v>
      </c>
      <c r="P10" s="3">
        <v>2800</v>
      </c>
      <c r="R10" s="44">
        <v>7</v>
      </c>
      <c r="S10" s="17" t="s">
        <v>19</v>
      </c>
      <c r="T10" s="52">
        <f>VLOOKUP(S10,'Bu Erta'!$C$2:$F$66,4,0)</f>
        <v>300</v>
      </c>
      <c r="U10" s="53">
        <f t="shared" si="1"/>
        <v>24.199999999999996</v>
      </c>
      <c r="V10" s="52">
        <f t="shared" si="2"/>
        <v>7259.9999999999991</v>
      </c>
      <c r="X10" s="44">
        <v>7</v>
      </c>
      <c r="Y10" s="17" t="s">
        <v>19</v>
      </c>
      <c r="Z10" s="52"/>
      <c r="AA10" s="53"/>
      <c r="AB10" s="52"/>
      <c r="AD10" s="69" t="s">
        <v>27</v>
      </c>
      <c r="AE10">
        <v>11.35</v>
      </c>
      <c r="AF10" s="4">
        <v>31780</v>
      </c>
    </row>
    <row r="11" spans="1:32" x14ac:dyDescent="0.35">
      <c r="A11" s="106"/>
      <c r="B11" t="s">
        <v>97</v>
      </c>
      <c r="C11" s="106"/>
      <c r="D11" t="s">
        <v>25</v>
      </c>
      <c r="E11" s="3">
        <f>VLOOKUP(D11,'Bu Erta'!$C$2:$E$66,3,0)</f>
        <v>1600</v>
      </c>
      <c r="F11">
        <v>0.3</v>
      </c>
      <c r="G11" s="3">
        <f t="shared" si="0"/>
        <v>480</v>
      </c>
      <c r="H11" s="3">
        <f>VLOOKUP(D11,'Bu Erta'!$C$2:$F$66,4,0)*F11</f>
        <v>510</v>
      </c>
      <c r="J11" s="69" t="s">
        <v>108</v>
      </c>
      <c r="K11">
        <v>2</v>
      </c>
      <c r="L11" s="4">
        <v>3550</v>
      </c>
      <c r="N11" t="s">
        <v>108</v>
      </c>
      <c r="O11" s="1">
        <v>2</v>
      </c>
      <c r="P11" s="3">
        <v>3550</v>
      </c>
      <c r="R11" s="44">
        <v>8</v>
      </c>
      <c r="S11" s="17" t="s">
        <v>20</v>
      </c>
      <c r="T11" s="52">
        <f>VLOOKUP(S11,'Bu Erta'!$C$2:$F$66,4,0)</f>
        <v>8000</v>
      </c>
      <c r="U11" s="53">
        <f t="shared" si="1"/>
        <v>0</v>
      </c>
      <c r="V11" s="52">
        <f t="shared" si="2"/>
        <v>0</v>
      </c>
      <c r="X11" s="44">
        <v>8</v>
      </c>
      <c r="Y11" s="17" t="s">
        <v>20</v>
      </c>
      <c r="Z11" s="52"/>
      <c r="AA11" s="53"/>
      <c r="AB11" s="52"/>
      <c r="AD11" s="69" t="s">
        <v>28</v>
      </c>
      <c r="AE11">
        <v>26.8</v>
      </c>
      <c r="AF11" s="4">
        <v>32160</v>
      </c>
    </row>
    <row r="12" spans="1:32" x14ac:dyDescent="0.35">
      <c r="A12" s="106"/>
      <c r="B12" t="s">
        <v>97</v>
      </c>
      <c r="C12" s="106"/>
      <c r="D12" t="s">
        <v>19</v>
      </c>
      <c r="E12" s="3">
        <f>VLOOKUP(D12,'Bu Erta'!$C$2:$E$66,3,0)</f>
        <v>200</v>
      </c>
      <c r="F12">
        <v>0.2</v>
      </c>
      <c r="G12" s="3">
        <f t="shared" si="0"/>
        <v>40</v>
      </c>
      <c r="H12" s="3">
        <f>VLOOKUP(D12,'Bu Erta'!$C$2:$F$66,4,0)*F12</f>
        <v>60</v>
      </c>
      <c r="J12" s="69" t="s">
        <v>5</v>
      </c>
      <c r="K12">
        <v>2</v>
      </c>
      <c r="L12" s="4">
        <v>2800</v>
      </c>
      <c r="N12" t="s">
        <v>5</v>
      </c>
      <c r="O12" s="1">
        <v>2</v>
      </c>
      <c r="P12" s="3">
        <v>2800</v>
      </c>
      <c r="R12" s="44">
        <v>9</v>
      </c>
      <c r="S12" s="17" t="s">
        <v>21</v>
      </c>
      <c r="T12" s="52">
        <f>VLOOKUP(S12,'Bu Erta'!$C$2:$F$66,4,0)</f>
        <v>200</v>
      </c>
      <c r="U12" s="53">
        <f t="shared" si="1"/>
        <v>16.05</v>
      </c>
      <c r="V12" s="52">
        <f t="shared" si="2"/>
        <v>3210</v>
      </c>
      <c r="X12" s="44">
        <v>9</v>
      </c>
      <c r="Y12" s="17" t="s">
        <v>21</v>
      </c>
      <c r="Z12" s="52"/>
      <c r="AA12" s="53"/>
      <c r="AB12" s="52"/>
      <c r="AD12" s="69" t="s">
        <v>29</v>
      </c>
      <c r="AE12">
        <v>3.6</v>
      </c>
      <c r="AF12" s="4">
        <v>18000</v>
      </c>
    </row>
    <row r="13" spans="1:32" x14ac:dyDescent="0.35">
      <c r="A13" s="106"/>
      <c r="B13" t="s">
        <v>97</v>
      </c>
      <c r="C13" s="106"/>
      <c r="D13" t="s">
        <v>23</v>
      </c>
      <c r="E13" s="3">
        <f>VLOOKUP(D13,'Bu Erta'!$C$2:$E$66,3,0)</f>
        <v>300</v>
      </c>
      <c r="F13">
        <v>1.65</v>
      </c>
      <c r="G13" s="3">
        <f t="shared" si="0"/>
        <v>495</v>
      </c>
      <c r="H13" s="3">
        <f>VLOOKUP(D13,'Bu Erta'!$C$2:$F$66,4,0)*F13</f>
        <v>660</v>
      </c>
      <c r="J13" s="69" t="s">
        <v>190</v>
      </c>
      <c r="K13">
        <v>2</v>
      </c>
      <c r="L13" s="4">
        <v>3665</v>
      </c>
      <c r="N13" t="s">
        <v>190</v>
      </c>
      <c r="O13" s="1">
        <v>2</v>
      </c>
      <c r="P13" s="3">
        <v>3665</v>
      </c>
      <c r="R13" s="44">
        <v>10</v>
      </c>
      <c r="S13" s="17" t="s">
        <v>22</v>
      </c>
      <c r="T13" s="52">
        <f>VLOOKUP(S13,'Bu Erta'!$C$2:$F$66,4,0)</f>
        <v>3000</v>
      </c>
      <c r="U13" s="53">
        <f>SUMIF($D$3:$D$317,S13,$F$3:$F$317)-5.2-6-1-1.2-8.1-2.5-2.85</f>
        <v>4.0000000000000036</v>
      </c>
      <c r="V13" s="52">
        <f t="shared" si="2"/>
        <v>12000.000000000011</v>
      </c>
      <c r="X13" s="44">
        <v>10</v>
      </c>
      <c r="Y13" s="17" t="s">
        <v>22</v>
      </c>
      <c r="Z13" s="52">
        <v>4000</v>
      </c>
      <c r="AA13" s="53">
        <v>40</v>
      </c>
      <c r="AB13" s="52">
        <f t="shared" ref="AB13" si="3">Z13*AA13</f>
        <v>160000</v>
      </c>
      <c r="AD13" s="69" t="s">
        <v>7</v>
      </c>
      <c r="AE13">
        <v>86.45</v>
      </c>
      <c r="AF13" s="4">
        <v>121030</v>
      </c>
    </row>
    <row r="14" spans="1:32" x14ac:dyDescent="0.35">
      <c r="A14" s="106"/>
      <c r="B14" t="s">
        <v>97</v>
      </c>
      <c r="C14" s="106"/>
      <c r="D14" t="s">
        <v>37</v>
      </c>
      <c r="E14" s="3">
        <f>VLOOKUP(D14,'Bu Erta'!$C$2:$E$66,3,0)</f>
        <v>1600</v>
      </c>
      <c r="F14">
        <v>0.25</v>
      </c>
      <c r="G14" s="3">
        <f t="shared" si="0"/>
        <v>400</v>
      </c>
      <c r="H14" s="3">
        <f>VLOOKUP(D14,'Bu Erta'!$C$2:$F$66,4,0)*F14</f>
        <v>500</v>
      </c>
      <c r="J14" s="69" t="s">
        <v>181</v>
      </c>
      <c r="K14">
        <v>2</v>
      </c>
      <c r="L14" s="4">
        <v>18635</v>
      </c>
      <c r="N14" t="s">
        <v>181</v>
      </c>
      <c r="O14" s="1">
        <v>2</v>
      </c>
      <c r="P14" s="3">
        <v>18635</v>
      </c>
      <c r="R14" s="44">
        <v>11</v>
      </c>
      <c r="S14" s="17" t="s">
        <v>23</v>
      </c>
      <c r="T14" s="52">
        <f>VLOOKUP(S14,'Bu Erta'!$C$2:$F$66,4,0)</f>
        <v>400</v>
      </c>
      <c r="U14" s="53">
        <f t="shared" si="1"/>
        <v>22.499999999999996</v>
      </c>
      <c r="V14" s="52">
        <f t="shared" si="2"/>
        <v>8999.9999999999982</v>
      </c>
      <c r="X14" s="44">
        <v>11</v>
      </c>
      <c r="Y14" s="17" t="s">
        <v>23</v>
      </c>
      <c r="Z14" s="52"/>
      <c r="AA14" s="53"/>
      <c r="AB14" s="52"/>
      <c r="AD14" s="69" t="s">
        <v>31</v>
      </c>
      <c r="AE14">
        <v>24.3</v>
      </c>
      <c r="AF14" s="4">
        <v>24300</v>
      </c>
    </row>
    <row r="15" spans="1:32" x14ac:dyDescent="0.35">
      <c r="A15" s="106"/>
      <c r="B15" t="s">
        <v>97</v>
      </c>
      <c r="C15" s="106"/>
      <c r="D15" t="s">
        <v>67</v>
      </c>
      <c r="E15" s="3">
        <f>VLOOKUP(D15,'Bu Erta'!$C$2:$E$66,3,0)</f>
        <v>2700</v>
      </c>
      <c r="F15">
        <v>0.2</v>
      </c>
      <c r="G15" s="3">
        <f t="shared" si="0"/>
        <v>540</v>
      </c>
      <c r="H15" s="3">
        <f>VLOOKUP(D15,'Bu Erta'!$C$2:$F$66,4,0)*F15</f>
        <v>600</v>
      </c>
      <c r="J15" s="69" t="s">
        <v>98</v>
      </c>
      <c r="K15">
        <v>2</v>
      </c>
      <c r="L15" s="4">
        <v>16650</v>
      </c>
      <c r="N15" t="s">
        <v>98</v>
      </c>
      <c r="O15" s="1">
        <v>2</v>
      </c>
      <c r="P15" s="3">
        <v>16650</v>
      </c>
      <c r="R15" s="44">
        <v>12</v>
      </c>
      <c r="S15" s="17" t="s">
        <v>25</v>
      </c>
      <c r="T15" s="52">
        <f>VLOOKUP(S15,'Bu Erta'!$C$2:$F$66,4,0)</f>
        <v>1700</v>
      </c>
      <c r="U15" s="53">
        <f>SUMIF($D$3:$D$317,S15,$F$3:$F$317)-5</f>
        <v>4.25</v>
      </c>
      <c r="V15" s="52">
        <f t="shared" si="2"/>
        <v>7225</v>
      </c>
      <c r="X15" s="44">
        <v>12</v>
      </c>
      <c r="Y15" s="17" t="s">
        <v>25</v>
      </c>
      <c r="Z15" s="52"/>
      <c r="AA15" s="53"/>
      <c r="AB15" s="52"/>
      <c r="AD15" s="69" t="s">
        <v>32</v>
      </c>
      <c r="AE15">
        <v>1</v>
      </c>
      <c r="AF15" s="4">
        <v>4000</v>
      </c>
    </row>
    <row r="16" spans="1:32" x14ac:dyDescent="0.35">
      <c r="A16" s="106">
        <v>2</v>
      </c>
      <c r="B16" t="s">
        <v>178</v>
      </c>
      <c r="C16" s="106">
        <v>3</v>
      </c>
      <c r="D16" t="s">
        <v>23</v>
      </c>
      <c r="E16" s="3">
        <f>VLOOKUP(D16,'Bu Erta'!$C$2:$E$66,3,0)</f>
        <v>300</v>
      </c>
      <c r="F16">
        <v>0.75</v>
      </c>
      <c r="G16" s="3">
        <f t="shared" si="0"/>
        <v>225</v>
      </c>
      <c r="H16" s="3">
        <f>VLOOKUP(D16,'Bu Erta'!$C$2:$F$66,4,0)*F16</f>
        <v>300</v>
      </c>
      <c r="J16" s="69" t="s">
        <v>175</v>
      </c>
      <c r="K16">
        <v>2</v>
      </c>
      <c r="L16" s="4">
        <v>4235</v>
      </c>
      <c r="N16" t="s">
        <v>175</v>
      </c>
      <c r="O16" s="1">
        <v>2</v>
      </c>
      <c r="P16" s="3">
        <v>4235</v>
      </c>
      <c r="R16" s="44">
        <v>13</v>
      </c>
      <c r="S16" s="17" t="s">
        <v>24</v>
      </c>
      <c r="T16" s="52">
        <f>VLOOKUP(S16,'Bu Erta'!$C$2:$F$66,4,0)</f>
        <v>200</v>
      </c>
      <c r="U16" s="53">
        <f t="shared" si="1"/>
        <v>39.050000000000004</v>
      </c>
      <c r="V16" s="52">
        <f t="shared" si="2"/>
        <v>7810.0000000000009</v>
      </c>
      <c r="X16" s="44">
        <v>13</v>
      </c>
      <c r="Y16" s="17" t="s">
        <v>24</v>
      </c>
      <c r="Z16" s="52"/>
      <c r="AA16" s="53"/>
      <c r="AB16" s="52"/>
      <c r="AD16" s="69" t="s">
        <v>34</v>
      </c>
      <c r="AE16">
        <v>3.4000000000000004</v>
      </c>
      <c r="AF16" s="4">
        <v>11900</v>
      </c>
    </row>
    <row r="17" spans="1:32" x14ac:dyDescent="0.35">
      <c r="A17" s="106"/>
      <c r="B17" t="s">
        <v>178</v>
      </c>
      <c r="C17" s="106"/>
      <c r="D17" t="s">
        <v>42</v>
      </c>
      <c r="E17" s="3">
        <f>VLOOKUP(D17,'Bu Erta'!$C$2:$E$66,3,0)</f>
        <v>1000</v>
      </c>
      <c r="F17">
        <v>0.45</v>
      </c>
      <c r="G17" s="3">
        <f t="shared" si="0"/>
        <v>450</v>
      </c>
      <c r="H17" s="3">
        <f>VLOOKUP(D17,'Bu Erta'!$C$2:$F$66,4,0)*F17</f>
        <v>540</v>
      </c>
      <c r="J17" s="69" t="s">
        <v>147</v>
      </c>
      <c r="K17">
        <v>3</v>
      </c>
      <c r="L17" s="4">
        <v>4432.5</v>
      </c>
      <c r="N17" t="s">
        <v>147</v>
      </c>
      <c r="O17" s="1">
        <v>3</v>
      </c>
      <c r="P17" s="3">
        <v>4432.5</v>
      </c>
      <c r="R17" s="44">
        <v>14</v>
      </c>
      <c r="S17" s="17" t="s">
        <v>26</v>
      </c>
      <c r="T17" s="52">
        <f>VLOOKUP(S17,'Bu Erta'!$C$2:$F$66,4,0)</f>
        <v>1000</v>
      </c>
      <c r="U17" s="53">
        <f t="shared" si="1"/>
        <v>0</v>
      </c>
      <c r="V17" s="52">
        <f t="shared" si="2"/>
        <v>0</v>
      </c>
      <c r="X17" s="44">
        <v>14</v>
      </c>
      <c r="Y17" s="17" t="s">
        <v>26</v>
      </c>
      <c r="Z17" s="52"/>
      <c r="AA17" s="53"/>
      <c r="AB17" s="52"/>
      <c r="AD17" s="69" t="s">
        <v>36</v>
      </c>
      <c r="AE17">
        <v>1.6500000000000001</v>
      </c>
      <c r="AF17" s="4">
        <v>990</v>
      </c>
    </row>
    <row r="18" spans="1:32" x14ac:dyDescent="0.35">
      <c r="A18" s="106"/>
      <c r="B18" t="s">
        <v>178</v>
      </c>
      <c r="C18" s="106"/>
      <c r="D18" t="s">
        <v>19</v>
      </c>
      <c r="E18" s="3">
        <f>VLOOKUP(D18,'Bu Erta'!$C$2:$E$66,3,0)</f>
        <v>200</v>
      </c>
      <c r="F18">
        <f>1.2+0.45+0.5</f>
        <v>2.15</v>
      </c>
      <c r="G18" s="3">
        <f t="shared" si="0"/>
        <v>430</v>
      </c>
      <c r="H18" s="3">
        <f>VLOOKUP(D18,'Bu Erta'!$C$2:$F$66,4,0)*F18</f>
        <v>645</v>
      </c>
      <c r="J18" s="69" t="s">
        <v>178</v>
      </c>
      <c r="K18">
        <v>3</v>
      </c>
      <c r="L18" s="4">
        <v>3105</v>
      </c>
      <c r="N18" t="s">
        <v>178</v>
      </c>
      <c r="O18" s="1">
        <v>3</v>
      </c>
      <c r="P18" s="3">
        <v>3105</v>
      </c>
      <c r="R18" s="44">
        <v>15</v>
      </c>
      <c r="S18" s="17" t="s">
        <v>27</v>
      </c>
      <c r="T18" s="52">
        <f>VLOOKUP(S18,'Bu Erta'!$C$2:$F$66,4,0)</f>
        <v>3100</v>
      </c>
      <c r="U18" s="53">
        <f>SUMIF($D$3:$D$317,S18,$F$3:$F$317)-11.25</f>
        <v>9.9999999999999645E-2</v>
      </c>
      <c r="V18" s="52">
        <f t="shared" si="2"/>
        <v>309.99999999999892</v>
      </c>
      <c r="X18" s="44">
        <v>15</v>
      </c>
      <c r="Y18" s="17" t="s">
        <v>27</v>
      </c>
      <c r="Z18" s="52">
        <v>6000</v>
      </c>
      <c r="AA18" s="53">
        <v>17</v>
      </c>
      <c r="AB18" s="52">
        <f t="shared" ref="AB18" si="4">Z18*AA18</f>
        <v>102000</v>
      </c>
      <c r="AD18" s="69" t="s">
        <v>37</v>
      </c>
      <c r="AE18">
        <v>0.5</v>
      </c>
      <c r="AF18" s="4">
        <v>800</v>
      </c>
    </row>
    <row r="19" spans="1:32" x14ac:dyDescent="0.35">
      <c r="A19" s="106"/>
      <c r="B19" t="s">
        <v>178</v>
      </c>
      <c r="C19" s="106"/>
      <c r="D19" t="s">
        <v>31</v>
      </c>
      <c r="E19" s="3">
        <f>VLOOKUP(D19,'Bu Erta'!$C$2:$E$66,3,0)</f>
        <v>1000</v>
      </c>
      <c r="F19">
        <v>2</v>
      </c>
      <c r="G19" s="3">
        <f t="shared" si="0"/>
        <v>2000</v>
      </c>
      <c r="H19" s="3">
        <f>VLOOKUP(D19,'Bu Erta'!$C$2:$F$66,4,0)*F19</f>
        <v>2200</v>
      </c>
      <c r="J19" s="69" t="s">
        <v>76</v>
      </c>
      <c r="K19">
        <v>3</v>
      </c>
      <c r="L19" s="4">
        <v>9027.5</v>
      </c>
      <c r="N19" t="s">
        <v>76</v>
      </c>
      <c r="O19" s="1">
        <v>3</v>
      </c>
      <c r="P19" s="3">
        <v>9027.5</v>
      </c>
      <c r="R19" s="44">
        <v>16</v>
      </c>
      <c r="S19" s="17" t="s">
        <v>28</v>
      </c>
      <c r="T19" s="52">
        <f>VLOOKUP(S19,'Bu Erta'!$C$2:$F$66,4,0)</f>
        <v>1300</v>
      </c>
      <c r="U19" s="53">
        <f t="shared" si="1"/>
        <v>26.8</v>
      </c>
      <c r="V19" s="52">
        <f t="shared" si="2"/>
        <v>34840</v>
      </c>
      <c r="X19" s="44">
        <v>16</v>
      </c>
      <c r="Y19" s="17" t="s">
        <v>28</v>
      </c>
      <c r="Z19" s="52"/>
      <c r="AA19" s="53"/>
      <c r="AB19" s="52"/>
      <c r="AD19" s="69" t="s">
        <v>38</v>
      </c>
      <c r="AE19">
        <v>5.1999999999999993</v>
      </c>
      <c r="AF19" s="4">
        <v>7280</v>
      </c>
    </row>
    <row r="20" spans="1:32" x14ac:dyDescent="0.35">
      <c r="A20" s="106">
        <v>3</v>
      </c>
      <c r="B20" t="s">
        <v>86</v>
      </c>
      <c r="C20" s="106">
        <v>4</v>
      </c>
      <c r="D20" t="s">
        <v>19</v>
      </c>
      <c r="E20" s="3">
        <f>VLOOKUP(D20,'Bu Erta'!$C$2:$E$66,3,0)</f>
        <v>200</v>
      </c>
      <c r="F20">
        <v>0.7</v>
      </c>
      <c r="G20" s="3">
        <f t="shared" si="0"/>
        <v>140</v>
      </c>
      <c r="H20" s="3">
        <f>VLOOKUP(D20,'Bu Erta'!$C$2:$F$66,4,0)*F20</f>
        <v>210</v>
      </c>
      <c r="J20" s="69" t="s">
        <v>186</v>
      </c>
      <c r="K20">
        <v>3</v>
      </c>
      <c r="L20" s="4">
        <v>8395</v>
      </c>
      <c r="N20" t="s">
        <v>186</v>
      </c>
      <c r="O20" s="1">
        <v>3</v>
      </c>
      <c r="P20" s="3">
        <v>8395</v>
      </c>
      <c r="R20" s="44">
        <v>17</v>
      </c>
      <c r="S20" s="17" t="s">
        <v>29</v>
      </c>
      <c r="T20" s="52">
        <f>VLOOKUP(S20,'Bu Erta'!$C$2:$F$66,4,0)</f>
        <v>6000</v>
      </c>
      <c r="U20" s="53">
        <f t="shared" si="1"/>
        <v>3.6</v>
      </c>
      <c r="V20" s="52">
        <f t="shared" si="2"/>
        <v>21600</v>
      </c>
      <c r="X20" s="44">
        <v>17</v>
      </c>
      <c r="Y20" s="17" t="s">
        <v>29</v>
      </c>
      <c r="Z20" s="52"/>
      <c r="AA20" s="53"/>
      <c r="AB20" s="52"/>
      <c r="AD20" s="69" t="s">
        <v>39</v>
      </c>
      <c r="AE20">
        <v>0.85</v>
      </c>
      <c r="AF20" s="4">
        <v>127.5</v>
      </c>
    </row>
    <row r="21" spans="1:32" x14ac:dyDescent="0.35">
      <c r="A21" s="106"/>
      <c r="B21" t="s">
        <v>86</v>
      </c>
      <c r="C21" s="106"/>
      <c r="D21" t="s">
        <v>42</v>
      </c>
      <c r="E21" s="3">
        <f>VLOOKUP(D21,'Bu Erta'!$C$2:$E$66,3,0)</f>
        <v>1000</v>
      </c>
      <c r="F21">
        <v>0.55000000000000004</v>
      </c>
      <c r="G21" s="3">
        <f t="shared" si="0"/>
        <v>550</v>
      </c>
      <c r="H21" s="3">
        <f>VLOOKUP(D21,'Bu Erta'!$C$2:$F$66,4,0)*F21</f>
        <v>660</v>
      </c>
      <c r="J21" s="69" t="s">
        <v>141</v>
      </c>
      <c r="K21">
        <v>3</v>
      </c>
      <c r="L21" s="4">
        <v>3232.5</v>
      </c>
      <c r="N21" t="s">
        <v>141</v>
      </c>
      <c r="O21" s="1">
        <v>3</v>
      </c>
      <c r="P21" s="3">
        <v>3232.5</v>
      </c>
      <c r="R21" s="44">
        <v>18</v>
      </c>
      <c r="S21" s="17" t="s">
        <v>30</v>
      </c>
      <c r="T21" s="52">
        <f>VLOOKUP(S21,'Bu Erta'!$C$2:$F$66,4,0)</f>
        <v>15000</v>
      </c>
      <c r="U21" s="53">
        <f t="shared" si="1"/>
        <v>0</v>
      </c>
      <c r="V21" s="52">
        <f t="shared" si="2"/>
        <v>0</v>
      </c>
      <c r="X21" s="44">
        <v>18</v>
      </c>
      <c r="Y21" s="17" t="s">
        <v>30</v>
      </c>
      <c r="Z21" s="52"/>
      <c r="AA21" s="53"/>
      <c r="AB21" s="52"/>
      <c r="AD21" s="69" t="s">
        <v>40</v>
      </c>
      <c r="AE21">
        <v>33.500000000000007</v>
      </c>
      <c r="AF21" s="4">
        <v>60300</v>
      </c>
    </row>
    <row r="22" spans="1:32" x14ac:dyDescent="0.35">
      <c r="A22" s="106"/>
      <c r="B22" t="s">
        <v>86</v>
      </c>
      <c r="C22" s="106"/>
      <c r="D22" t="s">
        <v>23</v>
      </c>
      <c r="E22" s="3">
        <f>VLOOKUP(D22,'Bu Erta'!$C$2:$E$66,3,0)</f>
        <v>300</v>
      </c>
      <c r="F22">
        <f>0.5+0.1</f>
        <v>0.6</v>
      </c>
      <c r="G22" s="3">
        <f t="shared" si="0"/>
        <v>180</v>
      </c>
      <c r="H22" s="3">
        <f>VLOOKUP(D22,'Bu Erta'!$C$2:$F$66,4,0)*F22</f>
        <v>240</v>
      </c>
      <c r="J22" s="69" t="s">
        <v>90</v>
      </c>
      <c r="K22">
        <v>3</v>
      </c>
      <c r="L22" s="4">
        <v>3367.5</v>
      </c>
      <c r="N22" t="s">
        <v>90</v>
      </c>
      <c r="O22" s="1">
        <v>3</v>
      </c>
      <c r="P22" s="3">
        <v>3367.5</v>
      </c>
      <c r="R22" s="44">
        <v>19</v>
      </c>
      <c r="S22" s="17" t="s">
        <v>7</v>
      </c>
      <c r="T22" s="52">
        <f>VLOOKUP(S22,'Bu Erta'!$C$2:$F$66,4,0)</f>
        <v>1600</v>
      </c>
      <c r="U22" s="53">
        <f t="shared" si="1"/>
        <v>86.45</v>
      </c>
      <c r="V22" s="52">
        <f t="shared" si="2"/>
        <v>138320</v>
      </c>
      <c r="X22" s="44">
        <v>19</v>
      </c>
      <c r="Y22" s="17" t="s">
        <v>7</v>
      </c>
      <c r="Z22" s="52"/>
      <c r="AA22" s="53"/>
      <c r="AB22" s="52"/>
      <c r="AD22" s="69" t="s">
        <v>41</v>
      </c>
      <c r="AE22">
        <v>5.9499999999999993</v>
      </c>
      <c r="AF22" s="4">
        <v>8925</v>
      </c>
    </row>
    <row r="23" spans="1:32" x14ac:dyDescent="0.35">
      <c r="A23" s="106"/>
      <c r="B23" t="s">
        <v>86</v>
      </c>
      <c r="C23" s="106"/>
      <c r="D23" t="s">
        <v>28</v>
      </c>
      <c r="E23" s="3">
        <f>VLOOKUP(D23,'Bu Erta'!$C$2:$E$66,3,0)</f>
        <v>1200</v>
      </c>
      <c r="F23">
        <v>1.2</v>
      </c>
      <c r="G23" s="3">
        <f t="shared" si="0"/>
        <v>1440</v>
      </c>
      <c r="H23" s="3">
        <f>VLOOKUP(D23,'Bu Erta'!$C$2:$F$66,4,0)*F23</f>
        <v>1560</v>
      </c>
      <c r="J23" s="69" t="s">
        <v>144</v>
      </c>
      <c r="K23">
        <v>4</v>
      </c>
      <c r="L23" s="4">
        <v>765</v>
      </c>
      <c r="N23" t="s">
        <v>144</v>
      </c>
      <c r="O23" s="1">
        <v>4</v>
      </c>
      <c r="P23" s="3">
        <v>765</v>
      </c>
      <c r="R23" s="44">
        <v>20</v>
      </c>
      <c r="S23" s="17" t="s">
        <v>31</v>
      </c>
      <c r="T23" s="52">
        <f>VLOOKUP(S23,'Bu Erta'!$C$2:$F$66,4,0)</f>
        <v>1100</v>
      </c>
      <c r="U23" s="53">
        <f t="shared" si="1"/>
        <v>24.3</v>
      </c>
      <c r="V23" s="52">
        <f t="shared" si="2"/>
        <v>26730</v>
      </c>
      <c r="X23" s="44">
        <v>20</v>
      </c>
      <c r="Y23" s="17" t="s">
        <v>31</v>
      </c>
      <c r="Z23" s="52"/>
      <c r="AA23" s="53"/>
      <c r="AB23" s="52"/>
      <c r="AD23" s="69" t="s">
        <v>42</v>
      </c>
      <c r="AE23">
        <v>58.750000000000007</v>
      </c>
      <c r="AF23" s="4">
        <v>58750</v>
      </c>
    </row>
    <row r="24" spans="1:32" x14ac:dyDescent="0.35">
      <c r="A24" s="106"/>
      <c r="B24" t="s">
        <v>86</v>
      </c>
      <c r="C24" s="106"/>
      <c r="D24" t="s">
        <v>31</v>
      </c>
      <c r="E24" s="3">
        <f>VLOOKUP(D24,'Bu Erta'!$C$2:$E$66,3,0)</f>
        <v>1000</v>
      </c>
      <c r="F24">
        <f>0.6+3.15</f>
        <v>3.75</v>
      </c>
      <c r="G24" s="3">
        <f t="shared" si="0"/>
        <v>3750</v>
      </c>
      <c r="H24" s="3">
        <f>VLOOKUP(D24,'Bu Erta'!$C$2:$F$66,4,0)*F24</f>
        <v>4125</v>
      </c>
      <c r="J24" s="69" t="s">
        <v>94</v>
      </c>
      <c r="K24">
        <v>4</v>
      </c>
      <c r="L24" s="4">
        <v>26870</v>
      </c>
      <c r="N24" t="s">
        <v>94</v>
      </c>
      <c r="O24" s="1">
        <v>4</v>
      </c>
      <c r="P24" s="3">
        <v>26870</v>
      </c>
      <c r="R24" s="44">
        <v>21</v>
      </c>
      <c r="S24" s="17" t="s">
        <v>32</v>
      </c>
      <c r="T24" s="52">
        <f>VLOOKUP(S24,'Bu Erta'!$C$2:$F$66,4,0)</f>
        <v>5000</v>
      </c>
      <c r="U24" s="53">
        <f t="shared" si="1"/>
        <v>1</v>
      </c>
      <c r="V24" s="52">
        <f t="shared" si="2"/>
        <v>5000</v>
      </c>
      <c r="X24" s="44">
        <v>21</v>
      </c>
      <c r="Y24" s="17" t="s">
        <v>32</v>
      </c>
      <c r="Z24" s="52"/>
      <c r="AA24" s="53"/>
      <c r="AB24" s="52"/>
      <c r="AD24" s="69" t="s">
        <v>44</v>
      </c>
      <c r="AE24">
        <v>0.44999999999999996</v>
      </c>
      <c r="AF24" s="4">
        <v>180</v>
      </c>
    </row>
    <row r="25" spans="1:32" x14ac:dyDescent="0.35">
      <c r="A25" s="106"/>
      <c r="B25" t="s">
        <v>86</v>
      </c>
      <c r="C25" s="106"/>
      <c r="D25" t="s">
        <v>7</v>
      </c>
      <c r="E25" s="3">
        <f>VLOOKUP(D25,'Bu Erta'!$C$2:$E$66,3,0)</f>
        <v>1400</v>
      </c>
      <c r="F25">
        <f>1.5+2.3+0.8</f>
        <v>4.5999999999999996</v>
      </c>
      <c r="G25" s="3">
        <f t="shared" si="0"/>
        <v>6439.9999999999991</v>
      </c>
      <c r="H25" s="3">
        <f>VLOOKUP(D25,'Bu Erta'!$C$2:$F$66,4,0)*F25</f>
        <v>7359.9999999999991</v>
      </c>
      <c r="J25" s="69" t="s">
        <v>105</v>
      </c>
      <c r="K25">
        <v>4</v>
      </c>
      <c r="L25" s="4">
        <v>2947.5</v>
      </c>
      <c r="N25" t="s">
        <v>105</v>
      </c>
      <c r="O25" s="1">
        <v>4</v>
      </c>
      <c r="P25" s="3">
        <v>2947.5</v>
      </c>
      <c r="R25" s="44">
        <v>22</v>
      </c>
      <c r="S25" s="17" t="s">
        <v>33</v>
      </c>
      <c r="T25" s="52">
        <f>VLOOKUP(S25,'Bu Erta'!$C$2:$F$66,4,0)</f>
        <v>1400</v>
      </c>
      <c r="U25" s="53">
        <f t="shared" si="1"/>
        <v>0</v>
      </c>
      <c r="V25" s="52">
        <f t="shared" si="2"/>
        <v>0</v>
      </c>
      <c r="X25" s="44">
        <v>22</v>
      </c>
      <c r="Y25" s="17" t="s">
        <v>33</v>
      </c>
      <c r="Z25" s="52"/>
      <c r="AA25" s="53"/>
      <c r="AB25" s="52"/>
      <c r="AD25" s="69" t="s">
        <v>46</v>
      </c>
      <c r="AE25">
        <v>8.6</v>
      </c>
      <c r="AF25" s="4">
        <v>12040</v>
      </c>
    </row>
    <row r="26" spans="1:32" x14ac:dyDescent="0.35">
      <c r="A26" s="106"/>
      <c r="B26" t="s">
        <v>86</v>
      </c>
      <c r="C26" s="106"/>
      <c r="D26" t="s">
        <v>29</v>
      </c>
      <c r="E26" s="3">
        <f>VLOOKUP(D26,'Bu Erta'!$C$2:$E$66,3,0)</f>
        <v>5000</v>
      </c>
      <c r="F26">
        <v>2</v>
      </c>
      <c r="G26" s="3">
        <f t="shared" si="0"/>
        <v>10000</v>
      </c>
      <c r="H26" s="3">
        <f>VLOOKUP(D26,'Bu Erta'!$C$2:$F$66,4,0)*F26</f>
        <v>12000</v>
      </c>
      <c r="J26" s="69" t="s">
        <v>187</v>
      </c>
      <c r="K26">
        <v>4</v>
      </c>
      <c r="L26" s="4">
        <v>1165</v>
      </c>
      <c r="N26" t="s">
        <v>187</v>
      </c>
      <c r="O26" s="1">
        <v>4</v>
      </c>
      <c r="P26" s="3">
        <v>1165</v>
      </c>
      <c r="R26" s="44">
        <v>23</v>
      </c>
      <c r="S26" s="17" t="s">
        <v>34</v>
      </c>
      <c r="T26" s="52">
        <f>VLOOKUP(S26,'Bu Erta'!$C$2:$F$66,4,0)</f>
        <v>3600</v>
      </c>
      <c r="U26" s="53">
        <f t="shared" si="1"/>
        <v>3.4000000000000004</v>
      </c>
      <c r="V26" s="52">
        <f t="shared" si="2"/>
        <v>12240.000000000002</v>
      </c>
      <c r="X26" s="44">
        <v>23</v>
      </c>
      <c r="Y26" s="17" t="s">
        <v>34</v>
      </c>
      <c r="Z26" s="52"/>
      <c r="AA26" s="53"/>
      <c r="AB26" s="52"/>
      <c r="AD26" s="69" t="s">
        <v>48</v>
      </c>
      <c r="AE26">
        <v>1</v>
      </c>
      <c r="AF26" s="4">
        <v>13000</v>
      </c>
    </row>
    <row r="27" spans="1:32" x14ac:dyDescent="0.35">
      <c r="A27" s="106"/>
      <c r="B27" t="s">
        <v>86</v>
      </c>
      <c r="C27" s="106"/>
      <c r="D27" t="s">
        <v>40</v>
      </c>
      <c r="E27" s="3">
        <f>VLOOKUP(D27,'Bu Erta'!$C$2:$E$66,3,0)</f>
        <v>1800</v>
      </c>
      <c r="F27">
        <f>0.2+0.7+0.1+1.9</f>
        <v>2.9</v>
      </c>
      <c r="G27" s="3">
        <f t="shared" si="0"/>
        <v>5220</v>
      </c>
      <c r="H27" s="3">
        <f>VLOOKUP(D27,'Bu Erta'!$C$2:$F$66,4,0)*F27</f>
        <v>5800</v>
      </c>
      <c r="J27" s="69" t="s">
        <v>106</v>
      </c>
      <c r="K27">
        <v>4</v>
      </c>
      <c r="L27" s="4">
        <v>6220</v>
      </c>
      <c r="N27" t="s">
        <v>106</v>
      </c>
      <c r="O27" s="1">
        <v>4</v>
      </c>
      <c r="P27" s="3">
        <v>6220</v>
      </c>
      <c r="R27" s="44">
        <v>24</v>
      </c>
      <c r="S27" s="17" t="s">
        <v>35</v>
      </c>
      <c r="T27" s="52">
        <f>VLOOKUP(S27,'Bu Erta'!$C$2:$F$66,4,0)</f>
        <v>2000</v>
      </c>
      <c r="U27" s="53">
        <f t="shared" si="1"/>
        <v>0</v>
      </c>
      <c r="V27" s="52">
        <f t="shared" si="2"/>
        <v>0</v>
      </c>
      <c r="X27" s="44">
        <v>24</v>
      </c>
      <c r="Y27" s="17" t="s">
        <v>35</v>
      </c>
      <c r="Z27" s="52"/>
      <c r="AA27" s="53"/>
      <c r="AB27" s="52"/>
      <c r="AD27" s="69" t="s">
        <v>49</v>
      </c>
      <c r="AE27">
        <v>1.1499999999999999</v>
      </c>
      <c r="AF27" s="4">
        <v>919.99999999999989</v>
      </c>
    </row>
    <row r="28" spans="1:32" x14ac:dyDescent="0.35">
      <c r="A28" s="106"/>
      <c r="B28" t="s">
        <v>86</v>
      </c>
      <c r="C28" s="106"/>
      <c r="D28" t="s">
        <v>41</v>
      </c>
      <c r="E28" s="3">
        <f>VLOOKUP(D28,'Bu Erta'!$C$2:$E$66,3,0)</f>
        <v>1500</v>
      </c>
      <c r="F28">
        <v>0.15</v>
      </c>
      <c r="G28" s="3">
        <f t="shared" si="0"/>
        <v>225</v>
      </c>
      <c r="H28" s="3">
        <f>VLOOKUP(D28,'Bu Erta'!$C$2:$F$66,4,0)*F28</f>
        <v>300</v>
      </c>
      <c r="J28" s="69" t="s">
        <v>86</v>
      </c>
      <c r="K28">
        <v>4</v>
      </c>
      <c r="L28" s="4">
        <v>28342.5</v>
      </c>
      <c r="N28" t="s">
        <v>86</v>
      </c>
      <c r="O28" s="1">
        <v>4</v>
      </c>
      <c r="P28" s="3">
        <v>28342.5</v>
      </c>
      <c r="R28" s="44">
        <v>25</v>
      </c>
      <c r="S28" s="17" t="s">
        <v>36</v>
      </c>
      <c r="T28" s="52">
        <f>VLOOKUP(S28,'Bu Erta'!$C$2:$F$66,4,0)</f>
        <v>650</v>
      </c>
      <c r="U28" s="53">
        <f t="shared" si="1"/>
        <v>1.6500000000000001</v>
      </c>
      <c r="V28" s="52">
        <f t="shared" si="2"/>
        <v>1072.5</v>
      </c>
      <c r="X28" s="44">
        <v>25</v>
      </c>
      <c r="Y28" s="17" t="s">
        <v>36</v>
      </c>
      <c r="Z28" s="52"/>
      <c r="AA28" s="53"/>
      <c r="AB28" s="52"/>
      <c r="AD28" s="69" t="s">
        <v>53</v>
      </c>
      <c r="AE28">
        <v>2</v>
      </c>
      <c r="AF28" s="4">
        <v>20000</v>
      </c>
    </row>
    <row r="29" spans="1:32" x14ac:dyDescent="0.35">
      <c r="A29" s="106"/>
      <c r="B29" t="s">
        <v>86</v>
      </c>
      <c r="C29" s="106"/>
      <c r="D29" t="s">
        <v>36</v>
      </c>
      <c r="E29" s="3">
        <f>VLOOKUP(D29,'Bu Erta'!$C$2:$E$66,3,0)</f>
        <v>600</v>
      </c>
      <c r="F29">
        <v>0.55000000000000004</v>
      </c>
      <c r="G29" s="3">
        <f t="shared" si="0"/>
        <v>330</v>
      </c>
      <c r="H29" s="3">
        <f>VLOOKUP(D29,'Bu Erta'!$C$2:$F$66,4,0)*F29</f>
        <v>357.50000000000006</v>
      </c>
      <c r="J29" s="69" t="s">
        <v>102</v>
      </c>
      <c r="K29">
        <v>4</v>
      </c>
      <c r="L29" s="4">
        <v>24725</v>
      </c>
      <c r="N29" t="s">
        <v>102</v>
      </c>
      <c r="O29" s="1">
        <v>4</v>
      </c>
      <c r="P29" s="3">
        <v>24725</v>
      </c>
      <c r="R29" s="44">
        <v>26</v>
      </c>
      <c r="S29" s="17" t="s">
        <v>37</v>
      </c>
      <c r="T29" s="52">
        <f>VLOOKUP(S29,'Bu Erta'!$C$2:$F$66,4,0)</f>
        <v>2000</v>
      </c>
      <c r="U29" s="53">
        <f t="shared" si="1"/>
        <v>0.5</v>
      </c>
      <c r="V29" s="52">
        <f t="shared" si="2"/>
        <v>1000</v>
      </c>
      <c r="X29" s="44">
        <v>26</v>
      </c>
      <c r="Y29" s="17" t="s">
        <v>37</v>
      </c>
      <c r="Z29" s="52"/>
      <c r="AA29" s="53"/>
      <c r="AB29" s="52"/>
      <c r="AD29" s="69" t="s">
        <v>54</v>
      </c>
      <c r="AE29">
        <v>2.1</v>
      </c>
      <c r="AF29" s="4">
        <v>1260</v>
      </c>
    </row>
    <row r="30" spans="1:32" x14ac:dyDescent="0.35">
      <c r="A30" s="106"/>
      <c r="B30" t="s">
        <v>86</v>
      </c>
      <c r="C30" s="106"/>
      <c r="D30" t="s">
        <v>24</v>
      </c>
      <c r="E30" s="3">
        <f>VLOOKUP(D30,'Bu Erta'!$C$2:$E$66,3,0)</f>
        <v>150</v>
      </c>
      <c r="F30">
        <v>0.45</v>
      </c>
      <c r="G30" s="3">
        <f t="shared" si="0"/>
        <v>67.5</v>
      </c>
      <c r="H30" s="3">
        <f>VLOOKUP(D30,'Bu Erta'!$C$2:$F$66,4,0)*F30</f>
        <v>90</v>
      </c>
      <c r="J30" s="69" t="s">
        <v>152</v>
      </c>
      <c r="K30">
        <v>4</v>
      </c>
      <c r="L30" s="4">
        <v>4040</v>
      </c>
      <c r="N30" t="s">
        <v>152</v>
      </c>
      <c r="O30" s="1">
        <v>4</v>
      </c>
      <c r="P30" s="3">
        <v>4040</v>
      </c>
      <c r="R30" s="44">
        <v>27</v>
      </c>
      <c r="S30" s="17" t="s">
        <v>38</v>
      </c>
      <c r="T30" s="52">
        <f>VLOOKUP(S30,'Bu Erta'!$C$2:$F$66,4,0)</f>
        <v>1600</v>
      </c>
      <c r="U30" s="53">
        <f t="shared" si="1"/>
        <v>5.1999999999999993</v>
      </c>
      <c r="V30" s="52">
        <f t="shared" si="2"/>
        <v>8319.9999999999982</v>
      </c>
      <c r="X30" s="44">
        <v>27</v>
      </c>
      <c r="Y30" s="17" t="s">
        <v>38</v>
      </c>
      <c r="Z30" s="52"/>
      <c r="AA30" s="53"/>
      <c r="AB30" s="52"/>
      <c r="AD30" s="69" t="s">
        <v>56</v>
      </c>
      <c r="AE30">
        <v>17.900000000000002</v>
      </c>
      <c r="AF30" s="4">
        <v>71600</v>
      </c>
    </row>
    <row r="31" spans="1:32" x14ac:dyDescent="0.35">
      <c r="A31" s="106">
        <v>4</v>
      </c>
      <c r="B31" t="s">
        <v>181</v>
      </c>
      <c r="C31" s="106">
        <v>2</v>
      </c>
      <c r="D31" t="s">
        <v>28</v>
      </c>
      <c r="E31" s="3">
        <f>VLOOKUP(D31,'Bu Erta'!$C$2:$E$66,3,0)</f>
        <v>1200</v>
      </c>
      <c r="F31">
        <v>2.2000000000000002</v>
      </c>
      <c r="G31" s="3">
        <f t="shared" si="0"/>
        <v>2640</v>
      </c>
      <c r="H31" s="3">
        <f>VLOOKUP(D31,'Bu Erta'!$C$2:$F$66,4,0)*F31</f>
        <v>2860.0000000000005</v>
      </c>
      <c r="J31" s="69" t="s">
        <v>185</v>
      </c>
      <c r="K31">
        <v>4</v>
      </c>
      <c r="L31" s="4">
        <v>10640</v>
      </c>
      <c r="N31" t="s">
        <v>185</v>
      </c>
      <c r="O31" s="1">
        <v>4</v>
      </c>
      <c r="P31" s="3">
        <v>10640</v>
      </c>
      <c r="R31" s="44">
        <v>28</v>
      </c>
      <c r="S31" s="17" t="s">
        <v>39</v>
      </c>
      <c r="T31" s="52">
        <f>VLOOKUP(S31,'Bu Erta'!$C$2:$F$66,4,0)</f>
        <v>200</v>
      </c>
      <c r="U31" s="53">
        <f t="shared" si="1"/>
        <v>0.85</v>
      </c>
      <c r="V31" s="52">
        <f t="shared" si="2"/>
        <v>170</v>
      </c>
      <c r="X31" s="44">
        <v>28</v>
      </c>
      <c r="Y31" s="17" t="s">
        <v>39</v>
      </c>
      <c r="Z31" s="52"/>
      <c r="AA31" s="53"/>
      <c r="AB31" s="52"/>
      <c r="AD31" s="69" t="s">
        <v>88</v>
      </c>
      <c r="AE31">
        <v>5</v>
      </c>
      <c r="AF31" s="4">
        <v>1500</v>
      </c>
    </row>
    <row r="32" spans="1:32" x14ac:dyDescent="0.35">
      <c r="A32" s="106"/>
      <c r="B32" t="s">
        <v>181</v>
      </c>
      <c r="C32" s="106"/>
      <c r="D32" t="s">
        <v>42</v>
      </c>
      <c r="E32" s="3">
        <f>VLOOKUP(D32,'Bu Erta'!$C$2:$E$66,3,0)</f>
        <v>1000</v>
      </c>
      <c r="F32">
        <v>0.55000000000000004</v>
      </c>
      <c r="G32" s="3">
        <f t="shared" si="0"/>
        <v>550</v>
      </c>
      <c r="H32" s="3">
        <f>VLOOKUP(D32,'Bu Erta'!$C$2:$F$66,4,0)*F32</f>
        <v>660</v>
      </c>
      <c r="J32" s="69" t="s">
        <v>148</v>
      </c>
      <c r="K32">
        <v>4</v>
      </c>
      <c r="L32" s="4">
        <v>7707.5</v>
      </c>
      <c r="N32" t="s">
        <v>148</v>
      </c>
      <c r="O32" s="1">
        <v>4</v>
      </c>
      <c r="P32" s="3">
        <v>7707.5</v>
      </c>
      <c r="R32" s="44">
        <v>29</v>
      </c>
      <c r="S32" s="17" t="s">
        <v>77</v>
      </c>
      <c r="T32" s="52">
        <f>VLOOKUP(S32,'Bu Erta'!$C$2:$F$66,4,0)</f>
        <v>800</v>
      </c>
      <c r="U32" s="53">
        <f t="shared" si="1"/>
        <v>0</v>
      </c>
      <c r="V32" s="52">
        <f t="shared" si="2"/>
        <v>0</v>
      </c>
      <c r="X32" s="44">
        <v>29</v>
      </c>
      <c r="Y32" s="17" t="s">
        <v>77</v>
      </c>
      <c r="Z32" s="52"/>
      <c r="AA32" s="53"/>
      <c r="AB32" s="52"/>
      <c r="AD32" s="69" t="s">
        <v>6</v>
      </c>
      <c r="AE32">
        <v>1.5999999999999999</v>
      </c>
      <c r="AF32" s="4">
        <v>3200</v>
      </c>
    </row>
    <row r="33" spans="1:32" x14ac:dyDescent="0.35">
      <c r="A33" s="106"/>
      <c r="B33" t="s">
        <v>181</v>
      </c>
      <c r="C33" s="106"/>
      <c r="D33" t="s">
        <v>25</v>
      </c>
      <c r="E33" s="3">
        <f>VLOOKUP(D33,'Bu Erta'!$C$2:$E$66,3,0)</f>
        <v>1600</v>
      </c>
      <c r="F33">
        <v>0.95</v>
      </c>
      <c r="G33" s="3">
        <f t="shared" si="0"/>
        <v>1520</v>
      </c>
      <c r="H33" s="3">
        <f>VLOOKUP(D33,'Bu Erta'!$C$2:$F$66,4,0)*F33</f>
        <v>1615</v>
      </c>
      <c r="J33" s="69" t="s">
        <v>89</v>
      </c>
      <c r="K33">
        <v>4</v>
      </c>
      <c r="L33" s="4">
        <v>18960</v>
      </c>
      <c r="N33" t="s">
        <v>89</v>
      </c>
      <c r="O33" s="1">
        <v>4</v>
      </c>
      <c r="P33" s="3">
        <v>18960</v>
      </c>
      <c r="R33" s="44">
        <v>30</v>
      </c>
      <c r="S33" s="17" t="s">
        <v>40</v>
      </c>
      <c r="T33" s="52">
        <f>VLOOKUP(S33,'Bu Erta'!$C$2:$F$66,4,0)</f>
        <v>2000</v>
      </c>
      <c r="U33" s="53">
        <f t="shared" si="1"/>
        <v>33.500000000000007</v>
      </c>
      <c r="V33" s="52">
        <f t="shared" si="2"/>
        <v>67000.000000000015</v>
      </c>
      <c r="X33" s="44">
        <v>30</v>
      </c>
      <c r="Y33" s="17" t="s">
        <v>40</v>
      </c>
      <c r="Z33" s="52"/>
      <c r="AA33" s="53"/>
      <c r="AB33" s="52"/>
      <c r="AD33" s="69" t="s">
        <v>60</v>
      </c>
      <c r="AE33">
        <v>0.55000000000000004</v>
      </c>
      <c r="AF33" s="4">
        <v>660</v>
      </c>
    </row>
    <row r="34" spans="1:32" x14ac:dyDescent="0.35">
      <c r="A34" s="106"/>
      <c r="B34" t="s">
        <v>181</v>
      </c>
      <c r="C34" s="106"/>
      <c r="D34" t="s">
        <v>19</v>
      </c>
      <c r="E34" s="3">
        <f>VLOOKUP(D34,'Bu Erta'!$C$2:$E$66,3,0)</f>
        <v>200</v>
      </c>
      <c r="F34">
        <v>0.2</v>
      </c>
      <c r="G34" s="3">
        <f t="shared" si="0"/>
        <v>40</v>
      </c>
      <c r="H34" s="3">
        <f>VLOOKUP(D34,'Bu Erta'!$C$2:$F$66,4,0)*F34</f>
        <v>60</v>
      </c>
      <c r="J34" s="69" t="s">
        <v>135</v>
      </c>
      <c r="K34">
        <v>4</v>
      </c>
      <c r="L34" s="4">
        <v>25640</v>
      </c>
      <c r="N34" t="s">
        <v>135</v>
      </c>
      <c r="O34" s="1">
        <v>4</v>
      </c>
      <c r="P34" s="3">
        <v>25640</v>
      </c>
      <c r="R34" s="44">
        <v>31</v>
      </c>
      <c r="S34" s="17" t="s">
        <v>41</v>
      </c>
      <c r="T34" s="52">
        <f>VLOOKUP(S34,'Bu Erta'!$C$2:$F$66,4,0)</f>
        <v>2000</v>
      </c>
      <c r="U34" s="53">
        <f t="shared" si="1"/>
        <v>5.9499999999999993</v>
      </c>
      <c r="V34" s="52">
        <f t="shared" si="2"/>
        <v>11899.999999999998</v>
      </c>
      <c r="X34" s="44">
        <v>31</v>
      </c>
      <c r="Y34" s="17" t="s">
        <v>41</v>
      </c>
      <c r="Z34" s="52"/>
      <c r="AA34" s="53"/>
      <c r="AB34" s="52"/>
      <c r="AD34" s="69" t="s">
        <v>61</v>
      </c>
      <c r="AE34">
        <v>0.54999999999999993</v>
      </c>
      <c r="AF34" s="4">
        <v>440</v>
      </c>
    </row>
    <row r="35" spans="1:32" x14ac:dyDescent="0.35">
      <c r="A35" s="106"/>
      <c r="B35" t="s">
        <v>181</v>
      </c>
      <c r="C35" s="106"/>
      <c r="D35" t="s">
        <v>44</v>
      </c>
      <c r="E35" s="3">
        <f>VLOOKUP(D35,'Bu Erta'!$C$2:$E$66,3,0)</f>
        <v>400</v>
      </c>
      <c r="F35">
        <v>0.15</v>
      </c>
      <c r="G35" s="3">
        <f t="shared" si="0"/>
        <v>60</v>
      </c>
      <c r="H35" s="3">
        <f>VLOOKUP(D35,'Bu Erta'!$C$2:$F$66,4,0)*F35</f>
        <v>75</v>
      </c>
      <c r="J35" s="69" t="s">
        <v>151</v>
      </c>
      <c r="K35">
        <v>4</v>
      </c>
      <c r="L35" s="4">
        <v>9007.5</v>
      </c>
      <c r="N35" t="s">
        <v>151</v>
      </c>
      <c r="O35" s="1">
        <v>4</v>
      </c>
      <c r="P35" s="3">
        <v>9007.5</v>
      </c>
      <c r="R35" s="44">
        <v>32</v>
      </c>
      <c r="S35" s="17" t="s">
        <v>42</v>
      </c>
      <c r="T35" s="52">
        <f>VLOOKUP(S35,'Bu Erta'!$C$2:$F$66,4,0)</f>
        <v>1200</v>
      </c>
      <c r="U35" s="53">
        <f t="shared" si="1"/>
        <v>58.750000000000007</v>
      </c>
      <c r="V35" s="52">
        <f t="shared" si="2"/>
        <v>70500.000000000015</v>
      </c>
      <c r="X35" s="44">
        <v>32</v>
      </c>
      <c r="Y35" s="17" t="s">
        <v>42</v>
      </c>
      <c r="Z35" s="52"/>
      <c r="AA35" s="53"/>
      <c r="AB35" s="52"/>
      <c r="AD35" s="69" t="s">
        <v>65</v>
      </c>
      <c r="AE35">
        <v>0.35</v>
      </c>
      <c r="AF35" s="4">
        <v>52.5</v>
      </c>
    </row>
    <row r="36" spans="1:32" x14ac:dyDescent="0.35">
      <c r="A36" s="106"/>
      <c r="B36" t="s">
        <v>181</v>
      </c>
      <c r="C36" s="106"/>
      <c r="D36" t="s">
        <v>41</v>
      </c>
      <c r="E36" s="3">
        <f>VLOOKUP(D36,'Bu Erta'!$C$2:$E$66,3,0)</f>
        <v>1500</v>
      </c>
      <c r="F36">
        <v>0.3</v>
      </c>
      <c r="G36" s="3">
        <f t="shared" si="0"/>
        <v>450</v>
      </c>
      <c r="H36" s="3">
        <f>VLOOKUP(D36,'Bu Erta'!$C$2:$F$66,4,0)*F36</f>
        <v>600</v>
      </c>
      <c r="J36" s="69" t="s">
        <v>97</v>
      </c>
      <c r="K36">
        <v>4</v>
      </c>
      <c r="L36" s="4">
        <v>22535</v>
      </c>
      <c r="N36" t="s">
        <v>97</v>
      </c>
      <c r="O36" s="1">
        <v>4</v>
      </c>
      <c r="P36" s="3">
        <v>22535</v>
      </c>
      <c r="R36" s="44">
        <v>33</v>
      </c>
      <c r="S36" s="17" t="s">
        <v>43</v>
      </c>
      <c r="T36" s="52">
        <f>VLOOKUP(S36,'Bu Erta'!$C$2:$F$66,4,0)</f>
        <v>500</v>
      </c>
      <c r="U36" s="53">
        <f t="shared" si="1"/>
        <v>0</v>
      </c>
      <c r="V36" s="52">
        <f t="shared" si="2"/>
        <v>0</v>
      </c>
      <c r="X36" s="44">
        <v>33</v>
      </c>
      <c r="Y36" s="17" t="s">
        <v>43</v>
      </c>
      <c r="Z36" s="52"/>
      <c r="AA36" s="53"/>
      <c r="AB36" s="52"/>
      <c r="AD36" s="69" t="s">
        <v>67</v>
      </c>
      <c r="AE36">
        <v>0.55000000000000004</v>
      </c>
      <c r="AF36" s="4">
        <v>1485</v>
      </c>
    </row>
    <row r="37" spans="1:32" x14ac:dyDescent="0.35">
      <c r="A37" s="106"/>
      <c r="B37" t="s">
        <v>181</v>
      </c>
      <c r="C37" s="106"/>
      <c r="D37" t="s">
        <v>69</v>
      </c>
      <c r="E37" s="3">
        <f>VLOOKUP(D37,'Bu Erta'!$C$2:$E$66,3,0)</f>
        <v>2500</v>
      </c>
      <c r="F37">
        <v>0.15</v>
      </c>
      <c r="G37" s="3">
        <f t="shared" si="0"/>
        <v>375</v>
      </c>
      <c r="H37" s="3">
        <f>VLOOKUP(D37,'Bu Erta'!$C$2:$F$66,4,0)*F37</f>
        <v>450</v>
      </c>
      <c r="J37" s="69" t="s">
        <v>100</v>
      </c>
      <c r="K37">
        <v>4</v>
      </c>
      <c r="L37" s="4">
        <v>23325</v>
      </c>
      <c r="N37" t="s">
        <v>100</v>
      </c>
      <c r="O37" s="1">
        <v>4</v>
      </c>
      <c r="P37" s="3">
        <v>23325</v>
      </c>
      <c r="R37" s="44">
        <v>34</v>
      </c>
      <c r="S37" s="17" t="s">
        <v>44</v>
      </c>
      <c r="T37" s="52">
        <f>VLOOKUP(S37,'Bu Erta'!$C$2:$F$66,4,0)</f>
        <v>500</v>
      </c>
      <c r="U37" s="53">
        <f t="shared" si="1"/>
        <v>0.44999999999999996</v>
      </c>
      <c r="V37" s="52">
        <f t="shared" si="2"/>
        <v>224.99999999999997</v>
      </c>
      <c r="X37" s="44">
        <v>34</v>
      </c>
      <c r="Y37" s="17" t="s">
        <v>44</v>
      </c>
      <c r="Z37" s="52"/>
      <c r="AA37" s="53"/>
      <c r="AB37" s="52"/>
      <c r="AD37" s="69" t="s">
        <v>68</v>
      </c>
      <c r="AE37">
        <v>6.6</v>
      </c>
      <c r="AF37" s="4">
        <v>990</v>
      </c>
    </row>
    <row r="38" spans="1:32" x14ac:dyDescent="0.35">
      <c r="A38" s="106"/>
      <c r="B38" t="s">
        <v>181</v>
      </c>
      <c r="C38" s="106"/>
      <c r="D38" t="s">
        <v>48</v>
      </c>
      <c r="E38" s="3">
        <f>VLOOKUP(D38,'Bu Erta'!$C$2:$E$66,3,0)</f>
        <v>13000</v>
      </c>
      <c r="F38">
        <v>1</v>
      </c>
      <c r="G38" s="3">
        <f t="shared" si="0"/>
        <v>13000</v>
      </c>
      <c r="H38" s="3">
        <f>VLOOKUP(D38,'Bu Erta'!$C$2:$F$66,4,0)*F38</f>
        <v>15000</v>
      </c>
      <c r="J38" s="69" t="s">
        <v>145</v>
      </c>
      <c r="K38">
        <v>4</v>
      </c>
      <c r="L38" s="4">
        <v>32612.5</v>
      </c>
      <c r="N38" t="s">
        <v>145</v>
      </c>
      <c r="O38" s="1">
        <v>4</v>
      </c>
      <c r="P38" s="3">
        <v>32612.5</v>
      </c>
      <c r="R38" s="44">
        <v>35</v>
      </c>
      <c r="S38" s="17" t="s">
        <v>45</v>
      </c>
      <c r="T38" s="52">
        <f>VLOOKUP(S38,'Bu Erta'!$C$2:$F$66,4,0)</f>
        <v>800</v>
      </c>
      <c r="U38" s="53">
        <f t="shared" si="1"/>
        <v>0</v>
      </c>
      <c r="V38" s="52">
        <f t="shared" si="2"/>
        <v>0</v>
      </c>
      <c r="X38" s="44">
        <v>35</v>
      </c>
      <c r="Y38" s="17" t="s">
        <v>45</v>
      </c>
      <c r="Z38" s="52"/>
      <c r="AA38" s="53"/>
      <c r="AB38" s="52"/>
      <c r="AD38" s="69" t="s">
        <v>69</v>
      </c>
      <c r="AE38">
        <v>1.9499999999999997</v>
      </c>
      <c r="AF38" s="4">
        <v>4875</v>
      </c>
    </row>
    <row r="39" spans="1:32" x14ac:dyDescent="0.35">
      <c r="A39" s="106">
        <v>5</v>
      </c>
      <c r="B39" t="s">
        <v>135</v>
      </c>
      <c r="C39" s="106">
        <v>4</v>
      </c>
      <c r="D39" t="s">
        <v>24</v>
      </c>
      <c r="E39" s="3">
        <f>VLOOKUP(D39,'Bu Erta'!$C$2:$E$66,3,0)</f>
        <v>150</v>
      </c>
      <c r="F39">
        <v>1.6</v>
      </c>
      <c r="G39" s="3">
        <f t="shared" si="0"/>
        <v>240</v>
      </c>
      <c r="H39" s="3">
        <f>VLOOKUP(D39,'Bu Erta'!$C$2:$F$66,4,0)*F39</f>
        <v>320</v>
      </c>
      <c r="J39" s="69" t="s">
        <v>133</v>
      </c>
      <c r="K39">
        <v>4</v>
      </c>
      <c r="L39" s="4">
        <v>13950</v>
      </c>
      <c r="N39" t="s">
        <v>133</v>
      </c>
      <c r="O39" s="1">
        <v>4</v>
      </c>
      <c r="P39" s="3">
        <v>13950</v>
      </c>
      <c r="R39" s="44">
        <v>36</v>
      </c>
      <c r="S39" s="17" t="s">
        <v>46</v>
      </c>
      <c r="T39" s="52">
        <f>VLOOKUP(S39,'Bu Erta'!$C$2:$F$66,4,0)</f>
        <v>1500</v>
      </c>
      <c r="U39" s="53">
        <f t="shared" si="1"/>
        <v>8.6</v>
      </c>
      <c r="V39" s="52">
        <f t="shared" si="2"/>
        <v>12900</v>
      </c>
      <c r="X39" s="44">
        <v>36</v>
      </c>
      <c r="Y39" s="17" t="s">
        <v>46</v>
      </c>
      <c r="Z39" s="52"/>
      <c r="AA39" s="53"/>
      <c r="AB39" s="52"/>
      <c r="AD39" s="69" t="s">
        <v>72</v>
      </c>
      <c r="AE39">
        <v>1</v>
      </c>
      <c r="AF39" s="4">
        <v>13000</v>
      </c>
    </row>
    <row r="40" spans="1:32" x14ac:dyDescent="0.35">
      <c r="A40" s="106"/>
      <c r="B40" t="s">
        <v>135</v>
      </c>
      <c r="C40" s="106"/>
      <c r="D40" t="s">
        <v>7</v>
      </c>
      <c r="E40" s="3">
        <f>VLOOKUP(D40,'Bu Erta'!$C$2:$E$66,3,0)</f>
        <v>1400</v>
      </c>
      <c r="F40">
        <f>1.45+2.8</f>
        <v>4.25</v>
      </c>
      <c r="G40" s="3">
        <f t="shared" si="0"/>
        <v>5950</v>
      </c>
      <c r="H40" s="3">
        <f>VLOOKUP(D40,'Bu Erta'!$C$2:$F$66,4,0)*F40</f>
        <v>6800</v>
      </c>
      <c r="J40" s="69" t="s">
        <v>182</v>
      </c>
      <c r="K40">
        <v>4</v>
      </c>
      <c r="L40" s="4">
        <v>5820</v>
      </c>
      <c r="N40" t="s">
        <v>182</v>
      </c>
      <c r="O40" s="1">
        <v>4</v>
      </c>
      <c r="P40" s="3">
        <v>5820</v>
      </c>
      <c r="R40" s="44">
        <v>37</v>
      </c>
      <c r="S40" s="17" t="s">
        <v>47</v>
      </c>
      <c r="T40" s="52">
        <f>VLOOKUP(S40,'Bu Erta'!$C$2:$F$66,4,0)</f>
        <v>1500</v>
      </c>
      <c r="U40" s="53">
        <f t="shared" si="1"/>
        <v>0</v>
      </c>
      <c r="V40" s="52">
        <f t="shared" si="2"/>
        <v>0</v>
      </c>
      <c r="X40" s="44">
        <v>37</v>
      </c>
      <c r="Y40" s="17" t="s">
        <v>47</v>
      </c>
      <c r="Z40" s="52"/>
      <c r="AA40" s="53"/>
      <c r="AB40" s="52"/>
      <c r="AD40" s="69" t="s">
        <v>81</v>
      </c>
      <c r="AE40">
        <v>457.20000000000005</v>
      </c>
      <c r="AF40" s="4">
        <v>644175</v>
      </c>
    </row>
    <row r="41" spans="1:32" x14ac:dyDescent="0.35">
      <c r="A41" s="106"/>
      <c r="B41" t="s">
        <v>135</v>
      </c>
      <c r="C41" s="106"/>
      <c r="D41" t="s">
        <v>88</v>
      </c>
      <c r="E41" s="3">
        <f>VLOOKUP(D41,'Bu Erta'!$C$2:$E$66,3,0)</f>
        <v>300</v>
      </c>
      <c r="F41">
        <v>0.3</v>
      </c>
      <c r="G41" s="3">
        <f t="shared" si="0"/>
        <v>90</v>
      </c>
      <c r="H41" s="3">
        <f>VLOOKUP(D41,'Bu Erta'!$C$2:$F$66,4,0)*F41</f>
        <v>120</v>
      </c>
      <c r="J41" s="69" t="s">
        <v>142</v>
      </c>
      <c r="K41">
        <v>4</v>
      </c>
      <c r="L41" s="4">
        <v>1280</v>
      </c>
      <c r="N41" t="s">
        <v>142</v>
      </c>
      <c r="O41" s="1">
        <v>4</v>
      </c>
      <c r="P41" s="3">
        <v>1280</v>
      </c>
      <c r="R41" s="44">
        <v>38</v>
      </c>
      <c r="S41" s="17" t="s">
        <v>48</v>
      </c>
      <c r="T41" s="52">
        <f>VLOOKUP(S41,'Bu Erta'!$C$2:$F$66,4,0)</f>
        <v>15000</v>
      </c>
      <c r="U41" s="53"/>
      <c r="V41" s="52">
        <f t="shared" si="2"/>
        <v>0</v>
      </c>
      <c r="X41" s="44">
        <v>38</v>
      </c>
      <c r="Y41" s="17" t="s">
        <v>48</v>
      </c>
      <c r="Z41" s="52"/>
      <c r="AA41" s="53">
        <v>1</v>
      </c>
      <c r="AB41" s="52"/>
      <c r="AC41" t="s">
        <v>176</v>
      </c>
    </row>
    <row r="42" spans="1:32" x14ac:dyDescent="0.35">
      <c r="A42" s="106"/>
      <c r="B42" t="s">
        <v>135</v>
      </c>
      <c r="C42" s="106"/>
      <c r="D42" t="s">
        <v>19</v>
      </c>
      <c r="E42" s="3">
        <f>VLOOKUP(D42,'Bu Erta'!$C$2:$E$66,3,0)</f>
        <v>200</v>
      </c>
      <c r="F42">
        <v>3.25</v>
      </c>
      <c r="G42" s="3">
        <f t="shared" si="0"/>
        <v>650</v>
      </c>
      <c r="H42" s="3">
        <f>VLOOKUP(D42,'Bu Erta'!$C$2:$F$66,4,0)*F42</f>
        <v>975</v>
      </c>
      <c r="J42" s="69" t="s">
        <v>112</v>
      </c>
      <c r="K42">
        <v>4</v>
      </c>
      <c r="L42" s="4">
        <v>4377.5</v>
      </c>
      <c r="N42" t="s">
        <v>112</v>
      </c>
      <c r="O42" s="1">
        <v>4</v>
      </c>
      <c r="P42" s="3">
        <v>4377.5</v>
      </c>
      <c r="R42" s="44">
        <v>39</v>
      </c>
      <c r="S42" s="17" t="s">
        <v>49</v>
      </c>
      <c r="T42" s="52">
        <f>VLOOKUP(S42,'Bu Erta'!$C$2:$F$66,4,0)</f>
        <v>900</v>
      </c>
      <c r="U42" s="53">
        <f t="shared" si="1"/>
        <v>1.1499999999999999</v>
      </c>
      <c r="V42" s="52">
        <f t="shared" si="2"/>
        <v>1035</v>
      </c>
      <c r="X42" s="44">
        <v>39</v>
      </c>
      <c r="Y42" s="17" t="s">
        <v>49</v>
      </c>
      <c r="Z42" s="52"/>
      <c r="AA42" s="53"/>
      <c r="AB42" s="52"/>
    </row>
    <row r="43" spans="1:32" x14ac:dyDescent="0.35">
      <c r="A43" s="106"/>
      <c r="B43" t="s">
        <v>135</v>
      </c>
      <c r="C43" s="106"/>
      <c r="D43" t="s">
        <v>27</v>
      </c>
      <c r="E43" s="3">
        <f>VLOOKUP(D43,'Bu Erta'!$C$2:$E$66,3,0)</f>
        <v>2800</v>
      </c>
      <c r="F43">
        <v>0.6</v>
      </c>
      <c r="G43" s="3">
        <f t="shared" si="0"/>
        <v>1680</v>
      </c>
      <c r="H43" s="3">
        <f>VLOOKUP(D43,'Bu Erta'!$C$2:$F$66,4,0)*F43</f>
        <v>1860</v>
      </c>
      <c r="J43" s="69" t="s">
        <v>192</v>
      </c>
      <c r="K43">
        <v>4</v>
      </c>
      <c r="L43" s="4">
        <v>21180</v>
      </c>
      <c r="N43" t="s">
        <v>192</v>
      </c>
      <c r="O43" s="1">
        <v>4</v>
      </c>
      <c r="P43" s="3">
        <v>21180</v>
      </c>
      <c r="R43" s="44">
        <v>40</v>
      </c>
      <c r="S43" s="17" t="s">
        <v>50</v>
      </c>
      <c r="T43" s="52">
        <f>VLOOKUP(S43,'Bu Erta'!$C$2:$F$66,4,0)</f>
        <v>45000</v>
      </c>
      <c r="U43" s="53">
        <f t="shared" si="1"/>
        <v>0</v>
      </c>
      <c r="V43" s="52">
        <f t="shared" si="2"/>
        <v>0</v>
      </c>
      <c r="X43" s="44">
        <v>40</v>
      </c>
      <c r="Y43" s="17" t="s">
        <v>50</v>
      </c>
      <c r="Z43" s="52"/>
      <c r="AA43" s="53"/>
      <c r="AB43" s="52"/>
    </row>
    <row r="44" spans="1:32" x14ac:dyDescent="0.35">
      <c r="A44" s="106"/>
      <c r="B44" t="s">
        <v>135</v>
      </c>
      <c r="C44" s="106"/>
      <c r="D44" t="s">
        <v>25</v>
      </c>
      <c r="E44" s="3">
        <f>VLOOKUP(D44,'Bu Erta'!$C$2:$E$66,3,0)</f>
        <v>1600</v>
      </c>
      <c r="F44">
        <v>0.1</v>
      </c>
      <c r="G44" s="3">
        <f t="shared" si="0"/>
        <v>160</v>
      </c>
      <c r="H44" s="3">
        <f>VLOOKUP(D44,'Bu Erta'!$C$2:$F$66,4,0)*F44</f>
        <v>170</v>
      </c>
      <c r="J44" s="69" t="s">
        <v>136</v>
      </c>
      <c r="K44">
        <v>4</v>
      </c>
      <c r="L44" s="4">
        <v>10182.5</v>
      </c>
      <c r="N44" t="s">
        <v>136</v>
      </c>
      <c r="O44" s="1">
        <v>4</v>
      </c>
      <c r="P44" s="3">
        <v>10182.5</v>
      </c>
      <c r="R44" s="44">
        <v>41</v>
      </c>
      <c r="S44" s="17" t="s">
        <v>51</v>
      </c>
      <c r="T44" s="52">
        <f>VLOOKUP(S44,'Bu Erta'!$C$2:$F$66,4,0)</f>
        <v>55000</v>
      </c>
      <c r="U44" s="53">
        <f t="shared" si="1"/>
        <v>0</v>
      </c>
      <c r="V44" s="52">
        <f t="shared" si="2"/>
        <v>0</v>
      </c>
      <c r="X44" s="44">
        <v>41</v>
      </c>
      <c r="Y44" s="17" t="s">
        <v>51</v>
      </c>
      <c r="Z44" s="52"/>
      <c r="AA44" s="53"/>
      <c r="AB44" s="52"/>
    </row>
    <row r="45" spans="1:32" x14ac:dyDescent="0.35">
      <c r="A45" s="106"/>
      <c r="B45" t="s">
        <v>135</v>
      </c>
      <c r="C45" s="106"/>
      <c r="D45" t="s">
        <v>22</v>
      </c>
      <c r="E45" s="3">
        <f>VLOOKUP(D45,'Bu Erta'!$C$2:$E$66,3,0)</f>
        <v>2500</v>
      </c>
      <c r="F45">
        <f>2.35+0.15</f>
        <v>2.5</v>
      </c>
      <c r="G45" s="3">
        <f t="shared" si="0"/>
        <v>6250</v>
      </c>
      <c r="H45" s="3">
        <f>VLOOKUP(D45,'Bu Erta'!$C$2:$F$66,4,0)*F45</f>
        <v>7500</v>
      </c>
      <c r="J45" s="69" t="s">
        <v>140</v>
      </c>
      <c r="K45">
        <v>4</v>
      </c>
      <c r="L45" s="4">
        <v>44782.5</v>
      </c>
      <c r="N45" t="s">
        <v>140</v>
      </c>
      <c r="O45" s="1">
        <v>4</v>
      </c>
      <c r="P45" s="3">
        <v>44782.5</v>
      </c>
      <c r="R45" s="44">
        <v>42</v>
      </c>
      <c r="S45" s="17" t="s">
        <v>52</v>
      </c>
      <c r="T45" s="52">
        <f>VLOOKUP(S45,'Bu Erta'!$C$2:$F$66,4,0)</f>
        <v>30000</v>
      </c>
      <c r="U45" s="53">
        <f t="shared" si="1"/>
        <v>0</v>
      </c>
      <c r="V45" s="52">
        <f t="shared" si="2"/>
        <v>0</v>
      </c>
      <c r="X45" s="44">
        <v>42</v>
      </c>
      <c r="Y45" s="17" t="s">
        <v>52</v>
      </c>
      <c r="Z45" s="52"/>
      <c r="AA45" s="53"/>
      <c r="AB45" s="52"/>
    </row>
    <row r="46" spans="1:32" x14ac:dyDescent="0.35">
      <c r="A46" s="106"/>
      <c r="B46" t="s">
        <v>135</v>
      </c>
      <c r="C46" s="106"/>
      <c r="D46" t="s">
        <v>40</v>
      </c>
      <c r="E46" s="3">
        <f>VLOOKUP(D46,'Bu Erta'!$C$2:$E$66,3,0)</f>
        <v>1800</v>
      </c>
      <c r="F46">
        <f>1.9+4</f>
        <v>5.9</v>
      </c>
      <c r="G46" s="3">
        <f t="shared" si="0"/>
        <v>10620</v>
      </c>
      <c r="H46" s="3">
        <f>VLOOKUP(D46,'Bu Erta'!$C$2:$F$66,4,0)*F46</f>
        <v>11800</v>
      </c>
      <c r="J46" s="69" t="s">
        <v>180</v>
      </c>
      <c r="K46">
        <v>4</v>
      </c>
      <c r="L46" s="4">
        <v>11845</v>
      </c>
      <c r="N46" t="s">
        <v>180</v>
      </c>
      <c r="O46" s="1">
        <v>4</v>
      </c>
      <c r="P46" s="3">
        <v>11845</v>
      </c>
      <c r="R46" s="44">
        <v>43</v>
      </c>
      <c r="S46" s="17" t="s">
        <v>53</v>
      </c>
      <c r="T46" s="52">
        <f>VLOOKUP(S46,'Bu Erta'!$C$2:$F$66,4,0)</f>
        <v>12000</v>
      </c>
      <c r="U46" s="53">
        <f t="shared" si="1"/>
        <v>2</v>
      </c>
      <c r="V46" s="52">
        <f t="shared" si="2"/>
        <v>24000</v>
      </c>
      <c r="X46" s="44">
        <v>43</v>
      </c>
      <c r="Y46" s="17" t="s">
        <v>53</v>
      </c>
      <c r="Z46" s="52"/>
      <c r="AA46" s="53"/>
      <c r="AB46" s="52"/>
    </row>
    <row r="47" spans="1:32" x14ac:dyDescent="0.35">
      <c r="A47" s="106">
        <v>6</v>
      </c>
      <c r="B47" t="s">
        <v>142</v>
      </c>
      <c r="C47" s="106">
        <v>4</v>
      </c>
      <c r="D47" t="s">
        <v>24</v>
      </c>
      <c r="E47" s="3">
        <f>VLOOKUP(D47,'Bu Erta'!$C$2:$E$66,3,0)</f>
        <v>150</v>
      </c>
      <c r="F47">
        <v>2.6</v>
      </c>
      <c r="G47" s="3">
        <f t="shared" si="0"/>
        <v>390</v>
      </c>
      <c r="H47" s="3">
        <f>VLOOKUP(D47,'Bu Erta'!$C$2:$F$66,4,0)*F47</f>
        <v>520</v>
      </c>
      <c r="J47" s="69" t="s">
        <v>84</v>
      </c>
      <c r="K47">
        <v>4</v>
      </c>
      <c r="L47" s="4">
        <v>6150</v>
      </c>
      <c r="N47" t="s">
        <v>84</v>
      </c>
      <c r="O47" s="1">
        <v>4</v>
      </c>
      <c r="P47" s="3">
        <v>6150</v>
      </c>
      <c r="R47" s="44">
        <v>44</v>
      </c>
      <c r="S47" s="17" t="s">
        <v>54</v>
      </c>
      <c r="T47" s="52">
        <f>VLOOKUP(S47,'Bu Erta'!$C$2:$F$66,4,0)</f>
        <v>650</v>
      </c>
      <c r="U47" s="53">
        <f t="shared" si="1"/>
        <v>2.1</v>
      </c>
      <c r="V47" s="52">
        <f t="shared" si="2"/>
        <v>1365</v>
      </c>
      <c r="X47" s="44">
        <v>44</v>
      </c>
      <c r="Y47" s="17" t="s">
        <v>54</v>
      </c>
      <c r="Z47" s="52"/>
      <c r="AA47" s="53"/>
      <c r="AB47" s="52"/>
    </row>
    <row r="48" spans="1:32" x14ac:dyDescent="0.35">
      <c r="A48" s="106"/>
      <c r="B48" t="s">
        <v>142</v>
      </c>
      <c r="C48" s="106"/>
      <c r="D48" t="s">
        <v>19</v>
      </c>
      <c r="E48" s="3">
        <f>VLOOKUP(D48,'Bu Erta'!$C$2:$E$66,3,0)</f>
        <v>200</v>
      </c>
      <c r="F48">
        <v>0.25</v>
      </c>
      <c r="G48" s="3">
        <f t="shared" si="0"/>
        <v>50</v>
      </c>
      <c r="H48" s="3">
        <f>VLOOKUP(D48,'Bu Erta'!$C$2:$F$66,4,0)*F48</f>
        <v>75</v>
      </c>
      <c r="J48" s="69" t="s">
        <v>85</v>
      </c>
      <c r="K48">
        <v>4</v>
      </c>
      <c r="L48" s="4">
        <v>5847.5</v>
      </c>
      <c r="N48" t="s">
        <v>85</v>
      </c>
      <c r="O48" s="1">
        <v>4</v>
      </c>
      <c r="P48" s="3">
        <v>5847.5</v>
      </c>
      <c r="R48" s="44">
        <v>45</v>
      </c>
      <c r="S48" s="17" t="s">
        <v>55</v>
      </c>
      <c r="T48" s="52">
        <f>VLOOKUP(S48,'Bu Erta'!$C$2:$F$66,4,0)</f>
        <v>40000</v>
      </c>
      <c r="U48" s="53">
        <f t="shared" si="1"/>
        <v>0</v>
      </c>
      <c r="V48" s="52">
        <f t="shared" si="2"/>
        <v>0</v>
      </c>
      <c r="X48" s="44">
        <v>45</v>
      </c>
      <c r="Y48" s="17" t="s">
        <v>55</v>
      </c>
      <c r="Z48" s="52"/>
      <c r="AA48" s="53"/>
      <c r="AB48" s="52"/>
    </row>
    <row r="49" spans="1:28" x14ac:dyDescent="0.35">
      <c r="A49" s="106"/>
      <c r="B49" t="s">
        <v>142</v>
      </c>
      <c r="C49" s="106"/>
      <c r="D49" t="s">
        <v>27</v>
      </c>
      <c r="E49" s="3">
        <f>VLOOKUP(D49,'Bu Erta'!$C$2:$E$66,3,0)</f>
        <v>2800</v>
      </c>
      <c r="F49">
        <v>0.25</v>
      </c>
      <c r="G49" s="3">
        <f t="shared" si="0"/>
        <v>700</v>
      </c>
      <c r="H49" s="3">
        <f>VLOOKUP(D49,'Bu Erta'!$C$2:$F$66,4,0)*F49</f>
        <v>775</v>
      </c>
      <c r="J49" s="69" t="s">
        <v>191</v>
      </c>
      <c r="K49">
        <v>5</v>
      </c>
      <c r="L49" s="4">
        <v>41200</v>
      </c>
      <c r="N49" t="s">
        <v>191</v>
      </c>
      <c r="O49" s="1">
        <v>5</v>
      </c>
      <c r="P49" s="3">
        <v>41200</v>
      </c>
      <c r="R49" s="44">
        <v>46</v>
      </c>
      <c r="S49" s="17" t="s">
        <v>56</v>
      </c>
      <c r="T49" s="52">
        <f>VLOOKUP(S49,'Bu Erta'!$C$2:$F$66,4,0)</f>
        <v>5500</v>
      </c>
      <c r="U49" s="53">
        <f t="shared" si="1"/>
        <v>17.900000000000002</v>
      </c>
      <c r="V49" s="52">
        <f t="shared" si="2"/>
        <v>98450.000000000015</v>
      </c>
      <c r="X49" s="44">
        <v>46</v>
      </c>
      <c r="Y49" s="17" t="s">
        <v>56</v>
      </c>
      <c r="Z49" s="52"/>
      <c r="AA49" s="53"/>
      <c r="AB49" s="52"/>
    </row>
    <row r="50" spans="1:28" x14ac:dyDescent="0.35">
      <c r="A50" s="106"/>
      <c r="B50" t="s">
        <v>142</v>
      </c>
      <c r="C50" s="106"/>
      <c r="D50" t="s">
        <v>7</v>
      </c>
      <c r="E50" s="3">
        <f>VLOOKUP(D50,'Bu Erta'!$C$2:$E$66,3,0)</f>
        <v>1400</v>
      </c>
      <c r="F50">
        <v>0.1</v>
      </c>
      <c r="G50" s="3">
        <f t="shared" si="0"/>
        <v>140</v>
      </c>
      <c r="H50" s="3">
        <f>VLOOKUP(D50,'Bu Erta'!$C$2:$F$66,4,0)*F50</f>
        <v>160</v>
      </c>
      <c r="J50" s="69" t="s">
        <v>110</v>
      </c>
      <c r="K50">
        <v>5</v>
      </c>
      <c r="L50" s="4">
        <v>5540</v>
      </c>
      <c r="N50" t="s">
        <v>110</v>
      </c>
      <c r="O50" s="1">
        <v>5</v>
      </c>
      <c r="P50" s="3">
        <v>5540</v>
      </c>
      <c r="R50" s="44">
        <v>47</v>
      </c>
      <c r="S50" s="17" t="s">
        <v>88</v>
      </c>
      <c r="T50" s="52">
        <f>VLOOKUP(S50,'Bu Erta'!$C$2:$F$66,4,0)</f>
        <v>400</v>
      </c>
      <c r="U50" s="53">
        <f t="shared" si="1"/>
        <v>5</v>
      </c>
      <c r="V50" s="52">
        <f t="shared" si="2"/>
        <v>2000</v>
      </c>
      <c r="X50" s="44">
        <v>47</v>
      </c>
      <c r="Y50" s="17" t="s">
        <v>88</v>
      </c>
      <c r="Z50" s="52"/>
      <c r="AA50" s="53"/>
      <c r="AB50" s="52"/>
    </row>
    <row r="51" spans="1:28" x14ac:dyDescent="0.35">
      <c r="A51" s="106">
        <v>7</v>
      </c>
      <c r="B51" t="s">
        <v>136</v>
      </c>
      <c r="C51" s="106">
        <v>4</v>
      </c>
      <c r="D51" t="s">
        <v>7</v>
      </c>
      <c r="E51" s="3">
        <f>VLOOKUP(D51,'Bu Erta'!$C$2:$E$66,3,0)</f>
        <v>1400</v>
      </c>
      <c r="F51">
        <f>0.85+0.25+0.8</f>
        <v>1.9000000000000001</v>
      </c>
      <c r="G51" s="3">
        <f t="shared" si="0"/>
        <v>2660</v>
      </c>
      <c r="H51" s="3">
        <f>VLOOKUP(D51,'Bu Erta'!$C$2:$F$66,4,0)*F51</f>
        <v>3040</v>
      </c>
      <c r="J51" s="69" t="s">
        <v>189</v>
      </c>
      <c r="K51">
        <v>5</v>
      </c>
      <c r="L51" s="4">
        <v>25130</v>
      </c>
      <c r="N51" t="s">
        <v>189</v>
      </c>
      <c r="O51" s="1">
        <v>5</v>
      </c>
      <c r="P51" s="3">
        <v>25130</v>
      </c>
      <c r="R51" s="44">
        <v>48</v>
      </c>
      <c r="S51" s="17" t="s">
        <v>57</v>
      </c>
      <c r="T51" s="52">
        <f>VLOOKUP(S51,'Bu Erta'!$C$2:$F$66,4,0)</f>
        <v>10000</v>
      </c>
      <c r="U51" s="53">
        <f t="shared" si="1"/>
        <v>0</v>
      </c>
      <c r="V51" s="52">
        <f t="shared" si="2"/>
        <v>0</v>
      </c>
      <c r="X51" s="44">
        <v>48</v>
      </c>
      <c r="Y51" s="17" t="s">
        <v>57</v>
      </c>
      <c r="Z51" s="52"/>
      <c r="AA51" s="53"/>
      <c r="AB51" s="52"/>
    </row>
    <row r="52" spans="1:28" x14ac:dyDescent="0.35">
      <c r="A52" s="106"/>
      <c r="B52" t="s">
        <v>136</v>
      </c>
      <c r="C52" s="106"/>
      <c r="D52" t="s">
        <v>40</v>
      </c>
      <c r="E52" s="3">
        <f>VLOOKUP(D52,'Bu Erta'!$C$2:$E$66,3,0)</f>
        <v>1800</v>
      </c>
      <c r="F52">
        <v>2.1</v>
      </c>
      <c r="G52" s="3">
        <f t="shared" si="0"/>
        <v>3780</v>
      </c>
      <c r="H52" s="3">
        <f>VLOOKUP(D52,'Bu Erta'!$C$2:$F$66,4,0)*F52</f>
        <v>4200</v>
      </c>
      <c r="J52" s="69" t="s">
        <v>113</v>
      </c>
      <c r="K52">
        <v>5</v>
      </c>
      <c r="L52" s="4">
        <v>3665</v>
      </c>
      <c r="N52" t="s">
        <v>113</v>
      </c>
      <c r="O52" s="1">
        <v>5</v>
      </c>
      <c r="P52" s="3">
        <v>3665</v>
      </c>
      <c r="R52" s="44">
        <v>49</v>
      </c>
      <c r="S52" s="17" t="s">
        <v>58</v>
      </c>
      <c r="T52" s="52">
        <f>VLOOKUP(S52,'Bu Erta'!$C$2:$F$66,4,0)</f>
        <v>15000</v>
      </c>
      <c r="U52" s="53">
        <f t="shared" si="1"/>
        <v>0</v>
      </c>
      <c r="V52" s="52">
        <f t="shared" si="2"/>
        <v>0</v>
      </c>
      <c r="X52" s="44">
        <v>49</v>
      </c>
      <c r="Y52" s="17" t="s">
        <v>58</v>
      </c>
      <c r="Z52" s="52"/>
      <c r="AA52" s="53"/>
      <c r="AB52" s="52"/>
    </row>
    <row r="53" spans="1:28" x14ac:dyDescent="0.35">
      <c r="A53" s="106"/>
      <c r="B53" t="s">
        <v>136</v>
      </c>
      <c r="C53" s="106"/>
      <c r="D53" t="s">
        <v>36</v>
      </c>
      <c r="E53" s="3">
        <f>VLOOKUP(D53,'Bu Erta'!$C$2:$E$66,3,0)</f>
        <v>600</v>
      </c>
      <c r="F53">
        <v>0.75</v>
      </c>
      <c r="G53" s="3">
        <f t="shared" si="0"/>
        <v>450</v>
      </c>
      <c r="H53" s="3">
        <f>VLOOKUP(D53,'Bu Erta'!$C$2:$F$66,4,0)*F53</f>
        <v>487.5</v>
      </c>
      <c r="J53" s="69" t="s">
        <v>111</v>
      </c>
      <c r="K53">
        <v>5</v>
      </c>
      <c r="L53" s="4">
        <v>5095</v>
      </c>
      <c r="N53" t="s">
        <v>111</v>
      </c>
      <c r="O53" s="1">
        <v>5</v>
      </c>
      <c r="P53" s="3">
        <v>5095</v>
      </c>
      <c r="R53" s="44">
        <v>50</v>
      </c>
      <c r="S53" s="17" t="s">
        <v>6</v>
      </c>
      <c r="T53" s="52">
        <f>VLOOKUP(S53,'Bu Erta'!$C$2:$F$66,4,0)</f>
        <v>2500</v>
      </c>
      <c r="U53" s="53">
        <f t="shared" si="1"/>
        <v>1.5999999999999999</v>
      </c>
      <c r="V53" s="52">
        <f t="shared" si="2"/>
        <v>3999.9999999999995</v>
      </c>
      <c r="X53" s="44">
        <v>50</v>
      </c>
      <c r="Y53" s="17" t="s">
        <v>6</v>
      </c>
      <c r="Z53" s="52"/>
      <c r="AA53" s="53"/>
      <c r="AB53" s="52"/>
    </row>
    <row r="54" spans="1:28" x14ac:dyDescent="0.35">
      <c r="A54" s="106"/>
      <c r="B54" t="s">
        <v>136</v>
      </c>
      <c r="C54" s="106"/>
      <c r="D54" t="s">
        <v>23</v>
      </c>
      <c r="E54" s="3">
        <f>VLOOKUP(D54,'Bu Erta'!$C$2:$E$66,3,0)</f>
        <v>300</v>
      </c>
      <c r="F54">
        <v>0.9</v>
      </c>
      <c r="G54" s="3">
        <f t="shared" si="0"/>
        <v>270</v>
      </c>
      <c r="H54" s="3">
        <f>VLOOKUP(D54,'Bu Erta'!$C$2:$F$66,4,0)*F54</f>
        <v>360</v>
      </c>
      <c r="J54" s="69" t="s">
        <v>196</v>
      </c>
      <c r="K54">
        <v>7</v>
      </c>
      <c r="L54" s="4">
        <v>1247.5</v>
      </c>
      <c r="N54" t="s">
        <v>196</v>
      </c>
      <c r="O54" s="1">
        <v>7</v>
      </c>
      <c r="P54" s="3">
        <v>1247.5</v>
      </c>
      <c r="R54" s="44">
        <v>51</v>
      </c>
      <c r="S54" s="17" t="s">
        <v>59</v>
      </c>
      <c r="T54" s="52">
        <f>VLOOKUP(S54,'Bu Erta'!$C$2:$F$66,4,0)</f>
        <v>600</v>
      </c>
      <c r="U54" s="53">
        <f t="shared" si="1"/>
        <v>0</v>
      </c>
      <c r="V54" s="52">
        <f t="shared" si="2"/>
        <v>0</v>
      </c>
      <c r="X54" s="44">
        <v>51</v>
      </c>
      <c r="Y54" s="17" t="s">
        <v>59</v>
      </c>
      <c r="Z54" s="52"/>
      <c r="AA54" s="53"/>
      <c r="AB54" s="52"/>
    </row>
    <row r="55" spans="1:28" x14ac:dyDescent="0.35">
      <c r="A55" s="106"/>
      <c r="B55" t="s">
        <v>136</v>
      </c>
      <c r="C55" s="106"/>
      <c r="D55" t="s">
        <v>41</v>
      </c>
      <c r="E55" s="3">
        <f>VLOOKUP(D55,'Bu Erta'!$C$2:$E$66,3,0)</f>
        <v>1500</v>
      </c>
      <c r="F55">
        <v>0.15</v>
      </c>
      <c r="G55" s="3">
        <f t="shared" si="0"/>
        <v>225</v>
      </c>
      <c r="H55" s="3">
        <f>VLOOKUP(D55,'Bu Erta'!$C$2:$F$66,4,0)*F55</f>
        <v>300</v>
      </c>
      <c r="J55" s="69" t="s">
        <v>183</v>
      </c>
      <c r="K55">
        <v>7</v>
      </c>
      <c r="L55" s="4">
        <v>6000</v>
      </c>
      <c r="N55" t="s">
        <v>183</v>
      </c>
      <c r="O55" s="1">
        <v>7</v>
      </c>
      <c r="P55" s="3">
        <v>6000</v>
      </c>
      <c r="R55" s="44">
        <v>52</v>
      </c>
      <c r="S55" s="17" t="s">
        <v>60</v>
      </c>
      <c r="T55" s="52">
        <f>VLOOKUP(S55,'Bu Erta'!$C$2:$F$66,4,0)</f>
        <v>1500</v>
      </c>
      <c r="U55" s="53">
        <f t="shared" si="1"/>
        <v>0.55000000000000004</v>
      </c>
      <c r="V55" s="52">
        <f t="shared" si="2"/>
        <v>825.00000000000011</v>
      </c>
      <c r="X55" s="44">
        <v>52</v>
      </c>
      <c r="Y55" s="17" t="s">
        <v>60</v>
      </c>
      <c r="Z55" s="52"/>
      <c r="AA55" s="53"/>
      <c r="AB55" s="52"/>
    </row>
    <row r="56" spans="1:28" x14ac:dyDescent="0.35">
      <c r="A56" s="106"/>
      <c r="B56" t="s">
        <v>136</v>
      </c>
      <c r="C56" s="106"/>
      <c r="D56" t="s">
        <v>24</v>
      </c>
      <c r="E56" s="3">
        <f>VLOOKUP(D56,'Bu Erta'!$C$2:$E$66,3,0)</f>
        <v>150</v>
      </c>
      <c r="F56">
        <f>1.15+0.1</f>
        <v>1.25</v>
      </c>
      <c r="G56" s="3">
        <f t="shared" si="0"/>
        <v>187.5</v>
      </c>
      <c r="H56" s="3">
        <f>VLOOKUP(D56,'Bu Erta'!$C$2:$F$66,4,0)*F56</f>
        <v>250</v>
      </c>
      <c r="J56" s="69" t="s">
        <v>188</v>
      </c>
      <c r="K56">
        <v>7</v>
      </c>
      <c r="L56" s="4">
        <v>14830</v>
      </c>
      <c r="N56" t="s">
        <v>188</v>
      </c>
      <c r="O56" s="1">
        <v>7</v>
      </c>
      <c r="P56" s="3">
        <v>14830</v>
      </c>
      <c r="R56" s="44">
        <v>53</v>
      </c>
      <c r="S56" s="17" t="s">
        <v>61</v>
      </c>
      <c r="T56" s="52">
        <f>VLOOKUP(S56,'Bu Erta'!$C$2:$F$66,4,0)</f>
        <v>900</v>
      </c>
      <c r="U56" s="53">
        <f t="shared" si="1"/>
        <v>0.54999999999999993</v>
      </c>
      <c r="V56" s="52">
        <f t="shared" si="2"/>
        <v>494.99999999999994</v>
      </c>
      <c r="X56" s="44">
        <v>53</v>
      </c>
      <c r="Y56" s="17" t="s">
        <v>61</v>
      </c>
      <c r="Z56" s="52"/>
      <c r="AA56" s="53"/>
      <c r="AB56" s="52"/>
    </row>
    <row r="57" spans="1:28" x14ac:dyDescent="0.35">
      <c r="A57" s="106"/>
      <c r="B57" t="s">
        <v>136</v>
      </c>
      <c r="C57" s="106"/>
      <c r="D57" t="s">
        <v>67</v>
      </c>
      <c r="E57" s="3">
        <f>VLOOKUP(D57,'Bu Erta'!$C$2:$E$66,3,0)</f>
        <v>2700</v>
      </c>
      <c r="F57">
        <v>0.1</v>
      </c>
      <c r="G57" s="3">
        <f t="shared" si="0"/>
        <v>270</v>
      </c>
      <c r="H57" s="3">
        <f>VLOOKUP(D57,'Bu Erta'!$C$2:$F$66,4,0)*F57</f>
        <v>300</v>
      </c>
      <c r="J57" s="69" t="s">
        <v>184</v>
      </c>
      <c r="K57">
        <v>7</v>
      </c>
      <c r="L57" s="4">
        <v>450</v>
      </c>
      <c r="N57" t="s">
        <v>184</v>
      </c>
      <c r="O57" s="1">
        <v>7</v>
      </c>
      <c r="P57" s="3">
        <v>450</v>
      </c>
      <c r="R57" s="44">
        <v>54</v>
      </c>
      <c r="S57" s="17" t="s">
        <v>62</v>
      </c>
      <c r="T57" s="52">
        <f>VLOOKUP(S57,'Bu Erta'!$C$2:$F$66,4,0)</f>
        <v>500</v>
      </c>
      <c r="U57" s="53">
        <f t="shared" si="1"/>
        <v>0</v>
      </c>
      <c r="V57" s="52">
        <f t="shared" si="2"/>
        <v>0</v>
      </c>
      <c r="X57" s="44">
        <v>54</v>
      </c>
      <c r="Y57" s="17" t="s">
        <v>62</v>
      </c>
      <c r="Z57" s="52"/>
      <c r="AA57" s="53"/>
      <c r="AB57" s="52"/>
    </row>
    <row r="58" spans="1:28" x14ac:dyDescent="0.35">
      <c r="A58" s="106"/>
      <c r="B58" t="s">
        <v>136</v>
      </c>
      <c r="C58" s="106"/>
      <c r="D58" t="s">
        <v>25</v>
      </c>
      <c r="E58" s="3">
        <f>VLOOKUP(D58,'Bu Erta'!$C$2:$E$66,3,0)</f>
        <v>1600</v>
      </c>
      <c r="F58">
        <v>0.15</v>
      </c>
      <c r="G58" s="3">
        <f t="shared" si="0"/>
        <v>240</v>
      </c>
      <c r="H58" s="3">
        <f>VLOOKUP(D58,'Bu Erta'!$C$2:$F$66,4,0)*F58</f>
        <v>255</v>
      </c>
      <c r="J58" s="69" t="s">
        <v>81</v>
      </c>
      <c r="K58">
        <v>193</v>
      </c>
      <c r="L58" s="4">
        <v>644175</v>
      </c>
      <c r="P58" s="3">
        <f>SUM(P3:P57)</f>
        <v>644145</v>
      </c>
      <c r="R58" s="44">
        <v>55</v>
      </c>
      <c r="S58" s="17" t="s">
        <v>63</v>
      </c>
      <c r="T58" s="52">
        <f>VLOOKUP(S58,'Bu Erta'!$C$2:$F$66,4,0)</f>
        <v>1000</v>
      </c>
      <c r="U58" s="53">
        <f t="shared" si="1"/>
        <v>0</v>
      </c>
      <c r="V58" s="52">
        <f t="shared" si="2"/>
        <v>0</v>
      </c>
      <c r="X58" s="44">
        <v>55</v>
      </c>
      <c r="Y58" s="17" t="s">
        <v>63</v>
      </c>
      <c r="Z58" s="52"/>
      <c r="AA58" s="53"/>
      <c r="AB58" s="52"/>
    </row>
    <row r="59" spans="1:28" x14ac:dyDescent="0.35">
      <c r="A59" s="106"/>
      <c r="B59" t="s">
        <v>136</v>
      </c>
      <c r="C59" s="106"/>
      <c r="D59" t="s">
        <v>27</v>
      </c>
      <c r="E59" s="3">
        <f>VLOOKUP(D59,'Bu Erta'!$C$2:$E$66,3,0)</f>
        <v>2800</v>
      </c>
      <c r="F59">
        <v>0.75</v>
      </c>
      <c r="G59" s="3">
        <f t="shared" si="0"/>
        <v>2100</v>
      </c>
      <c r="H59" s="3">
        <f>VLOOKUP(D59,'Bu Erta'!$C$2:$F$66,4,0)*F59</f>
        <v>2325</v>
      </c>
      <c r="R59" s="44">
        <v>56</v>
      </c>
      <c r="S59" s="17" t="s">
        <v>64</v>
      </c>
      <c r="T59" s="52">
        <f>VLOOKUP(S59,'Bu Erta'!$C$2:$F$66,4,0)</f>
        <v>900</v>
      </c>
      <c r="U59" s="53">
        <f t="shared" si="1"/>
        <v>0</v>
      </c>
      <c r="V59" s="52">
        <f t="shared" si="2"/>
        <v>0</v>
      </c>
      <c r="X59" s="44">
        <v>56</v>
      </c>
      <c r="Y59" s="17" t="s">
        <v>64</v>
      </c>
      <c r="Z59" s="52"/>
      <c r="AA59" s="53"/>
      <c r="AB59" s="52"/>
    </row>
    <row r="60" spans="1:28" x14ac:dyDescent="0.35">
      <c r="A60" s="106">
        <v>8</v>
      </c>
      <c r="B60" t="s">
        <v>76</v>
      </c>
      <c r="C60" s="106">
        <v>3</v>
      </c>
      <c r="D60" t="s">
        <v>61</v>
      </c>
      <c r="E60" s="3">
        <f>VLOOKUP(D60,'Bu Erta'!$C$2:$E$66,3,0)</f>
        <v>800</v>
      </c>
      <c r="F60">
        <v>0.35</v>
      </c>
      <c r="G60" s="3">
        <f t="shared" si="0"/>
        <v>280</v>
      </c>
      <c r="H60" s="3">
        <f>VLOOKUP(D60,'Bu Erta'!$C$2:$F$66,4,0)*F60</f>
        <v>315</v>
      </c>
      <c r="R60" s="44">
        <v>57</v>
      </c>
      <c r="S60" s="17" t="s">
        <v>65</v>
      </c>
      <c r="T60" s="52">
        <f>VLOOKUP(S60,'Bu Erta'!$C$2:$F$66,4,0)</f>
        <v>200</v>
      </c>
      <c r="U60" s="53">
        <f t="shared" si="1"/>
        <v>0.35</v>
      </c>
      <c r="V60" s="52">
        <f t="shared" si="2"/>
        <v>70</v>
      </c>
      <c r="X60" s="44">
        <v>57</v>
      </c>
      <c r="Y60" s="17" t="s">
        <v>65</v>
      </c>
      <c r="Z60" s="52"/>
      <c r="AA60" s="53"/>
      <c r="AB60" s="52"/>
    </row>
    <row r="61" spans="1:28" x14ac:dyDescent="0.35">
      <c r="A61" s="106"/>
      <c r="B61" t="s">
        <v>76</v>
      </c>
      <c r="C61" s="106"/>
      <c r="D61" t="s">
        <v>19</v>
      </c>
      <c r="E61" s="3">
        <f>VLOOKUP(D61,'Bu Erta'!$C$2:$E$66,3,0)</f>
        <v>200</v>
      </c>
      <c r="F61">
        <v>0.85</v>
      </c>
      <c r="G61" s="3">
        <f t="shared" si="0"/>
        <v>170</v>
      </c>
      <c r="H61" s="3">
        <f>VLOOKUP(D61,'Bu Erta'!$C$2:$F$66,4,0)*F61</f>
        <v>255</v>
      </c>
      <c r="R61" s="44">
        <v>58</v>
      </c>
      <c r="S61" s="17" t="s">
        <v>66</v>
      </c>
      <c r="T61" s="52">
        <f>VLOOKUP(S61,'Bu Erta'!$C$2:$F$66,4,0)</f>
        <v>55000</v>
      </c>
      <c r="U61" s="53">
        <f t="shared" si="1"/>
        <v>0</v>
      </c>
      <c r="V61" s="52">
        <f t="shared" si="2"/>
        <v>0</v>
      </c>
      <c r="X61" s="44">
        <v>58</v>
      </c>
      <c r="Y61" s="17" t="s">
        <v>66</v>
      </c>
      <c r="Z61" s="52"/>
      <c r="AA61" s="53"/>
      <c r="AB61" s="52"/>
    </row>
    <row r="62" spans="1:28" x14ac:dyDescent="0.35">
      <c r="A62" s="106"/>
      <c r="B62" t="s">
        <v>76</v>
      </c>
      <c r="C62" s="106"/>
      <c r="D62" t="s">
        <v>65</v>
      </c>
      <c r="E62" s="3">
        <f>VLOOKUP(D62,'Bu Erta'!$C$2:$E$66,3,0)</f>
        <v>150</v>
      </c>
      <c r="F62">
        <v>0.2</v>
      </c>
      <c r="G62" s="3">
        <f t="shared" si="0"/>
        <v>30</v>
      </c>
      <c r="H62" s="3">
        <f>VLOOKUP(D62,'Bu Erta'!$C$2:$F$66,4,0)*F62</f>
        <v>40</v>
      </c>
      <c r="R62" s="44">
        <v>59</v>
      </c>
      <c r="S62" s="17" t="s">
        <v>67</v>
      </c>
      <c r="T62" s="52">
        <f>VLOOKUP(S62,'Bu Erta'!$C$2:$F$66,4,0)</f>
        <v>3000</v>
      </c>
      <c r="U62" s="53">
        <f t="shared" si="1"/>
        <v>0.55000000000000004</v>
      </c>
      <c r="V62" s="52">
        <f t="shared" si="2"/>
        <v>1650.0000000000002</v>
      </c>
      <c r="X62" s="44">
        <v>59</v>
      </c>
      <c r="Y62" s="17" t="s">
        <v>67</v>
      </c>
      <c r="Z62" s="52"/>
      <c r="AA62" s="53"/>
      <c r="AB62" s="52"/>
    </row>
    <row r="63" spans="1:28" x14ac:dyDescent="0.35">
      <c r="A63" s="106"/>
      <c r="B63" t="s">
        <v>76</v>
      </c>
      <c r="C63" s="106"/>
      <c r="D63" t="s">
        <v>42</v>
      </c>
      <c r="E63" s="3">
        <f>VLOOKUP(D63,'Bu Erta'!$C$2:$E$66,3,0)</f>
        <v>1000</v>
      </c>
      <c r="F63">
        <v>1.4</v>
      </c>
      <c r="G63" s="3">
        <f t="shared" si="0"/>
        <v>1400</v>
      </c>
      <c r="H63" s="3">
        <f>VLOOKUP(D63,'Bu Erta'!$C$2:$F$66,4,0)*F63</f>
        <v>1680</v>
      </c>
      <c r="R63" s="44">
        <v>60</v>
      </c>
      <c r="S63" s="17" t="s">
        <v>68</v>
      </c>
      <c r="T63" s="52">
        <f>VLOOKUP(S63,'Bu Erta'!$C$2:$F$66,4,0)</f>
        <v>200</v>
      </c>
      <c r="U63" s="53">
        <f t="shared" si="1"/>
        <v>6.6</v>
      </c>
      <c r="V63" s="52">
        <f t="shared" si="2"/>
        <v>1320</v>
      </c>
      <c r="X63" s="44">
        <v>60</v>
      </c>
      <c r="Y63" s="17" t="s">
        <v>68</v>
      </c>
      <c r="Z63" s="52"/>
      <c r="AA63" s="53"/>
      <c r="AB63" s="52"/>
    </row>
    <row r="64" spans="1:28" x14ac:dyDescent="0.35">
      <c r="A64" s="106"/>
      <c r="B64" t="s">
        <v>76</v>
      </c>
      <c r="C64" s="106"/>
      <c r="D64" t="s">
        <v>24</v>
      </c>
      <c r="E64" s="3">
        <f>VLOOKUP(D64,'Bu Erta'!$C$2:$E$66,3,0)</f>
        <v>150</v>
      </c>
      <c r="F64">
        <f>1.45+1.6</f>
        <v>3.05</v>
      </c>
      <c r="G64" s="3">
        <f t="shared" si="0"/>
        <v>457.5</v>
      </c>
      <c r="H64" s="3">
        <f>VLOOKUP(D64,'Bu Erta'!$C$2:$F$66,4,0)*F64</f>
        <v>610</v>
      </c>
      <c r="L64" t="s">
        <v>228</v>
      </c>
      <c r="R64" s="44">
        <v>61</v>
      </c>
      <c r="S64" s="17" t="s">
        <v>69</v>
      </c>
      <c r="T64" s="52">
        <f>VLOOKUP(S64,'Bu Erta'!$C$2:$F$66,4,0)</f>
        <v>3000</v>
      </c>
      <c r="U64" s="53">
        <v>2.6</v>
      </c>
      <c r="V64" s="52">
        <f t="shared" si="2"/>
        <v>7800</v>
      </c>
      <c r="X64" s="44">
        <v>61</v>
      </c>
      <c r="Y64" s="17" t="s">
        <v>69</v>
      </c>
      <c r="Z64" s="52"/>
      <c r="AA64" s="53"/>
      <c r="AB64" s="52"/>
    </row>
    <row r="65" spans="1:28" x14ac:dyDescent="0.35">
      <c r="A65" s="106"/>
      <c r="B65" t="s">
        <v>76</v>
      </c>
      <c r="C65" s="106"/>
      <c r="D65" t="s">
        <v>23</v>
      </c>
      <c r="E65" s="3">
        <f>VLOOKUP(D65,'Bu Erta'!$C$2:$E$66,3,0)</f>
        <v>300</v>
      </c>
      <c r="F65">
        <v>2.9</v>
      </c>
      <c r="G65" s="3">
        <f t="shared" si="0"/>
        <v>870</v>
      </c>
      <c r="H65" s="3">
        <f>VLOOKUP(D65,'Bu Erta'!$C$2:$F$66,4,0)*F65</f>
        <v>1160</v>
      </c>
      <c r="L65" s="4">
        <f>V68+AB68-GETPIVOTDATA("Sum of Total Harga",$J$2)</f>
        <v>259992.5</v>
      </c>
      <c r="R65" s="44">
        <v>62</v>
      </c>
      <c r="S65" s="17" t="s">
        <v>70</v>
      </c>
      <c r="T65" s="52">
        <f>VLOOKUP(S65,'Bu Erta'!$C$2:$F$66,4,0)</f>
        <v>4000</v>
      </c>
      <c r="U65" s="53">
        <f t="shared" si="1"/>
        <v>0</v>
      </c>
      <c r="V65" s="52">
        <f t="shared" si="2"/>
        <v>0</v>
      </c>
      <c r="X65" s="44">
        <v>62</v>
      </c>
      <c r="Y65" s="17" t="s">
        <v>70</v>
      </c>
      <c r="Z65" s="52"/>
      <c r="AA65" s="53"/>
      <c r="AB65" s="52"/>
    </row>
    <row r="66" spans="1:28" x14ac:dyDescent="0.35">
      <c r="A66" s="106"/>
      <c r="B66" t="s">
        <v>76</v>
      </c>
      <c r="C66" s="106"/>
      <c r="D66" t="s">
        <v>27</v>
      </c>
      <c r="E66" s="3">
        <f>VLOOKUP(D66,'Bu Erta'!$C$2:$E$66,3,0)</f>
        <v>2800</v>
      </c>
      <c r="F66">
        <f>0.7+0.3</f>
        <v>1</v>
      </c>
      <c r="G66" s="3">
        <f t="shared" si="0"/>
        <v>2800</v>
      </c>
      <c r="H66" s="3">
        <f>VLOOKUP(D66,'Bu Erta'!$C$2:$F$66,4,0)*F66</f>
        <v>3100</v>
      </c>
      <c r="R66" s="44">
        <v>63</v>
      </c>
      <c r="S66" s="17" t="s">
        <v>71</v>
      </c>
      <c r="T66" s="52">
        <f>VLOOKUP(S66,'Bu Erta'!$C$2:$F$66,4,0)</f>
        <v>10000</v>
      </c>
      <c r="U66" s="53">
        <f t="shared" si="1"/>
        <v>0</v>
      </c>
      <c r="V66" s="52">
        <f t="shared" si="2"/>
        <v>0</v>
      </c>
      <c r="X66" s="44">
        <v>63</v>
      </c>
      <c r="Y66" s="17" t="s">
        <v>71</v>
      </c>
      <c r="Z66" s="52"/>
      <c r="AA66" s="53"/>
      <c r="AB66" s="52"/>
    </row>
    <row r="67" spans="1:28" x14ac:dyDescent="0.35">
      <c r="A67" s="106"/>
      <c r="B67" t="s">
        <v>76</v>
      </c>
      <c r="C67" s="106"/>
      <c r="D67" t="s">
        <v>25</v>
      </c>
      <c r="E67" s="3">
        <f>VLOOKUP(D67,'Bu Erta'!$C$2:$E$66,3,0)</f>
        <v>1600</v>
      </c>
      <c r="F67">
        <v>0.25</v>
      </c>
      <c r="G67" s="3">
        <f t="shared" ref="G67:G126" si="5">E67*F67</f>
        <v>400</v>
      </c>
      <c r="H67" s="3">
        <f>VLOOKUP(D67,'Bu Erta'!$C$2:$F$66,4,0)*F67</f>
        <v>425</v>
      </c>
      <c r="R67" s="44">
        <v>64</v>
      </c>
      <c r="S67" s="17" t="s">
        <v>72</v>
      </c>
      <c r="T67" s="52">
        <f>VLOOKUP(S67,'Bu Erta'!$C$2:$F$66,4,0)</f>
        <v>15000</v>
      </c>
      <c r="U67" s="53">
        <f t="shared" si="1"/>
        <v>1</v>
      </c>
      <c r="V67" s="52">
        <f t="shared" si="2"/>
        <v>15000</v>
      </c>
      <c r="X67" s="44">
        <v>64</v>
      </c>
      <c r="Y67" s="17" t="s">
        <v>72</v>
      </c>
      <c r="Z67" s="52">
        <v>20000</v>
      </c>
      <c r="AA67" s="53">
        <f>SUMIF($D$3:$D$278,S67,$F$3:$F$278)</f>
        <v>1</v>
      </c>
      <c r="AB67" s="52">
        <f>Z67*AA67</f>
        <v>20000</v>
      </c>
    </row>
    <row r="68" spans="1:28" x14ac:dyDescent="0.35">
      <c r="A68" s="106"/>
      <c r="B68" t="s">
        <v>76</v>
      </c>
      <c r="C68" s="106"/>
      <c r="D68" t="s">
        <v>69</v>
      </c>
      <c r="E68" s="3">
        <f>VLOOKUP(D68,'Bu Erta'!$C$2:$E$66,3,0)</f>
        <v>2500</v>
      </c>
      <c r="F68">
        <v>0.45</v>
      </c>
      <c r="G68" s="3">
        <f t="shared" si="5"/>
        <v>1125</v>
      </c>
      <c r="H68" s="3">
        <f>VLOOKUP(D68,'Bu Erta'!$C$2:$F$66,4,0)*F68</f>
        <v>1350</v>
      </c>
      <c r="R68" s="17"/>
      <c r="S68" s="17"/>
      <c r="T68" s="54" t="s">
        <v>130</v>
      </c>
      <c r="U68" s="54">
        <f>SUM(U4:U67)</f>
        <v>413.75000000000006</v>
      </c>
      <c r="V68" s="55">
        <f>SUM(V4:V67)</f>
        <v>622167.5</v>
      </c>
      <c r="X68" s="17"/>
      <c r="Y68" s="17"/>
      <c r="Z68" s="54" t="s">
        <v>130</v>
      </c>
      <c r="AA68" s="54">
        <f>SUM(AA4:AA67)</f>
        <v>59</v>
      </c>
      <c r="AB68" s="55">
        <f>SUM(AB4:AB67)</f>
        <v>282000</v>
      </c>
    </row>
    <row r="69" spans="1:28" x14ac:dyDescent="0.35">
      <c r="A69" s="106"/>
      <c r="B69" t="s">
        <v>76</v>
      </c>
      <c r="C69" s="106"/>
      <c r="D69" t="s">
        <v>7</v>
      </c>
      <c r="E69" s="3">
        <f>VLOOKUP(D69,'Bu Erta'!$C$2:$E$66,3,0)</f>
        <v>1400</v>
      </c>
      <c r="F69">
        <v>0.65</v>
      </c>
      <c r="G69" s="3">
        <f t="shared" si="5"/>
        <v>910</v>
      </c>
      <c r="H69" s="3">
        <f>VLOOKUP(D69,'Bu Erta'!$C$2:$F$66,4,0)*F69</f>
        <v>1040</v>
      </c>
    </row>
    <row r="70" spans="1:28" x14ac:dyDescent="0.35">
      <c r="A70" s="106"/>
      <c r="B70" t="s">
        <v>76</v>
      </c>
      <c r="C70" s="106"/>
      <c r="D70" t="s">
        <v>41</v>
      </c>
      <c r="E70" s="3">
        <f>VLOOKUP(D70,'Bu Erta'!$C$2:$E$66,3,0)</f>
        <v>1500</v>
      </c>
      <c r="F70">
        <v>0.35</v>
      </c>
      <c r="G70" s="3">
        <f t="shared" si="5"/>
        <v>525</v>
      </c>
      <c r="H70" s="3">
        <f>VLOOKUP(D70,'Bu Erta'!$C$2:$F$66,4,0)*F70</f>
        <v>700</v>
      </c>
    </row>
    <row r="71" spans="1:28" x14ac:dyDescent="0.35">
      <c r="A71" s="106"/>
      <c r="B71" t="s">
        <v>76</v>
      </c>
      <c r="C71" s="106"/>
      <c r="D71" t="s">
        <v>88</v>
      </c>
      <c r="E71" s="3">
        <f>VLOOKUP(D71,'Bu Erta'!$C$2:$E$66,3,0)</f>
        <v>300</v>
      </c>
      <c r="F71">
        <v>0.2</v>
      </c>
      <c r="G71" s="3">
        <f t="shared" si="5"/>
        <v>60</v>
      </c>
      <c r="H71" s="3">
        <f>VLOOKUP(D71,'Bu Erta'!$C$2:$F$66,4,0)*F71</f>
        <v>80</v>
      </c>
    </row>
    <row r="72" spans="1:28" x14ac:dyDescent="0.35">
      <c r="A72" s="106">
        <v>9</v>
      </c>
      <c r="B72" t="s">
        <v>5</v>
      </c>
      <c r="C72" s="106">
        <v>2</v>
      </c>
      <c r="D72" t="s">
        <v>42</v>
      </c>
      <c r="E72" s="3">
        <f>VLOOKUP(D72,'Bu Erta'!$C$2:$E$66,3,0)</f>
        <v>1000</v>
      </c>
      <c r="F72">
        <v>0.95</v>
      </c>
      <c r="G72" s="3">
        <f t="shared" si="5"/>
        <v>950</v>
      </c>
      <c r="H72" s="3">
        <f>VLOOKUP(D72,'Bu Erta'!$C$2:$F$66,4,0)*F72</f>
        <v>1140</v>
      </c>
      <c r="Y72" s="4">
        <f>V68+AB68</f>
        <v>904167.5</v>
      </c>
    </row>
    <row r="73" spans="1:28" x14ac:dyDescent="0.35">
      <c r="A73" s="106"/>
      <c r="B73" t="s">
        <v>5</v>
      </c>
      <c r="C73" s="106"/>
      <c r="D73" t="s">
        <v>31</v>
      </c>
      <c r="E73" s="3">
        <f>VLOOKUP(D73,'Bu Erta'!$C$2:$E$66,3,0)</f>
        <v>1000</v>
      </c>
      <c r="F73">
        <f>1.4+0.45</f>
        <v>1.8499999999999999</v>
      </c>
      <c r="G73" s="3">
        <f t="shared" si="5"/>
        <v>1849.9999999999998</v>
      </c>
      <c r="H73" s="3">
        <f>VLOOKUP(D73,'Bu Erta'!$C$2:$F$66,4,0)*F73</f>
        <v>2034.9999999999998</v>
      </c>
    </row>
    <row r="74" spans="1:28" x14ac:dyDescent="0.35">
      <c r="A74" s="106">
        <v>10</v>
      </c>
      <c r="B74" t="s">
        <v>182</v>
      </c>
      <c r="C74" s="106">
        <v>4</v>
      </c>
      <c r="D74" t="s">
        <v>25</v>
      </c>
      <c r="E74" s="3">
        <f>VLOOKUP(D74,'Bu Erta'!$C$2:$E$66,3,0)</f>
        <v>1600</v>
      </c>
      <c r="F74">
        <f>0.85+0.25</f>
        <v>1.1000000000000001</v>
      </c>
      <c r="G74" s="3">
        <f t="shared" si="5"/>
        <v>1760.0000000000002</v>
      </c>
      <c r="H74" s="3">
        <f>VLOOKUP(D74,'Bu Erta'!$C$2:$F$66,4,0)*F74</f>
        <v>1870.0000000000002</v>
      </c>
    </row>
    <row r="75" spans="1:28" x14ac:dyDescent="0.35">
      <c r="A75" s="106"/>
      <c r="B75" t="s">
        <v>182</v>
      </c>
      <c r="C75" s="106"/>
      <c r="D75" t="s">
        <v>24</v>
      </c>
      <c r="E75" s="3">
        <f>VLOOKUP(D75,'Bu Erta'!$C$2:$E$66,3,0)</f>
        <v>150</v>
      </c>
      <c r="F75">
        <v>0.4</v>
      </c>
      <c r="G75" s="3">
        <f t="shared" si="5"/>
        <v>60</v>
      </c>
      <c r="H75" s="3">
        <f>VLOOKUP(D75,'Bu Erta'!$C$2:$F$66,4,0)*F75</f>
        <v>80</v>
      </c>
    </row>
    <row r="76" spans="1:28" x14ac:dyDescent="0.35">
      <c r="A76" s="106"/>
      <c r="B76" t="s">
        <v>182</v>
      </c>
      <c r="C76" s="106"/>
      <c r="D76" t="s">
        <v>22</v>
      </c>
      <c r="E76" s="3">
        <f>VLOOKUP(D76,'Bu Erta'!$C$2:$E$66,3,0)</f>
        <v>2500</v>
      </c>
      <c r="F76">
        <v>0.6</v>
      </c>
      <c r="G76" s="3">
        <f t="shared" si="5"/>
        <v>1500</v>
      </c>
      <c r="H76" s="3">
        <f>VLOOKUP(D76,'Bu Erta'!$C$2:$F$66,4,0)*F76</f>
        <v>1800</v>
      </c>
    </row>
    <row r="77" spans="1:28" x14ac:dyDescent="0.35">
      <c r="A77" s="106"/>
      <c r="B77" t="s">
        <v>182</v>
      </c>
      <c r="C77" s="106"/>
      <c r="D77" t="s">
        <v>42</v>
      </c>
      <c r="E77" s="3">
        <f>VLOOKUP(D77,'Bu Erta'!$C$2:$E$66,3,0)</f>
        <v>1000</v>
      </c>
      <c r="F77">
        <v>2.5</v>
      </c>
      <c r="G77" s="3">
        <f t="shared" si="5"/>
        <v>2500</v>
      </c>
      <c r="H77" s="3">
        <f>VLOOKUP(D77,'Bu Erta'!$C$2:$F$66,4,0)*F77</f>
        <v>3000</v>
      </c>
    </row>
    <row r="78" spans="1:28" x14ac:dyDescent="0.35">
      <c r="A78" s="106">
        <v>11</v>
      </c>
      <c r="B78" t="s">
        <v>183</v>
      </c>
      <c r="C78" s="106">
        <v>7</v>
      </c>
      <c r="D78" t="s">
        <v>38</v>
      </c>
      <c r="E78" s="3">
        <f>VLOOKUP(D78,'Bu Erta'!$C$2:$E$66,3,0)</f>
        <v>1400</v>
      </c>
      <c r="F78">
        <v>2.25</v>
      </c>
      <c r="G78" s="3">
        <f t="shared" si="5"/>
        <v>3150</v>
      </c>
      <c r="H78" s="3">
        <f>VLOOKUP(D78,'Bu Erta'!$C$2:$F$66,4,0)*F78</f>
        <v>3600</v>
      </c>
    </row>
    <row r="79" spans="1:28" x14ac:dyDescent="0.35">
      <c r="A79" s="106"/>
      <c r="B79" t="s">
        <v>183</v>
      </c>
      <c r="C79" s="106"/>
      <c r="D79" t="s">
        <v>41</v>
      </c>
      <c r="E79" s="3">
        <f>VLOOKUP(D79,'Bu Erta'!$C$2:$E$66,3,0)</f>
        <v>1500</v>
      </c>
      <c r="F79">
        <v>0.75</v>
      </c>
      <c r="G79" s="3">
        <f t="shared" si="5"/>
        <v>1125</v>
      </c>
      <c r="H79" s="3">
        <f>VLOOKUP(D79,'Bu Erta'!$C$2:$F$66,4,0)*F79</f>
        <v>1500</v>
      </c>
    </row>
    <row r="80" spans="1:28" x14ac:dyDescent="0.35">
      <c r="A80" s="106"/>
      <c r="B80" t="s">
        <v>183</v>
      </c>
      <c r="C80" s="106"/>
      <c r="D80" t="s">
        <v>24</v>
      </c>
      <c r="E80" s="3">
        <f>VLOOKUP(D80,'Bu Erta'!$C$2:$E$66,3,0)</f>
        <v>150</v>
      </c>
      <c r="F80">
        <v>0.3</v>
      </c>
      <c r="G80" s="3">
        <f t="shared" si="5"/>
        <v>45</v>
      </c>
      <c r="H80" s="3">
        <f>VLOOKUP(D80,'Bu Erta'!$C$2:$F$66,4,0)*F80</f>
        <v>60</v>
      </c>
    </row>
    <row r="81" spans="1:8" x14ac:dyDescent="0.35">
      <c r="A81" s="106"/>
      <c r="B81" t="s">
        <v>183</v>
      </c>
      <c r="C81" s="106"/>
      <c r="D81" t="s">
        <v>42</v>
      </c>
      <c r="E81" s="3">
        <f>VLOOKUP(D81,'Bu Erta'!$C$2:$E$66,3,0)</f>
        <v>1000</v>
      </c>
      <c r="F81">
        <v>1.4</v>
      </c>
      <c r="G81" s="3">
        <f t="shared" si="5"/>
        <v>1400</v>
      </c>
      <c r="H81" s="3">
        <f>VLOOKUP(D81,'Bu Erta'!$C$2:$F$66,4,0)*F81</f>
        <v>1680</v>
      </c>
    </row>
    <row r="82" spans="1:8" x14ac:dyDescent="0.35">
      <c r="A82" s="106"/>
      <c r="B82" t="s">
        <v>183</v>
      </c>
      <c r="C82" s="106"/>
      <c r="D82" t="s">
        <v>7</v>
      </c>
      <c r="E82" s="3">
        <f>VLOOKUP(D82,'Bu Erta'!$C$2:$E$66,3,0)</f>
        <v>1400</v>
      </c>
      <c r="F82">
        <v>0.2</v>
      </c>
      <c r="G82" s="3">
        <f t="shared" si="5"/>
        <v>280</v>
      </c>
      <c r="H82" s="3">
        <f>VLOOKUP(D82,'Bu Erta'!$C$2:$F$66,4,0)*F82</f>
        <v>320</v>
      </c>
    </row>
    <row r="83" spans="1:8" x14ac:dyDescent="0.35">
      <c r="A83" s="106">
        <v>12</v>
      </c>
      <c r="B83" t="s">
        <v>184</v>
      </c>
      <c r="C83" s="106">
        <v>7</v>
      </c>
      <c r="D83" t="s">
        <v>25</v>
      </c>
      <c r="E83" s="3">
        <f>VLOOKUP(D83,'Bu Erta'!$C$2:$E$66,3,0)</f>
        <v>1600</v>
      </c>
      <c r="F83">
        <v>0.15</v>
      </c>
      <c r="G83" s="3">
        <f t="shared" si="5"/>
        <v>240</v>
      </c>
      <c r="H83" s="3">
        <f>VLOOKUP(D83,'Bu Erta'!$C$2:$F$66,4,0)*F83</f>
        <v>255</v>
      </c>
    </row>
    <row r="84" spans="1:8" x14ac:dyDescent="0.35">
      <c r="A84" s="106"/>
      <c r="B84" t="s">
        <v>184</v>
      </c>
      <c r="C84" s="106"/>
      <c r="D84" t="s">
        <v>7</v>
      </c>
      <c r="E84" s="3">
        <f>VLOOKUP(D84,'Bu Erta'!$C$2:$E$66,3,0)</f>
        <v>1400</v>
      </c>
      <c r="F84">
        <v>0.15</v>
      </c>
      <c r="G84" s="3">
        <f t="shared" si="5"/>
        <v>210</v>
      </c>
      <c r="H84" s="3">
        <f>VLOOKUP(D84,'Bu Erta'!$C$2:$F$66,4,0)*F84</f>
        <v>240</v>
      </c>
    </row>
    <row r="85" spans="1:8" x14ac:dyDescent="0.35">
      <c r="A85" s="106">
        <v>13</v>
      </c>
      <c r="B85" t="s">
        <v>133</v>
      </c>
      <c r="C85" s="106">
        <v>4</v>
      </c>
      <c r="D85" t="s">
        <v>7</v>
      </c>
      <c r="E85" s="3">
        <f>VLOOKUP(D85,'Bu Erta'!$C$2:$E$66,3,0)</f>
        <v>1400</v>
      </c>
      <c r="F85">
        <v>0.65</v>
      </c>
      <c r="G85" s="3">
        <f t="shared" si="5"/>
        <v>910</v>
      </c>
      <c r="H85" s="3">
        <f>VLOOKUP(D85,'Bu Erta'!$C$2:$F$66,4,0)*F85</f>
        <v>1040</v>
      </c>
    </row>
    <row r="86" spans="1:8" x14ac:dyDescent="0.35">
      <c r="A86" s="106"/>
      <c r="B86" t="s">
        <v>133</v>
      </c>
      <c r="C86" s="106"/>
      <c r="D86" t="s">
        <v>27</v>
      </c>
      <c r="E86" s="3">
        <f>VLOOKUP(D86,'Bu Erta'!$C$2:$E$66,3,0)</f>
        <v>2800</v>
      </c>
      <c r="F86">
        <v>0.15</v>
      </c>
      <c r="G86" s="3">
        <f t="shared" si="5"/>
        <v>420</v>
      </c>
      <c r="H86" s="3">
        <f>VLOOKUP(D86,'Bu Erta'!$C$2:$F$66,4,0)*F86</f>
        <v>465</v>
      </c>
    </row>
    <row r="87" spans="1:8" x14ac:dyDescent="0.35">
      <c r="A87" s="106"/>
      <c r="B87" t="s">
        <v>133</v>
      </c>
      <c r="C87" s="106"/>
      <c r="D87" t="s">
        <v>40</v>
      </c>
      <c r="E87" s="3">
        <f>VLOOKUP(D87,'Bu Erta'!$C$2:$E$66,3,0)</f>
        <v>1800</v>
      </c>
      <c r="F87">
        <f>0.6+0.3</f>
        <v>0.89999999999999991</v>
      </c>
      <c r="G87" s="3">
        <f t="shared" si="5"/>
        <v>1619.9999999999998</v>
      </c>
      <c r="H87" s="3">
        <f>VLOOKUP(D87,'Bu Erta'!$C$2:$F$66,4,0)*F87</f>
        <v>1799.9999999999998</v>
      </c>
    </row>
    <row r="88" spans="1:8" x14ac:dyDescent="0.35">
      <c r="A88" s="106"/>
      <c r="B88" t="s">
        <v>133</v>
      </c>
      <c r="C88" s="106"/>
      <c r="D88" t="s">
        <v>22</v>
      </c>
      <c r="E88" s="3">
        <f>VLOOKUP(D88,'Bu Erta'!$C$2:$E$66,3,0)</f>
        <v>2500</v>
      </c>
      <c r="F88">
        <v>0.4</v>
      </c>
      <c r="G88" s="3">
        <f t="shared" si="5"/>
        <v>1000</v>
      </c>
      <c r="H88" s="3">
        <f>VLOOKUP(D88,'Bu Erta'!$C$2:$F$66,4,0)*F88</f>
        <v>1200</v>
      </c>
    </row>
    <row r="89" spans="1:8" x14ac:dyDescent="0.35">
      <c r="A89" s="106"/>
      <c r="B89" t="s">
        <v>133</v>
      </c>
      <c r="C89" s="106"/>
      <c r="D89" t="s">
        <v>53</v>
      </c>
      <c r="E89" s="3">
        <f>VLOOKUP(D89,'Bu Erta'!$C$2:$E$66,3,0)</f>
        <v>10000</v>
      </c>
      <c r="F89">
        <v>1</v>
      </c>
      <c r="G89" s="3">
        <f t="shared" si="5"/>
        <v>10000</v>
      </c>
      <c r="H89" s="3">
        <f>VLOOKUP(D89,'Bu Erta'!$C$2:$F$66,4,0)*F89</f>
        <v>12000</v>
      </c>
    </row>
    <row r="90" spans="1:8" x14ac:dyDescent="0.35">
      <c r="A90" s="106">
        <v>14</v>
      </c>
      <c r="B90" t="s">
        <v>141</v>
      </c>
      <c r="C90" s="106">
        <v>3</v>
      </c>
      <c r="D90" t="s">
        <v>21</v>
      </c>
      <c r="E90" s="3">
        <f>VLOOKUP(D90,'Bu Erta'!$C$2:$E$66,3,0)</f>
        <v>150</v>
      </c>
      <c r="F90">
        <v>2.85</v>
      </c>
      <c r="G90" s="3">
        <f t="shared" si="5"/>
        <v>427.5</v>
      </c>
      <c r="H90" s="3">
        <f>VLOOKUP(D90,'Bu Erta'!$C$2:$F$66,4,0)*F90</f>
        <v>570</v>
      </c>
    </row>
    <row r="91" spans="1:8" x14ac:dyDescent="0.35">
      <c r="A91" s="106"/>
      <c r="B91" t="s">
        <v>141</v>
      </c>
      <c r="C91" s="106"/>
      <c r="D91" t="s">
        <v>19</v>
      </c>
      <c r="E91" s="3">
        <f>VLOOKUP(D91,'Bu Erta'!$C$2:$E$66,3,0)</f>
        <v>200</v>
      </c>
      <c r="F91">
        <v>0.15</v>
      </c>
      <c r="G91" s="3">
        <f t="shared" si="5"/>
        <v>30</v>
      </c>
      <c r="H91" s="3">
        <f>VLOOKUP(D91,'Bu Erta'!$C$2:$F$66,4,0)*F91</f>
        <v>45</v>
      </c>
    </row>
    <row r="92" spans="1:8" x14ac:dyDescent="0.35">
      <c r="A92" s="106"/>
      <c r="B92" t="s">
        <v>141</v>
      </c>
      <c r="C92" s="106"/>
      <c r="D92" t="s">
        <v>42</v>
      </c>
      <c r="E92" s="3">
        <f>VLOOKUP(D92,'Bu Erta'!$C$2:$E$66,3,0)</f>
        <v>1000</v>
      </c>
      <c r="F92">
        <v>1.05</v>
      </c>
      <c r="G92" s="3">
        <f t="shared" si="5"/>
        <v>1050</v>
      </c>
      <c r="H92" s="3">
        <f>VLOOKUP(D92,'Bu Erta'!$C$2:$F$66,4,0)*F92</f>
        <v>1260</v>
      </c>
    </row>
    <row r="93" spans="1:8" x14ac:dyDescent="0.35">
      <c r="A93" s="106"/>
      <c r="B93" t="s">
        <v>141</v>
      </c>
      <c r="C93" s="106"/>
      <c r="D93" t="s">
        <v>23</v>
      </c>
      <c r="E93" s="3">
        <f>VLOOKUP(D93,'Bu Erta'!$C$2:$E$66,3,0)</f>
        <v>300</v>
      </c>
      <c r="F93">
        <v>0.15</v>
      </c>
      <c r="G93" s="3">
        <f t="shared" si="5"/>
        <v>45</v>
      </c>
      <c r="H93" s="3">
        <f>VLOOKUP(D93,'Bu Erta'!$C$2:$F$66,4,0)*F93</f>
        <v>60</v>
      </c>
    </row>
    <row r="94" spans="1:8" x14ac:dyDescent="0.35">
      <c r="A94" s="106"/>
      <c r="B94" t="s">
        <v>141</v>
      </c>
      <c r="C94" s="106"/>
      <c r="D94" t="s">
        <v>25</v>
      </c>
      <c r="E94" s="3">
        <f>VLOOKUP(D94,'Bu Erta'!$C$2:$E$66,3,0)</f>
        <v>1600</v>
      </c>
      <c r="F94">
        <f>0.45+0.6</f>
        <v>1.05</v>
      </c>
      <c r="G94" s="3">
        <f t="shared" si="5"/>
        <v>1680</v>
      </c>
      <c r="H94" s="3">
        <f>VLOOKUP(D94,'Bu Erta'!$C$2:$F$66,4,0)*F94</f>
        <v>1785</v>
      </c>
    </row>
    <row r="95" spans="1:8" x14ac:dyDescent="0.35">
      <c r="A95" s="106">
        <v>15</v>
      </c>
      <c r="B95" t="s">
        <v>85</v>
      </c>
      <c r="C95" s="106">
        <v>4</v>
      </c>
      <c r="D95" t="s">
        <v>68</v>
      </c>
      <c r="E95" s="3">
        <f>VLOOKUP(D95,'Bu Erta'!$C$2:$E$66,3,0)</f>
        <v>150</v>
      </c>
      <c r="F95">
        <v>0.55000000000000004</v>
      </c>
      <c r="G95" s="3">
        <f t="shared" si="5"/>
        <v>82.5</v>
      </c>
      <c r="H95" s="3">
        <f>VLOOKUP(D95,'Bu Erta'!$C$2:$F$66,4,0)*F95</f>
        <v>110.00000000000001</v>
      </c>
    </row>
    <row r="96" spans="1:8" x14ac:dyDescent="0.35">
      <c r="A96" s="106"/>
      <c r="B96" t="s">
        <v>85</v>
      </c>
      <c r="C96" s="106"/>
      <c r="D96" t="s">
        <v>46</v>
      </c>
      <c r="E96" s="3">
        <f>VLOOKUP(D96,'Bu Erta'!$C$2:$E$66,3,0)</f>
        <v>1400</v>
      </c>
      <c r="F96">
        <v>2.7</v>
      </c>
      <c r="G96" s="3">
        <f t="shared" si="5"/>
        <v>3780.0000000000005</v>
      </c>
      <c r="H96" s="3">
        <f>VLOOKUP(D96,'Bu Erta'!$C$2:$F$66,4,0)*F96</f>
        <v>4050.0000000000005</v>
      </c>
    </row>
    <row r="97" spans="1:8" x14ac:dyDescent="0.35">
      <c r="A97" s="106"/>
      <c r="B97" t="s">
        <v>85</v>
      </c>
      <c r="C97" s="106"/>
      <c r="D97" t="s">
        <v>42</v>
      </c>
      <c r="E97" s="3">
        <f>VLOOKUP(D97,'Bu Erta'!$C$2:$E$66,3,0)</f>
        <v>1000</v>
      </c>
      <c r="F97">
        <v>1.5</v>
      </c>
      <c r="G97" s="3">
        <f t="shared" si="5"/>
        <v>1500</v>
      </c>
      <c r="H97" s="3">
        <f>VLOOKUP(D97,'Bu Erta'!$C$2:$F$66,4,0)*F97</f>
        <v>1800</v>
      </c>
    </row>
    <row r="98" spans="1:8" x14ac:dyDescent="0.35">
      <c r="A98" s="106"/>
      <c r="B98" t="s">
        <v>85</v>
      </c>
      <c r="C98" s="106"/>
      <c r="D98" t="s">
        <v>23</v>
      </c>
      <c r="E98" s="3">
        <f>VLOOKUP(D98,'Bu Erta'!$C$2:$E$66,3,0)</f>
        <v>300</v>
      </c>
      <c r="F98">
        <v>1.1499999999999999</v>
      </c>
      <c r="G98" s="3">
        <f t="shared" si="5"/>
        <v>345</v>
      </c>
      <c r="H98" s="3">
        <f>VLOOKUP(D98,'Bu Erta'!$C$2:$F$66,4,0)*F98</f>
        <v>459.99999999999994</v>
      </c>
    </row>
    <row r="99" spans="1:8" x14ac:dyDescent="0.35">
      <c r="A99" s="106"/>
      <c r="B99" t="s">
        <v>85</v>
      </c>
      <c r="C99" s="106"/>
      <c r="D99" t="s">
        <v>61</v>
      </c>
      <c r="E99" s="3">
        <f>VLOOKUP(D99,'Bu Erta'!$C$2:$E$66,3,0)</f>
        <v>800</v>
      </c>
      <c r="F99">
        <v>0.1</v>
      </c>
      <c r="G99" s="3">
        <f t="shared" si="5"/>
        <v>80</v>
      </c>
      <c r="H99" s="3">
        <f>VLOOKUP(D99,'Bu Erta'!$C$2:$F$66,4,0)*F99</f>
        <v>90</v>
      </c>
    </row>
    <row r="100" spans="1:8" x14ac:dyDescent="0.35">
      <c r="A100" s="106"/>
      <c r="B100" t="s">
        <v>85</v>
      </c>
      <c r="C100" s="106"/>
      <c r="D100" t="s">
        <v>88</v>
      </c>
      <c r="E100" s="3">
        <f>VLOOKUP(D100,'Bu Erta'!$C$2:$E$66,3,0)</f>
        <v>300</v>
      </c>
      <c r="F100">
        <v>0.1</v>
      </c>
      <c r="G100" s="3">
        <f t="shared" si="5"/>
        <v>30</v>
      </c>
      <c r="H100" s="3">
        <f>VLOOKUP(D100,'Bu Erta'!$C$2:$F$66,4,0)*F100</f>
        <v>40</v>
      </c>
    </row>
    <row r="101" spans="1:8" x14ac:dyDescent="0.35">
      <c r="A101" s="106"/>
      <c r="B101" t="s">
        <v>85</v>
      </c>
      <c r="C101" s="106"/>
      <c r="D101" t="s">
        <v>19</v>
      </c>
      <c r="E101" s="3">
        <f>VLOOKUP(D101,'Bu Erta'!$C$2:$E$66,3,0)</f>
        <v>200</v>
      </c>
      <c r="F101">
        <v>0.15</v>
      </c>
      <c r="G101" s="3">
        <f t="shared" si="5"/>
        <v>30</v>
      </c>
      <c r="H101" s="3">
        <f>VLOOKUP(D101,'Bu Erta'!$C$2:$F$66,4,0)*F101</f>
        <v>45</v>
      </c>
    </row>
    <row r="102" spans="1:8" x14ac:dyDescent="0.35">
      <c r="A102" s="5">
        <v>16</v>
      </c>
      <c r="B102" t="s">
        <v>185</v>
      </c>
      <c r="C102" s="5">
        <v>4</v>
      </c>
      <c r="D102" t="s">
        <v>7</v>
      </c>
      <c r="E102" s="3">
        <f>VLOOKUP(D102,'Bu Erta'!$C$2:$E$66,3,0)</f>
        <v>1400</v>
      </c>
      <c r="F102">
        <v>7.6</v>
      </c>
      <c r="G102" s="3">
        <f t="shared" si="5"/>
        <v>10640</v>
      </c>
      <c r="H102" s="3">
        <f>VLOOKUP(D102,'Bu Erta'!$C$2:$F$66,4,0)*F102</f>
        <v>12160</v>
      </c>
    </row>
    <row r="103" spans="1:8" x14ac:dyDescent="0.35">
      <c r="A103" s="106">
        <v>17</v>
      </c>
      <c r="B103" t="s">
        <v>186</v>
      </c>
      <c r="C103" s="106">
        <v>3</v>
      </c>
      <c r="D103" t="s">
        <v>146</v>
      </c>
      <c r="E103" s="3">
        <f>VLOOKUP(D103,'Bu Erta'!$C$2:$E$66,3,0)</f>
        <v>1800</v>
      </c>
      <c r="F103">
        <f>1.3+0.6</f>
        <v>1.9</v>
      </c>
      <c r="G103" s="3">
        <f t="shared" si="5"/>
        <v>3420</v>
      </c>
      <c r="H103" s="3">
        <f>VLOOKUP(D103,'Bu Erta'!$C$2:$F$66,4,0)*F103</f>
        <v>3800</v>
      </c>
    </row>
    <row r="104" spans="1:8" x14ac:dyDescent="0.35">
      <c r="A104" s="106"/>
      <c r="B104" t="s">
        <v>186</v>
      </c>
      <c r="C104" s="106"/>
      <c r="D104" t="s">
        <v>7</v>
      </c>
      <c r="E104" s="3">
        <f>VLOOKUP(D104,'Bu Erta'!$C$2:$E$66,3,0)</f>
        <v>1400</v>
      </c>
      <c r="F104">
        <v>2.4500000000000002</v>
      </c>
      <c r="G104" s="3">
        <f t="shared" si="5"/>
        <v>3430.0000000000005</v>
      </c>
      <c r="H104" s="3">
        <f>VLOOKUP(D104,'Bu Erta'!$C$2:$F$66,4,0)*F104</f>
        <v>3920.0000000000005</v>
      </c>
    </row>
    <row r="105" spans="1:8" x14ac:dyDescent="0.35">
      <c r="A105" s="106"/>
      <c r="B105" t="s">
        <v>186</v>
      </c>
      <c r="C105" s="106"/>
      <c r="D105" t="s">
        <v>42</v>
      </c>
      <c r="E105" s="3">
        <f>VLOOKUP(D105,'Bu Erta'!$C$2:$E$66,3,0)</f>
        <v>1000</v>
      </c>
      <c r="F105">
        <v>0.2</v>
      </c>
      <c r="G105" s="3">
        <f t="shared" si="5"/>
        <v>200</v>
      </c>
      <c r="H105" s="3">
        <f>VLOOKUP(D105,'Bu Erta'!$C$2:$F$66,4,0)*F105</f>
        <v>240</v>
      </c>
    </row>
    <row r="106" spans="1:8" x14ac:dyDescent="0.35">
      <c r="A106" s="106"/>
      <c r="B106" t="s">
        <v>186</v>
      </c>
      <c r="C106" s="106"/>
      <c r="D106" t="s">
        <v>25</v>
      </c>
      <c r="E106" s="3">
        <f>VLOOKUP(D106,'Bu Erta'!$C$2:$E$66,3,0)</f>
        <v>1600</v>
      </c>
      <c r="F106">
        <v>0.7</v>
      </c>
      <c r="G106" s="3">
        <f t="shared" si="5"/>
        <v>1120</v>
      </c>
      <c r="H106" s="3">
        <f>VLOOKUP(D106,'Bu Erta'!$C$2:$F$66,4,0)*F106</f>
        <v>1190</v>
      </c>
    </row>
    <row r="107" spans="1:8" x14ac:dyDescent="0.35">
      <c r="A107" s="106"/>
      <c r="B107" t="s">
        <v>186</v>
      </c>
      <c r="C107" s="106"/>
      <c r="D107" t="s">
        <v>41</v>
      </c>
      <c r="E107" s="3">
        <f>VLOOKUP(D107,'Bu Erta'!$C$2:$E$66,3,0)</f>
        <v>1500</v>
      </c>
      <c r="F107">
        <v>0.15</v>
      </c>
      <c r="G107" s="3">
        <f t="shared" si="5"/>
        <v>225</v>
      </c>
      <c r="H107" s="3">
        <f>VLOOKUP(D107,'Bu Erta'!$C$2:$F$66,4,0)*F107</f>
        <v>300</v>
      </c>
    </row>
    <row r="108" spans="1:8" x14ac:dyDescent="0.35">
      <c r="A108" s="106">
        <v>18</v>
      </c>
      <c r="B108" t="s">
        <v>147</v>
      </c>
      <c r="C108" s="106">
        <v>3</v>
      </c>
      <c r="D108" t="s">
        <v>27</v>
      </c>
      <c r="E108" s="3">
        <f>VLOOKUP(D108,'Bu Erta'!$C$2:$E$66,3,0)</f>
        <v>2800</v>
      </c>
      <c r="F108">
        <v>0.4</v>
      </c>
      <c r="G108" s="3">
        <f t="shared" si="5"/>
        <v>1120</v>
      </c>
      <c r="H108" s="3">
        <f>VLOOKUP(D108,'Bu Erta'!$C$2:$F$66,4,0)*F108</f>
        <v>1240</v>
      </c>
    </row>
    <row r="109" spans="1:8" x14ac:dyDescent="0.35">
      <c r="A109" s="106"/>
      <c r="B109" t="s">
        <v>147</v>
      </c>
      <c r="C109" s="106"/>
      <c r="D109" t="s">
        <v>34</v>
      </c>
      <c r="E109" s="3">
        <f>VLOOKUP(D109,'Bu Erta'!$C$2:$E$66,3,0)</f>
        <v>3500</v>
      </c>
      <c r="F109">
        <v>0.7</v>
      </c>
      <c r="G109" s="3">
        <f t="shared" si="5"/>
        <v>2450</v>
      </c>
      <c r="H109" s="3">
        <f>VLOOKUP(D109,'Bu Erta'!$C$2:$F$66,4,0)*F109</f>
        <v>2520</v>
      </c>
    </row>
    <row r="110" spans="1:8" x14ac:dyDescent="0.35">
      <c r="A110" s="106"/>
      <c r="B110" t="s">
        <v>147</v>
      </c>
      <c r="C110" s="106"/>
      <c r="D110" t="s">
        <v>39</v>
      </c>
      <c r="E110" s="3">
        <f>VLOOKUP(D110,'Bu Erta'!$C$2:$E$66,3,0)</f>
        <v>150</v>
      </c>
      <c r="F110">
        <v>0.85</v>
      </c>
      <c r="G110" s="3">
        <f t="shared" si="5"/>
        <v>127.5</v>
      </c>
      <c r="H110" s="3">
        <f>VLOOKUP(D110,'Bu Erta'!$C$2:$F$66,4,0)*F110</f>
        <v>170</v>
      </c>
    </row>
    <row r="111" spans="1:8" x14ac:dyDescent="0.35">
      <c r="A111" s="106"/>
      <c r="B111" t="s">
        <v>147</v>
      </c>
      <c r="C111" s="106"/>
      <c r="D111" t="s">
        <v>7</v>
      </c>
      <c r="E111" s="3">
        <f>VLOOKUP(D111,'Bu Erta'!$C$2:$E$66,3,0)</f>
        <v>1400</v>
      </c>
      <c r="F111">
        <v>0.1</v>
      </c>
      <c r="G111" s="3">
        <f t="shared" si="5"/>
        <v>140</v>
      </c>
      <c r="H111" s="3">
        <f>VLOOKUP(D111,'Bu Erta'!$C$2:$F$66,4,0)*F111</f>
        <v>160</v>
      </c>
    </row>
    <row r="112" spans="1:8" x14ac:dyDescent="0.35">
      <c r="A112" s="106"/>
      <c r="B112" t="s">
        <v>147</v>
      </c>
      <c r="C112" s="106"/>
      <c r="D112" t="s">
        <v>23</v>
      </c>
      <c r="E112" s="3">
        <f>VLOOKUP(D112,'Bu Erta'!$C$2:$E$66,3,0)</f>
        <v>300</v>
      </c>
      <c r="F112">
        <v>0.65</v>
      </c>
      <c r="G112" s="3">
        <f t="shared" si="5"/>
        <v>195</v>
      </c>
      <c r="H112" s="3">
        <f>VLOOKUP(D112,'Bu Erta'!$C$2:$F$66,4,0)*F112</f>
        <v>260</v>
      </c>
    </row>
    <row r="113" spans="1:8" x14ac:dyDescent="0.35">
      <c r="A113" s="106"/>
      <c r="B113" t="s">
        <v>147</v>
      </c>
      <c r="C113" s="106"/>
      <c r="D113" t="s">
        <v>42</v>
      </c>
      <c r="E113" s="3">
        <f>VLOOKUP(D113,'Bu Erta'!$C$2:$E$66,3,0)</f>
        <v>1000</v>
      </c>
      <c r="F113">
        <v>0.35</v>
      </c>
      <c r="G113" s="3">
        <f t="shared" si="5"/>
        <v>350</v>
      </c>
      <c r="H113" s="3">
        <f>VLOOKUP(D113,'Bu Erta'!$C$2:$F$66,4,0)*F113</f>
        <v>420</v>
      </c>
    </row>
    <row r="114" spans="1:8" x14ac:dyDescent="0.35">
      <c r="A114" s="106"/>
      <c r="B114" t="s">
        <v>147</v>
      </c>
      <c r="C114" s="106"/>
      <c r="D114" t="s">
        <v>19</v>
      </c>
      <c r="E114" s="3">
        <f>VLOOKUP(D114,'Bu Erta'!$C$2:$E$66,3,0)</f>
        <v>200</v>
      </c>
      <c r="F114">
        <v>0.25</v>
      </c>
      <c r="G114" s="3">
        <f t="shared" si="5"/>
        <v>50</v>
      </c>
      <c r="H114" s="3">
        <f>VLOOKUP(D114,'Bu Erta'!$C$2:$F$66,4,0)*F114</f>
        <v>75</v>
      </c>
    </row>
    <row r="115" spans="1:8" x14ac:dyDescent="0.35">
      <c r="A115" s="106">
        <v>19</v>
      </c>
      <c r="B115" t="s">
        <v>187</v>
      </c>
      <c r="C115" s="106">
        <v>4</v>
      </c>
      <c r="D115" t="s">
        <v>7</v>
      </c>
      <c r="E115" s="3">
        <f>VLOOKUP(D115,'Bu Erta'!$C$2:$E$66,3,0)</f>
        <v>1400</v>
      </c>
      <c r="F115">
        <v>0.1</v>
      </c>
      <c r="G115" s="3">
        <f t="shared" si="5"/>
        <v>140</v>
      </c>
      <c r="H115" s="3">
        <f>VLOOKUP(D115,'Bu Erta'!$C$2:$F$66,4,0)*F115</f>
        <v>160</v>
      </c>
    </row>
    <row r="116" spans="1:8" x14ac:dyDescent="0.35">
      <c r="A116" s="106"/>
      <c r="B116" t="s">
        <v>187</v>
      </c>
      <c r="C116" s="106"/>
      <c r="D116" t="s">
        <v>25</v>
      </c>
      <c r="E116" s="3">
        <f>VLOOKUP(D116,'Bu Erta'!$C$2:$E$66,3,0)</f>
        <v>1600</v>
      </c>
      <c r="F116">
        <v>0.35</v>
      </c>
      <c r="G116" s="3">
        <f t="shared" si="5"/>
        <v>560</v>
      </c>
      <c r="H116" s="3">
        <f>VLOOKUP(D116,'Bu Erta'!$C$2:$F$66,4,0)*F116</f>
        <v>595</v>
      </c>
    </row>
    <row r="117" spans="1:8" x14ac:dyDescent="0.35">
      <c r="A117" s="106"/>
      <c r="B117" t="s">
        <v>187</v>
      </c>
      <c r="C117" s="106"/>
      <c r="D117" t="s">
        <v>40</v>
      </c>
      <c r="E117" s="3">
        <f>VLOOKUP(D117,'Bu Erta'!$C$2:$E$66,3,0)</f>
        <v>1800</v>
      </c>
      <c r="F117">
        <v>0.1</v>
      </c>
      <c r="G117" s="3">
        <f t="shared" si="5"/>
        <v>180</v>
      </c>
      <c r="H117" s="3">
        <f>VLOOKUP(D117,'Bu Erta'!$C$2:$F$66,4,0)*F117</f>
        <v>200</v>
      </c>
    </row>
    <row r="118" spans="1:8" x14ac:dyDescent="0.35">
      <c r="A118" s="106"/>
      <c r="B118" t="s">
        <v>187</v>
      </c>
      <c r="C118" s="106"/>
      <c r="D118" t="s">
        <v>24</v>
      </c>
      <c r="E118" s="3">
        <f>VLOOKUP(D118,'Bu Erta'!$C$2:$E$66,3,0)</f>
        <v>150</v>
      </c>
      <c r="F118">
        <v>1.9</v>
      </c>
      <c r="G118" s="3">
        <f t="shared" si="5"/>
        <v>285</v>
      </c>
      <c r="H118" s="3">
        <f>VLOOKUP(D118,'Bu Erta'!$C$2:$F$66,4,0)*F118</f>
        <v>380</v>
      </c>
    </row>
    <row r="119" spans="1:8" x14ac:dyDescent="0.35">
      <c r="A119" s="106">
        <v>20</v>
      </c>
      <c r="B119" t="s">
        <v>145</v>
      </c>
      <c r="C119" s="106">
        <v>4</v>
      </c>
      <c r="D119" t="s">
        <v>7</v>
      </c>
      <c r="E119" s="3">
        <f>VLOOKUP(D119,'Bu Erta'!$C$2:$E$66,3,0)</f>
        <v>1400</v>
      </c>
      <c r="F119">
        <f>7.65+4.1+0.85</f>
        <v>12.6</v>
      </c>
      <c r="G119" s="3">
        <f t="shared" si="5"/>
        <v>17640</v>
      </c>
      <c r="H119" s="3">
        <f>VLOOKUP(D119,'Bu Erta'!$C$2:$F$66,4,0)*F119</f>
        <v>20160</v>
      </c>
    </row>
    <row r="120" spans="1:8" x14ac:dyDescent="0.35">
      <c r="A120" s="106"/>
      <c r="B120" t="s">
        <v>145</v>
      </c>
      <c r="C120" s="106"/>
      <c r="D120" t="s">
        <v>40</v>
      </c>
      <c r="E120" s="3">
        <f>VLOOKUP(D120,'Bu Erta'!$C$2:$E$66,3,0)</f>
        <v>1800</v>
      </c>
      <c r="F120">
        <v>4.05</v>
      </c>
      <c r="G120" s="3">
        <f t="shared" si="5"/>
        <v>7290</v>
      </c>
      <c r="H120" s="3">
        <f>VLOOKUP(D120,'Bu Erta'!$C$2:$F$66,4,0)*F120</f>
        <v>8100</v>
      </c>
    </row>
    <row r="121" spans="1:8" x14ac:dyDescent="0.35">
      <c r="A121" s="106"/>
      <c r="B121" t="s">
        <v>145</v>
      </c>
      <c r="C121" s="106"/>
      <c r="D121" t="s">
        <v>24</v>
      </c>
      <c r="E121" s="3">
        <f>VLOOKUP(D121,'Bu Erta'!$C$2:$E$66,3,0)</f>
        <v>150</v>
      </c>
      <c r="F121">
        <v>3.05</v>
      </c>
      <c r="G121" s="3">
        <f t="shared" si="5"/>
        <v>457.5</v>
      </c>
      <c r="H121" s="3">
        <f>VLOOKUP(D121,'Bu Erta'!$C$2:$F$66,4,0)*F121</f>
        <v>610</v>
      </c>
    </row>
    <row r="122" spans="1:8" x14ac:dyDescent="0.35">
      <c r="A122" s="106"/>
      <c r="B122" t="s">
        <v>145</v>
      </c>
      <c r="C122" s="106"/>
      <c r="D122" t="s">
        <v>41</v>
      </c>
      <c r="E122" s="3">
        <f>VLOOKUP(D122,'Bu Erta'!$C$2:$E$66,3,0)</f>
        <v>1500</v>
      </c>
      <c r="F122">
        <v>0.2</v>
      </c>
      <c r="G122" s="3">
        <f t="shared" si="5"/>
        <v>300</v>
      </c>
      <c r="H122" s="3">
        <f>VLOOKUP(D122,'Bu Erta'!$C$2:$F$66,4,0)*F122</f>
        <v>400</v>
      </c>
    </row>
    <row r="123" spans="1:8" x14ac:dyDescent="0.35">
      <c r="A123" s="106"/>
      <c r="B123" t="s">
        <v>145</v>
      </c>
      <c r="C123" s="106"/>
      <c r="D123" t="s">
        <v>23</v>
      </c>
      <c r="E123" s="3">
        <f>VLOOKUP(D123,'Bu Erta'!$C$2:$E$66,3,0)</f>
        <v>300</v>
      </c>
      <c r="F123">
        <v>0.95</v>
      </c>
      <c r="G123" s="3">
        <f t="shared" si="5"/>
        <v>285</v>
      </c>
      <c r="H123" s="3">
        <f>VLOOKUP(D123,'Bu Erta'!$C$2:$F$66,4,0)*F123</f>
        <v>380</v>
      </c>
    </row>
    <row r="124" spans="1:8" x14ac:dyDescent="0.35">
      <c r="A124" s="106"/>
      <c r="B124" t="s">
        <v>145</v>
      </c>
      <c r="C124" s="106"/>
      <c r="D124" t="s">
        <v>49</v>
      </c>
      <c r="E124" s="3">
        <f>VLOOKUP(D124,'Bu Erta'!$C$2:$E$66,3,0)</f>
        <v>800</v>
      </c>
      <c r="F124">
        <v>1.1499999999999999</v>
      </c>
      <c r="G124" s="3">
        <f t="shared" si="5"/>
        <v>919.99999999999989</v>
      </c>
      <c r="H124" s="3">
        <f>VLOOKUP(D124,'Bu Erta'!$C$2:$F$66,4,0)*F124</f>
        <v>1035</v>
      </c>
    </row>
    <row r="125" spans="1:8" x14ac:dyDescent="0.35">
      <c r="A125" s="106"/>
      <c r="B125" t="s">
        <v>145</v>
      </c>
      <c r="C125" s="106"/>
      <c r="D125" t="s">
        <v>42</v>
      </c>
      <c r="E125" s="3">
        <f>VLOOKUP(D125,'Bu Erta'!$C$2:$E$66,3,0)</f>
        <v>1000</v>
      </c>
      <c r="F125">
        <v>5.55</v>
      </c>
      <c r="G125" s="3">
        <f t="shared" si="5"/>
        <v>5550</v>
      </c>
      <c r="H125" s="3">
        <f>VLOOKUP(D125,'Bu Erta'!$C$2:$F$66,4,0)*F125</f>
        <v>6660</v>
      </c>
    </row>
    <row r="126" spans="1:8" x14ac:dyDescent="0.35">
      <c r="A126" s="106"/>
      <c r="B126" t="s">
        <v>145</v>
      </c>
      <c r="C126" s="106"/>
      <c r="D126" t="s">
        <v>19</v>
      </c>
      <c r="E126" s="3">
        <f>VLOOKUP(D126,'Bu Erta'!$C$2:$E$66,3,0)</f>
        <v>200</v>
      </c>
      <c r="F126">
        <v>0.85</v>
      </c>
      <c r="G126" s="3">
        <f t="shared" si="5"/>
        <v>170</v>
      </c>
      <c r="H126" s="3">
        <f>VLOOKUP(D126,'Bu Erta'!$C$2:$F$66,4,0)*F126</f>
        <v>255</v>
      </c>
    </row>
    <row r="127" spans="1:8" x14ac:dyDescent="0.35">
      <c r="A127" s="106">
        <v>21</v>
      </c>
      <c r="B127" t="s">
        <v>108</v>
      </c>
      <c r="C127" s="106">
        <v>2</v>
      </c>
      <c r="D127" t="s">
        <v>19</v>
      </c>
      <c r="E127" s="3">
        <f>VLOOKUP(D127,'Bu Erta'!$C$2:$E$66,3,0)</f>
        <v>200</v>
      </c>
      <c r="F127">
        <v>0.15</v>
      </c>
      <c r="G127" s="3">
        <f t="shared" ref="G127:G190" si="6">E127*F127</f>
        <v>30</v>
      </c>
      <c r="H127" s="3">
        <f>VLOOKUP(D127,'Bu Erta'!$C$2:$F$66,4,0)*F127</f>
        <v>45</v>
      </c>
    </row>
    <row r="128" spans="1:8" x14ac:dyDescent="0.35">
      <c r="A128" s="106"/>
      <c r="B128" t="s">
        <v>108</v>
      </c>
      <c r="C128" s="106"/>
      <c r="D128" t="s">
        <v>24</v>
      </c>
      <c r="E128" s="3">
        <f>VLOOKUP(D128,'Bu Erta'!$C$2:$E$66,3,0)</f>
        <v>150</v>
      </c>
      <c r="F128">
        <v>0.4</v>
      </c>
      <c r="G128" s="3">
        <f t="shared" si="6"/>
        <v>60</v>
      </c>
      <c r="H128" s="3">
        <f>VLOOKUP(D128,'Bu Erta'!$C$2:$F$66,4,0)*F128</f>
        <v>80</v>
      </c>
    </row>
    <row r="129" spans="1:8" x14ac:dyDescent="0.35">
      <c r="A129" s="106"/>
      <c r="B129" t="s">
        <v>108</v>
      </c>
      <c r="C129" s="106"/>
      <c r="D129" t="s">
        <v>7</v>
      </c>
      <c r="E129" s="3">
        <f>VLOOKUP(D129,'Bu Erta'!$C$2:$E$66,3,0)</f>
        <v>1400</v>
      </c>
      <c r="F129">
        <v>0.6</v>
      </c>
      <c r="G129" s="3">
        <f t="shared" si="6"/>
        <v>840</v>
      </c>
      <c r="H129" s="3">
        <f>VLOOKUP(D129,'Bu Erta'!$C$2:$F$66,4,0)*F129</f>
        <v>960</v>
      </c>
    </row>
    <row r="130" spans="1:8" x14ac:dyDescent="0.35">
      <c r="A130" s="106"/>
      <c r="B130" t="s">
        <v>108</v>
      </c>
      <c r="C130" s="106"/>
      <c r="D130" t="s">
        <v>25</v>
      </c>
      <c r="E130" s="3">
        <f>VLOOKUP(D130,'Bu Erta'!$C$2:$E$66,3,0)</f>
        <v>1600</v>
      </c>
      <c r="F130">
        <v>0.4</v>
      </c>
      <c r="G130" s="3">
        <f t="shared" si="6"/>
        <v>640</v>
      </c>
      <c r="H130" s="3">
        <f>VLOOKUP(D130,'Bu Erta'!$C$2:$F$66,4,0)*F130</f>
        <v>680</v>
      </c>
    </row>
    <row r="131" spans="1:8" x14ac:dyDescent="0.35">
      <c r="A131" s="106"/>
      <c r="B131" t="s">
        <v>108</v>
      </c>
      <c r="C131" s="106"/>
      <c r="D131" t="s">
        <v>21</v>
      </c>
      <c r="E131" s="3">
        <f>VLOOKUP(D131,'Bu Erta'!$C$2:$E$66,3,0)</f>
        <v>150</v>
      </c>
      <c r="F131">
        <f>6.65+6.55</f>
        <v>13.2</v>
      </c>
      <c r="G131" s="3">
        <f t="shared" si="6"/>
        <v>1980</v>
      </c>
      <c r="H131" s="3">
        <f>VLOOKUP(D131,'Bu Erta'!$C$2:$F$66,4,0)*F131</f>
        <v>2640</v>
      </c>
    </row>
    <row r="132" spans="1:8" x14ac:dyDescent="0.35">
      <c r="A132" s="106">
        <v>22</v>
      </c>
      <c r="B132" t="s">
        <v>180</v>
      </c>
      <c r="C132" s="106">
        <v>4</v>
      </c>
      <c r="D132" t="s">
        <v>31</v>
      </c>
      <c r="E132" s="3">
        <f>VLOOKUP(D132,'Bu Erta'!$C$2:$E$66,3,0)</f>
        <v>1000</v>
      </c>
      <c r="F132">
        <v>1.3</v>
      </c>
      <c r="G132" s="3">
        <f t="shared" si="6"/>
        <v>1300</v>
      </c>
      <c r="H132" s="3">
        <f>VLOOKUP(D132,'Bu Erta'!$C$2:$F$66,4,0)*F132</f>
        <v>1430</v>
      </c>
    </row>
    <row r="133" spans="1:8" x14ac:dyDescent="0.35">
      <c r="A133" s="106"/>
      <c r="B133" t="s">
        <v>180</v>
      </c>
      <c r="C133" s="106"/>
      <c r="D133" t="s">
        <v>19</v>
      </c>
      <c r="E133" s="3">
        <f>VLOOKUP(D133,'Bu Erta'!$C$2:$E$66,3,0)</f>
        <v>200</v>
      </c>
      <c r="F133">
        <v>0.6</v>
      </c>
      <c r="G133" s="3">
        <f t="shared" si="6"/>
        <v>120</v>
      </c>
      <c r="H133" s="3">
        <f>VLOOKUP(D133,'Bu Erta'!$C$2:$F$66,4,0)*F133</f>
        <v>180</v>
      </c>
    </row>
    <row r="134" spans="1:8" x14ac:dyDescent="0.35">
      <c r="A134" s="106"/>
      <c r="B134" t="s">
        <v>180</v>
      </c>
      <c r="C134" s="106"/>
      <c r="D134" t="s">
        <v>23</v>
      </c>
      <c r="E134" s="3">
        <f>VLOOKUP(D134,'Bu Erta'!$C$2:$E$66,3,0)</f>
        <v>300</v>
      </c>
      <c r="F134">
        <v>0.9</v>
      </c>
      <c r="G134" s="3">
        <f t="shared" si="6"/>
        <v>270</v>
      </c>
      <c r="H134" s="3">
        <f>VLOOKUP(D134,'Bu Erta'!$C$2:$F$66,4,0)*F134</f>
        <v>360</v>
      </c>
    </row>
    <row r="135" spans="1:8" x14ac:dyDescent="0.35">
      <c r="A135" s="106"/>
      <c r="B135" t="s">
        <v>180</v>
      </c>
      <c r="C135" s="106"/>
      <c r="D135" t="s">
        <v>42</v>
      </c>
      <c r="E135" s="3">
        <f>VLOOKUP(D135,'Bu Erta'!$C$2:$E$66,3,0)</f>
        <v>1000</v>
      </c>
      <c r="F135">
        <v>1.05</v>
      </c>
      <c r="G135" s="3">
        <f t="shared" si="6"/>
        <v>1050</v>
      </c>
      <c r="H135" s="3">
        <f>VLOOKUP(D135,'Bu Erta'!$C$2:$F$66,4,0)*F135</f>
        <v>1260</v>
      </c>
    </row>
    <row r="136" spans="1:8" x14ac:dyDescent="0.35">
      <c r="A136" s="106"/>
      <c r="B136" t="s">
        <v>180</v>
      </c>
      <c r="C136" s="106"/>
      <c r="D136" t="s">
        <v>40</v>
      </c>
      <c r="E136" s="3">
        <f>VLOOKUP(D136,'Bu Erta'!$C$2:$E$66,3,0)</f>
        <v>1800</v>
      </c>
      <c r="F136">
        <v>1.1000000000000001</v>
      </c>
      <c r="G136" s="3">
        <f t="shared" si="6"/>
        <v>1980.0000000000002</v>
      </c>
      <c r="H136" s="3">
        <f>VLOOKUP(D136,'Bu Erta'!$C$2:$F$66,4,0)*F136</f>
        <v>2200</v>
      </c>
    </row>
    <row r="137" spans="1:8" x14ac:dyDescent="0.35">
      <c r="A137" s="106"/>
      <c r="B137" t="s">
        <v>180</v>
      </c>
      <c r="C137" s="106"/>
      <c r="D137" t="s">
        <v>22</v>
      </c>
      <c r="E137" s="3">
        <f>VLOOKUP(D137,'Bu Erta'!$C$2:$E$66,3,0)</f>
        <v>2500</v>
      </c>
      <c r="F137">
        <v>2.85</v>
      </c>
      <c r="G137" s="3">
        <f t="shared" si="6"/>
        <v>7125</v>
      </c>
      <c r="H137" s="3">
        <f>VLOOKUP(D137,'Bu Erta'!$C$2:$F$66,4,0)*F137</f>
        <v>8550</v>
      </c>
    </row>
    <row r="138" spans="1:8" x14ac:dyDescent="0.35">
      <c r="A138" s="106">
        <v>23</v>
      </c>
      <c r="B138" t="s">
        <v>105</v>
      </c>
      <c r="C138" s="106">
        <v>4</v>
      </c>
      <c r="D138" t="s">
        <v>23</v>
      </c>
      <c r="E138" s="3">
        <f>VLOOKUP(D138,'Bu Erta'!$C$2:$E$66,3,0)</f>
        <v>300</v>
      </c>
      <c r="F138">
        <f>0.6+0.1</f>
        <v>0.7</v>
      </c>
      <c r="G138" s="3">
        <f t="shared" si="6"/>
        <v>210</v>
      </c>
      <c r="H138" s="3">
        <f>VLOOKUP(D138,'Bu Erta'!$C$2:$F$66,4,0)*F138</f>
        <v>280</v>
      </c>
    </row>
    <row r="139" spans="1:8" x14ac:dyDescent="0.35">
      <c r="A139" s="106"/>
      <c r="B139" t="s">
        <v>105</v>
      </c>
      <c r="C139" s="106"/>
      <c r="D139" t="s">
        <v>42</v>
      </c>
      <c r="E139" s="3">
        <f>VLOOKUP(D139,'Bu Erta'!$C$2:$E$66,3,0)</f>
        <v>1000</v>
      </c>
      <c r="F139">
        <v>0.65</v>
      </c>
      <c r="G139" s="3">
        <f t="shared" si="6"/>
        <v>650</v>
      </c>
      <c r="H139" s="3">
        <f>VLOOKUP(D139,'Bu Erta'!$C$2:$F$66,4,0)*F139</f>
        <v>780</v>
      </c>
    </row>
    <row r="140" spans="1:8" x14ac:dyDescent="0.35">
      <c r="A140" s="106"/>
      <c r="B140" t="s">
        <v>105</v>
      </c>
      <c r="C140" s="106"/>
      <c r="D140" t="s">
        <v>7</v>
      </c>
      <c r="E140" s="3">
        <f>VLOOKUP(D140,'Bu Erta'!$C$2:$E$66,3,0)</f>
        <v>1400</v>
      </c>
      <c r="F140">
        <f>0.35+0.6</f>
        <v>0.95</v>
      </c>
      <c r="G140" s="3">
        <f t="shared" si="6"/>
        <v>1330</v>
      </c>
      <c r="H140" s="3">
        <f>VLOOKUP(D140,'Bu Erta'!$C$2:$F$66,4,0)*F140</f>
        <v>1520</v>
      </c>
    </row>
    <row r="141" spans="1:8" x14ac:dyDescent="0.35">
      <c r="A141" s="106"/>
      <c r="B141" t="s">
        <v>105</v>
      </c>
      <c r="C141" s="106"/>
      <c r="D141" t="s">
        <v>27</v>
      </c>
      <c r="E141" s="3">
        <f>VLOOKUP(D141,'Bu Erta'!$C$2:$E$66,3,0)</f>
        <v>2800</v>
      </c>
      <c r="F141">
        <v>0.2</v>
      </c>
      <c r="G141" s="3">
        <f t="shared" si="6"/>
        <v>560</v>
      </c>
      <c r="H141" s="3">
        <f>VLOOKUP(D141,'Bu Erta'!$C$2:$F$66,4,0)*F141</f>
        <v>620</v>
      </c>
    </row>
    <row r="142" spans="1:8" x14ac:dyDescent="0.35">
      <c r="A142" s="106"/>
      <c r="B142" t="s">
        <v>105</v>
      </c>
      <c r="C142" s="106"/>
      <c r="D142" t="s">
        <v>24</v>
      </c>
      <c r="E142" s="3">
        <f>VLOOKUP(D142,'Bu Erta'!$C$2:$E$66,3,0)</f>
        <v>150</v>
      </c>
      <c r="F142">
        <v>0.85</v>
      </c>
      <c r="G142" s="3">
        <f t="shared" si="6"/>
        <v>127.5</v>
      </c>
      <c r="H142" s="3">
        <f>VLOOKUP(D142,'Bu Erta'!$C$2:$F$66,4,0)*F142</f>
        <v>170</v>
      </c>
    </row>
    <row r="143" spans="1:8" x14ac:dyDescent="0.35">
      <c r="A143" s="106"/>
      <c r="B143" t="s">
        <v>105</v>
      </c>
      <c r="C143" s="106"/>
      <c r="D143" t="s">
        <v>19</v>
      </c>
      <c r="E143" s="3">
        <f>VLOOKUP(D143,'Bu Erta'!$C$2:$E$66,3,0)</f>
        <v>200</v>
      </c>
      <c r="F143">
        <v>0.35</v>
      </c>
      <c r="G143" s="3">
        <f t="shared" si="6"/>
        <v>70</v>
      </c>
      <c r="H143" s="3">
        <f>VLOOKUP(D143,'Bu Erta'!$C$2:$F$66,4,0)*F143</f>
        <v>105</v>
      </c>
    </row>
    <row r="144" spans="1:8" x14ac:dyDescent="0.35">
      <c r="A144" s="106">
        <v>24</v>
      </c>
      <c r="B144" t="s">
        <v>112</v>
      </c>
      <c r="C144" s="106">
        <v>4</v>
      </c>
      <c r="D144" t="s">
        <v>27</v>
      </c>
      <c r="E144" s="3">
        <f>VLOOKUP(D144,'Bu Erta'!$C$2:$E$66,3,0)</f>
        <v>2800</v>
      </c>
      <c r="F144">
        <f>0.85+0.25</f>
        <v>1.1000000000000001</v>
      </c>
      <c r="G144" s="3">
        <f t="shared" si="6"/>
        <v>3080.0000000000005</v>
      </c>
      <c r="H144" s="3">
        <f>VLOOKUP(D144,'Bu Erta'!$C$2:$F$66,4,0)*F144</f>
        <v>3410.0000000000005</v>
      </c>
    </row>
    <row r="145" spans="1:8" x14ac:dyDescent="0.35">
      <c r="A145" s="106"/>
      <c r="B145" t="s">
        <v>112</v>
      </c>
      <c r="C145" s="106"/>
      <c r="D145" t="s">
        <v>36</v>
      </c>
      <c r="E145" s="3">
        <f>VLOOKUP(D145,'Bu Erta'!$C$2:$E$66,3,0)</f>
        <v>600</v>
      </c>
      <c r="F145">
        <v>0.25</v>
      </c>
      <c r="G145" s="3">
        <f t="shared" si="6"/>
        <v>150</v>
      </c>
      <c r="H145" s="3">
        <f>VLOOKUP(D145,'Bu Erta'!$C$2:$F$66,4,0)*F145</f>
        <v>162.5</v>
      </c>
    </row>
    <row r="146" spans="1:8" x14ac:dyDescent="0.35">
      <c r="A146" s="106"/>
      <c r="B146" t="s">
        <v>112</v>
      </c>
      <c r="C146" s="106"/>
      <c r="D146" t="s">
        <v>25</v>
      </c>
      <c r="E146" s="3">
        <f>VLOOKUP(D146,'Bu Erta'!$C$2:$E$66,3,0)</f>
        <v>1600</v>
      </c>
      <c r="F146">
        <v>0.4</v>
      </c>
      <c r="G146" s="3">
        <f t="shared" si="6"/>
        <v>640</v>
      </c>
      <c r="H146" s="3">
        <f>VLOOKUP(D146,'Bu Erta'!$C$2:$F$66,4,0)*F146</f>
        <v>680</v>
      </c>
    </row>
    <row r="147" spans="1:8" x14ac:dyDescent="0.35">
      <c r="A147" s="106"/>
      <c r="B147" t="s">
        <v>112</v>
      </c>
      <c r="C147" s="106"/>
      <c r="D147" t="s">
        <v>19</v>
      </c>
      <c r="E147" s="3">
        <f>VLOOKUP(D147,'Bu Erta'!$C$2:$E$66,3,0)</f>
        <v>200</v>
      </c>
      <c r="F147">
        <v>0.15</v>
      </c>
      <c r="G147" s="3">
        <f t="shared" si="6"/>
        <v>30</v>
      </c>
      <c r="H147" s="3">
        <f>VLOOKUP(D147,'Bu Erta'!$C$2:$F$66,4,0)*F147</f>
        <v>45</v>
      </c>
    </row>
    <row r="148" spans="1:8" x14ac:dyDescent="0.35">
      <c r="A148" s="106"/>
      <c r="B148" t="s">
        <v>112</v>
      </c>
      <c r="C148" s="106"/>
      <c r="D148" t="s">
        <v>24</v>
      </c>
      <c r="E148" s="3">
        <f>VLOOKUP(D148,'Bu Erta'!$C$2:$E$66,3,0)</f>
        <v>150</v>
      </c>
      <c r="F148">
        <v>1.85</v>
      </c>
      <c r="G148" s="3">
        <f t="shared" si="6"/>
        <v>277.5</v>
      </c>
      <c r="H148" s="3">
        <f>VLOOKUP(D148,'Bu Erta'!$C$2:$F$66,4,0)*F148</f>
        <v>370</v>
      </c>
    </row>
    <row r="149" spans="1:8" x14ac:dyDescent="0.35">
      <c r="A149" s="106"/>
      <c r="B149" t="s">
        <v>112</v>
      </c>
      <c r="C149" s="106"/>
      <c r="D149" t="s">
        <v>42</v>
      </c>
      <c r="E149" s="3">
        <f>VLOOKUP(D149,'Bu Erta'!$C$2:$E$66,3,0)</f>
        <v>1000</v>
      </c>
      <c r="F149">
        <v>0.2</v>
      </c>
      <c r="G149" s="3">
        <f t="shared" si="6"/>
        <v>200</v>
      </c>
      <c r="H149" s="3">
        <f>VLOOKUP(D149,'Bu Erta'!$C$2:$F$66,4,0)*F149</f>
        <v>240</v>
      </c>
    </row>
    <row r="150" spans="1:8" x14ac:dyDescent="0.35">
      <c r="A150" s="106">
        <v>25</v>
      </c>
      <c r="B150" t="s">
        <v>111</v>
      </c>
      <c r="C150" s="106">
        <v>5</v>
      </c>
      <c r="D150" t="s">
        <v>19</v>
      </c>
      <c r="E150" s="3">
        <f>VLOOKUP(D150,'Bu Erta'!$C$2:$E$66,3,0)</f>
        <v>200</v>
      </c>
      <c r="F150">
        <f>0.95+0.8</f>
        <v>1.75</v>
      </c>
      <c r="G150" s="3">
        <f t="shared" si="6"/>
        <v>350</v>
      </c>
      <c r="H150" s="3">
        <f>VLOOKUP(D150,'Bu Erta'!$C$2:$F$66,4,0)*F150</f>
        <v>525</v>
      </c>
    </row>
    <row r="151" spans="1:8" x14ac:dyDescent="0.35">
      <c r="A151" s="106"/>
      <c r="B151" t="s">
        <v>111</v>
      </c>
      <c r="C151" s="106"/>
      <c r="D151" t="s">
        <v>23</v>
      </c>
      <c r="E151" s="3">
        <f>VLOOKUP(D151,'Bu Erta'!$C$2:$E$66,3,0)</f>
        <v>300</v>
      </c>
      <c r="F151">
        <v>2</v>
      </c>
      <c r="G151" s="3">
        <f t="shared" si="6"/>
        <v>600</v>
      </c>
      <c r="H151" s="3">
        <f>VLOOKUP(D151,'Bu Erta'!$C$2:$F$66,4,0)*F151</f>
        <v>800</v>
      </c>
    </row>
    <row r="152" spans="1:8" x14ac:dyDescent="0.35">
      <c r="A152" s="106"/>
      <c r="B152" t="s">
        <v>111</v>
      </c>
      <c r="C152" s="106"/>
      <c r="D152" t="s">
        <v>7</v>
      </c>
      <c r="E152" s="3">
        <f>VLOOKUP(D152,'Bu Erta'!$C$2:$E$66,3,0)</f>
        <v>1400</v>
      </c>
      <c r="F152">
        <v>0.35</v>
      </c>
      <c r="G152" s="3">
        <f t="shared" si="6"/>
        <v>489.99999999999994</v>
      </c>
      <c r="H152" s="3">
        <f>VLOOKUP(D152,'Bu Erta'!$C$2:$F$66,4,0)*F152</f>
        <v>560</v>
      </c>
    </row>
    <row r="153" spans="1:8" x14ac:dyDescent="0.35">
      <c r="A153" s="106"/>
      <c r="B153" t="s">
        <v>111</v>
      </c>
      <c r="C153" s="106"/>
      <c r="D153" t="s">
        <v>42</v>
      </c>
      <c r="E153" s="3">
        <f>VLOOKUP(D153,'Bu Erta'!$C$2:$E$66,3,0)</f>
        <v>1000</v>
      </c>
      <c r="F153">
        <v>0.1</v>
      </c>
      <c r="G153" s="3">
        <f t="shared" si="6"/>
        <v>100</v>
      </c>
      <c r="H153" s="3">
        <f>VLOOKUP(D153,'Bu Erta'!$C$2:$F$66,4,0)*F153</f>
        <v>120</v>
      </c>
    </row>
    <row r="154" spans="1:8" x14ac:dyDescent="0.35">
      <c r="A154" s="106"/>
      <c r="B154" t="s">
        <v>111</v>
      </c>
      <c r="C154" s="106"/>
      <c r="D154" t="s">
        <v>69</v>
      </c>
      <c r="E154" s="3">
        <f>VLOOKUP(D154,'Bu Erta'!$C$2:$E$66,3,0)</f>
        <v>2500</v>
      </c>
      <c r="F154">
        <v>0.2</v>
      </c>
      <c r="G154" s="3">
        <f t="shared" si="6"/>
        <v>500</v>
      </c>
      <c r="H154" s="3">
        <f>VLOOKUP(D154,'Bu Erta'!$C$2:$F$66,4,0)*F154</f>
        <v>600</v>
      </c>
    </row>
    <row r="155" spans="1:8" x14ac:dyDescent="0.35">
      <c r="A155" s="106"/>
      <c r="B155" t="s">
        <v>111</v>
      </c>
      <c r="C155" s="106"/>
      <c r="D155" t="s">
        <v>6</v>
      </c>
      <c r="E155" s="3">
        <f>VLOOKUP(D155,'Bu Erta'!$C$2:$E$66,3,0)</f>
        <v>2000</v>
      </c>
      <c r="F155">
        <v>0.35</v>
      </c>
      <c r="G155" s="3">
        <f t="shared" si="6"/>
        <v>700</v>
      </c>
      <c r="H155" s="3">
        <f>VLOOKUP(D155,'Bu Erta'!$C$2:$F$66,4,0)*F155</f>
        <v>875</v>
      </c>
    </row>
    <row r="156" spans="1:8" x14ac:dyDescent="0.35">
      <c r="A156" s="106"/>
      <c r="B156" t="s">
        <v>111</v>
      </c>
      <c r="C156" s="106"/>
      <c r="D156" t="s">
        <v>24</v>
      </c>
      <c r="E156" s="3">
        <f>VLOOKUP(D156,'Bu Erta'!$C$2:$E$66,3,0)</f>
        <v>150</v>
      </c>
      <c r="F156">
        <v>0.1</v>
      </c>
      <c r="G156" s="3">
        <f t="shared" si="6"/>
        <v>15</v>
      </c>
      <c r="H156" s="3">
        <f>VLOOKUP(D156,'Bu Erta'!$C$2:$F$66,4,0)*F156</f>
        <v>20</v>
      </c>
    </row>
    <row r="157" spans="1:8" x14ac:dyDescent="0.35">
      <c r="A157" s="106"/>
      <c r="B157" t="s">
        <v>111</v>
      </c>
      <c r="C157" s="106"/>
      <c r="D157" t="s">
        <v>60</v>
      </c>
      <c r="E157" s="3">
        <f>VLOOKUP(D157,'Bu Erta'!$C$2:$E$66,3,0)</f>
        <v>1200</v>
      </c>
      <c r="F157">
        <v>0.2</v>
      </c>
      <c r="G157" s="3">
        <f t="shared" si="6"/>
        <v>240</v>
      </c>
      <c r="H157" s="3">
        <f>VLOOKUP(D157,'Bu Erta'!$C$2:$F$66,4,0)*F157</f>
        <v>300</v>
      </c>
    </row>
    <row r="158" spans="1:8" x14ac:dyDescent="0.35">
      <c r="A158" s="106"/>
      <c r="B158" t="s">
        <v>111</v>
      </c>
      <c r="C158" s="106"/>
      <c r="D158" t="s">
        <v>27</v>
      </c>
      <c r="E158" s="3">
        <f>VLOOKUP(D158,'Bu Erta'!$C$2:$E$66,3,0)</f>
        <v>2800</v>
      </c>
      <c r="F158">
        <v>0.75</v>
      </c>
      <c r="G158" s="3">
        <f t="shared" si="6"/>
        <v>2100</v>
      </c>
      <c r="H158" s="3">
        <f>VLOOKUP(D158,'Bu Erta'!$C$2:$F$66,4,0)*F158</f>
        <v>2325</v>
      </c>
    </row>
    <row r="159" spans="1:8" x14ac:dyDescent="0.35">
      <c r="A159" s="106">
        <v>26</v>
      </c>
      <c r="B159" t="s">
        <v>110</v>
      </c>
      <c r="C159" s="106">
        <v>5</v>
      </c>
      <c r="D159" t="s">
        <v>42</v>
      </c>
      <c r="E159" s="3">
        <f>VLOOKUP(D159,'Bu Erta'!$C$2:$E$66,3,0)</f>
        <v>1000</v>
      </c>
      <c r="F159">
        <v>0.9</v>
      </c>
      <c r="G159" s="3">
        <f t="shared" si="6"/>
        <v>900</v>
      </c>
      <c r="H159" s="3">
        <f>VLOOKUP(D159,'Bu Erta'!$C$2:$F$66,4,0)*F159</f>
        <v>1080</v>
      </c>
    </row>
    <row r="160" spans="1:8" x14ac:dyDescent="0.35">
      <c r="A160" s="106"/>
      <c r="B160" t="s">
        <v>110</v>
      </c>
      <c r="C160" s="106"/>
      <c r="D160" t="s">
        <v>23</v>
      </c>
      <c r="E160" s="3">
        <f>VLOOKUP(D160,'Bu Erta'!$C$2:$E$66,3,0)</f>
        <v>300</v>
      </c>
      <c r="F160">
        <v>0.3</v>
      </c>
      <c r="G160" s="3">
        <f t="shared" si="6"/>
        <v>90</v>
      </c>
      <c r="H160" s="3">
        <f>VLOOKUP(D160,'Bu Erta'!$C$2:$F$66,4,0)*F160</f>
        <v>120</v>
      </c>
    </row>
    <row r="161" spans="1:8" x14ac:dyDescent="0.35">
      <c r="A161" s="106"/>
      <c r="B161" t="s">
        <v>110</v>
      </c>
      <c r="C161" s="106"/>
      <c r="D161" t="s">
        <v>7</v>
      </c>
      <c r="E161" s="3">
        <f>VLOOKUP(D161,'Bu Erta'!$C$2:$E$66,3,0)</f>
        <v>1400</v>
      </c>
      <c r="F161">
        <v>1.9</v>
      </c>
      <c r="G161" s="3">
        <f t="shared" si="6"/>
        <v>2660</v>
      </c>
      <c r="H161" s="3">
        <f>VLOOKUP(D161,'Bu Erta'!$C$2:$F$66,4,0)*F161</f>
        <v>3040</v>
      </c>
    </row>
    <row r="162" spans="1:8" x14ac:dyDescent="0.35">
      <c r="A162" s="106"/>
      <c r="B162" t="s">
        <v>110</v>
      </c>
      <c r="C162" s="106"/>
      <c r="D162" t="s">
        <v>41</v>
      </c>
      <c r="E162" s="3">
        <f>VLOOKUP(D162,'Bu Erta'!$C$2:$E$66,3,0)</f>
        <v>1500</v>
      </c>
      <c r="F162">
        <v>0.3</v>
      </c>
      <c r="G162" s="3">
        <f t="shared" si="6"/>
        <v>450</v>
      </c>
      <c r="H162" s="3">
        <f>VLOOKUP(D162,'Bu Erta'!$C$2:$F$66,4,0)*F162</f>
        <v>600</v>
      </c>
    </row>
    <row r="163" spans="1:8" x14ac:dyDescent="0.35">
      <c r="A163" s="106"/>
      <c r="B163" t="s">
        <v>110</v>
      </c>
      <c r="C163" s="106"/>
      <c r="D163" t="s">
        <v>27</v>
      </c>
      <c r="E163" s="3">
        <f>VLOOKUP(D163,'Bu Erta'!$C$2:$E$66,3,0)</f>
        <v>2800</v>
      </c>
      <c r="F163">
        <v>0.3</v>
      </c>
      <c r="G163" s="3">
        <f t="shared" si="6"/>
        <v>840</v>
      </c>
      <c r="H163" s="3">
        <f>VLOOKUP(D163,'Bu Erta'!$C$2:$F$66,4,0)*F163</f>
        <v>930</v>
      </c>
    </row>
    <row r="164" spans="1:8" x14ac:dyDescent="0.35">
      <c r="A164" s="106"/>
      <c r="B164" t="s">
        <v>110</v>
      </c>
      <c r="C164" s="106"/>
      <c r="D164" t="s">
        <v>6</v>
      </c>
      <c r="E164" s="3">
        <f>VLOOKUP(D164,'Bu Erta'!$C$2:$E$66,3,0)</f>
        <v>2000</v>
      </c>
      <c r="F164">
        <v>0.1</v>
      </c>
      <c r="G164" s="3">
        <f t="shared" si="6"/>
        <v>200</v>
      </c>
      <c r="H164" s="3">
        <f>VLOOKUP(D164,'Bu Erta'!$C$2:$F$66,4,0)*F164</f>
        <v>250</v>
      </c>
    </row>
    <row r="165" spans="1:8" x14ac:dyDescent="0.35">
      <c r="A165" s="106"/>
      <c r="B165" t="s">
        <v>110</v>
      </c>
      <c r="C165" s="106"/>
      <c r="D165" t="s">
        <v>19</v>
      </c>
      <c r="E165" s="3">
        <f>VLOOKUP(D165,'Bu Erta'!$C$2:$E$66,3,0)</f>
        <v>200</v>
      </c>
      <c r="F165">
        <v>2</v>
      </c>
      <c r="G165" s="3">
        <f t="shared" si="6"/>
        <v>400</v>
      </c>
      <c r="H165" s="3">
        <f>VLOOKUP(D165,'Bu Erta'!$C$2:$F$66,4,0)*F165</f>
        <v>600</v>
      </c>
    </row>
    <row r="166" spans="1:8" x14ac:dyDescent="0.35">
      <c r="A166" s="106">
        <v>27</v>
      </c>
      <c r="B166" t="s">
        <v>190</v>
      </c>
      <c r="C166" s="106">
        <v>2</v>
      </c>
      <c r="D166" t="s">
        <v>19</v>
      </c>
      <c r="E166" s="3">
        <f>VLOOKUP(D166,'Bu Erta'!$C$2:$E$66,3,0)</f>
        <v>200</v>
      </c>
      <c r="F166">
        <v>1.2</v>
      </c>
      <c r="G166" s="3">
        <f t="shared" si="6"/>
        <v>240</v>
      </c>
      <c r="H166" s="3">
        <f>VLOOKUP(D166,'Bu Erta'!$C$2:$F$66,4,0)*F166</f>
        <v>360</v>
      </c>
    </row>
    <row r="167" spans="1:8" x14ac:dyDescent="0.35">
      <c r="A167" s="106"/>
      <c r="B167" t="s">
        <v>190</v>
      </c>
      <c r="C167" s="106"/>
      <c r="D167" t="s">
        <v>24</v>
      </c>
      <c r="E167" s="3">
        <f>VLOOKUP(D167,'Bu Erta'!$C$2:$E$66,3,0)</f>
        <v>150</v>
      </c>
      <c r="F167">
        <v>2</v>
      </c>
      <c r="G167" s="3">
        <f t="shared" si="6"/>
        <v>300</v>
      </c>
      <c r="H167" s="3">
        <f>VLOOKUP(D167,'Bu Erta'!$C$2:$F$66,4,0)*F167</f>
        <v>400</v>
      </c>
    </row>
    <row r="168" spans="1:8" x14ac:dyDescent="0.35">
      <c r="A168" s="106"/>
      <c r="B168" t="s">
        <v>190</v>
      </c>
      <c r="C168" s="106"/>
      <c r="D168" t="s">
        <v>31</v>
      </c>
      <c r="E168" s="3">
        <f>VLOOKUP(D168,'Bu Erta'!$C$2:$E$66,3,0)</f>
        <v>1000</v>
      </c>
      <c r="F168">
        <v>2.75</v>
      </c>
      <c r="G168" s="3">
        <f t="shared" si="6"/>
        <v>2750</v>
      </c>
      <c r="H168" s="3">
        <f>VLOOKUP(D168,'Bu Erta'!$C$2:$F$66,4,0)*F168</f>
        <v>3025</v>
      </c>
    </row>
    <row r="169" spans="1:8" x14ac:dyDescent="0.35">
      <c r="A169" s="106"/>
      <c r="B169" t="s">
        <v>190</v>
      </c>
      <c r="C169" s="106"/>
      <c r="D169" t="s">
        <v>41</v>
      </c>
      <c r="E169" s="3">
        <f>VLOOKUP(D169,'Bu Erta'!$C$2:$E$66,3,0)</f>
        <v>1500</v>
      </c>
      <c r="F169">
        <v>0.25</v>
      </c>
      <c r="G169" s="3">
        <f t="shared" si="6"/>
        <v>375</v>
      </c>
      <c r="H169" s="3">
        <f>VLOOKUP(D169,'Bu Erta'!$C$2:$F$66,4,0)*F169</f>
        <v>500</v>
      </c>
    </row>
    <row r="170" spans="1:8" x14ac:dyDescent="0.35">
      <c r="A170" s="106">
        <v>28</v>
      </c>
      <c r="B170" t="s">
        <v>102</v>
      </c>
      <c r="C170" s="106">
        <v>4</v>
      </c>
      <c r="D170" t="s">
        <v>42</v>
      </c>
      <c r="E170" s="3">
        <f>VLOOKUP(D170,'Bu Erta'!$C$2:$E$66,3,0)</f>
        <v>1000</v>
      </c>
      <c r="F170">
        <v>6.1</v>
      </c>
      <c r="G170" s="3">
        <f t="shared" si="6"/>
        <v>6100</v>
      </c>
      <c r="H170" s="3">
        <f>VLOOKUP(D170,'Bu Erta'!$C$2:$F$66,4,0)*F170</f>
        <v>7320</v>
      </c>
    </row>
    <row r="171" spans="1:8" x14ac:dyDescent="0.35">
      <c r="A171" s="106"/>
      <c r="B171" t="s">
        <v>102</v>
      </c>
      <c r="C171" s="106"/>
      <c r="D171" t="s">
        <v>25</v>
      </c>
      <c r="E171" s="3">
        <f>VLOOKUP(D171,'Bu Erta'!$C$2:$E$66,3,0)</f>
        <v>1600</v>
      </c>
      <c r="F171">
        <v>0.5</v>
      </c>
      <c r="G171" s="3">
        <f t="shared" si="6"/>
        <v>800</v>
      </c>
      <c r="H171" s="3">
        <f>VLOOKUP(D171,'Bu Erta'!$C$2:$F$66,4,0)*F171</f>
        <v>850</v>
      </c>
    </row>
    <row r="172" spans="1:8" x14ac:dyDescent="0.35">
      <c r="A172" s="106"/>
      <c r="B172" t="s">
        <v>102</v>
      </c>
      <c r="C172" s="106"/>
      <c r="D172" t="s">
        <v>46</v>
      </c>
      <c r="E172" s="3">
        <f>VLOOKUP(D172,'Bu Erta'!$C$2:$E$66,3,0)</f>
        <v>1400</v>
      </c>
      <c r="F172">
        <v>1.6</v>
      </c>
      <c r="G172" s="3">
        <f t="shared" si="6"/>
        <v>2240</v>
      </c>
      <c r="H172" s="3">
        <f>VLOOKUP(D172,'Bu Erta'!$C$2:$F$66,4,0)*F172</f>
        <v>2400</v>
      </c>
    </row>
    <row r="173" spans="1:8" x14ac:dyDescent="0.35">
      <c r="A173" s="106"/>
      <c r="B173" t="s">
        <v>102</v>
      </c>
      <c r="C173" s="106"/>
      <c r="D173" t="s">
        <v>24</v>
      </c>
      <c r="E173" s="3">
        <f>VLOOKUP(D173,'Bu Erta'!$C$2:$E$66,3,0)</f>
        <v>150</v>
      </c>
      <c r="F173">
        <f>9.8+0.4</f>
        <v>10.200000000000001</v>
      </c>
      <c r="G173" s="3">
        <f t="shared" si="6"/>
        <v>1530.0000000000002</v>
      </c>
      <c r="H173" s="3">
        <f>VLOOKUP(D173,'Bu Erta'!$C$2:$F$66,4,0)*F173</f>
        <v>2040.0000000000002</v>
      </c>
    </row>
    <row r="174" spans="1:8" x14ac:dyDescent="0.35">
      <c r="A174" s="106"/>
      <c r="B174" t="s">
        <v>102</v>
      </c>
      <c r="C174" s="106"/>
      <c r="D174" t="s">
        <v>41</v>
      </c>
      <c r="E174" s="3">
        <f>VLOOKUP(D174,'Bu Erta'!$C$2:$E$66,3,0)</f>
        <v>1500</v>
      </c>
      <c r="F174">
        <v>1.1000000000000001</v>
      </c>
      <c r="G174" s="3">
        <f t="shared" si="6"/>
        <v>1650.0000000000002</v>
      </c>
      <c r="H174" s="3">
        <f>VLOOKUP(D174,'Bu Erta'!$C$2:$F$66,4,0)*F174</f>
        <v>2200</v>
      </c>
    </row>
    <row r="175" spans="1:8" x14ac:dyDescent="0.35">
      <c r="A175" s="106"/>
      <c r="B175" t="s">
        <v>102</v>
      </c>
      <c r="C175" s="106"/>
      <c r="D175" t="s">
        <v>7</v>
      </c>
      <c r="E175" s="3">
        <f>VLOOKUP(D175,'Bu Erta'!$C$2:$E$66,3,0)</f>
        <v>1400</v>
      </c>
      <c r="F175">
        <f>0.25+1.8</f>
        <v>2.0499999999999998</v>
      </c>
      <c r="G175" s="3">
        <f t="shared" si="6"/>
        <v>2869.9999999999995</v>
      </c>
      <c r="H175" s="3">
        <f>VLOOKUP(D175,'Bu Erta'!$C$2:$F$66,4,0)*F175</f>
        <v>3279.9999999999995</v>
      </c>
    </row>
    <row r="176" spans="1:8" x14ac:dyDescent="0.35">
      <c r="A176" s="106"/>
      <c r="B176" t="s">
        <v>102</v>
      </c>
      <c r="C176" s="106"/>
      <c r="D176" t="s">
        <v>61</v>
      </c>
      <c r="E176" s="3">
        <f>VLOOKUP(D176,'Bu Erta'!$C$2:$E$66,3,0)</f>
        <v>800</v>
      </c>
      <c r="F176">
        <v>0.1</v>
      </c>
      <c r="G176" s="3">
        <f t="shared" si="6"/>
        <v>80</v>
      </c>
      <c r="H176" s="3">
        <f>VLOOKUP(D176,'Bu Erta'!$C$2:$F$66,4,0)*F176</f>
        <v>90</v>
      </c>
    </row>
    <row r="177" spans="1:8" x14ac:dyDescent="0.35">
      <c r="A177" s="106"/>
      <c r="B177" t="s">
        <v>102</v>
      </c>
      <c r="C177" s="106"/>
      <c r="D177" t="s">
        <v>19</v>
      </c>
      <c r="E177" s="3">
        <f>VLOOKUP(D177,'Bu Erta'!$C$2:$E$66,3,0)</f>
        <v>200</v>
      </c>
      <c r="F177">
        <f>0.95+0.35</f>
        <v>1.2999999999999998</v>
      </c>
      <c r="G177" s="3">
        <f t="shared" si="6"/>
        <v>259.99999999999994</v>
      </c>
      <c r="H177" s="3">
        <f>VLOOKUP(D177,'Bu Erta'!$C$2:$F$66,4,0)*F177</f>
        <v>389.99999999999994</v>
      </c>
    </row>
    <row r="178" spans="1:8" x14ac:dyDescent="0.35">
      <c r="A178" s="106"/>
      <c r="B178" t="s">
        <v>102</v>
      </c>
      <c r="C178" s="106"/>
      <c r="D178" t="s">
        <v>69</v>
      </c>
      <c r="E178" s="3">
        <f>VLOOKUP(D178,'Bu Erta'!$C$2:$E$66,3,0)</f>
        <v>2500</v>
      </c>
      <c r="F178">
        <v>0.35</v>
      </c>
      <c r="G178" s="3">
        <f t="shared" si="6"/>
        <v>875</v>
      </c>
      <c r="H178" s="3">
        <f>VLOOKUP(D178,'Bu Erta'!$C$2:$F$66,4,0)*F178</f>
        <v>1050</v>
      </c>
    </row>
    <row r="179" spans="1:8" x14ac:dyDescent="0.35">
      <c r="A179" s="106"/>
      <c r="B179" t="s">
        <v>102</v>
      </c>
      <c r="C179" s="106"/>
      <c r="D179" t="s">
        <v>40</v>
      </c>
      <c r="E179" s="3">
        <f>VLOOKUP(D179,'Bu Erta'!$C$2:$E$66,3,0)</f>
        <v>1800</v>
      </c>
      <c r="F179">
        <v>1</v>
      </c>
      <c r="G179" s="3">
        <f t="shared" si="6"/>
        <v>1800</v>
      </c>
      <c r="H179" s="3">
        <f>VLOOKUP(D179,'Bu Erta'!$C$2:$F$66,4,0)*F179</f>
        <v>2000</v>
      </c>
    </row>
    <row r="180" spans="1:8" x14ac:dyDescent="0.35">
      <c r="A180" s="106"/>
      <c r="B180" t="s">
        <v>102</v>
      </c>
      <c r="C180" s="106"/>
      <c r="D180" t="s">
        <v>88</v>
      </c>
      <c r="E180" s="3">
        <f>VLOOKUP(D180,'Bu Erta'!$C$2:$E$66,3,0)</f>
        <v>300</v>
      </c>
      <c r="F180">
        <v>0.2</v>
      </c>
      <c r="G180" s="3">
        <f t="shared" si="6"/>
        <v>60</v>
      </c>
      <c r="H180" s="3">
        <f>VLOOKUP(D180,'Bu Erta'!$C$2:$F$66,4,0)*F180</f>
        <v>80</v>
      </c>
    </row>
    <row r="181" spans="1:8" x14ac:dyDescent="0.35">
      <c r="A181" s="106"/>
      <c r="B181" t="s">
        <v>102</v>
      </c>
      <c r="C181" s="106"/>
      <c r="D181" t="s">
        <v>31</v>
      </c>
      <c r="E181" s="3">
        <f>VLOOKUP(D181,'Bu Erta'!$C$2:$E$66,3,0)</f>
        <v>1000</v>
      </c>
      <c r="F181">
        <v>0.55000000000000004</v>
      </c>
      <c r="G181" s="3">
        <f t="shared" si="6"/>
        <v>550</v>
      </c>
      <c r="H181" s="3">
        <f>VLOOKUP(D181,'Bu Erta'!$C$2:$F$66,4,0)*F181</f>
        <v>605</v>
      </c>
    </row>
    <row r="182" spans="1:8" x14ac:dyDescent="0.35">
      <c r="A182" s="106"/>
      <c r="B182" t="s">
        <v>102</v>
      </c>
      <c r="C182" s="106"/>
      <c r="D182" t="s">
        <v>6</v>
      </c>
      <c r="E182" s="3">
        <f>VLOOKUP(D182,'Bu Erta'!$C$2:$E$66,3,0)</f>
        <v>2000</v>
      </c>
      <c r="F182">
        <v>0.45</v>
      </c>
      <c r="G182" s="3">
        <f t="shared" si="6"/>
        <v>900</v>
      </c>
      <c r="H182" s="3">
        <f>VLOOKUP(D182,'Bu Erta'!$C$2:$F$66,4,0)*F182</f>
        <v>1125</v>
      </c>
    </row>
    <row r="183" spans="1:8" x14ac:dyDescent="0.35">
      <c r="A183" s="106"/>
      <c r="B183" t="s">
        <v>102</v>
      </c>
      <c r="C183" s="106"/>
      <c r="D183" t="s">
        <v>27</v>
      </c>
      <c r="E183" s="3">
        <f>VLOOKUP(D183,'Bu Erta'!$C$2:$E$66,3,0)</f>
        <v>2800</v>
      </c>
      <c r="F183">
        <v>1.7</v>
      </c>
      <c r="G183" s="3">
        <f t="shared" si="6"/>
        <v>4760</v>
      </c>
      <c r="H183" s="3">
        <f>VLOOKUP(D183,'Bu Erta'!$C$2:$F$66,4,0)*F183</f>
        <v>5270</v>
      </c>
    </row>
    <row r="184" spans="1:8" x14ac:dyDescent="0.35">
      <c r="A184" s="106"/>
      <c r="B184" t="s">
        <v>102</v>
      </c>
      <c r="C184" s="106"/>
      <c r="D184" t="s">
        <v>31</v>
      </c>
      <c r="E184" s="3">
        <f>VLOOKUP(D184,'Bu Erta'!$C$2:$E$66,3,0)</f>
        <v>1000</v>
      </c>
      <c r="F184">
        <v>0.25</v>
      </c>
      <c r="G184" s="3">
        <f t="shared" si="6"/>
        <v>250</v>
      </c>
      <c r="H184" s="3">
        <f>VLOOKUP(D184,'Bu Erta'!$C$2:$F$66,4,0)*F184</f>
        <v>275</v>
      </c>
    </row>
    <row r="185" spans="1:8" x14ac:dyDescent="0.35">
      <c r="A185" s="106">
        <v>29</v>
      </c>
      <c r="B185" t="s">
        <v>89</v>
      </c>
      <c r="C185" s="106">
        <v>4</v>
      </c>
      <c r="D185" t="s">
        <v>46</v>
      </c>
      <c r="E185" s="3">
        <f>VLOOKUP(D185,'Bu Erta'!$C$2:$E$66,3,0)</f>
        <v>1400</v>
      </c>
      <c r="F185">
        <v>0.35</v>
      </c>
      <c r="G185" s="3">
        <f t="shared" si="6"/>
        <v>489.99999999999994</v>
      </c>
      <c r="H185" s="3">
        <f>VLOOKUP(D185,'Bu Erta'!$C$2:$F$66,4,0)*F185</f>
        <v>525</v>
      </c>
    </row>
    <row r="186" spans="1:8" x14ac:dyDescent="0.35">
      <c r="A186" s="106"/>
      <c r="B186" t="s">
        <v>89</v>
      </c>
      <c r="C186" s="106"/>
      <c r="D186" t="s">
        <v>28</v>
      </c>
      <c r="E186" s="3">
        <f>VLOOKUP(D186,'Bu Erta'!$C$2:$E$66,3,0)</f>
        <v>1200</v>
      </c>
      <c r="F186">
        <v>5.35</v>
      </c>
      <c r="G186" s="3">
        <f t="shared" si="6"/>
        <v>6420</v>
      </c>
      <c r="H186" s="3">
        <f>VLOOKUP(D186,'Bu Erta'!$C$2:$F$66,4,0)*F186</f>
        <v>6954.9999999999991</v>
      </c>
    </row>
    <row r="187" spans="1:8" x14ac:dyDescent="0.35">
      <c r="A187" s="106"/>
      <c r="B187" t="s">
        <v>89</v>
      </c>
      <c r="C187" s="106"/>
      <c r="D187" t="s">
        <v>19</v>
      </c>
      <c r="E187" s="3">
        <f>VLOOKUP(D187,'Bu Erta'!$C$2:$E$66,3,0)</f>
        <v>200</v>
      </c>
      <c r="F187">
        <v>0.8</v>
      </c>
      <c r="G187" s="3">
        <f t="shared" si="6"/>
        <v>160</v>
      </c>
      <c r="H187" s="3">
        <f>VLOOKUP(D187,'Bu Erta'!$C$2:$F$66,4,0)*F187</f>
        <v>240</v>
      </c>
    </row>
    <row r="188" spans="1:8" x14ac:dyDescent="0.35">
      <c r="A188" s="106"/>
      <c r="B188" t="s">
        <v>89</v>
      </c>
      <c r="C188" s="106"/>
      <c r="D188" t="s">
        <v>7</v>
      </c>
      <c r="E188" s="3">
        <f>VLOOKUP(D188,'Bu Erta'!$C$2:$E$66,3,0)</f>
        <v>1400</v>
      </c>
      <c r="F188">
        <v>1.35</v>
      </c>
      <c r="G188" s="3">
        <f t="shared" si="6"/>
        <v>1890.0000000000002</v>
      </c>
      <c r="H188" s="3">
        <f>VLOOKUP(D188,'Bu Erta'!$C$2:$F$66,4,0)*F188</f>
        <v>2160</v>
      </c>
    </row>
    <row r="189" spans="1:8" x14ac:dyDescent="0.35">
      <c r="A189" s="106"/>
      <c r="B189" t="s">
        <v>89</v>
      </c>
      <c r="C189" s="106"/>
      <c r="D189" t="s">
        <v>53</v>
      </c>
      <c r="E189" s="3">
        <f>VLOOKUP(D189,'Bu Erta'!$C$2:$E$66,3,0)</f>
        <v>10000</v>
      </c>
      <c r="F189">
        <v>1</v>
      </c>
      <c r="G189" s="3">
        <f t="shared" si="6"/>
        <v>10000</v>
      </c>
      <c r="H189" s="3">
        <f>VLOOKUP(D189,'Bu Erta'!$C$2:$F$66,4,0)*F189</f>
        <v>12000</v>
      </c>
    </row>
    <row r="190" spans="1:8" x14ac:dyDescent="0.35">
      <c r="A190" s="106">
        <v>30</v>
      </c>
      <c r="B190" t="s">
        <v>188</v>
      </c>
      <c r="C190" s="106">
        <v>7</v>
      </c>
      <c r="D190" t="s">
        <v>19</v>
      </c>
      <c r="E190" s="3">
        <f>VLOOKUP(D190,'Bu Erta'!$C$2:$E$66,3,0)</f>
        <v>200</v>
      </c>
      <c r="F190">
        <v>0.65</v>
      </c>
      <c r="G190" s="3">
        <f t="shared" si="6"/>
        <v>130</v>
      </c>
      <c r="H190" s="3">
        <f>VLOOKUP(D190,'Bu Erta'!$C$2:$F$66,4,0)*F190</f>
        <v>195</v>
      </c>
    </row>
    <row r="191" spans="1:8" x14ac:dyDescent="0.35">
      <c r="A191" s="106"/>
      <c r="B191" t="s">
        <v>188</v>
      </c>
      <c r="C191" s="106"/>
      <c r="D191" t="s">
        <v>31</v>
      </c>
      <c r="E191" s="3">
        <f>VLOOKUP(D191,'Bu Erta'!$C$2:$E$66,3,0)</f>
        <v>1000</v>
      </c>
      <c r="F191">
        <v>1.45</v>
      </c>
      <c r="G191" s="3">
        <f t="shared" ref="G191:G220" si="7">E191*F191</f>
        <v>1450</v>
      </c>
      <c r="H191" s="3">
        <f>VLOOKUP(D191,'Bu Erta'!$C$2:$F$66,4,0)*F191</f>
        <v>1595</v>
      </c>
    </row>
    <row r="192" spans="1:8" x14ac:dyDescent="0.35">
      <c r="A192" s="106"/>
      <c r="B192" t="s">
        <v>188</v>
      </c>
      <c r="C192" s="106"/>
      <c r="D192" t="s">
        <v>6</v>
      </c>
      <c r="E192" s="3">
        <f>VLOOKUP(D192,'Bu Erta'!$C$2:$E$66,3,0)</f>
        <v>2000</v>
      </c>
      <c r="F192">
        <v>0.4</v>
      </c>
      <c r="G192" s="3">
        <f t="shared" si="7"/>
        <v>800</v>
      </c>
      <c r="H192" s="3">
        <f>VLOOKUP(D192,'Bu Erta'!$C$2:$F$66,4,0)*F192</f>
        <v>1000</v>
      </c>
    </row>
    <row r="193" spans="1:8" x14ac:dyDescent="0.35">
      <c r="A193" s="106"/>
      <c r="B193" t="s">
        <v>188</v>
      </c>
      <c r="C193" s="106"/>
      <c r="D193" t="s">
        <v>28</v>
      </c>
      <c r="E193" s="3">
        <f>VLOOKUP(D193,'Bu Erta'!$C$2:$E$66,3,0)</f>
        <v>1200</v>
      </c>
      <c r="F193">
        <v>4</v>
      </c>
      <c r="G193" s="3">
        <f t="shared" si="7"/>
        <v>4800</v>
      </c>
      <c r="H193" s="3">
        <f>VLOOKUP(D193,'Bu Erta'!$C$2:$F$66,4,0)*F193</f>
        <v>5200</v>
      </c>
    </row>
    <row r="194" spans="1:8" x14ac:dyDescent="0.35">
      <c r="A194" s="106"/>
      <c r="B194" t="s">
        <v>188</v>
      </c>
      <c r="C194" s="106"/>
      <c r="D194" t="s">
        <v>42</v>
      </c>
      <c r="E194" s="3">
        <f>VLOOKUP(D194,'Bu Erta'!$C$2:$E$66,3,0)</f>
        <v>1000</v>
      </c>
      <c r="F194">
        <v>7.65</v>
      </c>
      <c r="G194" s="3">
        <f t="shared" si="7"/>
        <v>7650</v>
      </c>
      <c r="H194" s="3">
        <f>VLOOKUP(D194,'Bu Erta'!$C$2:$F$66,4,0)*F194</f>
        <v>9180</v>
      </c>
    </row>
    <row r="195" spans="1:8" x14ac:dyDescent="0.35">
      <c r="A195" s="106">
        <v>31</v>
      </c>
      <c r="B195" t="s">
        <v>189</v>
      </c>
      <c r="C195" s="106">
        <v>5</v>
      </c>
      <c r="D195" t="s">
        <v>72</v>
      </c>
      <c r="E195" s="3">
        <f>VLOOKUP(D195,'Bu Erta'!$C$2:$E$66,3,0)</f>
        <v>13000</v>
      </c>
      <c r="F195">
        <v>1</v>
      </c>
      <c r="G195" s="3">
        <f t="shared" si="7"/>
        <v>13000</v>
      </c>
      <c r="H195" s="3">
        <f>VLOOKUP(D195,'Bu Erta'!$C$2:$F$66,4,0)*F195</f>
        <v>15000</v>
      </c>
    </row>
    <row r="196" spans="1:8" x14ac:dyDescent="0.35">
      <c r="A196" s="106"/>
      <c r="B196" t="s">
        <v>189</v>
      </c>
      <c r="C196" s="106"/>
      <c r="D196" t="s">
        <v>34</v>
      </c>
      <c r="E196" s="3">
        <f>VLOOKUP(D196,'Bu Erta'!$C$2:$E$66,3,0)</f>
        <v>3500</v>
      </c>
      <c r="F196">
        <v>2.7</v>
      </c>
      <c r="G196" s="3">
        <f t="shared" si="7"/>
        <v>9450</v>
      </c>
      <c r="H196" s="3">
        <f>VLOOKUP(D196,'Bu Erta'!$C$2:$F$66,4,0)*F196</f>
        <v>9720</v>
      </c>
    </row>
    <row r="197" spans="1:8" x14ac:dyDescent="0.35">
      <c r="A197" s="106"/>
      <c r="B197" t="s">
        <v>189</v>
      </c>
      <c r="C197" s="106"/>
      <c r="D197" t="s">
        <v>42</v>
      </c>
      <c r="E197" s="3">
        <f>VLOOKUP(D197,'Bu Erta'!$C$2:$E$66,3,0)</f>
        <v>1000</v>
      </c>
      <c r="F197">
        <v>2.6</v>
      </c>
      <c r="G197" s="3">
        <f t="shared" si="7"/>
        <v>2600</v>
      </c>
      <c r="H197" s="3">
        <f>VLOOKUP(D197,'Bu Erta'!$C$2:$F$66,4,0)*F197</f>
        <v>3120</v>
      </c>
    </row>
    <row r="198" spans="1:8" x14ac:dyDescent="0.35">
      <c r="A198" s="106"/>
      <c r="B198" t="s">
        <v>189</v>
      </c>
      <c r="C198" s="106"/>
      <c r="D198" t="s">
        <v>19</v>
      </c>
      <c r="E198" s="3">
        <f>VLOOKUP(D198,'Bu Erta'!$C$2:$E$66,3,0)</f>
        <v>200</v>
      </c>
      <c r="F198">
        <v>0.4</v>
      </c>
      <c r="G198" s="3">
        <f t="shared" si="7"/>
        <v>80</v>
      </c>
      <c r="H198" s="3">
        <f>VLOOKUP(D198,'Bu Erta'!$C$2:$F$66,4,0)*F198</f>
        <v>120</v>
      </c>
    </row>
    <row r="199" spans="1:8" x14ac:dyDescent="0.35">
      <c r="A199" s="106">
        <v>32</v>
      </c>
      <c r="B199" t="s">
        <v>100</v>
      </c>
      <c r="C199" s="106">
        <v>4</v>
      </c>
      <c r="D199" t="s">
        <v>40</v>
      </c>
      <c r="E199" s="3">
        <f>VLOOKUP(D199,'Bu Erta'!$C$2:$E$66,3,0)</f>
        <v>1800</v>
      </c>
      <c r="F199">
        <f>3.05+3</f>
        <v>6.05</v>
      </c>
      <c r="G199" s="3">
        <f t="shared" si="7"/>
        <v>10890</v>
      </c>
      <c r="H199" s="3">
        <f>VLOOKUP(D199,'Bu Erta'!$C$2:$F$66,4,0)*F199</f>
        <v>12100</v>
      </c>
    </row>
    <row r="200" spans="1:8" x14ac:dyDescent="0.35">
      <c r="A200" s="106"/>
      <c r="B200" t="s">
        <v>100</v>
      </c>
      <c r="C200" s="106"/>
      <c r="D200" t="s">
        <v>24</v>
      </c>
      <c r="E200" s="3">
        <f>VLOOKUP(D200,'Bu Erta'!$C$2:$E$66,3,0)</f>
        <v>150</v>
      </c>
      <c r="F200">
        <f>1.55+0.35</f>
        <v>1.9</v>
      </c>
      <c r="G200" s="3">
        <f t="shared" si="7"/>
        <v>285</v>
      </c>
      <c r="H200" s="3">
        <f>VLOOKUP(D200,'Bu Erta'!$C$2:$F$66,4,0)*F200</f>
        <v>380</v>
      </c>
    </row>
    <row r="201" spans="1:8" x14ac:dyDescent="0.35">
      <c r="A201" s="106"/>
      <c r="B201" t="s">
        <v>100</v>
      </c>
      <c r="C201" s="106"/>
      <c r="D201" t="s">
        <v>22</v>
      </c>
      <c r="E201" s="3">
        <f>VLOOKUP(D201,'Bu Erta'!$C$2:$E$66,3,0)</f>
        <v>2500</v>
      </c>
      <c r="F201">
        <v>1.2</v>
      </c>
      <c r="G201" s="3">
        <f t="shared" si="7"/>
        <v>3000</v>
      </c>
      <c r="H201" s="3">
        <f>VLOOKUP(D201,'Bu Erta'!$C$2:$F$66,4,0)*F201</f>
        <v>3600</v>
      </c>
    </row>
    <row r="202" spans="1:8" x14ac:dyDescent="0.35">
      <c r="A202" s="106"/>
      <c r="B202" t="s">
        <v>100</v>
      </c>
      <c r="C202" s="106"/>
      <c r="D202" t="s">
        <v>7</v>
      </c>
      <c r="E202" s="3">
        <f>VLOOKUP(D202,'Bu Erta'!$C$2:$E$66,3,0)</f>
        <v>1400</v>
      </c>
      <c r="F202">
        <f>2.55+1.6</f>
        <v>4.1500000000000004</v>
      </c>
      <c r="G202" s="3">
        <f t="shared" si="7"/>
        <v>5810.0000000000009</v>
      </c>
      <c r="H202" s="3">
        <f>VLOOKUP(D202,'Bu Erta'!$C$2:$F$66,4,0)*F202</f>
        <v>6640.0000000000009</v>
      </c>
    </row>
    <row r="203" spans="1:8" x14ac:dyDescent="0.35">
      <c r="A203" s="106"/>
      <c r="B203" t="s">
        <v>100</v>
      </c>
      <c r="C203" s="106"/>
      <c r="D203" t="s">
        <v>42</v>
      </c>
      <c r="E203" s="3">
        <f>VLOOKUP(D203,'Bu Erta'!$C$2:$E$66,3,0)</f>
        <v>1000</v>
      </c>
      <c r="F203">
        <v>3.3</v>
      </c>
      <c r="G203" s="3">
        <f t="shared" si="7"/>
        <v>3300</v>
      </c>
      <c r="H203" s="3">
        <f>VLOOKUP(D203,'Bu Erta'!$C$2:$F$66,4,0)*F203</f>
        <v>3960</v>
      </c>
    </row>
    <row r="204" spans="1:8" x14ac:dyDescent="0.35">
      <c r="A204" s="106"/>
      <c r="B204" t="s">
        <v>100</v>
      </c>
      <c r="C204" s="106"/>
      <c r="D204" t="s">
        <v>19</v>
      </c>
      <c r="E204" s="3">
        <f>VLOOKUP(D204,'Bu Erta'!$C$2:$E$66,3,0)</f>
        <v>200</v>
      </c>
      <c r="F204">
        <v>0.2</v>
      </c>
      <c r="G204" s="3">
        <f t="shared" si="7"/>
        <v>40</v>
      </c>
      <c r="H204" s="3">
        <f>VLOOKUP(D204,'Bu Erta'!$C$2:$F$66,4,0)*F204</f>
        <v>60</v>
      </c>
    </row>
    <row r="205" spans="1:8" x14ac:dyDescent="0.35">
      <c r="A205" s="5">
        <v>33</v>
      </c>
      <c r="B205" t="s">
        <v>191</v>
      </c>
      <c r="C205" s="5">
        <v>5</v>
      </c>
      <c r="D205" t="s">
        <v>56</v>
      </c>
      <c r="E205" s="3">
        <f>VLOOKUP(D205,'Bu Erta'!$C$2:$E$66,3,0)</f>
        <v>4000</v>
      </c>
      <c r="F205">
        <v>10.3</v>
      </c>
      <c r="G205" s="3">
        <f t="shared" si="7"/>
        <v>41200</v>
      </c>
      <c r="H205" s="3">
        <f>VLOOKUP(D205,'Bu Erta'!$C$2:$F$66,4,0)*F205</f>
        <v>56650.000000000007</v>
      </c>
    </row>
    <row r="206" spans="1:8" x14ac:dyDescent="0.35">
      <c r="A206" s="106">
        <v>34</v>
      </c>
      <c r="B206" t="s">
        <v>192</v>
      </c>
      <c r="C206" s="106">
        <v>4</v>
      </c>
      <c r="D206" t="s">
        <v>28</v>
      </c>
      <c r="E206" s="3">
        <f>VLOOKUP(D206,'Bu Erta'!$C$2:$E$66,3,0)</f>
        <v>1200</v>
      </c>
      <c r="F206">
        <f>4.55+2.2</f>
        <v>6.75</v>
      </c>
      <c r="G206" s="3">
        <f t="shared" si="7"/>
        <v>8100</v>
      </c>
      <c r="H206" s="3">
        <f>VLOOKUP(D206,'Bu Erta'!$C$2:$F$66,4,0)*F206</f>
        <v>8775</v>
      </c>
    </row>
    <row r="207" spans="1:8" x14ac:dyDescent="0.35">
      <c r="A207" s="106"/>
      <c r="B207" t="s">
        <v>192</v>
      </c>
      <c r="C207" s="106"/>
      <c r="D207" t="s">
        <v>42</v>
      </c>
      <c r="E207" s="3">
        <f>VLOOKUP(D207,'Bu Erta'!$C$2:$E$66,3,0)</f>
        <v>1000</v>
      </c>
      <c r="F207">
        <f>4.2+0.5</f>
        <v>4.7</v>
      </c>
      <c r="G207" s="3">
        <f t="shared" si="7"/>
        <v>4700</v>
      </c>
      <c r="H207" s="3">
        <f>VLOOKUP(D207,'Bu Erta'!$C$2:$F$66,4,0)*F207</f>
        <v>5640</v>
      </c>
    </row>
    <row r="208" spans="1:8" x14ac:dyDescent="0.35">
      <c r="A208" s="106"/>
      <c r="B208" t="s">
        <v>192</v>
      </c>
      <c r="C208" s="106"/>
      <c r="D208" t="s">
        <v>28</v>
      </c>
      <c r="E208" s="3">
        <f>VLOOKUP(D208,'Bu Erta'!$C$2:$E$66,3,0)</f>
        <v>1200</v>
      </c>
      <c r="F208">
        <v>3</v>
      </c>
      <c r="G208" s="3">
        <f t="shared" si="7"/>
        <v>3600</v>
      </c>
      <c r="H208" s="3">
        <f>VLOOKUP(D208,'Bu Erta'!$C$2:$F$66,4,0)*F208</f>
        <v>3900</v>
      </c>
    </row>
    <row r="209" spans="1:8" x14ac:dyDescent="0.35">
      <c r="A209" s="106"/>
      <c r="B209" t="s">
        <v>192</v>
      </c>
      <c r="C209" s="106"/>
      <c r="D209" t="s">
        <v>22</v>
      </c>
      <c r="E209" s="3">
        <f>VLOOKUP(D209,'Bu Erta'!$C$2:$E$66,3,0)</f>
        <v>2500</v>
      </c>
      <c r="F209">
        <v>0.25</v>
      </c>
      <c r="G209" s="3">
        <f t="shared" si="7"/>
        <v>625</v>
      </c>
      <c r="H209" s="3">
        <f>VLOOKUP(D209,'Bu Erta'!$C$2:$F$66,4,0)*F209</f>
        <v>750</v>
      </c>
    </row>
    <row r="210" spans="1:8" x14ac:dyDescent="0.35">
      <c r="A210" s="106"/>
      <c r="B210" t="s">
        <v>192</v>
      </c>
      <c r="C210" s="106"/>
      <c r="D210" t="s">
        <v>41</v>
      </c>
      <c r="E210" s="3">
        <f>VLOOKUP(D210,'Bu Erta'!$C$2:$E$66,3,0)</f>
        <v>1500</v>
      </c>
      <c r="F210">
        <v>0.75</v>
      </c>
      <c r="G210" s="3">
        <f t="shared" si="7"/>
        <v>1125</v>
      </c>
      <c r="H210" s="3">
        <f>VLOOKUP(D210,'Bu Erta'!$C$2:$F$66,4,0)*F210</f>
        <v>1500</v>
      </c>
    </row>
    <row r="211" spans="1:8" x14ac:dyDescent="0.35">
      <c r="A211" s="106"/>
      <c r="B211" t="s">
        <v>192</v>
      </c>
      <c r="C211" s="106"/>
      <c r="D211" t="s">
        <v>19</v>
      </c>
      <c r="E211" s="3">
        <f>VLOOKUP(D211,'Bu Erta'!$C$2:$E$66,3,0)</f>
        <v>200</v>
      </c>
      <c r="F211">
        <f>0.55+0.65</f>
        <v>1.2000000000000002</v>
      </c>
      <c r="G211" s="3">
        <f t="shared" si="7"/>
        <v>240.00000000000003</v>
      </c>
      <c r="H211" s="3">
        <f>VLOOKUP(D211,'Bu Erta'!$C$2:$F$66,4,0)*F211</f>
        <v>360.00000000000006</v>
      </c>
    </row>
    <row r="212" spans="1:8" x14ac:dyDescent="0.35">
      <c r="A212" s="106"/>
      <c r="B212" t="s">
        <v>192</v>
      </c>
      <c r="C212" s="106"/>
      <c r="D212" t="s">
        <v>24</v>
      </c>
      <c r="E212" s="3">
        <f>VLOOKUP(D212,'Bu Erta'!$C$2:$E$66,3,0)</f>
        <v>150</v>
      </c>
      <c r="F212">
        <v>1.35</v>
      </c>
      <c r="G212" s="3">
        <f t="shared" si="7"/>
        <v>202.5</v>
      </c>
      <c r="H212" s="3">
        <f>VLOOKUP(D212,'Bu Erta'!$C$2:$F$66,4,0)*F212</f>
        <v>270</v>
      </c>
    </row>
    <row r="213" spans="1:8" x14ac:dyDescent="0.35">
      <c r="A213" s="106"/>
      <c r="B213" t="s">
        <v>192</v>
      </c>
      <c r="C213" s="106"/>
      <c r="D213" t="s">
        <v>7</v>
      </c>
      <c r="E213" s="3">
        <f>VLOOKUP(D213,'Bu Erta'!$C$2:$E$66,3,0)</f>
        <v>1400</v>
      </c>
      <c r="F213">
        <v>1.35</v>
      </c>
      <c r="G213" s="3">
        <f t="shared" si="7"/>
        <v>1890.0000000000002</v>
      </c>
      <c r="H213" s="3">
        <f>VLOOKUP(D213,'Bu Erta'!$C$2:$F$66,4,0)*F213</f>
        <v>2160</v>
      </c>
    </row>
    <row r="214" spans="1:8" x14ac:dyDescent="0.35">
      <c r="A214" s="106"/>
      <c r="B214" t="s">
        <v>192</v>
      </c>
      <c r="C214" s="106"/>
      <c r="D214" t="s">
        <v>67</v>
      </c>
      <c r="E214" s="3">
        <f>VLOOKUP(D214,'Bu Erta'!$C$2:$E$66,3,0)</f>
        <v>2700</v>
      </c>
      <c r="F214">
        <v>0.25</v>
      </c>
      <c r="G214" s="3">
        <f t="shared" si="7"/>
        <v>675</v>
      </c>
      <c r="H214" s="3">
        <f>VLOOKUP(D214,'Bu Erta'!$C$2:$F$66,4,0)*F214</f>
        <v>750</v>
      </c>
    </row>
    <row r="215" spans="1:8" x14ac:dyDescent="0.35">
      <c r="A215" s="106"/>
      <c r="B215" t="s">
        <v>192</v>
      </c>
      <c r="C215" s="106"/>
      <c r="D215" t="s">
        <v>65</v>
      </c>
      <c r="E215" s="3">
        <f>VLOOKUP(D215,'Bu Erta'!$C$2:$E$66,3,0)</f>
        <v>150</v>
      </c>
      <c r="F215">
        <v>0.15</v>
      </c>
      <c r="G215" s="3">
        <f t="shared" si="7"/>
        <v>22.5</v>
      </c>
      <c r="H215" s="3">
        <f>VLOOKUP(D215,'Bu Erta'!$C$2:$F$66,4,0)*F215</f>
        <v>30</v>
      </c>
    </row>
    <row r="216" spans="1:8" x14ac:dyDescent="0.35">
      <c r="A216" s="106">
        <v>35</v>
      </c>
      <c r="B216" t="s">
        <v>83</v>
      </c>
      <c r="C216" s="106">
        <v>1</v>
      </c>
      <c r="D216" t="s">
        <v>23</v>
      </c>
      <c r="E216" s="3">
        <f>VLOOKUP(D216,'Bu Erta'!$C$2:$E$66,3,0)</f>
        <v>300</v>
      </c>
      <c r="F216">
        <v>1.95</v>
      </c>
      <c r="G216" s="3">
        <f t="shared" si="7"/>
        <v>585</v>
      </c>
      <c r="H216" s="3">
        <f>VLOOKUP(D216,'Bu Erta'!$C$2:$F$66,4,0)*F216</f>
        <v>780</v>
      </c>
    </row>
    <row r="217" spans="1:8" x14ac:dyDescent="0.35">
      <c r="A217" s="106"/>
      <c r="B217" t="s">
        <v>83</v>
      </c>
      <c r="C217" s="106"/>
      <c r="D217" t="s">
        <v>19</v>
      </c>
      <c r="E217" s="3">
        <f>VLOOKUP(D217,'Bu Erta'!$C$2:$E$66,3,0)</f>
        <v>200</v>
      </c>
      <c r="F217">
        <v>0.55000000000000004</v>
      </c>
      <c r="G217" s="3">
        <f t="shared" si="7"/>
        <v>110.00000000000001</v>
      </c>
      <c r="H217" s="3">
        <f>VLOOKUP(D217,'Bu Erta'!$C$2:$F$66,4,0)*F217</f>
        <v>165</v>
      </c>
    </row>
    <row r="218" spans="1:8" x14ac:dyDescent="0.35">
      <c r="A218" s="106"/>
      <c r="B218" t="s">
        <v>83</v>
      </c>
      <c r="C218" s="106"/>
      <c r="D218" t="s">
        <v>27</v>
      </c>
      <c r="E218" s="3">
        <f>VLOOKUP(D218,'Bu Erta'!$C$2:$E$66,3,0)</f>
        <v>2800</v>
      </c>
      <c r="F218">
        <v>0.45</v>
      </c>
      <c r="G218" s="3">
        <f t="shared" si="7"/>
        <v>1260</v>
      </c>
      <c r="H218" s="3">
        <f>VLOOKUP(D218,'Bu Erta'!$C$2:$F$66,4,0)*F218</f>
        <v>1395</v>
      </c>
    </row>
    <row r="219" spans="1:8" x14ac:dyDescent="0.35">
      <c r="A219" s="106"/>
      <c r="B219" t="s">
        <v>83</v>
      </c>
      <c r="C219" s="106"/>
      <c r="D219" t="s">
        <v>41</v>
      </c>
      <c r="E219" s="3">
        <f>VLOOKUP(D219,'Bu Erta'!$C$2:$E$66,3,0)</f>
        <v>1500</v>
      </c>
      <c r="F219">
        <v>0.75</v>
      </c>
      <c r="G219" s="3">
        <f t="shared" si="7"/>
        <v>1125</v>
      </c>
      <c r="H219" s="3">
        <f>VLOOKUP(D219,'Bu Erta'!$C$2:$F$66,4,0)*F219</f>
        <v>1500</v>
      </c>
    </row>
    <row r="220" spans="1:8" x14ac:dyDescent="0.35">
      <c r="A220" s="106"/>
      <c r="B220" t="s">
        <v>83</v>
      </c>
      <c r="C220" s="106"/>
      <c r="D220" t="s">
        <v>60</v>
      </c>
      <c r="E220" s="3">
        <f>VLOOKUP(D220,'Bu Erta'!$C$2:$E$66,3,0)</f>
        <v>1200</v>
      </c>
      <c r="F220">
        <v>0.35</v>
      </c>
      <c r="G220" s="3">
        <f t="shared" si="7"/>
        <v>420</v>
      </c>
      <c r="H220" s="3">
        <f>VLOOKUP(D220,'Bu Erta'!$C$2:$F$66,4,0)*F220</f>
        <v>525</v>
      </c>
    </row>
    <row r="221" spans="1:8" x14ac:dyDescent="0.35">
      <c r="A221" s="106"/>
      <c r="B221" t="s">
        <v>83</v>
      </c>
      <c r="C221" s="106"/>
      <c r="D221" t="s">
        <v>7</v>
      </c>
      <c r="E221" s="3">
        <f>VLOOKUP(D221,'Bu Erta'!$C$2:$E$66,3,0)</f>
        <v>1400</v>
      </c>
      <c r="F221">
        <v>1.25</v>
      </c>
      <c r="G221" s="3">
        <f t="shared" ref="G221:G248" si="8">E221*F221</f>
        <v>1750</v>
      </c>
      <c r="H221" s="3">
        <f>VLOOKUP(D221,'Bu Erta'!$C$2:$F$66,4,0)*F221</f>
        <v>2000</v>
      </c>
    </row>
    <row r="222" spans="1:8" x14ac:dyDescent="0.35">
      <c r="A222" s="106"/>
      <c r="B222" t="s">
        <v>83</v>
      </c>
      <c r="C222" s="106"/>
      <c r="D222" t="s">
        <v>42</v>
      </c>
      <c r="E222" s="3">
        <f>VLOOKUP(D222,'Bu Erta'!$C$2:$E$66,3,0)</f>
        <v>1000</v>
      </c>
      <c r="F222">
        <v>2.2000000000000002</v>
      </c>
      <c r="G222" s="3">
        <f t="shared" si="8"/>
        <v>2200</v>
      </c>
      <c r="H222" s="3">
        <f>VLOOKUP(D222,'Bu Erta'!$C$2:$F$66,4,0)*F222</f>
        <v>2640</v>
      </c>
    </row>
    <row r="223" spans="1:8" x14ac:dyDescent="0.35">
      <c r="A223" s="106">
        <v>36</v>
      </c>
      <c r="B223" t="s">
        <v>90</v>
      </c>
      <c r="C223" s="106">
        <v>3</v>
      </c>
      <c r="D223" t="s">
        <v>24</v>
      </c>
      <c r="E223" s="3">
        <f>VLOOKUP(D223,'Bu Erta'!$C$2:$E$66,3,0)</f>
        <v>150</v>
      </c>
      <c r="F223">
        <v>1.45</v>
      </c>
      <c r="G223" s="3">
        <f t="shared" si="8"/>
        <v>217.5</v>
      </c>
      <c r="H223" s="3">
        <f>VLOOKUP(D223,'Bu Erta'!$C$2:$F$66,4,0)*F223</f>
        <v>290</v>
      </c>
    </row>
    <row r="224" spans="1:8" x14ac:dyDescent="0.35">
      <c r="A224" s="106"/>
      <c r="B224" t="s">
        <v>90</v>
      </c>
      <c r="C224" s="106"/>
      <c r="D224" t="s">
        <v>40</v>
      </c>
      <c r="E224" s="3">
        <f>VLOOKUP(D224,'Bu Erta'!$C$2:$E$66,3,0)</f>
        <v>1800</v>
      </c>
      <c r="F224">
        <v>1.75</v>
      </c>
      <c r="G224" s="3">
        <f t="shared" si="8"/>
        <v>3150</v>
      </c>
      <c r="H224" s="3">
        <f>VLOOKUP(D224,'Bu Erta'!$C$2:$F$66,4,0)*F224</f>
        <v>3500</v>
      </c>
    </row>
    <row r="225" spans="1:8" x14ac:dyDescent="0.35">
      <c r="A225" s="106">
        <v>37</v>
      </c>
      <c r="B225" t="s">
        <v>84</v>
      </c>
      <c r="C225" s="106">
        <v>4</v>
      </c>
      <c r="D225" t="s">
        <v>42</v>
      </c>
      <c r="E225" s="3">
        <f>VLOOKUP(D225,'Bu Erta'!$C$2:$E$66,3,0)</f>
        <v>1000</v>
      </c>
      <c r="F225">
        <v>1.2</v>
      </c>
      <c r="G225" s="3">
        <f t="shared" si="8"/>
        <v>1200</v>
      </c>
      <c r="H225" s="3">
        <f>VLOOKUP(D225,'Bu Erta'!$C$2:$F$66,4,0)*F225</f>
        <v>1440</v>
      </c>
    </row>
    <row r="226" spans="1:8" x14ac:dyDescent="0.35">
      <c r="A226" s="106"/>
      <c r="B226" t="s">
        <v>84</v>
      </c>
      <c r="C226" s="106"/>
      <c r="D226" t="s">
        <v>23</v>
      </c>
      <c r="E226" s="3">
        <f>VLOOKUP(D226,'Bu Erta'!$C$2:$E$66,3,0)</f>
        <v>300</v>
      </c>
      <c r="F226">
        <v>0.9</v>
      </c>
      <c r="G226" s="3">
        <f t="shared" si="8"/>
        <v>270</v>
      </c>
      <c r="H226" s="3">
        <f>VLOOKUP(D226,'Bu Erta'!$C$2:$F$66,4,0)*F226</f>
        <v>360</v>
      </c>
    </row>
    <row r="227" spans="1:8" x14ac:dyDescent="0.35">
      <c r="A227" s="106"/>
      <c r="B227" t="s">
        <v>84</v>
      </c>
      <c r="C227" s="106"/>
      <c r="D227" t="s">
        <v>7</v>
      </c>
      <c r="E227" s="3">
        <f>VLOOKUP(D227,'Bu Erta'!$C$2:$E$66,3,0)</f>
        <v>1400</v>
      </c>
      <c r="F227">
        <v>0.95</v>
      </c>
      <c r="G227" s="3">
        <f t="shared" si="8"/>
        <v>1330</v>
      </c>
      <c r="H227" s="3">
        <f>VLOOKUP(D227,'Bu Erta'!$C$2:$F$66,4,0)*F227</f>
        <v>1520</v>
      </c>
    </row>
    <row r="228" spans="1:8" x14ac:dyDescent="0.35">
      <c r="A228" s="106"/>
      <c r="B228" t="s">
        <v>84</v>
      </c>
      <c r="C228" s="106"/>
      <c r="D228" t="s">
        <v>36</v>
      </c>
      <c r="E228" s="3">
        <f>VLOOKUP(D228,'Bu Erta'!$C$2:$E$66,3,0)</f>
        <v>600</v>
      </c>
      <c r="F228">
        <v>0.1</v>
      </c>
      <c r="G228" s="3">
        <f t="shared" si="8"/>
        <v>60</v>
      </c>
      <c r="H228" s="3">
        <f>VLOOKUP(D228,'Bu Erta'!$C$2:$F$66,4,0)*F228</f>
        <v>65</v>
      </c>
    </row>
    <row r="229" spans="1:8" x14ac:dyDescent="0.35">
      <c r="A229" s="106"/>
      <c r="B229" t="s">
        <v>84</v>
      </c>
      <c r="C229" s="106"/>
      <c r="D229" t="s">
        <v>19</v>
      </c>
      <c r="E229" s="3">
        <f>VLOOKUP(D229,'Bu Erta'!$C$2:$E$66,3,0)</f>
        <v>200</v>
      </c>
      <c r="F229">
        <v>0.45</v>
      </c>
      <c r="G229" s="3">
        <f t="shared" si="8"/>
        <v>90</v>
      </c>
      <c r="H229" s="3">
        <f>VLOOKUP(D229,'Bu Erta'!$C$2:$F$66,4,0)*F229</f>
        <v>135</v>
      </c>
    </row>
    <row r="230" spans="1:8" x14ac:dyDescent="0.35">
      <c r="A230" s="106"/>
      <c r="B230" t="s">
        <v>84</v>
      </c>
      <c r="C230" s="106"/>
      <c r="D230" t="s">
        <v>88</v>
      </c>
      <c r="E230" s="3">
        <f>VLOOKUP(D230,'Bu Erta'!$C$2:$E$66,3,0)</f>
        <v>300</v>
      </c>
      <c r="F230">
        <v>0.45</v>
      </c>
      <c r="G230" s="3">
        <f t="shared" si="8"/>
        <v>135</v>
      </c>
      <c r="H230" s="3">
        <f>VLOOKUP(D230,'Bu Erta'!$C$2:$F$66,4,0)*F230</f>
        <v>180</v>
      </c>
    </row>
    <row r="231" spans="1:8" x14ac:dyDescent="0.35">
      <c r="A231" s="106"/>
      <c r="B231" t="s">
        <v>84</v>
      </c>
      <c r="C231" s="106"/>
      <c r="D231" t="s">
        <v>38</v>
      </c>
      <c r="E231" s="3">
        <f>VLOOKUP(D231,'Bu Erta'!$C$2:$E$66,3,0)</f>
        <v>1400</v>
      </c>
      <c r="F231">
        <v>0.25</v>
      </c>
      <c r="G231" s="3">
        <f t="shared" si="8"/>
        <v>350</v>
      </c>
      <c r="H231" s="3">
        <f>VLOOKUP(D231,'Bu Erta'!$C$2:$F$66,4,0)*F231</f>
        <v>400</v>
      </c>
    </row>
    <row r="232" spans="1:8" x14ac:dyDescent="0.35">
      <c r="A232" s="106"/>
      <c r="B232" t="s">
        <v>84</v>
      </c>
      <c r="C232" s="106"/>
      <c r="D232" t="s">
        <v>41</v>
      </c>
      <c r="E232" s="3">
        <f>VLOOKUP(D232,'Bu Erta'!$C$2:$E$66,3,0)</f>
        <v>1500</v>
      </c>
      <c r="F232">
        <v>0.25</v>
      </c>
      <c r="G232" s="3">
        <f t="shared" si="8"/>
        <v>375</v>
      </c>
      <c r="H232" s="3">
        <f>VLOOKUP(D232,'Bu Erta'!$C$2:$F$66,4,0)*F232</f>
        <v>500</v>
      </c>
    </row>
    <row r="233" spans="1:8" x14ac:dyDescent="0.35">
      <c r="A233" s="106"/>
      <c r="B233" t="s">
        <v>84</v>
      </c>
      <c r="C233" s="106"/>
      <c r="D233" t="s">
        <v>69</v>
      </c>
      <c r="E233" s="3">
        <f>VLOOKUP(D233,'Bu Erta'!$C$2:$E$66,3,0)</f>
        <v>2500</v>
      </c>
      <c r="F233">
        <v>0.15</v>
      </c>
      <c r="G233" s="3">
        <f t="shared" si="8"/>
        <v>375</v>
      </c>
      <c r="H233" s="3">
        <f>VLOOKUP(D233,'Bu Erta'!$C$2:$F$66,4,0)*F233</f>
        <v>450</v>
      </c>
    </row>
    <row r="234" spans="1:8" x14ac:dyDescent="0.35">
      <c r="A234" s="106"/>
      <c r="B234" t="s">
        <v>84</v>
      </c>
      <c r="C234" s="106"/>
      <c r="D234" t="s">
        <v>24</v>
      </c>
      <c r="E234" s="3">
        <f>VLOOKUP(D234,'Bu Erta'!$C$2:$E$66,3,0)</f>
        <v>150</v>
      </c>
      <c r="F234">
        <v>0.3</v>
      </c>
      <c r="G234" s="3">
        <f t="shared" si="8"/>
        <v>45</v>
      </c>
      <c r="H234" s="3">
        <f>VLOOKUP(D234,'Bu Erta'!$C$2:$F$66,4,0)*F234</f>
        <v>60</v>
      </c>
    </row>
    <row r="235" spans="1:8" x14ac:dyDescent="0.35">
      <c r="A235" s="106"/>
      <c r="B235" t="s">
        <v>84</v>
      </c>
      <c r="C235" s="106"/>
      <c r="D235" t="s">
        <v>40</v>
      </c>
      <c r="E235" s="3">
        <f>VLOOKUP(D235,'Bu Erta'!$C$2:$E$66,3,0)</f>
        <v>1800</v>
      </c>
      <c r="F235">
        <v>0.2</v>
      </c>
      <c r="G235" s="3">
        <f t="shared" si="8"/>
        <v>360</v>
      </c>
      <c r="H235" s="3">
        <f>VLOOKUP(D235,'Bu Erta'!$C$2:$F$66,4,0)*F235</f>
        <v>400</v>
      </c>
    </row>
    <row r="236" spans="1:8" x14ac:dyDescent="0.35">
      <c r="A236" s="106"/>
      <c r="B236" t="s">
        <v>84</v>
      </c>
      <c r="C236" s="106"/>
      <c r="D236" t="s">
        <v>27</v>
      </c>
      <c r="E236" s="3">
        <f>VLOOKUP(D236,'Bu Erta'!$C$2:$E$66,3,0)</f>
        <v>2800</v>
      </c>
      <c r="F236">
        <v>0.5</v>
      </c>
      <c r="G236" s="3">
        <f t="shared" si="8"/>
        <v>1400</v>
      </c>
      <c r="H236" s="3">
        <f>VLOOKUP(D236,'Bu Erta'!$C$2:$F$66,4,0)*F236</f>
        <v>1550</v>
      </c>
    </row>
    <row r="237" spans="1:8" x14ac:dyDescent="0.35">
      <c r="A237" s="106"/>
      <c r="B237" t="s">
        <v>84</v>
      </c>
      <c r="C237" s="106"/>
      <c r="D237" t="s">
        <v>25</v>
      </c>
      <c r="E237" s="3">
        <f>VLOOKUP(D237,'Bu Erta'!$C$2:$E$66,3,0)</f>
        <v>1600</v>
      </c>
      <c r="F237">
        <v>0.1</v>
      </c>
      <c r="G237" s="3">
        <f t="shared" si="8"/>
        <v>160</v>
      </c>
      <c r="H237" s="3">
        <f>VLOOKUP(D237,'Bu Erta'!$C$2:$F$66,4,0)*F237</f>
        <v>170</v>
      </c>
    </row>
    <row r="238" spans="1:8" x14ac:dyDescent="0.35">
      <c r="A238" s="106">
        <v>38</v>
      </c>
      <c r="B238" t="s">
        <v>144</v>
      </c>
      <c r="C238" s="106">
        <v>4</v>
      </c>
      <c r="D238" t="s">
        <v>88</v>
      </c>
      <c r="E238" s="3">
        <f>VLOOKUP(D238,'Bu Erta'!$C$2:$E$66,3,0)</f>
        <v>300</v>
      </c>
      <c r="F238">
        <v>0.35</v>
      </c>
      <c r="G238" s="3">
        <f t="shared" si="8"/>
        <v>105</v>
      </c>
      <c r="H238" s="3">
        <f>VLOOKUP(D238,'Bu Erta'!$C$2:$F$66,4,0)*F238</f>
        <v>140</v>
      </c>
    </row>
    <row r="239" spans="1:8" x14ac:dyDescent="0.35">
      <c r="A239" s="106"/>
      <c r="B239" t="s">
        <v>144</v>
      </c>
      <c r="C239" s="106"/>
      <c r="D239" t="s">
        <v>19</v>
      </c>
      <c r="E239" s="3">
        <f>VLOOKUP(D239,'Bu Erta'!$C$2:$E$66,3,0)</f>
        <v>200</v>
      </c>
      <c r="F239">
        <v>0.5</v>
      </c>
      <c r="G239" s="3">
        <f t="shared" si="8"/>
        <v>100</v>
      </c>
      <c r="H239" s="3">
        <f>VLOOKUP(D239,'Bu Erta'!$C$2:$F$66,4,0)*F239</f>
        <v>150</v>
      </c>
    </row>
    <row r="240" spans="1:8" x14ac:dyDescent="0.35">
      <c r="A240" s="106"/>
      <c r="B240" t="s">
        <v>144</v>
      </c>
      <c r="C240" s="106"/>
      <c r="D240" t="s">
        <v>7</v>
      </c>
      <c r="E240" s="3">
        <f>VLOOKUP(D240,'Bu Erta'!$C$2:$E$66,3,0)</f>
        <v>1400</v>
      </c>
      <c r="F240">
        <v>0.4</v>
      </c>
      <c r="G240" s="3">
        <f t="shared" si="8"/>
        <v>560</v>
      </c>
      <c r="H240" s="3">
        <f>VLOOKUP(D240,'Bu Erta'!$C$2:$F$66,4,0)*F240</f>
        <v>640</v>
      </c>
    </row>
    <row r="241" spans="1:10" x14ac:dyDescent="0.35">
      <c r="A241" s="106">
        <v>39</v>
      </c>
      <c r="B241" t="s">
        <v>151</v>
      </c>
      <c r="C241" s="106">
        <v>4</v>
      </c>
      <c r="D241" t="s">
        <v>25</v>
      </c>
      <c r="E241" s="3">
        <f>VLOOKUP(D241,'Bu Erta'!$C$2:$E$66,3,0)</f>
        <v>1600</v>
      </c>
      <c r="F241">
        <v>0.65</v>
      </c>
      <c r="G241" s="3">
        <f t="shared" si="8"/>
        <v>1040</v>
      </c>
      <c r="H241" s="3">
        <f>VLOOKUP(D241,'Bu Erta'!$C$2:$F$66,4,0)*F241</f>
        <v>1105</v>
      </c>
    </row>
    <row r="242" spans="1:10" x14ac:dyDescent="0.35">
      <c r="A242" s="106"/>
      <c r="B242" t="s">
        <v>151</v>
      </c>
      <c r="C242" s="106"/>
      <c r="D242" t="s">
        <v>24</v>
      </c>
      <c r="E242" s="3">
        <f>VLOOKUP(D242,'Bu Erta'!$C$2:$E$66,3,0)</f>
        <v>150</v>
      </c>
      <c r="F242">
        <v>1.45</v>
      </c>
      <c r="G242" s="3">
        <f t="shared" si="8"/>
        <v>217.5</v>
      </c>
      <c r="H242" s="3">
        <f>VLOOKUP(D242,'Bu Erta'!$C$2:$F$66,4,0)*F242</f>
        <v>290</v>
      </c>
    </row>
    <row r="243" spans="1:10" x14ac:dyDescent="0.35">
      <c r="A243" s="106"/>
      <c r="B243" t="s">
        <v>151</v>
      </c>
      <c r="C243" s="106"/>
      <c r="D243" t="s">
        <v>7</v>
      </c>
      <c r="E243" s="3">
        <f>VLOOKUP(D243,'Bu Erta'!$C$2:$E$66,3,0)</f>
        <v>1400</v>
      </c>
      <c r="F243">
        <v>0.1</v>
      </c>
      <c r="G243" s="3">
        <f t="shared" si="8"/>
        <v>140</v>
      </c>
      <c r="H243" s="3">
        <f>VLOOKUP(D243,'Bu Erta'!$C$2:$F$66,4,0)*F243</f>
        <v>160</v>
      </c>
    </row>
    <row r="244" spans="1:10" x14ac:dyDescent="0.35">
      <c r="A244" s="106"/>
      <c r="B244" t="s">
        <v>151</v>
      </c>
      <c r="C244" s="106"/>
      <c r="D244" t="s">
        <v>17</v>
      </c>
      <c r="E244" s="3">
        <f>VLOOKUP(D244,'Bu Erta'!$C$2:$E$66,3,0)</f>
        <v>8000</v>
      </c>
      <c r="F244">
        <v>0.1</v>
      </c>
      <c r="G244" s="3">
        <f t="shared" si="8"/>
        <v>800</v>
      </c>
      <c r="H244" s="3">
        <f>VLOOKUP(D244,'Bu Erta'!$C$2:$F$66,4,0)*F244</f>
        <v>850</v>
      </c>
    </row>
    <row r="245" spans="1:10" x14ac:dyDescent="0.35">
      <c r="A245" s="106"/>
      <c r="B245" t="s">
        <v>151</v>
      </c>
      <c r="C245" s="106"/>
      <c r="D245" t="s">
        <v>22</v>
      </c>
      <c r="E245" s="3">
        <f>VLOOKUP(D245,'Bu Erta'!$C$2:$E$66,3,0)</f>
        <v>2500</v>
      </c>
      <c r="F245">
        <f>1.25+0.95</f>
        <v>2.2000000000000002</v>
      </c>
      <c r="G245" s="3">
        <f t="shared" si="8"/>
        <v>5500</v>
      </c>
      <c r="H245" s="3">
        <f>VLOOKUP(D245,'Bu Erta'!$C$2:$F$66,4,0)*F245</f>
        <v>6600.0000000000009</v>
      </c>
    </row>
    <row r="246" spans="1:10" x14ac:dyDescent="0.35">
      <c r="A246" s="106"/>
      <c r="B246" t="s">
        <v>151</v>
      </c>
      <c r="C246" s="106"/>
      <c r="D246" t="s">
        <v>38</v>
      </c>
      <c r="E246" s="3">
        <f>VLOOKUP(D246,'Bu Erta'!$C$2:$E$66,3,0)</f>
        <v>1400</v>
      </c>
      <c r="F246">
        <v>0.4</v>
      </c>
      <c r="G246" s="3">
        <f t="shared" si="8"/>
        <v>560</v>
      </c>
      <c r="H246" s="3">
        <f>VLOOKUP(D246,'Bu Erta'!$C$2:$F$66,4,0)*F246</f>
        <v>640</v>
      </c>
    </row>
    <row r="247" spans="1:10" x14ac:dyDescent="0.35">
      <c r="A247" s="106"/>
      <c r="B247" t="s">
        <v>151</v>
      </c>
      <c r="C247" s="106"/>
      <c r="D247" t="s">
        <v>31</v>
      </c>
      <c r="E247" s="3">
        <f>VLOOKUP(D247,'Bu Erta'!$C$2:$E$66,3,0)</f>
        <v>1000</v>
      </c>
      <c r="F247">
        <v>0.45</v>
      </c>
      <c r="G247" s="3">
        <f t="shared" si="8"/>
        <v>450</v>
      </c>
      <c r="H247" s="3">
        <f>VLOOKUP(D247,'Bu Erta'!$C$2:$F$66,4,0)*F247</f>
        <v>495</v>
      </c>
    </row>
    <row r="248" spans="1:10" x14ac:dyDescent="0.35">
      <c r="A248" s="106"/>
      <c r="B248" t="s">
        <v>151</v>
      </c>
      <c r="C248" s="106"/>
      <c r="D248" t="s">
        <v>23</v>
      </c>
      <c r="E248" s="3">
        <f>VLOOKUP(D248,'Bu Erta'!$C$2:$E$66,3,0)</f>
        <v>300</v>
      </c>
      <c r="F248">
        <v>1</v>
      </c>
      <c r="G248" s="3">
        <f t="shared" si="8"/>
        <v>300</v>
      </c>
      <c r="H248" s="3">
        <f>VLOOKUP(D248,'Bu Erta'!$C$2:$F$66,4,0)*F248</f>
        <v>400</v>
      </c>
      <c r="J248">
        <v>3700</v>
      </c>
    </row>
    <row r="249" spans="1:10" x14ac:dyDescent="0.35">
      <c r="A249" s="5">
        <v>40</v>
      </c>
      <c r="B249" t="s">
        <v>98</v>
      </c>
      <c r="C249" s="5">
        <v>2</v>
      </c>
      <c r="D249" t="s">
        <v>22</v>
      </c>
      <c r="E249" s="3">
        <v>2775</v>
      </c>
      <c r="F249">
        <v>6</v>
      </c>
      <c r="G249" s="3">
        <f t="shared" ref="G249:G303" si="9">E249*F249</f>
        <v>16650</v>
      </c>
      <c r="H249" s="3">
        <f>VLOOKUP(D249,'Bu Erta'!$C$2:$F$66,4,0)*F249</f>
        <v>18000</v>
      </c>
      <c r="J249" s="58">
        <f>3700*25%</f>
        <v>925</v>
      </c>
    </row>
    <row r="250" spans="1:10" x14ac:dyDescent="0.35">
      <c r="A250" s="106">
        <v>41</v>
      </c>
      <c r="B250" t="s">
        <v>193</v>
      </c>
      <c r="C250" s="106">
        <v>1</v>
      </c>
      <c r="D250" t="s">
        <v>56</v>
      </c>
      <c r="E250" s="3">
        <f>VLOOKUP(D250,'Bu Erta'!$C$2:$E$66,3,0)</f>
        <v>4000</v>
      </c>
      <c r="F250">
        <v>5.9</v>
      </c>
      <c r="G250" s="3">
        <f t="shared" si="9"/>
        <v>23600</v>
      </c>
      <c r="H250" s="3">
        <f>VLOOKUP(D250,'Bu Erta'!$C$2:$F$66,4,0)*F250</f>
        <v>32450.000000000004</v>
      </c>
      <c r="J250" s="78">
        <f>J248-J249</f>
        <v>2775</v>
      </c>
    </row>
    <row r="251" spans="1:10" x14ac:dyDescent="0.35">
      <c r="A251" s="106"/>
      <c r="B251" t="s">
        <v>193</v>
      </c>
      <c r="C251" s="106"/>
      <c r="D251" t="s">
        <v>23</v>
      </c>
      <c r="E251" s="3">
        <f>VLOOKUP(D251,'Bu Erta'!$C$2:$E$66,3,0)</f>
        <v>300</v>
      </c>
      <c r="F251">
        <v>0.2</v>
      </c>
      <c r="G251" s="3">
        <f t="shared" si="9"/>
        <v>60</v>
      </c>
      <c r="H251" s="3">
        <f>VLOOKUP(D251,'Bu Erta'!$C$2:$F$66,4,0)*F251</f>
        <v>80</v>
      </c>
    </row>
    <row r="252" spans="1:10" x14ac:dyDescent="0.35">
      <c r="A252" s="106"/>
      <c r="B252" t="s">
        <v>193</v>
      </c>
      <c r="C252" s="106"/>
      <c r="D252" t="s">
        <v>31</v>
      </c>
      <c r="E252" s="3">
        <f>VLOOKUP(D252,'Bu Erta'!$C$2:$E$66,3,0)</f>
        <v>1000</v>
      </c>
      <c r="F252">
        <v>0.4</v>
      </c>
      <c r="G252" s="3">
        <f t="shared" si="9"/>
        <v>400</v>
      </c>
      <c r="H252" s="3">
        <f>VLOOKUP(D252,'Bu Erta'!$C$2:$F$66,4,0)*F252</f>
        <v>440</v>
      </c>
    </row>
    <row r="253" spans="1:10" x14ac:dyDescent="0.35">
      <c r="A253" s="106">
        <v>42</v>
      </c>
      <c r="B253" t="s">
        <v>194</v>
      </c>
      <c r="C253" s="106">
        <v>1</v>
      </c>
      <c r="D253" t="s">
        <v>7</v>
      </c>
      <c r="E253" s="3">
        <f>VLOOKUP(D253,'Bu Erta'!$C$2:$E$66,3,0)</f>
        <v>1400</v>
      </c>
      <c r="F253">
        <f>1.55+1.55+4.15</f>
        <v>7.25</v>
      </c>
      <c r="G253" s="3">
        <f t="shared" si="9"/>
        <v>10150</v>
      </c>
      <c r="H253" s="3">
        <f>VLOOKUP(D253,'Bu Erta'!$C$2:$F$66,4,0)*F253</f>
        <v>11600</v>
      </c>
    </row>
    <row r="254" spans="1:10" x14ac:dyDescent="0.35">
      <c r="A254" s="106"/>
      <c r="B254" t="s">
        <v>194</v>
      </c>
      <c r="C254" s="106"/>
      <c r="D254" t="s">
        <v>23</v>
      </c>
      <c r="E254" s="3">
        <f>VLOOKUP(D254,'Bu Erta'!$C$2:$E$66,3,0)</f>
        <v>300</v>
      </c>
      <c r="F254">
        <v>0.4</v>
      </c>
      <c r="G254" s="3">
        <f t="shared" si="9"/>
        <v>120</v>
      </c>
      <c r="H254" s="3">
        <f>VLOOKUP(D254,'Bu Erta'!$C$2:$F$66,4,0)*F254</f>
        <v>160</v>
      </c>
    </row>
    <row r="255" spans="1:10" x14ac:dyDescent="0.35">
      <c r="A255" s="106"/>
      <c r="B255" t="s">
        <v>194</v>
      </c>
      <c r="C255" s="106"/>
      <c r="D255" t="s">
        <v>29</v>
      </c>
      <c r="E255" s="3">
        <f>VLOOKUP(D255,'Bu Erta'!$C$2:$E$66,3,0)</f>
        <v>5000</v>
      </c>
      <c r="F255">
        <v>1.6</v>
      </c>
      <c r="G255" s="3">
        <f t="shared" si="9"/>
        <v>8000</v>
      </c>
      <c r="H255" s="3">
        <f>VLOOKUP(D255,'Bu Erta'!$C$2:$F$66,4,0)*F255</f>
        <v>9600</v>
      </c>
    </row>
    <row r="256" spans="1:10" x14ac:dyDescent="0.35">
      <c r="A256" s="106"/>
      <c r="B256" t="s">
        <v>194</v>
      </c>
      <c r="C256" s="106"/>
      <c r="D256" t="s">
        <v>40</v>
      </c>
      <c r="E256" s="3">
        <f>VLOOKUP(D256,'Bu Erta'!$C$2:$E$66,3,0)</f>
        <v>1800</v>
      </c>
      <c r="F256">
        <v>1.25</v>
      </c>
      <c r="G256" s="3">
        <f t="shared" si="9"/>
        <v>2250</v>
      </c>
      <c r="H256" s="3">
        <f>VLOOKUP(D256,'Bu Erta'!$C$2:$F$66,4,0)*F256</f>
        <v>2500</v>
      </c>
    </row>
    <row r="257" spans="1:8" x14ac:dyDescent="0.35">
      <c r="A257" s="5">
        <v>43</v>
      </c>
      <c r="B257" t="s">
        <v>195</v>
      </c>
      <c r="C257" s="5">
        <v>1</v>
      </c>
      <c r="D257" t="s">
        <v>31</v>
      </c>
      <c r="E257" s="3">
        <f>VLOOKUP(D257,'Bu Erta'!$C$2:$E$66,3,0)</f>
        <v>1000</v>
      </c>
      <c r="F257">
        <v>2.2000000000000002</v>
      </c>
      <c r="G257" s="3">
        <f t="shared" si="9"/>
        <v>2200</v>
      </c>
      <c r="H257" s="3">
        <f>VLOOKUP(D257,'Bu Erta'!$C$2:$F$66,4,0)*F257</f>
        <v>2420</v>
      </c>
    </row>
    <row r="258" spans="1:8" x14ac:dyDescent="0.35">
      <c r="A258" s="106">
        <v>44</v>
      </c>
      <c r="B258" t="s">
        <v>196</v>
      </c>
      <c r="C258" s="106">
        <v>7</v>
      </c>
      <c r="D258" t="s">
        <v>31</v>
      </c>
      <c r="E258" s="3">
        <f>VLOOKUP(D258,'Bu Erta'!$C$2:$E$66,3,0)</f>
        <v>1000</v>
      </c>
      <c r="F258">
        <v>1</v>
      </c>
      <c r="G258" s="3">
        <f t="shared" si="9"/>
        <v>1000</v>
      </c>
      <c r="H258" s="3">
        <f>VLOOKUP(D258,'Bu Erta'!$C$2:$F$66,4,0)*F258</f>
        <v>1100</v>
      </c>
    </row>
    <row r="259" spans="1:8" x14ac:dyDescent="0.35">
      <c r="A259" s="106"/>
      <c r="B259" t="s">
        <v>196</v>
      </c>
      <c r="C259" s="106"/>
      <c r="D259" t="s">
        <v>41</v>
      </c>
      <c r="E259" s="3">
        <f>VLOOKUP(D259,'Bu Erta'!$C$2:$E$66,3,0)</f>
        <v>1500</v>
      </c>
      <c r="F259">
        <v>0.15</v>
      </c>
      <c r="G259" s="3">
        <f t="shared" si="9"/>
        <v>225</v>
      </c>
      <c r="H259" s="3">
        <f>VLOOKUP(D259,'Bu Erta'!$C$2:$F$66,4,0)*F259</f>
        <v>300</v>
      </c>
    </row>
    <row r="260" spans="1:8" x14ac:dyDescent="0.35">
      <c r="A260" s="106"/>
      <c r="B260" t="s">
        <v>196</v>
      </c>
      <c r="C260" s="106"/>
      <c r="D260" t="s">
        <v>24</v>
      </c>
      <c r="E260" s="3">
        <f>VLOOKUP(D260,'Bu Erta'!$C$2:$E$66,3,0)</f>
        <v>150</v>
      </c>
      <c r="F260">
        <v>0.15</v>
      </c>
      <c r="G260" s="3">
        <f t="shared" si="9"/>
        <v>22.5</v>
      </c>
      <c r="H260" s="3">
        <f>VLOOKUP(D260,'Bu Erta'!$C$2:$F$66,4,0)*F260</f>
        <v>30</v>
      </c>
    </row>
    <row r="261" spans="1:8" x14ac:dyDescent="0.35">
      <c r="A261" s="106">
        <v>45</v>
      </c>
      <c r="B261" t="s">
        <v>140</v>
      </c>
      <c r="C261" s="106">
        <v>4</v>
      </c>
      <c r="D261" t="s">
        <v>25</v>
      </c>
      <c r="E261" s="3">
        <f>VLOOKUP(D261,'Bu Erta'!$C$2:$E$66,3,0)</f>
        <v>1600</v>
      </c>
      <c r="F261">
        <v>1.6</v>
      </c>
      <c r="G261" s="3">
        <f t="shared" si="9"/>
        <v>2560</v>
      </c>
      <c r="H261" s="3">
        <f>VLOOKUP(D261,'Bu Erta'!$C$2:$F$66,4,0)*F261</f>
        <v>2720</v>
      </c>
    </row>
    <row r="262" spans="1:8" x14ac:dyDescent="0.35">
      <c r="A262" s="106"/>
      <c r="B262" t="s">
        <v>140</v>
      </c>
      <c r="C262" s="106"/>
      <c r="D262" t="s">
        <v>37</v>
      </c>
      <c r="E262" s="3">
        <f>VLOOKUP(D262,'Bu Erta'!$C$2:$E$66,3,0)</f>
        <v>1600</v>
      </c>
      <c r="F262">
        <v>0.25</v>
      </c>
      <c r="G262" s="3">
        <f t="shared" si="9"/>
        <v>400</v>
      </c>
      <c r="H262" s="3">
        <f>VLOOKUP(D262,'Bu Erta'!$C$2:$F$66,4,0)*F262</f>
        <v>500</v>
      </c>
    </row>
    <row r="263" spans="1:8" x14ac:dyDescent="0.35">
      <c r="A263" s="106"/>
      <c r="B263" t="s">
        <v>140</v>
      </c>
      <c r="C263" s="106"/>
      <c r="D263" t="s">
        <v>7</v>
      </c>
      <c r="E263" s="3">
        <f>VLOOKUP(D263,'Bu Erta'!$C$2:$E$66,3,0)</f>
        <v>1400</v>
      </c>
      <c r="F263">
        <f>0.9+4.85+0.2</f>
        <v>5.95</v>
      </c>
      <c r="G263" s="3">
        <f t="shared" si="9"/>
        <v>8330</v>
      </c>
      <c r="H263" s="3">
        <f>VLOOKUP(D263,'Bu Erta'!$C$2:$F$66,4,0)*F263</f>
        <v>9520</v>
      </c>
    </row>
    <row r="264" spans="1:8" x14ac:dyDescent="0.35">
      <c r="A264" s="106"/>
      <c r="B264" t="s">
        <v>140</v>
      </c>
      <c r="C264" s="106"/>
      <c r="D264" t="s">
        <v>41</v>
      </c>
      <c r="E264" s="3">
        <f>VLOOKUP(D264,'Bu Erta'!$C$2:$E$66,3,0)</f>
        <v>1500</v>
      </c>
      <c r="F264">
        <v>0.1</v>
      </c>
      <c r="G264" s="3">
        <f t="shared" si="9"/>
        <v>150</v>
      </c>
      <c r="H264" s="3">
        <f>VLOOKUP(D264,'Bu Erta'!$C$2:$F$66,4,0)*F264</f>
        <v>200</v>
      </c>
    </row>
    <row r="265" spans="1:8" x14ac:dyDescent="0.35">
      <c r="A265" s="106"/>
      <c r="B265" t="s">
        <v>140</v>
      </c>
      <c r="C265" s="106"/>
      <c r="D265" t="s">
        <v>32</v>
      </c>
      <c r="E265" s="3">
        <f>VLOOKUP(D265,'Bu Erta'!$C$2:$E$66,3,0)</f>
        <v>4000</v>
      </c>
      <c r="F265">
        <v>1</v>
      </c>
      <c r="G265" s="3">
        <f t="shared" si="9"/>
        <v>4000</v>
      </c>
      <c r="H265" s="3">
        <f>VLOOKUP(D265,'Bu Erta'!$C$2:$F$66,4,0)*F265</f>
        <v>5000</v>
      </c>
    </row>
    <row r="266" spans="1:8" x14ac:dyDescent="0.35">
      <c r="A266" s="106"/>
      <c r="B266" t="s">
        <v>140</v>
      </c>
      <c r="C266" s="106"/>
      <c r="D266" t="s">
        <v>23</v>
      </c>
      <c r="E266" s="3">
        <f>VLOOKUP(D266,'Bu Erta'!$C$2:$E$66,3,0)</f>
        <v>300</v>
      </c>
      <c r="F266">
        <v>0.25</v>
      </c>
      <c r="G266" s="3">
        <f t="shared" si="9"/>
        <v>75</v>
      </c>
      <c r="H266" s="3">
        <f>VLOOKUP(D266,'Bu Erta'!$C$2:$F$66,4,0)*F266</f>
        <v>100</v>
      </c>
    </row>
    <row r="267" spans="1:8" x14ac:dyDescent="0.35">
      <c r="A267" s="106"/>
      <c r="B267" t="s">
        <v>140</v>
      </c>
      <c r="C267" s="106"/>
      <c r="D267" t="s">
        <v>42</v>
      </c>
      <c r="E267" s="3">
        <f>VLOOKUP(D267,'Bu Erta'!$C$2:$E$66,3,0)</f>
        <v>1000</v>
      </c>
      <c r="F267">
        <v>1.8</v>
      </c>
      <c r="G267" s="3">
        <f t="shared" si="9"/>
        <v>1800</v>
      </c>
      <c r="H267" s="3">
        <f>VLOOKUP(D267,'Bu Erta'!$C$2:$F$66,4,0)*F267</f>
        <v>2160</v>
      </c>
    </row>
    <row r="268" spans="1:8" x14ac:dyDescent="0.35">
      <c r="A268" s="106"/>
      <c r="B268" t="s">
        <v>140</v>
      </c>
      <c r="C268" s="106"/>
      <c r="D268" t="s">
        <v>17</v>
      </c>
      <c r="E268" s="3">
        <f>VLOOKUP(D268,'Bu Erta'!$C$2:$E$66,3,0)</f>
        <v>8000</v>
      </c>
      <c r="F268">
        <f>0.2+0.2</f>
        <v>0.4</v>
      </c>
      <c r="G268" s="3">
        <f t="shared" si="9"/>
        <v>3200</v>
      </c>
      <c r="H268" s="3">
        <f>VLOOKUP(D268,'Bu Erta'!$C$2:$F$66,4,0)*F268</f>
        <v>3400</v>
      </c>
    </row>
    <row r="269" spans="1:8" x14ac:dyDescent="0.35">
      <c r="A269" s="106"/>
      <c r="B269" t="s">
        <v>140</v>
      </c>
      <c r="C269" s="106"/>
      <c r="D269" t="s">
        <v>24</v>
      </c>
      <c r="E269" s="3">
        <f>VLOOKUP(D269,'Bu Erta'!$C$2:$E$66,3,0)</f>
        <v>150</v>
      </c>
      <c r="F269">
        <v>1.65</v>
      </c>
      <c r="G269" s="3">
        <f t="shared" si="9"/>
        <v>247.5</v>
      </c>
      <c r="H269" s="3">
        <f>VLOOKUP(D269,'Bu Erta'!$C$2:$F$66,4,0)*F269</f>
        <v>330</v>
      </c>
    </row>
    <row r="270" spans="1:8" x14ac:dyDescent="0.35">
      <c r="A270" s="106"/>
      <c r="B270" t="s">
        <v>140</v>
      </c>
      <c r="C270" s="106"/>
      <c r="D270" t="s">
        <v>22</v>
      </c>
      <c r="E270" s="3">
        <f>VLOOKUP(D270,'Bu Erta'!$C$2:$E$66,3,0)</f>
        <v>2500</v>
      </c>
      <c r="F270">
        <f>1.45+5.55+1.1</f>
        <v>8.1</v>
      </c>
      <c r="G270" s="3">
        <f t="shared" si="9"/>
        <v>20250</v>
      </c>
      <c r="H270" s="3">
        <f>VLOOKUP(D270,'Bu Erta'!$C$2:$F$66,4,0)*F270</f>
        <v>24300</v>
      </c>
    </row>
    <row r="271" spans="1:8" x14ac:dyDescent="0.35">
      <c r="A271" s="106"/>
      <c r="B271" t="s">
        <v>140</v>
      </c>
      <c r="C271" s="106"/>
      <c r="D271" t="s">
        <v>40</v>
      </c>
      <c r="E271" s="3">
        <f>VLOOKUP(D271,'Bu Erta'!$C$2:$E$66,3,0)</f>
        <v>1800</v>
      </c>
      <c r="F271">
        <f>0.25+0.25+0.1</f>
        <v>0.6</v>
      </c>
      <c r="G271" s="3">
        <f t="shared" si="9"/>
        <v>1080</v>
      </c>
      <c r="H271" s="3">
        <f>VLOOKUP(D271,'Bu Erta'!$C$2:$F$66,4,0)*F271</f>
        <v>1200</v>
      </c>
    </row>
    <row r="272" spans="1:8" x14ac:dyDescent="0.35">
      <c r="A272" s="106"/>
      <c r="B272" t="s">
        <v>140</v>
      </c>
      <c r="C272" s="106"/>
      <c r="D272" t="s">
        <v>38</v>
      </c>
      <c r="E272" s="3">
        <f>VLOOKUP(D272,'Bu Erta'!$C$2:$E$66,3,0)</f>
        <v>1400</v>
      </c>
      <c r="F272">
        <v>1.6</v>
      </c>
      <c r="G272" s="3">
        <f t="shared" si="9"/>
        <v>2240</v>
      </c>
      <c r="H272" s="3">
        <f>VLOOKUP(D272,'Bu Erta'!$C$2:$F$66,4,0)*F272</f>
        <v>2560</v>
      </c>
    </row>
    <row r="273" spans="1:8" x14ac:dyDescent="0.35">
      <c r="A273" s="106"/>
      <c r="B273" t="s">
        <v>140</v>
      </c>
      <c r="C273" s="106"/>
      <c r="D273" t="s">
        <v>31</v>
      </c>
      <c r="E273" s="3">
        <f>VLOOKUP(D273,'Bu Erta'!$C$2:$E$66,3,0)</f>
        <v>1000</v>
      </c>
      <c r="F273">
        <v>0.45</v>
      </c>
      <c r="G273" s="3">
        <f t="shared" si="9"/>
        <v>450</v>
      </c>
      <c r="H273" s="3">
        <f>VLOOKUP(D273,'Bu Erta'!$C$2:$F$66,4,0)*F273</f>
        <v>495</v>
      </c>
    </row>
    <row r="274" spans="1:8" x14ac:dyDescent="0.35">
      <c r="A274" s="5">
        <v>46</v>
      </c>
      <c r="B274" t="s">
        <v>197</v>
      </c>
      <c r="C274" s="5">
        <v>1</v>
      </c>
      <c r="D274" t="s">
        <v>31</v>
      </c>
      <c r="E274" s="3">
        <f>VLOOKUP(D274,'Bu Erta'!$C$2:$E$66,3,0)</f>
        <v>1000</v>
      </c>
      <c r="F274">
        <f>1.9+0.9</f>
        <v>2.8</v>
      </c>
      <c r="G274" s="3">
        <f t="shared" si="9"/>
        <v>2800</v>
      </c>
      <c r="H274" s="3">
        <f>VLOOKUP(D274,'Bu Erta'!$C$2:$F$66,4,0)*F274</f>
        <v>3080</v>
      </c>
    </row>
    <row r="275" spans="1:8" x14ac:dyDescent="0.35">
      <c r="A275" s="106">
        <v>47</v>
      </c>
      <c r="B275" t="s">
        <v>94</v>
      </c>
      <c r="C275" s="106">
        <v>4</v>
      </c>
      <c r="D275" t="s">
        <v>27</v>
      </c>
      <c r="E275" s="3">
        <f>VLOOKUP(D275,'Bu Erta'!$C$2:$E$66,3,0)</f>
        <v>2800</v>
      </c>
      <c r="F275">
        <v>0.4</v>
      </c>
      <c r="G275" s="3">
        <f t="shared" si="9"/>
        <v>1120</v>
      </c>
      <c r="H275" s="3">
        <f>VLOOKUP(D275,'Bu Erta'!$C$2:$F$66,4,0)*F275</f>
        <v>1240</v>
      </c>
    </row>
    <row r="276" spans="1:8" x14ac:dyDescent="0.35">
      <c r="A276" s="106"/>
      <c r="B276" t="s">
        <v>94</v>
      </c>
      <c r="C276" s="106"/>
      <c r="D276" t="s">
        <v>19</v>
      </c>
      <c r="E276" s="3">
        <f>VLOOKUP(D276,'Bu Erta'!$C$2:$E$66,3,0)</f>
        <v>200</v>
      </c>
      <c r="F276">
        <v>0.25</v>
      </c>
      <c r="G276" s="3">
        <f t="shared" si="9"/>
        <v>50</v>
      </c>
      <c r="H276" s="3">
        <f>VLOOKUP(D276,'Bu Erta'!$C$2:$F$66,4,0)*F276</f>
        <v>75</v>
      </c>
    </row>
    <row r="277" spans="1:8" x14ac:dyDescent="0.35">
      <c r="A277" s="106"/>
      <c r="B277" t="s">
        <v>94</v>
      </c>
      <c r="C277" s="106"/>
      <c r="D277" t="s">
        <v>6</v>
      </c>
      <c r="E277" s="3">
        <f>VLOOKUP(D277,'Bu Erta'!$C$2:$E$66,3,0)</f>
        <v>2000</v>
      </c>
      <c r="F277">
        <v>0.1</v>
      </c>
      <c r="G277" s="3">
        <f t="shared" si="9"/>
        <v>200</v>
      </c>
      <c r="H277" s="3">
        <f>VLOOKUP(D277,'Bu Erta'!$C$2:$F$66,4,0)*F277</f>
        <v>250</v>
      </c>
    </row>
    <row r="278" spans="1:8" x14ac:dyDescent="0.35">
      <c r="A278" s="106"/>
      <c r="B278" t="s">
        <v>94</v>
      </c>
      <c r="C278" s="106"/>
      <c r="D278" t="s">
        <v>7</v>
      </c>
      <c r="E278" s="3">
        <f>VLOOKUP(D278,'Bu Erta'!$C$2:$E$66,3,0)</f>
        <v>1400</v>
      </c>
      <c r="F278">
        <f>0.2+0.25+0.4</f>
        <v>0.85000000000000009</v>
      </c>
      <c r="G278" s="3">
        <f t="shared" si="9"/>
        <v>1190.0000000000002</v>
      </c>
      <c r="H278" s="3">
        <f>VLOOKUP(D278,'Bu Erta'!$C$2:$F$66,4,0)*F278</f>
        <v>1360.0000000000002</v>
      </c>
    </row>
    <row r="279" spans="1:8" x14ac:dyDescent="0.35">
      <c r="A279" s="106"/>
      <c r="B279" t="s">
        <v>94</v>
      </c>
      <c r="C279" s="106"/>
      <c r="D279" t="s">
        <v>23</v>
      </c>
      <c r="E279" s="3">
        <f>VLOOKUP(D279,'Bu Erta'!$C$2:$E$66,3,0)</f>
        <v>300</v>
      </c>
      <c r="F279">
        <f>0.65+0.5+0.6</f>
        <v>1.75</v>
      </c>
      <c r="G279" s="3">
        <f t="shared" si="9"/>
        <v>525</v>
      </c>
      <c r="H279" s="3">
        <f>VLOOKUP(D279,'Bu Erta'!$C$2:$F$66,4,0)*F279</f>
        <v>700</v>
      </c>
    </row>
    <row r="280" spans="1:8" x14ac:dyDescent="0.35">
      <c r="A280" s="106"/>
      <c r="B280" t="s">
        <v>94</v>
      </c>
      <c r="C280" s="106"/>
      <c r="D280" t="s">
        <v>42</v>
      </c>
      <c r="E280" s="3">
        <f>VLOOKUP(D280,'Bu Erta'!$C$2:$E$66,3,0)</f>
        <v>1000</v>
      </c>
      <c r="F280">
        <v>0.7</v>
      </c>
      <c r="G280" s="3">
        <f t="shared" si="9"/>
        <v>700</v>
      </c>
      <c r="H280" s="3">
        <f>VLOOKUP(D280,'Bu Erta'!$C$2:$F$66,4,0)*F280</f>
        <v>840</v>
      </c>
    </row>
    <row r="281" spans="1:8" x14ac:dyDescent="0.35">
      <c r="A281" s="106"/>
      <c r="B281" t="s">
        <v>94</v>
      </c>
      <c r="C281" s="106"/>
      <c r="D281" t="s">
        <v>28</v>
      </c>
      <c r="E281" s="3">
        <f>VLOOKUP(D281,'Bu Erta'!$C$2:$E$66,3,0)</f>
        <v>1200</v>
      </c>
      <c r="F281">
        <v>4</v>
      </c>
      <c r="G281" s="3">
        <f t="shared" si="9"/>
        <v>4800</v>
      </c>
      <c r="H281" s="3">
        <f>VLOOKUP(D281,'Bu Erta'!$C$2:$F$66,4,0)*F281</f>
        <v>5200</v>
      </c>
    </row>
    <row r="282" spans="1:8" x14ac:dyDescent="0.35">
      <c r="A282" s="106"/>
      <c r="B282" t="s">
        <v>94</v>
      </c>
      <c r="C282" s="106"/>
      <c r="D282" t="s">
        <v>38</v>
      </c>
      <c r="E282" s="3">
        <f>VLOOKUP(D282,'Bu Erta'!$C$2:$E$66,3,0)</f>
        <v>1400</v>
      </c>
      <c r="F282">
        <v>0.35</v>
      </c>
      <c r="G282" s="3">
        <f t="shared" si="9"/>
        <v>489.99999999999994</v>
      </c>
      <c r="H282" s="3">
        <f>VLOOKUP(D282,'Bu Erta'!$C$2:$F$66,4,0)*F282</f>
        <v>560</v>
      </c>
    </row>
    <row r="283" spans="1:8" x14ac:dyDescent="0.35">
      <c r="A283" s="106"/>
      <c r="B283" t="s">
        <v>94</v>
      </c>
      <c r="C283" s="106"/>
      <c r="D283" t="s">
        <v>40</v>
      </c>
      <c r="E283" s="3">
        <f>VLOOKUP(D283,'Bu Erta'!$C$2:$E$66,3,0)</f>
        <v>1800</v>
      </c>
      <c r="F283">
        <v>1.9</v>
      </c>
      <c r="G283" s="3">
        <f t="shared" si="9"/>
        <v>3420</v>
      </c>
      <c r="H283" s="3">
        <f>VLOOKUP(D283,'Bu Erta'!$C$2:$F$66,4,0)*F283</f>
        <v>3800</v>
      </c>
    </row>
    <row r="284" spans="1:8" x14ac:dyDescent="0.35">
      <c r="A284" s="106"/>
      <c r="B284" t="s">
        <v>94</v>
      </c>
      <c r="C284" s="106"/>
      <c r="D284" t="s">
        <v>22</v>
      </c>
      <c r="E284" s="3">
        <f>VLOOKUP(D284,'Bu Erta'!$C$2:$E$66,3,0)</f>
        <v>2500</v>
      </c>
      <c r="F284">
        <f>5.2+0.55</f>
        <v>5.75</v>
      </c>
      <c r="G284" s="3">
        <f t="shared" si="9"/>
        <v>14375</v>
      </c>
      <c r="H284" s="3">
        <f>VLOOKUP(D284,'Bu Erta'!$C$2:$F$66,4,0)*F284</f>
        <v>17250</v>
      </c>
    </row>
    <row r="285" spans="1:8" x14ac:dyDescent="0.35">
      <c r="A285" s="106">
        <v>48</v>
      </c>
      <c r="B285" t="s">
        <v>113</v>
      </c>
      <c r="C285" s="106">
        <v>5</v>
      </c>
      <c r="D285" t="s">
        <v>23</v>
      </c>
      <c r="E285" s="3">
        <f>VLOOKUP(D285,'Bu Erta'!$C$2:$E$66,3,0)</f>
        <v>300</v>
      </c>
      <c r="F285">
        <v>1.1499999999999999</v>
      </c>
      <c r="G285" s="3">
        <f t="shared" si="9"/>
        <v>345</v>
      </c>
      <c r="H285" s="3">
        <f>VLOOKUP(D285,'Bu Erta'!$C$2:$F$66,4,0)*F285</f>
        <v>459.99999999999994</v>
      </c>
    </row>
    <row r="286" spans="1:8" x14ac:dyDescent="0.35">
      <c r="A286" s="106"/>
      <c r="B286" t="s">
        <v>113</v>
      </c>
      <c r="C286" s="106"/>
      <c r="D286" t="s">
        <v>6</v>
      </c>
      <c r="E286" s="3">
        <f>VLOOKUP(D286,'Bu Erta'!$C$2:$E$66,3,0)</f>
        <v>2000</v>
      </c>
      <c r="F286">
        <v>0.2</v>
      </c>
      <c r="G286" s="3">
        <f t="shared" si="9"/>
        <v>400</v>
      </c>
      <c r="H286" s="3">
        <f>VLOOKUP(D286,'Bu Erta'!$C$2:$F$66,4,0)*F286</f>
        <v>500</v>
      </c>
    </row>
    <row r="287" spans="1:8" x14ac:dyDescent="0.35">
      <c r="A287" s="106"/>
      <c r="B287" t="s">
        <v>113</v>
      </c>
      <c r="C287" s="106"/>
      <c r="D287" t="s">
        <v>27</v>
      </c>
      <c r="E287" s="3">
        <f>VLOOKUP(D287,'Bu Erta'!$C$2:$E$66,3,0)</f>
        <v>2800</v>
      </c>
      <c r="F287">
        <v>0.45</v>
      </c>
      <c r="G287" s="3">
        <f t="shared" si="9"/>
        <v>1260</v>
      </c>
      <c r="H287" s="3">
        <f>VLOOKUP(D287,'Bu Erta'!$C$2:$F$66,4,0)*F287</f>
        <v>1395</v>
      </c>
    </row>
    <row r="288" spans="1:8" x14ac:dyDescent="0.35">
      <c r="A288" s="106"/>
      <c r="B288" t="s">
        <v>113</v>
      </c>
      <c r="C288" s="106"/>
      <c r="D288" t="s">
        <v>7</v>
      </c>
      <c r="E288" s="3">
        <f>VLOOKUP(D288,'Bu Erta'!$C$2:$E$66,3,0)</f>
        <v>1400</v>
      </c>
      <c r="F288">
        <f>0.15+0.5</f>
        <v>0.65</v>
      </c>
      <c r="G288" s="3">
        <f t="shared" si="9"/>
        <v>910</v>
      </c>
      <c r="H288" s="3">
        <f>VLOOKUP(D288,'Bu Erta'!$C$2:$F$66,4,0)*F288</f>
        <v>1040</v>
      </c>
    </row>
    <row r="289" spans="1:8" x14ac:dyDescent="0.35">
      <c r="A289" s="106"/>
      <c r="B289" t="s">
        <v>113</v>
      </c>
      <c r="C289" s="106"/>
      <c r="D289" t="s">
        <v>19</v>
      </c>
      <c r="E289" s="3">
        <f>VLOOKUP(D289,'Bu Erta'!$C$2:$E$66,3,0)</f>
        <v>200</v>
      </c>
      <c r="F289">
        <v>0.6</v>
      </c>
      <c r="G289" s="3">
        <f t="shared" si="9"/>
        <v>120</v>
      </c>
      <c r="H289" s="3">
        <f>VLOOKUP(D289,'Bu Erta'!$C$2:$F$66,4,0)*F289</f>
        <v>180</v>
      </c>
    </row>
    <row r="290" spans="1:8" x14ac:dyDescent="0.35">
      <c r="A290" s="106"/>
      <c r="B290" t="s">
        <v>113</v>
      </c>
      <c r="C290" s="106"/>
      <c r="D290" t="s">
        <v>88</v>
      </c>
      <c r="E290" s="3">
        <f>VLOOKUP(D290,'Bu Erta'!$C$2:$E$66,3,0)</f>
        <v>300</v>
      </c>
      <c r="F290">
        <v>0.85</v>
      </c>
      <c r="G290" s="3">
        <f t="shared" si="9"/>
        <v>255</v>
      </c>
      <c r="H290" s="3">
        <f>VLOOKUP(D290,'Bu Erta'!$C$2:$F$66,4,0)*F290</f>
        <v>340</v>
      </c>
    </row>
    <row r="291" spans="1:8" x14ac:dyDescent="0.35">
      <c r="A291" s="106"/>
      <c r="B291" t="s">
        <v>113</v>
      </c>
      <c r="C291" s="106"/>
      <c r="D291" t="s">
        <v>69</v>
      </c>
      <c r="E291" s="3">
        <f>VLOOKUP(D291,'Bu Erta'!$C$2:$E$66,3,0)</f>
        <v>2500</v>
      </c>
      <c r="F291">
        <v>0.15</v>
      </c>
      <c r="G291" s="3">
        <f t="shared" si="9"/>
        <v>375</v>
      </c>
      <c r="H291" s="3">
        <f>VLOOKUP(D291,'Bu Erta'!$C$2:$F$66,4,0)*F291</f>
        <v>450</v>
      </c>
    </row>
    <row r="292" spans="1:8" x14ac:dyDescent="0.35">
      <c r="A292" s="106">
        <v>49</v>
      </c>
      <c r="B292" t="s">
        <v>152</v>
      </c>
      <c r="C292" s="106">
        <v>4</v>
      </c>
      <c r="D292" t="s">
        <v>40</v>
      </c>
      <c r="E292" s="3">
        <f>VLOOKUP(D292,'Bu Erta'!$C$2:$E$66,3,0)</f>
        <v>1800</v>
      </c>
      <c r="F292">
        <v>1.45</v>
      </c>
      <c r="G292" s="3">
        <f t="shared" si="9"/>
        <v>2610</v>
      </c>
      <c r="H292" s="3">
        <f>VLOOKUP(D292,'Bu Erta'!$C$2:$F$66,4,0)*F292</f>
        <v>2900</v>
      </c>
    </row>
    <row r="293" spans="1:8" x14ac:dyDescent="0.35">
      <c r="A293" s="106"/>
      <c r="B293" t="s">
        <v>152</v>
      </c>
      <c r="C293" s="106"/>
      <c r="D293" t="s">
        <v>7</v>
      </c>
      <c r="E293" s="3">
        <f>VLOOKUP(D293,'Bu Erta'!$C$2:$E$66,3,0)</f>
        <v>1400</v>
      </c>
      <c r="F293">
        <v>1</v>
      </c>
      <c r="G293" s="3">
        <f t="shared" si="9"/>
        <v>1400</v>
      </c>
      <c r="H293" s="3">
        <f>VLOOKUP(D293,'Bu Erta'!$C$2:$F$66,4,0)*F293</f>
        <v>1600</v>
      </c>
    </row>
    <row r="294" spans="1:8" x14ac:dyDescent="0.35">
      <c r="A294" s="106"/>
      <c r="B294" t="s">
        <v>152</v>
      </c>
      <c r="C294" s="106"/>
      <c r="D294" t="s">
        <v>88</v>
      </c>
      <c r="E294" s="3">
        <f>VLOOKUP(D294,'Bu Erta'!$C$2:$E$66,3,0)</f>
        <v>300</v>
      </c>
      <c r="F294">
        <v>0.1</v>
      </c>
      <c r="G294" s="3">
        <f t="shared" si="9"/>
        <v>30</v>
      </c>
      <c r="H294" s="3">
        <f>VLOOKUP(D294,'Bu Erta'!$C$2:$F$66,4,0)*F294</f>
        <v>40</v>
      </c>
    </row>
    <row r="295" spans="1:8" x14ac:dyDescent="0.35">
      <c r="A295" s="106">
        <v>50</v>
      </c>
      <c r="B295" t="s">
        <v>106</v>
      </c>
      <c r="C295" s="106">
        <v>4</v>
      </c>
      <c r="D295" t="s">
        <v>40</v>
      </c>
      <c r="E295" s="3">
        <f>VLOOKUP(D295,'Bu Erta'!$C$2:$E$66,3,0)</f>
        <v>1800</v>
      </c>
      <c r="F295">
        <f>0.1+0.25</f>
        <v>0.35</v>
      </c>
      <c r="G295" s="3">
        <f t="shared" si="9"/>
        <v>630</v>
      </c>
      <c r="H295" s="3">
        <f>VLOOKUP(D295,'Bu Erta'!$C$2:$F$66,4,0)*F295</f>
        <v>700</v>
      </c>
    </row>
    <row r="296" spans="1:8" x14ac:dyDescent="0.35">
      <c r="A296" s="106"/>
      <c r="B296" t="s">
        <v>106</v>
      </c>
      <c r="C296" s="106"/>
      <c r="D296" t="s">
        <v>22</v>
      </c>
      <c r="E296" s="3">
        <f>VLOOKUP(D296,'Bu Erta'!$C$2:$E$66,3,0)</f>
        <v>2500</v>
      </c>
      <c r="F296">
        <v>1</v>
      </c>
      <c r="G296" s="3">
        <f t="shared" si="9"/>
        <v>2500</v>
      </c>
      <c r="H296" s="3">
        <f>VLOOKUP(D296,'Bu Erta'!$C$2:$F$66,4,0)*F296</f>
        <v>3000</v>
      </c>
    </row>
    <row r="297" spans="1:8" x14ac:dyDescent="0.35">
      <c r="A297" s="106"/>
      <c r="B297" t="s">
        <v>106</v>
      </c>
      <c r="C297" s="106"/>
      <c r="D297" t="s">
        <v>25</v>
      </c>
      <c r="E297" s="3">
        <f>VLOOKUP(D297,'Bu Erta'!$C$2:$E$66,3,0)</f>
        <v>1600</v>
      </c>
      <c r="F297">
        <v>0.5</v>
      </c>
      <c r="G297" s="3">
        <f t="shared" si="9"/>
        <v>800</v>
      </c>
      <c r="H297" s="3">
        <f>VLOOKUP(D297,'Bu Erta'!$C$2:$F$66,4,0)*F297</f>
        <v>850</v>
      </c>
    </row>
    <row r="298" spans="1:8" x14ac:dyDescent="0.35">
      <c r="A298" s="106"/>
      <c r="B298" t="s">
        <v>106</v>
      </c>
      <c r="C298" s="106"/>
      <c r="D298" t="s">
        <v>42</v>
      </c>
      <c r="E298" s="3">
        <f>VLOOKUP(D298,'Bu Erta'!$C$2:$E$66,3,0)</f>
        <v>1000</v>
      </c>
      <c r="F298">
        <v>1.9</v>
      </c>
      <c r="G298" s="3">
        <f t="shared" si="9"/>
        <v>1900</v>
      </c>
      <c r="H298" s="3">
        <f>VLOOKUP(D298,'Bu Erta'!$C$2:$F$66,4,0)*F298</f>
        <v>2280</v>
      </c>
    </row>
    <row r="299" spans="1:8" x14ac:dyDescent="0.35">
      <c r="A299" s="106"/>
      <c r="B299" t="s">
        <v>106</v>
      </c>
      <c r="C299" s="106"/>
      <c r="D299" t="s">
        <v>23</v>
      </c>
      <c r="E299" s="3">
        <f>VLOOKUP(D299,'Bu Erta'!$C$2:$E$66,3,0)</f>
        <v>300</v>
      </c>
      <c r="F299">
        <v>1.2</v>
      </c>
      <c r="G299" s="3">
        <f t="shared" si="9"/>
        <v>360</v>
      </c>
      <c r="H299" s="3">
        <f>VLOOKUP(D299,'Bu Erta'!$C$2:$F$66,4,0)*F299</f>
        <v>480</v>
      </c>
    </row>
    <row r="300" spans="1:8" x14ac:dyDescent="0.35">
      <c r="A300" s="106"/>
      <c r="B300" t="s">
        <v>106</v>
      </c>
      <c r="C300" s="106"/>
      <c r="D300" t="s">
        <v>19</v>
      </c>
      <c r="E300" s="3">
        <f>VLOOKUP(D300,'Bu Erta'!$C$2:$E$66,3,0)</f>
        <v>200</v>
      </c>
      <c r="F300">
        <v>0.15</v>
      </c>
      <c r="G300" s="3">
        <f t="shared" si="9"/>
        <v>30</v>
      </c>
      <c r="H300" s="3">
        <f>VLOOKUP(D300,'Bu Erta'!$C$2:$F$66,4,0)*F300</f>
        <v>45</v>
      </c>
    </row>
    <row r="301" spans="1:8" x14ac:dyDescent="0.35">
      <c r="A301" s="106">
        <v>51</v>
      </c>
      <c r="B301" t="s">
        <v>175</v>
      </c>
      <c r="C301" s="106">
        <v>2</v>
      </c>
      <c r="D301" t="s">
        <v>88</v>
      </c>
      <c r="E301" s="3">
        <f>VLOOKUP(D301,'Bu Erta'!$C$2:$E$66,3,0)</f>
        <v>300</v>
      </c>
      <c r="F301">
        <v>2.4500000000000002</v>
      </c>
      <c r="G301" s="3">
        <f t="shared" si="9"/>
        <v>735</v>
      </c>
      <c r="H301" s="3">
        <f>VLOOKUP(D301,'Bu Erta'!$C$2:$F$66,4,0)*F301</f>
        <v>980.00000000000011</v>
      </c>
    </row>
    <row r="302" spans="1:8" x14ac:dyDescent="0.35">
      <c r="A302" s="106"/>
      <c r="B302" t="s">
        <v>175</v>
      </c>
      <c r="C302" s="106"/>
      <c r="D302" t="s">
        <v>42</v>
      </c>
      <c r="E302" s="3">
        <f>VLOOKUP(D302,'Bu Erta'!$C$2:$E$66,3,0)</f>
        <v>1000</v>
      </c>
      <c r="F302">
        <v>0.95</v>
      </c>
      <c r="G302" s="3">
        <f t="shared" si="9"/>
        <v>950</v>
      </c>
      <c r="H302" s="3">
        <f>VLOOKUP(D302,'Bu Erta'!$C$2:$F$66,4,0)*F302</f>
        <v>1140</v>
      </c>
    </row>
    <row r="303" spans="1:8" x14ac:dyDescent="0.35">
      <c r="A303" s="106"/>
      <c r="B303" t="s">
        <v>175</v>
      </c>
      <c r="C303" s="106"/>
      <c r="D303" t="s">
        <v>31</v>
      </c>
      <c r="E303" s="3">
        <f>VLOOKUP(D303,'Bu Erta'!$C$2:$E$66,3,0)</f>
        <v>1000</v>
      </c>
      <c r="F303">
        <v>2.5499999999999998</v>
      </c>
      <c r="G303" s="3">
        <f t="shared" si="9"/>
        <v>2550</v>
      </c>
      <c r="H303" s="3">
        <f>VLOOKUP(D303,'Bu Erta'!$C$2:$F$66,4,0)*F303</f>
        <v>2805</v>
      </c>
    </row>
    <row r="304" spans="1:8" x14ac:dyDescent="0.35">
      <c r="A304" s="106">
        <v>52</v>
      </c>
      <c r="B304" t="s">
        <v>139</v>
      </c>
      <c r="C304" s="106">
        <v>1</v>
      </c>
      <c r="D304" t="s">
        <v>44</v>
      </c>
      <c r="E304" s="3">
        <f>VLOOKUP(D304,'Bu Erta'!$C$2:$E$66,3,0)</f>
        <v>400</v>
      </c>
      <c r="F304">
        <v>0.3</v>
      </c>
      <c r="G304" s="3">
        <f t="shared" ref="G304:G317" si="10">E304*F304</f>
        <v>120</v>
      </c>
      <c r="H304" s="3">
        <f>VLOOKUP(D304,'Bu Erta'!$C$2:$F$66,4,0)*F304</f>
        <v>150</v>
      </c>
    </row>
    <row r="305" spans="1:8" x14ac:dyDescent="0.35">
      <c r="A305" s="106"/>
      <c r="B305" t="s">
        <v>139</v>
      </c>
      <c r="C305" s="106"/>
      <c r="D305" t="s">
        <v>19</v>
      </c>
      <c r="E305" s="3">
        <f>VLOOKUP(D305,'Bu Erta'!$C$2:$E$66,3,0)</f>
        <v>200</v>
      </c>
      <c r="F305">
        <f>0.5+0.95+0.5</f>
        <v>1.95</v>
      </c>
      <c r="G305" s="3">
        <f t="shared" si="10"/>
        <v>390</v>
      </c>
      <c r="H305" s="3">
        <f>VLOOKUP(D305,'Bu Erta'!$C$2:$F$66,4,0)*F305</f>
        <v>585</v>
      </c>
    </row>
    <row r="306" spans="1:8" x14ac:dyDescent="0.35">
      <c r="A306" s="106"/>
      <c r="B306" t="s">
        <v>139</v>
      </c>
      <c r="C306" s="106"/>
      <c r="D306" t="s">
        <v>31</v>
      </c>
      <c r="E306" s="3">
        <f>VLOOKUP(D306,'Bu Erta'!$C$2:$E$66,3,0)</f>
        <v>1000</v>
      </c>
      <c r="F306">
        <v>0.55000000000000004</v>
      </c>
      <c r="G306" s="3">
        <f t="shared" si="10"/>
        <v>550</v>
      </c>
      <c r="H306" s="3">
        <f>VLOOKUP(D306,'Bu Erta'!$C$2:$F$66,4,0)*F306</f>
        <v>605</v>
      </c>
    </row>
    <row r="307" spans="1:8" x14ac:dyDescent="0.35">
      <c r="A307" s="106">
        <v>53</v>
      </c>
      <c r="B307" t="s">
        <v>198</v>
      </c>
      <c r="C307" s="106" t="s">
        <v>199</v>
      </c>
      <c r="D307" t="s">
        <v>24</v>
      </c>
      <c r="E307" s="3">
        <f>VLOOKUP(D307,'Bu Erta'!$C$2:$E$66,3,0)</f>
        <v>150</v>
      </c>
      <c r="F307">
        <f>0.75+0.05</f>
        <v>0.8</v>
      </c>
      <c r="G307" s="3">
        <f t="shared" si="10"/>
        <v>120</v>
      </c>
      <c r="H307" s="3">
        <f>VLOOKUP(D307,'Bu Erta'!$C$2:$F$66,4,0)*F307</f>
        <v>160</v>
      </c>
    </row>
    <row r="308" spans="1:8" x14ac:dyDescent="0.35">
      <c r="A308" s="106"/>
      <c r="B308" t="s">
        <v>198</v>
      </c>
      <c r="C308" s="106"/>
      <c r="D308" t="s">
        <v>7</v>
      </c>
      <c r="E308" s="3">
        <f>VLOOKUP(D308,'Bu Erta'!$C$2:$E$66,3,0)</f>
        <v>1400</v>
      </c>
      <c r="F308">
        <f>1.15+0.65</f>
        <v>1.7999999999999998</v>
      </c>
      <c r="G308" s="3">
        <f t="shared" si="10"/>
        <v>2519.9999999999995</v>
      </c>
      <c r="H308" s="3">
        <f>VLOOKUP(D308,'Bu Erta'!$C$2:$F$66,4,0)*F308</f>
        <v>2879.9999999999995</v>
      </c>
    </row>
    <row r="309" spans="1:8" x14ac:dyDescent="0.35">
      <c r="A309" s="106">
        <v>54</v>
      </c>
      <c r="B309" t="s">
        <v>148</v>
      </c>
      <c r="C309" s="106">
        <v>4</v>
      </c>
      <c r="D309" t="s">
        <v>68</v>
      </c>
      <c r="E309" s="3">
        <f>VLOOKUP(D309,'Bu Erta'!$C$2:$E$66,3,0)</f>
        <v>150</v>
      </c>
      <c r="F309">
        <v>6.05</v>
      </c>
      <c r="G309" s="3">
        <f t="shared" si="10"/>
        <v>907.5</v>
      </c>
      <c r="H309" s="3">
        <f>VLOOKUP(D309,'Bu Erta'!$C$2:$F$66,4,0)*F309</f>
        <v>1210</v>
      </c>
    </row>
    <row r="310" spans="1:8" x14ac:dyDescent="0.35">
      <c r="A310" s="106"/>
      <c r="B310" t="s">
        <v>148</v>
      </c>
      <c r="C310" s="106"/>
      <c r="D310" t="s">
        <v>56</v>
      </c>
      <c r="E310" s="3">
        <f>VLOOKUP(D310,'Bu Erta'!$C$2:$E$66,3,0)</f>
        <v>4000</v>
      </c>
      <c r="F310">
        <v>1.7</v>
      </c>
      <c r="G310" s="3">
        <f t="shared" si="10"/>
        <v>6800</v>
      </c>
      <c r="H310" s="3">
        <f>VLOOKUP(D310,'Bu Erta'!$C$2:$F$66,4,0)*F310</f>
        <v>9350</v>
      </c>
    </row>
    <row r="311" spans="1:8" x14ac:dyDescent="0.35">
      <c r="A311" s="106">
        <v>55</v>
      </c>
      <c r="B311" t="s">
        <v>200</v>
      </c>
      <c r="C311" s="106" t="s">
        <v>201</v>
      </c>
      <c r="D311" t="s">
        <v>42</v>
      </c>
      <c r="E311" s="3">
        <f>VLOOKUP(D311,'Bu Erta'!$C$2:$E$66,3,0)</f>
        <v>1000</v>
      </c>
      <c r="F311">
        <f>0.9+0.3</f>
        <v>1.2</v>
      </c>
      <c r="G311" s="3">
        <f t="shared" si="10"/>
        <v>1200</v>
      </c>
      <c r="H311" s="3">
        <f>VLOOKUP(D311,'Bu Erta'!$C$2:$F$66,4,0)*F311</f>
        <v>1440</v>
      </c>
    </row>
    <row r="312" spans="1:8" x14ac:dyDescent="0.35">
      <c r="A312" s="106"/>
      <c r="B312" t="s">
        <v>200</v>
      </c>
      <c r="C312" s="106"/>
      <c r="D312" t="s">
        <v>46</v>
      </c>
      <c r="E312" s="3">
        <f>VLOOKUP(D312,'Bu Erta'!$C$2:$E$66,3,0)</f>
        <v>1400</v>
      </c>
      <c r="F312">
        <v>1.1499999999999999</v>
      </c>
      <c r="G312" s="3">
        <f t="shared" si="10"/>
        <v>1609.9999999999998</v>
      </c>
      <c r="H312" s="3">
        <f>VLOOKUP(D312,'Bu Erta'!$C$2:$F$66,4,0)*F312</f>
        <v>1724.9999999999998</v>
      </c>
    </row>
    <row r="313" spans="1:8" x14ac:dyDescent="0.35">
      <c r="A313" s="106"/>
      <c r="B313" t="s">
        <v>200</v>
      </c>
      <c r="C313" s="106"/>
      <c r="D313" t="s">
        <v>7</v>
      </c>
      <c r="E313" s="3">
        <f>VLOOKUP(D313,'Bu Erta'!$C$2:$E$66,3,0)</f>
        <v>1400</v>
      </c>
      <c r="F313">
        <f>1.95+0.3+14.8</f>
        <v>17.05</v>
      </c>
      <c r="G313" s="3">
        <f t="shared" si="10"/>
        <v>23870</v>
      </c>
      <c r="H313" s="3">
        <f>VLOOKUP(D313,'Bu Erta'!$C$2:$F$66,4,0)*F313</f>
        <v>27280</v>
      </c>
    </row>
    <row r="314" spans="1:8" x14ac:dyDescent="0.35">
      <c r="A314" s="106"/>
      <c r="B314" t="s">
        <v>200</v>
      </c>
      <c r="C314" s="106"/>
      <c r="D314" t="s">
        <v>23</v>
      </c>
      <c r="E314" s="3">
        <f>VLOOKUP(D314,'Bu Erta'!$C$2:$E$66,3,0)</f>
        <v>300</v>
      </c>
      <c r="F314">
        <v>0.1</v>
      </c>
      <c r="G314" s="3">
        <f t="shared" ref="G314" si="11">E314*F314</f>
        <v>30</v>
      </c>
      <c r="H314" s="3">
        <f>VLOOKUP(D314,'Bu Erta'!$C$2:$F$66,4,0)*F314</f>
        <v>40</v>
      </c>
    </row>
    <row r="315" spans="1:8" x14ac:dyDescent="0.35">
      <c r="A315" s="106"/>
      <c r="B315" t="s">
        <v>200</v>
      </c>
      <c r="C315" s="106"/>
      <c r="D315" t="s">
        <v>41</v>
      </c>
      <c r="E315" s="3">
        <f>VLOOKUP(D315,'Bu Erta'!$C$2:$E$66,3,0)</f>
        <v>1500</v>
      </c>
      <c r="F315">
        <v>0.25</v>
      </c>
      <c r="G315" s="3">
        <f t="shared" si="10"/>
        <v>375</v>
      </c>
      <c r="H315" s="3">
        <f>VLOOKUP(D315,'Bu Erta'!$C$2:$F$66,4,0)*F315</f>
        <v>500</v>
      </c>
    </row>
    <row r="316" spans="1:8" x14ac:dyDescent="0.35">
      <c r="A316" s="106"/>
      <c r="B316" t="s">
        <v>200</v>
      </c>
      <c r="C316" s="106"/>
      <c r="D316" t="s">
        <v>38</v>
      </c>
      <c r="E316" s="3">
        <f>VLOOKUP(D316,'Bu Erta'!$C$2:$E$66,3,0)</f>
        <v>1400</v>
      </c>
      <c r="F316">
        <v>0.35</v>
      </c>
      <c r="G316" s="3">
        <f t="shared" si="10"/>
        <v>489.99999999999994</v>
      </c>
      <c r="H316" s="3">
        <f>VLOOKUP(D316,'Bu Erta'!$C$2:$F$66,4,0)*F316</f>
        <v>560</v>
      </c>
    </row>
    <row r="317" spans="1:8" x14ac:dyDescent="0.35">
      <c r="A317" s="106"/>
      <c r="B317" t="s">
        <v>200</v>
      </c>
      <c r="C317" s="106"/>
      <c r="D317" t="s">
        <v>27</v>
      </c>
      <c r="E317" s="3">
        <f>VLOOKUP(D317,'Bu Erta'!$C$2:$E$66,3,0)</f>
        <v>2800</v>
      </c>
      <c r="F317">
        <f>0.15+0.1</f>
        <v>0.25</v>
      </c>
      <c r="G317" s="3">
        <f t="shared" si="10"/>
        <v>700</v>
      </c>
      <c r="H317" s="3">
        <f>VLOOKUP(D317,'Bu Erta'!$C$2:$F$66,4,0)*F317</f>
        <v>775</v>
      </c>
    </row>
    <row r="318" spans="1:8" x14ac:dyDescent="0.35">
      <c r="F318" s="3">
        <f>SUM(F3:F317)</f>
        <v>457.19999999999976</v>
      </c>
      <c r="G318" s="3">
        <f>SUM(G3:G317)</f>
        <v>644175</v>
      </c>
      <c r="H318" s="3">
        <f>SUM(H3:H317)</f>
        <v>759142.5</v>
      </c>
    </row>
  </sheetData>
  <mergeCells count="100">
    <mergeCell ref="C51:C59"/>
    <mergeCell ref="A51:A59"/>
    <mergeCell ref="A47:A50"/>
    <mergeCell ref="A3:A15"/>
    <mergeCell ref="C3:C15"/>
    <mergeCell ref="C16:C19"/>
    <mergeCell ref="C20:C30"/>
    <mergeCell ref="A20:A30"/>
    <mergeCell ref="A16:A19"/>
    <mergeCell ref="A31:A38"/>
    <mergeCell ref="A39:A46"/>
    <mergeCell ref="C31:C38"/>
    <mergeCell ref="C39:C46"/>
    <mergeCell ref="C47:C50"/>
    <mergeCell ref="A60:A71"/>
    <mergeCell ref="C60:C71"/>
    <mergeCell ref="C72:C73"/>
    <mergeCell ref="A72:A73"/>
    <mergeCell ref="A74:A77"/>
    <mergeCell ref="C74:C77"/>
    <mergeCell ref="C78:C82"/>
    <mergeCell ref="A78:A82"/>
    <mergeCell ref="A83:A84"/>
    <mergeCell ref="C83:C84"/>
    <mergeCell ref="C85:C89"/>
    <mergeCell ref="A85:A89"/>
    <mergeCell ref="A90:A94"/>
    <mergeCell ref="C90:C94"/>
    <mergeCell ref="C95:C101"/>
    <mergeCell ref="A95:A101"/>
    <mergeCell ref="A103:A107"/>
    <mergeCell ref="C103:C107"/>
    <mergeCell ref="C108:C114"/>
    <mergeCell ref="C115:C118"/>
    <mergeCell ref="A115:A118"/>
    <mergeCell ref="A108:A114"/>
    <mergeCell ref="A119:A126"/>
    <mergeCell ref="C119:C126"/>
    <mergeCell ref="C127:C131"/>
    <mergeCell ref="A127:A131"/>
    <mergeCell ref="A132:A137"/>
    <mergeCell ref="C132:C137"/>
    <mergeCell ref="C138:C143"/>
    <mergeCell ref="A138:A143"/>
    <mergeCell ref="A144:A149"/>
    <mergeCell ref="C144:C149"/>
    <mergeCell ref="C150:C158"/>
    <mergeCell ref="A150:A158"/>
    <mergeCell ref="A159:A165"/>
    <mergeCell ref="C159:C165"/>
    <mergeCell ref="C166:C169"/>
    <mergeCell ref="A166:A169"/>
    <mergeCell ref="A170:A184"/>
    <mergeCell ref="C170:C184"/>
    <mergeCell ref="C185:C189"/>
    <mergeCell ref="A185:A189"/>
    <mergeCell ref="A190:A194"/>
    <mergeCell ref="C190:C194"/>
    <mergeCell ref="C195:C198"/>
    <mergeCell ref="A195:A198"/>
    <mergeCell ref="A199:A204"/>
    <mergeCell ref="C199:C204"/>
    <mergeCell ref="C206:C215"/>
    <mergeCell ref="A206:A215"/>
    <mergeCell ref="A216:A222"/>
    <mergeCell ref="C216:C222"/>
    <mergeCell ref="C223:C224"/>
    <mergeCell ref="A223:A224"/>
    <mergeCell ref="A225:A237"/>
    <mergeCell ref="C225:C237"/>
    <mergeCell ref="C238:C240"/>
    <mergeCell ref="A238:A240"/>
    <mergeCell ref="A241:A248"/>
    <mergeCell ref="C241:C248"/>
    <mergeCell ref="C250:C252"/>
    <mergeCell ref="A250:A252"/>
    <mergeCell ref="A253:A256"/>
    <mergeCell ref="C253:C256"/>
    <mergeCell ref="C258:C260"/>
    <mergeCell ref="A258:A260"/>
    <mergeCell ref="A261:A273"/>
    <mergeCell ref="C261:C273"/>
    <mergeCell ref="C275:C284"/>
    <mergeCell ref="A275:A284"/>
    <mergeCell ref="A285:A291"/>
    <mergeCell ref="C285:C291"/>
    <mergeCell ref="C292:C294"/>
    <mergeCell ref="A292:A294"/>
    <mergeCell ref="A295:A300"/>
    <mergeCell ref="C295:C300"/>
    <mergeCell ref="C301:C303"/>
    <mergeCell ref="A301:A303"/>
    <mergeCell ref="C311:C317"/>
    <mergeCell ref="A311:A317"/>
    <mergeCell ref="A304:A306"/>
    <mergeCell ref="C304:C306"/>
    <mergeCell ref="C307:C308"/>
    <mergeCell ref="A307:A308"/>
    <mergeCell ref="A309:A310"/>
    <mergeCell ref="C309:C3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BB0D-04B0-4BA2-BC62-5B5FDC531717}">
  <dimension ref="A1:AG280"/>
  <sheetViews>
    <sheetView zoomScale="71" zoomScaleNormal="80" workbookViewId="0">
      <selection activeCell="V71" sqref="V71"/>
    </sheetView>
  </sheetViews>
  <sheetFormatPr defaultRowHeight="14.5" x14ac:dyDescent="0.35"/>
  <cols>
    <col min="1" max="1" width="8.7265625" style="1"/>
    <col min="2" max="2" width="16.1796875" customWidth="1"/>
    <col min="3" max="3" width="6.26953125" style="1" customWidth="1"/>
    <col min="4" max="4" width="24.90625" customWidth="1"/>
    <col min="5" max="5" width="9.26953125" style="3" bestFit="1" customWidth="1"/>
    <col min="7" max="7" width="11.81640625" style="3" bestFit="1" customWidth="1"/>
    <col min="8" max="8" width="9.26953125" style="3" bestFit="1" customWidth="1"/>
    <col min="9" max="9" width="9.453125" bestFit="1" customWidth="1"/>
    <col min="10" max="10" width="16.1796875" bestFit="1" customWidth="1"/>
    <col min="11" max="11" width="9.1796875" style="1" bestFit="1" customWidth="1"/>
    <col min="12" max="12" width="16.81640625" bestFit="1" customWidth="1"/>
    <col min="13" max="13" width="7.1796875" customWidth="1"/>
    <col min="14" max="14" width="17.6328125" customWidth="1"/>
    <col min="15" max="15" width="6.08984375" bestFit="1" customWidth="1"/>
    <col min="16" max="16" width="17.6328125" customWidth="1"/>
    <col min="19" max="19" width="23.6328125" bestFit="1" customWidth="1"/>
    <col min="21" max="21" width="9.6328125" bestFit="1" customWidth="1"/>
    <col min="22" max="22" width="16.36328125" bestFit="1" customWidth="1"/>
    <col min="25" max="25" width="23.6328125" bestFit="1" customWidth="1"/>
    <col min="28" max="29" width="10" customWidth="1"/>
    <col min="31" max="31" width="23.26953125" bestFit="1" customWidth="1"/>
    <col min="32" max="32" width="11.6328125" bestFit="1" customWidth="1"/>
    <col min="33" max="33" width="16.81640625" bestFit="1" customWidth="1"/>
  </cols>
  <sheetData>
    <row r="1" spans="1:33" x14ac:dyDescent="0.35">
      <c r="J1" t="s">
        <v>154</v>
      </c>
    </row>
    <row r="2" spans="1:33" x14ac:dyDescent="0.35">
      <c r="A2" s="56" t="s">
        <v>8</v>
      </c>
      <c r="B2" s="56" t="s">
        <v>2</v>
      </c>
      <c r="C2" s="56" t="s">
        <v>4</v>
      </c>
      <c r="D2" s="44" t="s">
        <v>128</v>
      </c>
      <c r="E2" s="57" t="s">
        <v>1</v>
      </c>
      <c r="F2" s="44" t="s">
        <v>0</v>
      </c>
      <c r="G2" s="57" t="s">
        <v>3</v>
      </c>
      <c r="J2" s="68" t="s">
        <v>170</v>
      </c>
      <c r="K2" t="s">
        <v>172</v>
      </c>
      <c r="L2" t="s">
        <v>82</v>
      </c>
      <c r="N2" s="65" t="s">
        <v>2</v>
      </c>
      <c r="O2" s="65" t="s">
        <v>153</v>
      </c>
      <c r="P2" s="65" t="s">
        <v>82</v>
      </c>
      <c r="R2" s="40" t="s">
        <v>131</v>
      </c>
      <c r="V2" t="s">
        <v>154</v>
      </c>
      <c r="X2" s="40" t="s">
        <v>169</v>
      </c>
      <c r="AB2" t="s">
        <v>154</v>
      </c>
    </row>
    <row r="3" spans="1:33" x14ac:dyDescent="0.35">
      <c r="A3" s="109">
        <v>1</v>
      </c>
      <c r="B3" s="20" t="s">
        <v>84</v>
      </c>
      <c r="C3" s="109">
        <v>4</v>
      </c>
      <c r="D3" s="20" t="s">
        <v>42</v>
      </c>
      <c r="E3" s="33">
        <f>VLOOKUP(D3,'Bu Erta'!$C$2:$E$66,3,0)</f>
        <v>1000</v>
      </c>
      <c r="F3" s="20">
        <v>2.0499999999999998</v>
      </c>
      <c r="G3" s="33">
        <f>E3*F3</f>
        <v>2050</v>
      </c>
      <c r="H3" s="3">
        <f>(VLOOKUP(D3,'Bu Erta'!$C$2:$F$66,4,0))*F3</f>
        <v>2460</v>
      </c>
      <c r="J3" s="69" t="s">
        <v>138</v>
      </c>
      <c r="K3">
        <v>1</v>
      </c>
      <c r="L3" s="4">
        <v>23928.5</v>
      </c>
      <c r="M3" s="4"/>
      <c r="N3" s="69" t="s">
        <v>138</v>
      </c>
      <c r="O3">
        <v>1</v>
      </c>
      <c r="P3" s="4">
        <v>23928.5</v>
      </c>
      <c r="R3" s="49" t="s">
        <v>8</v>
      </c>
      <c r="S3" s="50" t="s">
        <v>128</v>
      </c>
      <c r="T3" s="51" t="s">
        <v>1</v>
      </c>
      <c r="U3" s="50" t="s">
        <v>0</v>
      </c>
      <c r="V3" s="51" t="s">
        <v>3</v>
      </c>
      <c r="X3" s="49" t="s">
        <v>8</v>
      </c>
      <c r="Y3" s="50" t="s">
        <v>128</v>
      </c>
      <c r="Z3" s="51" t="s">
        <v>1</v>
      </c>
      <c r="AA3" s="50" t="s">
        <v>0</v>
      </c>
      <c r="AB3" s="51" t="s">
        <v>3</v>
      </c>
      <c r="AC3" s="73"/>
      <c r="AE3" s="68" t="s">
        <v>170</v>
      </c>
      <c r="AF3" t="s">
        <v>171</v>
      </c>
      <c r="AG3" t="s">
        <v>82</v>
      </c>
    </row>
    <row r="4" spans="1:33" x14ac:dyDescent="0.35">
      <c r="A4" s="109"/>
      <c r="B4" s="20" t="s">
        <v>84</v>
      </c>
      <c r="C4" s="109"/>
      <c r="D4" s="20" t="s">
        <v>67</v>
      </c>
      <c r="E4" s="33">
        <f>VLOOKUP(D4,'Bu Erta'!$C$2:$E$66,3,0)</f>
        <v>2700</v>
      </c>
      <c r="F4" s="20">
        <v>0.2</v>
      </c>
      <c r="G4" s="33">
        <f t="shared" ref="G4:G69" si="0">E4*F4</f>
        <v>540</v>
      </c>
      <c r="H4" s="3">
        <f>(VLOOKUP(D4,'Bu Erta'!$C$2:$F$66,4,0))*F4</f>
        <v>600</v>
      </c>
      <c r="J4" s="69" t="s">
        <v>143</v>
      </c>
      <c r="K4">
        <v>1</v>
      </c>
      <c r="L4" s="4">
        <v>29705</v>
      </c>
      <c r="M4" s="4"/>
      <c r="N4" s="69" t="s">
        <v>143</v>
      </c>
      <c r="O4">
        <v>1</v>
      </c>
      <c r="P4" s="4">
        <v>29705</v>
      </c>
      <c r="R4" s="44">
        <v>1</v>
      </c>
      <c r="S4" s="17" t="s">
        <v>13</v>
      </c>
      <c r="T4" s="52">
        <f>VLOOKUP(S4,'Bu Erta'!$C$2:$F$66,4,0)</f>
        <v>1500</v>
      </c>
      <c r="U4" s="53">
        <f>SUMIF($D$3:$D$278,S4,$F$3:$F$278)</f>
        <v>0</v>
      </c>
      <c r="V4" s="52">
        <f>T4*U4</f>
        <v>0</v>
      </c>
      <c r="X4" s="44">
        <v>1</v>
      </c>
      <c r="Y4" s="17" t="s">
        <v>13</v>
      </c>
      <c r="Z4" s="52"/>
      <c r="AA4" s="53"/>
      <c r="AB4" s="52"/>
      <c r="AC4" s="9"/>
      <c r="AE4" s="69" t="s">
        <v>17</v>
      </c>
      <c r="AF4">
        <v>0.30000000000000004</v>
      </c>
      <c r="AG4" s="4">
        <v>2400</v>
      </c>
    </row>
    <row r="5" spans="1:33" x14ac:dyDescent="0.35">
      <c r="A5" s="109"/>
      <c r="B5" s="20" t="s">
        <v>84</v>
      </c>
      <c r="C5" s="109"/>
      <c r="D5" s="20" t="s">
        <v>7</v>
      </c>
      <c r="E5" s="33">
        <f>VLOOKUP(D5,'Bu Erta'!$C$2:$E$66,3,0)</f>
        <v>1400</v>
      </c>
      <c r="F5" s="20">
        <v>0.75</v>
      </c>
      <c r="G5" s="33">
        <f t="shared" si="0"/>
        <v>1050</v>
      </c>
      <c r="H5" s="3">
        <f>(VLOOKUP(D5,'Bu Erta'!$C$2:$F$66,4,0))*F5</f>
        <v>1200</v>
      </c>
      <c r="J5" s="69" t="s">
        <v>83</v>
      </c>
      <c r="K5">
        <v>1</v>
      </c>
      <c r="L5" s="4">
        <v>952.5</v>
      </c>
      <c r="M5" s="4"/>
      <c r="N5" s="69" t="s">
        <v>83</v>
      </c>
      <c r="O5">
        <v>1</v>
      </c>
      <c r="P5" s="4">
        <v>952.5</v>
      </c>
      <c r="R5" s="44">
        <v>2</v>
      </c>
      <c r="S5" s="17" t="s">
        <v>14</v>
      </c>
      <c r="T5" s="52">
        <f>VLOOKUP(S5,'Bu Erta'!$C$2:$F$66,4,0)</f>
        <v>100000</v>
      </c>
      <c r="U5" s="53">
        <f t="shared" ref="U5:U66" si="1">SUMIF($D$3:$D$278,S5,$F$3:$F$278)</f>
        <v>0</v>
      </c>
      <c r="V5" s="52">
        <f t="shared" ref="V5:V67" si="2">T5*U5</f>
        <v>0</v>
      </c>
      <c r="X5" s="44">
        <v>2</v>
      </c>
      <c r="Y5" s="17" t="s">
        <v>14</v>
      </c>
      <c r="Z5" s="52"/>
      <c r="AA5" s="53"/>
      <c r="AB5" s="52"/>
      <c r="AC5" s="9"/>
      <c r="AE5" s="69" t="s">
        <v>19</v>
      </c>
      <c r="AF5">
        <v>26.6</v>
      </c>
      <c r="AG5" s="4">
        <v>5780</v>
      </c>
    </row>
    <row r="6" spans="1:33" x14ac:dyDescent="0.35">
      <c r="A6" s="109"/>
      <c r="B6" s="20" t="s">
        <v>84</v>
      </c>
      <c r="C6" s="109"/>
      <c r="D6" s="20" t="s">
        <v>19</v>
      </c>
      <c r="E6" s="33">
        <f>VLOOKUP(D6,'Bu Erta'!$C$2:$E$66,3,0)</f>
        <v>200</v>
      </c>
      <c r="F6" s="20">
        <v>0.3</v>
      </c>
      <c r="G6" s="33">
        <f t="shared" si="0"/>
        <v>60</v>
      </c>
      <c r="H6" s="3">
        <f>(VLOOKUP(D6,'Bu Erta'!$C$2:$F$66,4,0))*F6</f>
        <v>90</v>
      </c>
      <c r="J6" s="69" t="s">
        <v>139</v>
      </c>
      <c r="K6">
        <v>1</v>
      </c>
      <c r="L6" s="4">
        <v>14120</v>
      </c>
      <c r="M6" s="4"/>
      <c r="N6" s="69" t="s">
        <v>139</v>
      </c>
      <c r="O6">
        <v>1</v>
      </c>
      <c r="P6" s="4">
        <v>14120</v>
      </c>
      <c r="R6" s="44">
        <v>3</v>
      </c>
      <c r="S6" s="17" t="s">
        <v>15</v>
      </c>
      <c r="T6" s="52">
        <f>VLOOKUP(S6,'Bu Erta'!$C$2:$F$66,4,0)</f>
        <v>40000</v>
      </c>
      <c r="U6" s="53">
        <f t="shared" si="1"/>
        <v>0</v>
      </c>
      <c r="V6" s="52">
        <f t="shared" si="2"/>
        <v>0</v>
      </c>
      <c r="X6" s="44">
        <v>3</v>
      </c>
      <c r="Y6" s="17" t="s">
        <v>15</v>
      </c>
      <c r="Z6" s="52"/>
      <c r="AA6" s="53"/>
      <c r="AB6" s="52"/>
      <c r="AC6" s="9"/>
      <c r="AE6" s="69" t="s">
        <v>22</v>
      </c>
      <c r="AF6">
        <v>10.200000000000001</v>
      </c>
      <c r="AG6" s="4">
        <v>25500</v>
      </c>
    </row>
    <row r="7" spans="1:33" x14ac:dyDescent="0.35">
      <c r="A7" s="109"/>
      <c r="B7" s="20" t="s">
        <v>84</v>
      </c>
      <c r="C7" s="109"/>
      <c r="D7" s="20" t="s">
        <v>41</v>
      </c>
      <c r="E7" s="33">
        <f>VLOOKUP(D7,'Bu Erta'!$C$2:$E$66,3,0)</f>
        <v>1500</v>
      </c>
      <c r="F7" s="20">
        <v>0.2</v>
      </c>
      <c r="G7" s="33">
        <f t="shared" si="0"/>
        <v>300</v>
      </c>
      <c r="H7" s="3">
        <f>(VLOOKUP(D7,'Bu Erta'!$C$2:$F$66,4,0))*F7</f>
        <v>400</v>
      </c>
      <c r="J7" s="69" t="s">
        <v>103</v>
      </c>
      <c r="K7">
        <v>1</v>
      </c>
      <c r="L7" s="4">
        <v>980</v>
      </c>
      <c r="M7" s="4"/>
      <c r="N7" s="69" t="s">
        <v>103</v>
      </c>
      <c r="O7">
        <v>1</v>
      </c>
      <c r="P7" s="4">
        <v>980</v>
      </c>
      <c r="R7" s="44">
        <v>4</v>
      </c>
      <c r="S7" s="17" t="s">
        <v>16</v>
      </c>
      <c r="T7" s="52">
        <f>VLOOKUP(S7,'Bu Erta'!$C$2:$F$66,4,0)</f>
        <v>6500</v>
      </c>
      <c r="U7" s="53">
        <f t="shared" si="1"/>
        <v>0</v>
      </c>
      <c r="V7" s="52">
        <f t="shared" si="2"/>
        <v>0</v>
      </c>
      <c r="X7" s="44">
        <v>4</v>
      </c>
      <c r="Y7" s="17" t="s">
        <v>16</v>
      </c>
      <c r="Z7" s="52"/>
      <c r="AA7" s="53"/>
      <c r="AB7" s="52"/>
      <c r="AC7" s="9"/>
      <c r="AE7" s="69" t="s">
        <v>23</v>
      </c>
      <c r="AF7">
        <v>18.5</v>
      </c>
      <c r="AG7" s="4">
        <v>5550</v>
      </c>
    </row>
    <row r="8" spans="1:33" x14ac:dyDescent="0.35">
      <c r="A8" s="109"/>
      <c r="B8" s="20" t="s">
        <v>84</v>
      </c>
      <c r="C8" s="109"/>
      <c r="D8" s="20" t="s">
        <v>88</v>
      </c>
      <c r="E8" s="33">
        <f>VLOOKUP(D8,'Bu Erta'!$C$2:$E$66,3,0)</f>
        <v>300</v>
      </c>
      <c r="F8" s="20">
        <v>0.3</v>
      </c>
      <c r="G8" s="33">
        <f t="shared" si="0"/>
        <v>90</v>
      </c>
      <c r="H8" s="3">
        <f>(VLOOKUP(D8,'Bu Erta'!$C$2:$F$66,4,0))*F8</f>
        <v>120</v>
      </c>
      <c r="J8" s="69" t="s">
        <v>78</v>
      </c>
      <c r="K8">
        <v>2</v>
      </c>
      <c r="L8" s="4">
        <v>44950</v>
      </c>
      <c r="M8" s="4"/>
      <c r="N8" s="69" t="s">
        <v>78</v>
      </c>
      <c r="O8">
        <v>2</v>
      </c>
      <c r="P8" s="4">
        <v>44950</v>
      </c>
      <c r="R8" s="44">
        <v>5</v>
      </c>
      <c r="S8" s="17" t="s">
        <v>17</v>
      </c>
      <c r="T8" s="52">
        <f>VLOOKUP(S8,'Bu Erta'!$C$2:$F$66,4,0)</f>
        <v>8500</v>
      </c>
      <c r="U8" s="53">
        <f t="shared" si="1"/>
        <v>0.30000000000000004</v>
      </c>
      <c r="V8" s="52">
        <f t="shared" si="2"/>
        <v>2550.0000000000005</v>
      </c>
      <c r="X8" s="44">
        <v>5</v>
      </c>
      <c r="Y8" s="17" t="s">
        <v>17</v>
      </c>
      <c r="Z8" s="52"/>
      <c r="AA8" s="53"/>
      <c r="AB8" s="52"/>
      <c r="AC8" s="9"/>
      <c r="AE8" s="69" t="s">
        <v>25</v>
      </c>
      <c r="AF8">
        <v>6.6499999999999995</v>
      </c>
      <c r="AG8" s="4">
        <v>10670</v>
      </c>
    </row>
    <row r="9" spans="1:33" x14ac:dyDescent="0.35">
      <c r="A9" s="109"/>
      <c r="B9" s="20" t="s">
        <v>84</v>
      </c>
      <c r="C9" s="109"/>
      <c r="D9" s="20" t="s">
        <v>65</v>
      </c>
      <c r="E9" s="33">
        <f>VLOOKUP(D9,'Bu Erta'!$C$2:$E$66,3,0)</f>
        <v>150</v>
      </c>
      <c r="F9" s="20">
        <v>0.3</v>
      </c>
      <c r="G9" s="33">
        <f t="shared" si="0"/>
        <v>45</v>
      </c>
      <c r="H9" s="3">
        <f>(VLOOKUP(D9,'Bu Erta'!$C$2:$F$66,4,0))*F9</f>
        <v>60</v>
      </c>
      <c r="J9" s="69" t="s">
        <v>79</v>
      </c>
      <c r="K9">
        <v>2</v>
      </c>
      <c r="L9" s="4">
        <v>26180</v>
      </c>
      <c r="M9" s="4"/>
      <c r="N9" s="69" t="s">
        <v>79</v>
      </c>
      <c r="O9">
        <v>2</v>
      </c>
      <c r="P9" s="4">
        <v>26180</v>
      </c>
      <c r="R9" s="44">
        <v>6</v>
      </c>
      <c r="S9" s="17" t="s">
        <v>18</v>
      </c>
      <c r="T9" s="52">
        <f>VLOOKUP(S9,'Bu Erta'!$C$2:$F$66,4,0)</f>
        <v>4000</v>
      </c>
      <c r="U9" s="53">
        <f t="shared" si="1"/>
        <v>0</v>
      </c>
      <c r="V9" s="52">
        <f t="shared" si="2"/>
        <v>0</v>
      </c>
      <c r="X9" s="44">
        <v>6</v>
      </c>
      <c r="Y9" s="17" t="s">
        <v>18</v>
      </c>
      <c r="Z9" s="52"/>
      <c r="AA9" s="53"/>
      <c r="AB9" s="52"/>
      <c r="AC9" s="9"/>
      <c r="AE9" s="69" t="s">
        <v>24</v>
      </c>
      <c r="AF9">
        <v>63.2</v>
      </c>
      <c r="AG9" s="4">
        <v>9480</v>
      </c>
    </row>
    <row r="10" spans="1:33" x14ac:dyDescent="0.35">
      <c r="A10" s="109"/>
      <c r="B10" s="20" t="s">
        <v>84</v>
      </c>
      <c r="C10" s="109"/>
      <c r="D10" s="20" t="s">
        <v>27</v>
      </c>
      <c r="E10" s="33">
        <f>VLOOKUP(D10,'Bu Erta'!$C$2:$E$66,3,0)</f>
        <v>2800</v>
      </c>
      <c r="F10" s="20">
        <v>0.35</v>
      </c>
      <c r="G10" s="33">
        <f t="shared" si="0"/>
        <v>979.99999999999989</v>
      </c>
      <c r="H10" s="3">
        <f>(VLOOKUP(D10,'Bu Erta'!$C$2:$F$66,4,0))*F10</f>
        <v>1085</v>
      </c>
      <c r="J10" s="69" t="s">
        <v>108</v>
      </c>
      <c r="K10">
        <v>2</v>
      </c>
      <c r="L10" s="4">
        <v>5235</v>
      </c>
      <c r="M10" s="4"/>
      <c r="N10" s="69" t="s">
        <v>108</v>
      </c>
      <c r="O10">
        <v>2</v>
      </c>
      <c r="P10" s="4">
        <v>5235</v>
      </c>
      <c r="R10" s="44">
        <v>7</v>
      </c>
      <c r="S10" s="17" t="s">
        <v>19</v>
      </c>
      <c r="T10" s="52">
        <f>VLOOKUP(S10,'Bu Erta'!$C$2:$F$66,4,0)</f>
        <v>300</v>
      </c>
      <c r="U10" s="53">
        <f t="shared" si="1"/>
        <v>26.6</v>
      </c>
      <c r="V10" s="52">
        <f t="shared" si="2"/>
        <v>7980</v>
      </c>
      <c r="X10" s="44">
        <v>7</v>
      </c>
      <c r="Y10" s="17" t="s">
        <v>19</v>
      </c>
      <c r="Z10" s="52"/>
      <c r="AA10" s="53"/>
      <c r="AB10" s="52"/>
      <c r="AC10" s="9"/>
      <c r="AE10" s="69" t="s">
        <v>27</v>
      </c>
      <c r="AF10">
        <v>5.9999999999999991</v>
      </c>
      <c r="AG10" s="4">
        <v>15000</v>
      </c>
    </row>
    <row r="11" spans="1:33" x14ac:dyDescent="0.35">
      <c r="A11" s="109"/>
      <c r="B11" s="20" t="s">
        <v>84</v>
      </c>
      <c r="C11" s="109"/>
      <c r="D11" s="20" t="s">
        <v>23</v>
      </c>
      <c r="E11" s="33">
        <f>VLOOKUP(D11,'Bu Erta'!$C$2:$E$66,3,0)</f>
        <v>300</v>
      </c>
      <c r="F11" s="20">
        <v>1.35</v>
      </c>
      <c r="G11" s="33">
        <f t="shared" si="0"/>
        <v>405</v>
      </c>
      <c r="H11" s="3">
        <f>(VLOOKUP(D11,'Bu Erta'!$C$2:$F$66,4,0))*F11</f>
        <v>540</v>
      </c>
      <c r="J11" s="69" t="s">
        <v>98</v>
      </c>
      <c r="K11">
        <v>2</v>
      </c>
      <c r="L11" s="4">
        <v>215</v>
      </c>
      <c r="M11" s="4"/>
      <c r="N11" s="69" t="s">
        <v>98</v>
      </c>
      <c r="O11">
        <v>2</v>
      </c>
      <c r="P11" s="4">
        <v>215</v>
      </c>
      <c r="R11" s="44">
        <v>8</v>
      </c>
      <c r="S11" s="17" t="s">
        <v>20</v>
      </c>
      <c r="T11" s="52">
        <f>VLOOKUP(S11,'Bu Erta'!$C$2:$F$66,4,0)</f>
        <v>8000</v>
      </c>
      <c r="U11" s="53">
        <f t="shared" si="1"/>
        <v>0</v>
      </c>
      <c r="V11" s="52">
        <f t="shared" si="2"/>
        <v>0</v>
      </c>
      <c r="X11" s="44">
        <v>8</v>
      </c>
      <c r="Y11" s="17" t="s">
        <v>20</v>
      </c>
      <c r="Z11" s="52"/>
      <c r="AA11" s="53"/>
      <c r="AB11" s="52"/>
      <c r="AC11" s="9"/>
      <c r="AE11" s="69" t="s">
        <v>28</v>
      </c>
      <c r="AF11">
        <v>62.050000000000004</v>
      </c>
      <c r="AG11" s="4">
        <v>74460</v>
      </c>
    </row>
    <row r="12" spans="1:33" x14ac:dyDescent="0.35">
      <c r="A12" s="109"/>
      <c r="B12" s="20" t="s">
        <v>84</v>
      </c>
      <c r="C12" s="109"/>
      <c r="D12" s="20" t="s">
        <v>22</v>
      </c>
      <c r="E12" s="33">
        <f>VLOOKUP(D12,'Bu Erta'!$C$2:$E$66,3,0)</f>
        <v>2500</v>
      </c>
      <c r="F12" s="20">
        <v>0.15</v>
      </c>
      <c r="G12" s="33">
        <f t="shared" si="0"/>
        <v>375</v>
      </c>
      <c r="H12" s="3">
        <f>(VLOOKUP(D12,'Bu Erta'!$C$2:$F$66,4,0))*F12</f>
        <v>450</v>
      </c>
      <c r="J12" s="69" t="s">
        <v>127</v>
      </c>
      <c r="K12">
        <v>2</v>
      </c>
      <c r="L12" s="4">
        <v>36790</v>
      </c>
      <c r="M12" s="4"/>
      <c r="N12" s="69" t="s">
        <v>127</v>
      </c>
      <c r="O12">
        <v>2</v>
      </c>
      <c r="P12" s="4">
        <v>36790</v>
      </c>
      <c r="R12" s="44">
        <v>9</v>
      </c>
      <c r="S12" s="17" t="s">
        <v>21</v>
      </c>
      <c r="T12" s="52">
        <f>VLOOKUP(S12,'Bu Erta'!$C$2:$F$66,4,0)</f>
        <v>200</v>
      </c>
      <c r="U12" s="53">
        <f t="shared" si="1"/>
        <v>0</v>
      </c>
      <c r="V12" s="52">
        <f t="shared" si="2"/>
        <v>0</v>
      </c>
      <c r="X12" s="44">
        <v>9</v>
      </c>
      <c r="Y12" s="17" t="s">
        <v>21</v>
      </c>
      <c r="Z12" s="52"/>
      <c r="AA12" s="53"/>
      <c r="AB12" s="52"/>
      <c r="AC12" s="9"/>
      <c r="AE12" s="69" t="s">
        <v>29</v>
      </c>
      <c r="AF12">
        <v>6.2</v>
      </c>
      <c r="AG12" s="4">
        <v>31000</v>
      </c>
    </row>
    <row r="13" spans="1:33" x14ac:dyDescent="0.35">
      <c r="A13" s="109"/>
      <c r="B13" s="20" t="s">
        <v>84</v>
      </c>
      <c r="C13" s="109"/>
      <c r="D13" s="20" t="s">
        <v>56</v>
      </c>
      <c r="E13" s="33">
        <f>VLOOKUP(D13,'Bu Erta'!$C$2:$E$66,3,0)</f>
        <v>4000</v>
      </c>
      <c r="F13" s="20">
        <v>0.9</v>
      </c>
      <c r="G13" s="33">
        <f t="shared" si="0"/>
        <v>3600</v>
      </c>
      <c r="H13" s="3">
        <f>(VLOOKUP(D13,'Bu Erta'!$C$2:$F$66,4,0))*F13</f>
        <v>4950</v>
      </c>
      <c r="J13" s="69" t="s">
        <v>175</v>
      </c>
      <c r="K13">
        <v>2</v>
      </c>
      <c r="L13" s="4">
        <v>5360</v>
      </c>
      <c r="M13" s="4"/>
      <c r="N13" s="69" t="s">
        <v>175</v>
      </c>
      <c r="O13">
        <v>2</v>
      </c>
      <c r="P13" s="4">
        <v>5360</v>
      </c>
      <c r="R13" s="44">
        <v>10</v>
      </c>
      <c r="S13" s="17" t="s">
        <v>22</v>
      </c>
      <c r="T13" s="52">
        <f>VLOOKUP(S13,'Bu Erta'!$C$2:$F$66,4,0)</f>
        <v>3000</v>
      </c>
      <c r="U13" s="53">
        <v>0</v>
      </c>
      <c r="V13" s="52">
        <f t="shared" si="2"/>
        <v>0</v>
      </c>
      <c r="X13" s="44">
        <v>10</v>
      </c>
      <c r="Y13" s="17" t="s">
        <v>22</v>
      </c>
      <c r="Z13" s="52"/>
      <c r="AA13" s="53">
        <f t="shared" ref="AA13" si="3">SUMIF($D$3:$D$278,Y13,$F$3:$F$278)</f>
        <v>10.200000000000001</v>
      </c>
      <c r="AB13" s="52"/>
      <c r="AC13" s="9" t="s">
        <v>176</v>
      </c>
      <c r="AE13" s="69" t="s">
        <v>7</v>
      </c>
      <c r="AF13">
        <v>74.390000000000015</v>
      </c>
      <c r="AG13" s="4">
        <v>104146</v>
      </c>
    </row>
    <row r="14" spans="1:33" x14ac:dyDescent="0.35">
      <c r="A14" s="109">
        <v>2</v>
      </c>
      <c r="B14" s="20" t="s">
        <v>175</v>
      </c>
      <c r="C14" s="109">
        <v>2</v>
      </c>
      <c r="D14" s="20" t="s">
        <v>88</v>
      </c>
      <c r="E14" s="33">
        <f>VLOOKUP(D14,'Bu Erta'!$C$2:$E$66,3,0)</f>
        <v>300</v>
      </c>
      <c r="F14" s="20">
        <v>3.2</v>
      </c>
      <c r="G14" s="33">
        <f t="shared" si="0"/>
        <v>960</v>
      </c>
      <c r="H14" s="3">
        <f>(VLOOKUP(D14,'Bu Erta'!$C$2:$F$66,4,0))*F14</f>
        <v>1280</v>
      </c>
      <c r="J14" s="69" t="s">
        <v>5</v>
      </c>
      <c r="K14">
        <v>2</v>
      </c>
      <c r="L14" s="4">
        <v>20097.5</v>
      </c>
      <c r="M14" s="4"/>
      <c r="N14" s="69" t="s">
        <v>5</v>
      </c>
      <c r="O14">
        <v>2</v>
      </c>
      <c r="P14" s="4">
        <v>20097.5</v>
      </c>
      <c r="R14" s="44">
        <v>11</v>
      </c>
      <c r="S14" s="17" t="s">
        <v>23</v>
      </c>
      <c r="T14" s="52">
        <f>VLOOKUP(S14,'Bu Erta'!$C$2:$F$66,4,0)</f>
        <v>400</v>
      </c>
      <c r="U14" s="53">
        <f t="shared" si="1"/>
        <v>18.5</v>
      </c>
      <c r="V14" s="52">
        <f t="shared" si="2"/>
        <v>7400</v>
      </c>
      <c r="X14" s="44">
        <v>11</v>
      </c>
      <c r="Y14" s="17" t="s">
        <v>23</v>
      </c>
      <c r="Z14" s="52"/>
      <c r="AA14" s="53"/>
      <c r="AB14" s="52"/>
      <c r="AC14" s="9"/>
      <c r="AE14" s="69" t="s">
        <v>31</v>
      </c>
      <c r="AF14">
        <v>29.849999999999998</v>
      </c>
      <c r="AG14" s="4">
        <v>29850</v>
      </c>
    </row>
    <row r="15" spans="1:33" x14ac:dyDescent="0.35">
      <c r="A15" s="109"/>
      <c r="B15" s="20" t="s">
        <v>175</v>
      </c>
      <c r="C15" s="109"/>
      <c r="D15" s="20" t="s">
        <v>44</v>
      </c>
      <c r="E15" s="33">
        <f>VLOOKUP(D15,'Bu Erta'!$C$2:$E$66,3,0)</f>
        <v>400</v>
      </c>
      <c r="F15" s="20">
        <v>1.8</v>
      </c>
      <c r="G15" s="33">
        <f t="shared" si="0"/>
        <v>720</v>
      </c>
      <c r="H15" s="3">
        <f>(VLOOKUP(D15,'Bu Erta'!$C$2:$F$66,4,0))*F15</f>
        <v>900</v>
      </c>
      <c r="J15" s="69" t="s">
        <v>76</v>
      </c>
      <c r="K15">
        <v>3</v>
      </c>
      <c r="L15" s="4">
        <v>8512.5</v>
      </c>
      <c r="M15" s="4"/>
      <c r="N15" s="69" t="s">
        <v>76</v>
      </c>
      <c r="O15">
        <v>3</v>
      </c>
      <c r="P15" s="4">
        <v>8512.5</v>
      </c>
      <c r="R15" s="44">
        <v>12</v>
      </c>
      <c r="S15" s="17" t="s">
        <v>25</v>
      </c>
      <c r="T15" s="52">
        <f>VLOOKUP(S15,'Bu Erta'!$C$2:$F$66,4,0)</f>
        <v>1700</v>
      </c>
      <c r="U15" s="53">
        <f t="shared" si="1"/>
        <v>6.6499999999999995</v>
      </c>
      <c r="V15" s="52">
        <f t="shared" si="2"/>
        <v>11305</v>
      </c>
      <c r="X15" s="44">
        <v>12</v>
      </c>
      <c r="Y15" s="17" t="s">
        <v>25</v>
      </c>
      <c r="Z15" s="52"/>
      <c r="AA15" s="53"/>
      <c r="AB15" s="52"/>
      <c r="AC15" s="9"/>
      <c r="AE15" s="69" t="s">
        <v>34</v>
      </c>
      <c r="AF15">
        <v>1.95</v>
      </c>
      <c r="AG15" s="4">
        <v>6825</v>
      </c>
    </row>
    <row r="16" spans="1:33" x14ac:dyDescent="0.35">
      <c r="A16" s="109"/>
      <c r="B16" s="20" t="s">
        <v>175</v>
      </c>
      <c r="C16" s="109"/>
      <c r="D16" s="20" t="s">
        <v>19</v>
      </c>
      <c r="E16" s="33">
        <f>VLOOKUP(D16,'Bu Erta'!$C$2:$E$66,3,0)</f>
        <v>200</v>
      </c>
      <c r="F16" s="20">
        <v>0.9</v>
      </c>
      <c r="G16" s="33">
        <f t="shared" si="0"/>
        <v>180</v>
      </c>
      <c r="H16" s="3">
        <f>(VLOOKUP(D16,'Bu Erta'!$C$2:$F$66,4,0))*F16</f>
        <v>270</v>
      </c>
      <c r="J16" s="69" t="s">
        <v>147</v>
      </c>
      <c r="K16">
        <v>3</v>
      </c>
      <c r="L16" s="4">
        <v>22205</v>
      </c>
      <c r="M16" s="4"/>
      <c r="N16" s="69" t="s">
        <v>147</v>
      </c>
      <c r="O16">
        <v>3</v>
      </c>
      <c r="P16" s="4">
        <v>22205</v>
      </c>
      <c r="R16" s="44">
        <v>13</v>
      </c>
      <c r="S16" s="17" t="s">
        <v>24</v>
      </c>
      <c r="T16" s="52">
        <f>VLOOKUP(S16,'Bu Erta'!$C$2:$F$66,4,0)</f>
        <v>200</v>
      </c>
      <c r="U16" s="53">
        <f t="shared" si="1"/>
        <v>63.2</v>
      </c>
      <c r="V16" s="52">
        <f t="shared" si="2"/>
        <v>12640</v>
      </c>
      <c r="X16" s="44">
        <v>13</v>
      </c>
      <c r="Y16" s="17" t="s">
        <v>24</v>
      </c>
      <c r="Z16" s="52"/>
      <c r="AA16" s="53"/>
      <c r="AB16" s="52"/>
      <c r="AC16" s="9"/>
      <c r="AE16" s="69" t="s">
        <v>35</v>
      </c>
      <c r="AF16">
        <v>4</v>
      </c>
      <c r="AG16" s="4">
        <v>7200</v>
      </c>
    </row>
    <row r="17" spans="1:33" x14ac:dyDescent="0.35">
      <c r="A17" s="109"/>
      <c r="B17" s="20" t="s">
        <v>175</v>
      </c>
      <c r="C17" s="109"/>
      <c r="D17" s="20" t="s">
        <v>31</v>
      </c>
      <c r="E17" s="33">
        <f>VLOOKUP(D17,'Bu Erta'!$C$2:$E$66,3,0)</f>
        <v>1000</v>
      </c>
      <c r="F17" s="20">
        <v>0.2</v>
      </c>
      <c r="G17" s="33">
        <f t="shared" ref="G17:G18" si="4">E17*F17</f>
        <v>200</v>
      </c>
      <c r="H17" s="3">
        <f>(VLOOKUP(D17,'Bu Erta'!$C$2:$F$66,4,0))*F17</f>
        <v>220</v>
      </c>
      <c r="J17" s="69" t="s">
        <v>90</v>
      </c>
      <c r="K17">
        <v>3</v>
      </c>
      <c r="L17" s="4">
        <v>655</v>
      </c>
      <c r="M17" s="4"/>
      <c r="N17" s="69" t="s">
        <v>90</v>
      </c>
      <c r="O17">
        <v>3</v>
      </c>
      <c r="P17" s="4">
        <v>655</v>
      </c>
      <c r="R17" s="44">
        <v>14</v>
      </c>
      <c r="S17" s="17" t="s">
        <v>26</v>
      </c>
      <c r="T17" s="52">
        <f>VLOOKUP(S17,'Bu Erta'!$C$2:$F$66,4,0)</f>
        <v>1000</v>
      </c>
      <c r="U17" s="53">
        <f t="shared" si="1"/>
        <v>0</v>
      </c>
      <c r="V17" s="52">
        <f t="shared" si="2"/>
        <v>0</v>
      </c>
      <c r="X17" s="44">
        <v>14</v>
      </c>
      <c r="Y17" s="17" t="s">
        <v>26</v>
      </c>
      <c r="Z17" s="52"/>
      <c r="AA17" s="53"/>
      <c r="AB17" s="52"/>
      <c r="AC17" s="9"/>
      <c r="AE17" s="69" t="s">
        <v>36</v>
      </c>
      <c r="AF17">
        <v>19.75</v>
      </c>
      <c r="AG17" s="4">
        <v>11850</v>
      </c>
    </row>
    <row r="18" spans="1:33" x14ac:dyDescent="0.35">
      <c r="A18" s="109"/>
      <c r="B18" s="20" t="s">
        <v>175</v>
      </c>
      <c r="C18" s="109"/>
      <c r="D18" s="20" t="s">
        <v>42</v>
      </c>
      <c r="E18" s="33">
        <f>VLOOKUP(D18,'Bu Erta'!$C$2:$E$66,3,0)</f>
        <v>1000</v>
      </c>
      <c r="F18" s="20">
        <v>3.3</v>
      </c>
      <c r="G18" s="33">
        <f t="shared" si="4"/>
        <v>3300</v>
      </c>
      <c r="H18" s="3">
        <f>(VLOOKUP(D18,'Bu Erta'!$C$2:$F$66,4,0))*F18</f>
        <v>3960</v>
      </c>
      <c r="J18" s="69" t="s">
        <v>164</v>
      </c>
      <c r="K18">
        <v>3</v>
      </c>
      <c r="L18" s="4">
        <v>8155</v>
      </c>
      <c r="M18" s="4"/>
      <c r="N18" s="69" t="s">
        <v>164</v>
      </c>
      <c r="O18">
        <v>3</v>
      </c>
      <c r="P18" s="4">
        <v>8155</v>
      </c>
      <c r="R18" s="44">
        <v>15</v>
      </c>
      <c r="S18" s="17" t="s">
        <v>27</v>
      </c>
      <c r="T18" s="52">
        <f>VLOOKUP(S18,'Bu Erta'!$C$2:$F$66,4,0)</f>
        <v>3100</v>
      </c>
      <c r="U18" s="53">
        <v>0</v>
      </c>
      <c r="V18" s="52">
        <f t="shared" si="2"/>
        <v>0</v>
      </c>
      <c r="X18" s="44">
        <v>15</v>
      </c>
      <c r="Y18" s="17" t="s">
        <v>27</v>
      </c>
      <c r="Z18" s="52">
        <v>6000</v>
      </c>
      <c r="AA18" s="53">
        <v>10</v>
      </c>
      <c r="AB18" s="52">
        <f t="shared" ref="AB18" si="5">Z18*AA18</f>
        <v>60000</v>
      </c>
      <c r="AC18" s="9" t="s">
        <v>177</v>
      </c>
      <c r="AE18" s="69" t="s">
        <v>37</v>
      </c>
      <c r="AF18">
        <v>5.45</v>
      </c>
      <c r="AG18" s="4">
        <v>8720</v>
      </c>
    </row>
    <row r="19" spans="1:33" x14ac:dyDescent="0.35">
      <c r="A19" s="109">
        <v>3</v>
      </c>
      <c r="B19" s="20" t="s">
        <v>76</v>
      </c>
      <c r="C19" s="109">
        <v>3</v>
      </c>
      <c r="D19" s="20" t="s">
        <v>42</v>
      </c>
      <c r="E19" s="33">
        <f>VLOOKUP(D19,'Bu Erta'!$C$2:$E$66,3,0)</f>
        <v>1000</v>
      </c>
      <c r="F19" s="20">
        <v>2.4</v>
      </c>
      <c r="G19" s="33">
        <f t="shared" si="0"/>
        <v>2400</v>
      </c>
      <c r="H19" s="3">
        <f>(VLOOKUP(D19,'Bu Erta'!$C$2:$F$66,4,0))*F19</f>
        <v>2880</v>
      </c>
      <c r="J19" s="69" t="s">
        <v>178</v>
      </c>
      <c r="K19">
        <v>3</v>
      </c>
      <c r="L19" s="4">
        <v>330</v>
      </c>
      <c r="M19" s="4"/>
      <c r="N19" s="69" t="s">
        <v>178</v>
      </c>
      <c r="O19">
        <v>3</v>
      </c>
      <c r="P19" s="4">
        <v>330</v>
      </c>
      <c r="R19" s="44">
        <v>16</v>
      </c>
      <c r="S19" s="17" t="s">
        <v>28</v>
      </c>
      <c r="T19" s="52">
        <f>VLOOKUP(S19,'Bu Erta'!$C$2:$F$66,4,0)</f>
        <v>1300</v>
      </c>
      <c r="U19" s="53">
        <f t="shared" si="1"/>
        <v>62.050000000000004</v>
      </c>
      <c r="V19" s="52">
        <f t="shared" si="2"/>
        <v>80665</v>
      </c>
      <c r="X19" s="44">
        <v>16</v>
      </c>
      <c r="Y19" s="17" t="s">
        <v>28</v>
      </c>
      <c r="Z19" s="52"/>
      <c r="AA19" s="53"/>
      <c r="AB19" s="52"/>
      <c r="AC19" s="9"/>
      <c r="AE19" s="69" t="s">
        <v>38</v>
      </c>
      <c r="AF19">
        <v>14.850000000000001</v>
      </c>
      <c r="AG19" s="4">
        <v>20790</v>
      </c>
    </row>
    <row r="20" spans="1:33" x14ac:dyDescent="0.35">
      <c r="A20" s="109"/>
      <c r="B20" s="20" t="s">
        <v>76</v>
      </c>
      <c r="C20" s="109"/>
      <c r="D20" s="20" t="s">
        <v>23</v>
      </c>
      <c r="E20" s="33">
        <f>VLOOKUP(D20,'Bu Erta'!$C$2:$E$66,3,0)</f>
        <v>300</v>
      </c>
      <c r="F20" s="20">
        <v>1.1000000000000001</v>
      </c>
      <c r="G20" s="33">
        <f t="shared" si="0"/>
        <v>330</v>
      </c>
      <c r="H20" s="3">
        <f>(VLOOKUP(D20,'Bu Erta'!$C$2:$F$66,4,0))*F20</f>
        <v>440.00000000000006</v>
      </c>
      <c r="J20" s="69" t="s">
        <v>141</v>
      </c>
      <c r="K20">
        <v>3</v>
      </c>
      <c r="L20" s="4">
        <v>9900</v>
      </c>
      <c r="M20" s="4"/>
      <c r="N20" s="69" t="s">
        <v>141</v>
      </c>
      <c r="O20">
        <v>3</v>
      </c>
      <c r="P20" s="4">
        <v>9900</v>
      </c>
      <c r="R20" s="44">
        <v>17</v>
      </c>
      <c r="S20" s="17" t="s">
        <v>29</v>
      </c>
      <c r="T20" s="52">
        <f>VLOOKUP(S20,'Bu Erta'!$C$2:$F$66,4,0)</f>
        <v>6000</v>
      </c>
      <c r="U20" s="53">
        <f t="shared" si="1"/>
        <v>6.2</v>
      </c>
      <c r="V20" s="52">
        <f t="shared" si="2"/>
        <v>37200</v>
      </c>
      <c r="X20" s="44">
        <v>17</v>
      </c>
      <c r="Y20" s="17" t="s">
        <v>29</v>
      </c>
      <c r="Z20" s="52"/>
      <c r="AA20" s="53"/>
      <c r="AB20" s="52"/>
      <c r="AC20" s="9"/>
      <c r="AE20" s="69" t="s">
        <v>40</v>
      </c>
      <c r="AF20">
        <v>21.700000000000003</v>
      </c>
      <c r="AG20" s="4">
        <v>39060</v>
      </c>
    </row>
    <row r="21" spans="1:33" x14ac:dyDescent="0.35">
      <c r="A21" s="109"/>
      <c r="B21" s="20" t="s">
        <v>76</v>
      </c>
      <c r="C21" s="109"/>
      <c r="D21" s="20" t="s">
        <v>65</v>
      </c>
      <c r="E21" s="33">
        <f>VLOOKUP(D21,'Bu Erta'!$C$2:$E$66,3,0)</f>
        <v>150</v>
      </c>
      <c r="F21" s="20">
        <v>0.2</v>
      </c>
      <c r="G21" s="33">
        <f t="shared" si="0"/>
        <v>30</v>
      </c>
      <c r="H21" s="3">
        <f>(VLOOKUP(D21,'Bu Erta'!$C$2:$F$66,4,0))*F21</f>
        <v>40</v>
      </c>
      <c r="J21" s="69" t="s">
        <v>133</v>
      </c>
      <c r="K21">
        <v>4</v>
      </c>
      <c r="L21" s="4">
        <v>11872.5</v>
      </c>
      <c r="M21" s="4"/>
      <c r="N21" s="69" t="s">
        <v>133</v>
      </c>
      <c r="O21">
        <v>4</v>
      </c>
      <c r="P21" s="4">
        <v>11872.5</v>
      </c>
      <c r="R21" s="44">
        <v>18</v>
      </c>
      <c r="S21" s="17" t="s">
        <v>30</v>
      </c>
      <c r="T21" s="52">
        <f>VLOOKUP(S21,'Bu Erta'!$C$2:$F$66,4,0)</f>
        <v>15000</v>
      </c>
      <c r="U21" s="53">
        <f t="shared" si="1"/>
        <v>0</v>
      </c>
      <c r="V21" s="52">
        <f t="shared" si="2"/>
        <v>0</v>
      </c>
      <c r="X21" s="44">
        <v>18</v>
      </c>
      <c r="Y21" s="17" t="s">
        <v>30</v>
      </c>
      <c r="Z21" s="52"/>
      <c r="AA21" s="53"/>
      <c r="AB21" s="52"/>
      <c r="AC21" s="9"/>
      <c r="AE21" s="69" t="s">
        <v>41</v>
      </c>
      <c r="AF21">
        <v>10.95</v>
      </c>
      <c r="AG21" s="4">
        <v>16425</v>
      </c>
    </row>
    <row r="22" spans="1:33" x14ac:dyDescent="0.35">
      <c r="A22" s="109"/>
      <c r="B22" s="20" t="s">
        <v>76</v>
      </c>
      <c r="C22" s="109"/>
      <c r="D22" s="20" t="s">
        <v>6</v>
      </c>
      <c r="E22" s="33">
        <f>VLOOKUP(D22,'Bu Erta'!$C$2:$E$66,3,0)</f>
        <v>2000</v>
      </c>
      <c r="F22" s="20">
        <v>0.1</v>
      </c>
      <c r="G22" s="33">
        <f t="shared" si="0"/>
        <v>200</v>
      </c>
      <c r="H22" s="3">
        <f>(VLOOKUP(D22,'Bu Erta'!$C$2:$F$66,4,0))*F22</f>
        <v>250</v>
      </c>
      <c r="J22" s="69" t="s">
        <v>137</v>
      </c>
      <c r="K22">
        <v>4</v>
      </c>
      <c r="L22" s="4">
        <v>3800</v>
      </c>
      <c r="M22" s="4"/>
      <c r="N22" s="69" t="s">
        <v>137</v>
      </c>
      <c r="O22">
        <v>4</v>
      </c>
      <c r="P22" s="4">
        <v>3800</v>
      </c>
      <c r="R22" s="44">
        <v>19</v>
      </c>
      <c r="S22" s="17" t="s">
        <v>7</v>
      </c>
      <c r="T22" s="52">
        <f>VLOOKUP(S22,'Bu Erta'!$C$2:$F$66,4,0)</f>
        <v>1600</v>
      </c>
      <c r="U22" s="53">
        <f t="shared" si="1"/>
        <v>74.390000000000015</v>
      </c>
      <c r="V22" s="52">
        <f t="shared" si="2"/>
        <v>119024.00000000003</v>
      </c>
      <c r="X22" s="44">
        <v>19</v>
      </c>
      <c r="Y22" s="17" t="s">
        <v>7</v>
      </c>
      <c r="Z22" s="52"/>
      <c r="AA22" s="53"/>
      <c r="AB22" s="52"/>
      <c r="AC22" s="9"/>
      <c r="AE22" s="69" t="s">
        <v>42</v>
      </c>
      <c r="AF22">
        <v>68.599999999999994</v>
      </c>
      <c r="AG22" s="4">
        <v>68600</v>
      </c>
    </row>
    <row r="23" spans="1:33" x14ac:dyDescent="0.35">
      <c r="A23" s="109"/>
      <c r="B23" s="20" t="s">
        <v>76</v>
      </c>
      <c r="C23" s="109"/>
      <c r="D23" s="20" t="s">
        <v>31</v>
      </c>
      <c r="E23" s="33">
        <f>VLOOKUP(D23,'Bu Erta'!$C$2:$E$66,3,0)</f>
        <v>1000</v>
      </c>
      <c r="F23" s="20">
        <v>0.45</v>
      </c>
      <c r="G23" s="33">
        <f t="shared" si="0"/>
        <v>450</v>
      </c>
      <c r="H23" s="3">
        <f>(VLOOKUP(D23,'Bu Erta'!$C$2:$F$66,4,0))*F23</f>
        <v>495</v>
      </c>
      <c r="J23" s="69" t="s">
        <v>144</v>
      </c>
      <c r="K23">
        <v>4</v>
      </c>
      <c r="L23" s="4">
        <v>175</v>
      </c>
      <c r="M23" s="4"/>
      <c r="N23" s="69" t="s">
        <v>144</v>
      </c>
      <c r="O23">
        <v>4</v>
      </c>
      <c r="P23" s="4">
        <v>175</v>
      </c>
      <c r="R23" s="44">
        <v>20</v>
      </c>
      <c r="S23" s="17" t="s">
        <v>31</v>
      </c>
      <c r="T23" s="52">
        <f>VLOOKUP(S23,'Bu Erta'!$C$2:$F$66,4,0)</f>
        <v>1100</v>
      </c>
      <c r="U23" s="53">
        <f t="shared" si="1"/>
        <v>29.849999999999998</v>
      </c>
      <c r="V23" s="52">
        <f t="shared" si="2"/>
        <v>32835</v>
      </c>
      <c r="X23" s="44">
        <v>20</v>
      </c>
      <c r="Y23" s="17" t="s">
        <v>31</v>
      </c>
      <c r="Z23" s="52"/>
      <c r="AA23" s="53"/>
      <c r="AB23" s="52"/>
      <c r="AC23" s="9"/>
      <c r="AE23" s="69" t="s">
        <v>44</v>
      </c>
      <c r="AF23">
        <v>9.35</v>
      </c>
      <c r="AG23" s="4">
        <v>3740</v>
      </c>
    </row>
    <row r="24" spans="1:33" x14ac:dyDescent="0.35">
      <c r="A24" s="109"/>
      <c r="B24" s="20" t="s">
        <v>76</v>
      </c>
      <c r="C24" s="109"/>
      <c r="D24" s="20" t="s">
        <v>27</v>
      </c>
      <c r="E24" s="33">
        <f>VLOOKUP(D24,'Bu Erta'!$C$2:$E$66,3,0)</f>
        <v>2800</v>
      </c>
      <c r="F24" s="20">
        <v>0.55000000000000004</v>
      </c>
      <c r="G24" s="33">
        <f t="shared" si="0"/>
        <v>1540.0000000000002</v>
      </c>
      <c r="H24" s="3">
        <f>(VLOOKUP(D24,'Bu Erta'!$C$2:$F$66,4,0))*F24</f>
        <v>1705.0000000000002</v>
      </c>
      <c r="J24" s="69" t="s">
        <v>102</v>
      </c>
      <c r="K24">
        <v>4</v>
      </c>
      <c r="L24" s="4">
        <v>25205</v>
      </c>
      <c r="M24" s="4"/>
      <c r="N24" s="69" t="s">
        <v>102</v>
      </c>
      <c r="O24">
        <v>4</v>
      </c>
      <c r="P24" s="4">
        <v>25205</v>
      </c>
      <c r="R24" s="44">
        <v>21</v>
      </c>
      <c r="S24" s="17" t="s">
        <v>32</v>
      </c>
      <c r="T24" s="52">
        <f>VLOOKUP(S24,'Bu Erta'!$C$2:$F$66,4,0)</f>
        <v>5000</v>
      </c>
      <c r="U24" s="53">
        <f t="shared" si="1"/>
        <v>0</v>
      </c>
      <c r="V24" s="52">
        <f t="shared" si="2"/>
        <v>0</v>
      </c>
      <c r="X24" s="44">
        <v>21</v>
      </c>
      <c r="Y24" s="17" t="s">
        <v>32</v>
      </c>
      <c r="Z24" s="52"/>
      <c r="AA24" s="53"/>
      <c r="AB24" s="52"/>
      <c r="AC24" s="9"/>
      <c r="AE24" s="69" t="s">
        <v>45</v>
      </c>
      <c r="AF24">
        <v>0.55000000000000004</v>
      </c>
      <c r="AG24" s="4">
        <v>385</v>
      </c>
    </row>
    <row r="25" spans="1:33" x14ac:dyDescent="0.35">
      <c r="A25" s="109"/>
      <c r="B25" s="20" t="s">
        <v>76</v>
      </c>
      <c r="C25" s="109"/>
      <c r="D25" s="20" t="s">
        <v>19</v>
      </c>
      <c r="E25" s="33">
        <f>VLOOKUP(D25,'Bu Erta'!$C$2:$E$66,3,0)</f>
        <v>200</v>
      </c>
      <c r="F25" s="20">
        <v>3.05</v>
      </c>
      <c r="G25" s="33">
        <f t="shared" si="0"/>
        <v>610</v>
      </c>
      <c r="H25" s="3">
        <f>(VLOOKUP(D25,'Bu Erta'!$C$2:$F$66,4,0))*F25</f>
        <v>915</v>
      </c>
      <c r="J25" s="69" t="s">
        <v>85</v>
      </c>
      <c r="K25">
        <v>4</v>
      </c>
      <c r="L25" s="4">
        <v>4470</v>
      </c>
      <c r="M25" s="4"/>
      <c r="N25" s="69" t="s">
        <v>85</v>
      </c>
      <c r="O25">
        <v>4</v>
      </c>
      <c r="P25" s="4">
        <v>4470</v>
      </c>
      <c r="R25" s="44">
        <v>22</v>
      </c>
      <c r="S25" s="17" t="s">
        <v>33</v>
      </c>
      <c r="T25" s="52">
        <f>VLOOKUP(S25,'Bu Erta'!$C$2:$F$66,4,0)</f>
        <v>1400</v>
      </c>
      <c r="U25" s="53">
        <f t="shared" si="1"/>
        <v>0</v>
      </c>
      <c r="V25" s="52">
        <f t="shared" si="2"/>
        <v>0</v>
      </c>
      <c r="X25" s="44">
        <v>22</v>
      </c>
      <c r="Y25" s="17" t="s">
        <v>33</v>
      </c>
      <c r="Z25" s="52"/>
      <c r="AA25" s="53"/>
      <c r="AB25" s="52"/>
      <c r="AC25" s="9"/>
      <c r="AE25" s="69" t="s">
        <v>46</v>
      </c>
      <c r="AF25">
        <v>9.6499999999999986</v>
      </c>
      <c r="AG25" s="4">
        <v>13510</v>
      </c>
    </row>
    <row r="26" spans="1:33" x14ac:dyDescent="0.35">
      <c r="A26" s="109"/>
      <c r="B26" s="20" t="s">
        <v>76</v>
      </c>
      <c r="C26" s="109"/>
      <c r="D26" s="20" t="s">
        <v>88</v>
      </c>
      <c r="E26" s="33">
        <f>VLOOKUP(D26,'Bu Erta'!$C$2:$E$66,3,0)</f>
        <v>300</v>
      </c>
      <c r="F26" s="20">
        <v>0.2</v>
      </c>
      <c r="G26" s="33">
        <f t="shared" si="0"/>
        <v>60</v>
      </c>
      <c r="H26" s="3">
        <f>(VLOOKUP(D26,'Bu Erta'!$C$2:$F$66,4,0))*F26</f>
        <v>80</v>
      </c>
      <c r="J26" s="69" t="s">
        <v>142</v>
      </c>
      <c r="K26">
        <v>4</v>
      </c>
      <c r="L26" s="4">
        <v>6030</v>
      </c>
      <c r="M26" s="4"/>
      <c r="N26" s="69" t="s">
        <v>142</v>
      </c>
      <c r="O26">
        <v>4</v>
      </c>
      <c r="P26" s="4">
        <v>6030</v>
      </c>
      <c r="R26" s="44">
        <v>23</v>
      </c>
      <c r="S26" s="17" t="s">
        <v>34</v>
      </c>
      <c r="T26" s="52">
        <f>VLOOKUP(S26,'Bu Erta'!$C$2:$F$66,4,0)</f>
        <v>3600</v>
      </c>
      <c r="U26" s="53">
        <f t="shared" si="1"/>
        <v>1.95</v>
      </c>
      <c r="V26" s="52">
        <f t="shared" si="2"/>
        <v>7020</v>
      </c>
      <c r="X26" s="44">
        <v>23</v>
      </c>
      <c r="Y26" s="17" t="s">
        <v>34</v>
      </c>
      <c r="Z26" s="52"/>
      <c r="AA26" s="53"/>
      <c r="AB26" s="52"/>
      <c r="AC26" s="9"/>
      <c r="AE26" s="69" t="s">
        <v>49</v>
      </c>
      <c r="AF26">
        <v>8.1</v>
      </c>
      <c r="AG26" s="4">
        <v>6480</v>
      </c>
    </row>
    <row r="27" spans="1:33" x14ac:dyDescent="0.35">
      <c r="A27" s="109"/>
      <c r="B27" s="20" t="s">
        <v>76</v>
      </c>
      <c r="C27" s="109"/>
      <c r="D27" s="20" t="s">
        <v>24</v>
      </c>
      <c r="E27" s="33">
        <f>VLOOKUP(D27,'Bu Erta'!$C$2:$E$66,3,0)</f>
        <v>150</v>
      </c>
      <c r="F27" s="20">
        <v>1.35</v>
      </c>
      <c r="G27" s="33">
        <f t="shared" si="0"/>
        <v>202.5</v>
      </c>
      <c r="H27" s="3">
        <f>(VLOOKUP(D27,'Bu Erta'!$C$2:$F$66,4,0))*F27</f>
        <v>270</v>
      </c>
      <c r="J27" s="69" t="s">
        <v>152</v>
      </c>
      <c r="K27">
        <v>4</v>
      </c>
      <c r="L27" s="4">
        <v>3035</v>
      </c>
      <c r="M27" s="4"/>
      <c r="N27" s="69" t="s">
        <v>152</v>
      </c>
      <c r="O27">
        <v>4</v>
      </c>
      <c r="P27" s="4">
        <v>3035</v>
      </c>
      <c r="R27" s="44">
        <v>24</v>
      </c>
      <c r="S27" s="17" t="s">
        <v>35</v>
      </c>
      <c r="T27" s="52">
        <f>VLOOKUP(S27,'Bu Erta'!$C$2:$F$66,4,0)</f>
        <v>2000</v>
      </c>
      <c r="U27" s="53">
        <f t="shared" si="1"/>
        <v>4</v>
      </c>
      <c r="V27" s="52">
        <f t="shared" si="2"/>
        <v>8000</v>
      </c>
      <c r="X27" s="44">
        <v>24</v>
      </c>
      <c r="Y27" s="17" t="s">
        <v>35</v>
      </c>
      <c r="Z27" s="52"/>
      <c r="AA27" s="53"/>
      <c r="AB27" s="52"/>
      <c r="AC27" s="9"/>
      <c r="AE27" s="69" t="s">
        <v>53</v>
      </c>
      <c r="AF27">
        <v>2</v>
      </c>
      <c r="AG27" s="4">
        <v>20000</v>
      </c>
    </row>
    <row r="28" spans="1:33" x14ac:dyDescent="0.35">
      <c r="A28" s="109"/>
      <c r="B28" s="20" t="s">
        <v>76</v>
      </c>
      <c r="C28" s="109"/>
      <c r="D28" s="20" t="s">
        <v>37</v>
      </c>
      <c r="E28" s="33">
        <f>VLOOKUP(D28,'Bu Erta'!$C$2:$E$66,3,0)</f>
        <v>1600</v>
      </c>
      <c r="F28" s="20">
        <v>0.35</v>
      </c>
      <c r="G28" s="33">
        <f t="shared" si="0"/>
        <v>560</v>
      </c>
      <c r="H28" s="3">
        <f>(VLOOKUP(D28,'Bu Erta'!$C$2:$F$66,4,0))*F28</f>
        <v>700</v>
      </c>
      <c r="J28" s="69" t="s">
        <v>134</v>
      </c>
      <c r="K28">
        <v>4</v>
      </c>
      <c r="L28" s="4">
        <v>19610</v>
      </c>
      <c r="M28" s="4"/>
      <c r="N28" s="69" t="s">
        <v>134</v>
      </c>
      <c r="O28">
        <v>4</v>
      </c>
      <c r="P28" s="4">
        <v>19610</v>
      </c>
      <c r="R28" s="44">
        <v>25</v>
      </c>
      <c r="S28" s="17" t="s">
        <v>36</v>
      </c>
      <c r="T28" s="52">
        <f>VLOOKUP(S28,'Bu Erta'!$C$2:$F$66,4,0)</f>
        <v>650</v>
      </c>
      <c r="U28" s="53">
        <f t="shared" si="1"/>
        <v>19.75</v>
      </c>
      <c r="V28" s="52">
        <f t="shared" si="2"/>
        <v>12837.5</v>
      </c>
      <c r="X28" s="44">
        <v>25</v>
      </c>
      <c r="Y28" s="17" t="s">
        <v>36</v>
      </c>
      <c r="Z28" s="52"/>
      <c r="AA28" s="53"/>
      <c r="AB28" s="52"/>
      <c r="AC28" s="9"/>
      <c r="AE28" s="69" t="s">
        <v>56</v>
      </c>
      <c r="AF28">
        <v>9.6499999999999986</v>
      </c>
      <c r="AG28" s="4">
        <v>38600</v>
      </c>
    </row>
    <row r="29" spans="1:33" x14ac:dyDescent="0.35">
      <c r="A29" s="109"/>
      <c r="B29" s="20" t="s">
        <v>76</v>
      </c>
      <c r="C29" s="109"/>
      <c r="D29" s="20" t="s">
        <v>67</v>
      </c>
      <c r="E29" s="33">
        <f>VLOOKUP(D29,'Bu Erta'!$C$2:$E$66,3,0)</f>
        <v>2700</v>
      </c>
      <c r="F29" s="20">
        <v>0.05</v>
      </c>
      <c r="G29" s="33">
        <f t="shared" si="0"/>
        <v>135</v>
      </c>
      <c r="H29" s="3">
        <f>(VLOOKUP(D29,'Bu Erta'!$C$2:$F$66,4,0))*F29</f>
        <v>150</v>
      </c>
      <c r="J29" s="69" t="s">
        <v>105</v>
      </c>
      <c r="K29">
        <v>4</v>
      </c>
      <c r="L29" s="4">
        <v>13455</v>
      </c>
      <c r="M29" s="4"/>
      <c r="N29" s="69" t="s">
        <v>105</v>
      </c>
      <c r="O29">
        <v>4</v>
      </c>
      <c r="P29" s="4">
        <v>13455</v>
      </c>
      <c r="R29" s="44">
        <v>26</v>
      </c>
      <c r="S29" s="17" t="s">
        <v>37</v>
      </c>
      <c r="T29" s="52">
        <f>VLOOKUP(S29,'Bu Erta'!$C$2:$F$66,4,0)</f>
        <v>2000</v>
      </c>
      <c r="U29" s="53">
        <f t="shared" si="1"/>
        <v>5.45</v>
      </c>
      <c r="V29" s="52">
        <f t="shared" si="2"/>
        <v>10900</v>
      </c>
      <c r="X29" s="44">
        <v>26</v>
      </c>
      <c r="Y29" s="17" t="s">
        <v>37</v>
      </c>
      <c r="Z29" s="52"/>
      <c r="AA29" s="53"/>
      <c r="AB29" s="52"/>
      <c r="AC29" s="9"/>
      <c r="AE29" s="69" t="s">
        <v>88</v>
      </c>
      <c r="AF29">
        <v>4.8</v>
      </c>
      <c r="AG29" s="4">
        <v>1440</v>
      </c>
    </row>
    <row r="30" spans="1:33" x14ac:dyDescent="0.35">
      <c r="A30" s="109"/>
      <c r="B30" s="20" t="s">
        <v>76</v>
      </c>
      <c r="C30" s="109"/>
      <c r="D30" s="20" t="s">
        <v>7</v>
      </c>
      <c r="E30" s="33">
        <f>VLOOKUP(D30,'Bu Erta'!$C$2:$E$66,3,0)</f>
        <v>1400</v>
      </c>
      <c r="F30" s="20">
        <v>1.05</v>
      </c>
      <c r="G30" s="33">
        <f t="shared" si="0"/>
        <v>1470</v>
      </c>
      <c r="H30" s="3">
        <f>(VLOOKUP(D30,'Bu Erta'!$C$2:$F$66,4,0))*F30</f>
        <v>1680</v>
      </c>
      <c r="J30" s="69" t="s">
        <v>97</v>
      </c>
      <c r="K30">
        <v>4</v>
      </c>
      <c r="L30" s="4">
        <v>450</v>
      </c>
      <c r="M30" s="4"/>
      <c r="N30" s="69" t="s">
        <v>97</v>
      </c>
      <c r="O30">
        <v>4</v>
      </c>
      <c r="P30" s="4">
        <v>450</v>
      </c>
      <c r="R30" s="44">
        <v>27</v>
      </c>
      <c r="S30" s="17" t="s">
        <v>38</v>
      </c>
      <c r="T30" s="52">
        <f>VLOOKUP(S30,'Bu Erta'!$C$2:$F$66,4,0)</f>
        <v>1600</v>
      </c>
      <c r="U30" s="53">
        <f t="shared" si="1"/>
        <v>14.850000000000001</v>
      </c>
      <c r="V30" s="52">
        <f t="shared" si="2"/>
        <v>23760.000000000004</v>
      </c>
      <c r="X30" s="44">
        <v>27</v>
      </c>
      <c r="Y30" s="17" t="s">
        <v>38</v>
      </c>
      <c r="Z30" s="52"/>
      <c r="AA30" s="53"/>
      <c r="AB30" s="52"/>
      <c r="AC30" s="9"/>
      <c r="AE30" s="69" t="s">
        <v>6</v>
      </c>
      <c r="AF30">
        <v>1.85</v>
      </c>
      <c r="AG30" s="4">
        <v>3700</v>
      </c>
    </row>
    <row r="31" spans="1:33" x14ac:dyDescent="0.35">
      <c r="A31" s="109"/>
      <c r="B31" s="20" t="s">
        <v>76</v>
      </c>
      <c r="C31" s="109"/>
      <c r="D31" s="20" t="s">
        <v>41</v>
      </c>
      <c r="E31" s="33">
        <f>VLOOKUP(D31,'Bu Erta'!$C$2:$E$66,3,0)</f>
        <v>1500</v>
      </c>
      <c r="F31" s="20">
        <v>0.35</v>
      </c>
      <c r="G31" s="33">
        <f t="shared" si="0"/>
        <v>525</v>
      </c>
      <c r="H31" s="3">
        <f>(VLOOKUP(D31,'Bu Erta'!$C$2:$F$66,4,0))*F31</f>
        <v>700</v>
      </c>
      <c r="J31" s="69" t="s">
        <v>106</v>
      </c>
      <c r="K31">
        <v>4</v>
      </c>
      <c r="L31" s="4">
        <v>3345</v>
      </c>
      <c r="M31" s="4"/>
      <c r="N31" s="69" t="s">
        <v>106</v>
      </c>
      <c r="O31">
        <v>4</v>
      </c>
      <c r="P31" s="4">
        <v>3345</v>
      </c>
      <c r="R31" s="44">
        <v>28</v>
      </c>
      <c r="S31" s="17" t="s">
        <v>39</v>
      </c>
      <c r="T31" s="52">
        <f>VLOOKUP(S31,'Bu Erta'!$C$2:$F$66,4,0)</f>
        <v>200</v>
      </c>
      <c r="U31" s="53">
        <f t="shared" si="1"/>
        <v>0</v>
      </c>
      <c r="V31" s="52">
        <f t="shared" si="2"/>
        <v>0</v>
      </c>
      <c r="X31" s="44">
        <v>28</v>
      </c>
      <c r="Y31" s="17" t="s">
        <v>39</v>
      </c>
      <c r="Z31" s="52"/>
      <c r="AA31" s="53"/>
      <c r="AB31" s="52"/>
      <c r="AC31" s="9"/>
      <c r="AE31" s="69" t="s">
        <v>59</v>
      </c>
      <c r="AF31">
        <v>0.75</v>
      </c>
      <c r="AG31" s="4">
        <v>375</v>
      </c>
    </row>
    <row r="32" spans="1:33" x14ac:dyDescent="0.35">
      <c r="A32" s="109">
        <v>4</v>
      </c>
      <c r="B32" s="20" t="s">
        <v>85</v>
      </c>
      <c r="C32" s="109">
        <v>4</v>
      </c>
      <c r="D32" s="20" t="s">
        <v>25</v>
      </c>
      <c r="E32" s="33">
        <f>VLOOKUP(D32,'Bu Erta'!$C$2:$E$66,3,0)</f>
        <v>1600</v>
      </c>
      <c r="F32" s="20">
        <f>0.55+0.6</f>
        <v>1.1499999999999999</v>
      </c>
      <c r="G32" s="33">
        <f t="shared" si="0"/>
        <v>1839.9999999999998</v>
      </c>
      <c r="H32" s="3">
        <f>(VLOOKUP(D32,'Bu Erta'!$C$2:$F$66,4,0))*F32</f>
        <v>1954.9999999999998</v>
      </c>
      <c r="J32" s="69" t="s">
        <v>145</v>
      </c>
      <c r="K32">
        <v>4</v>
      </c>
      <c r="L32" s="4">
        <v>11845</v>
      </c>
      <c r="M32" s="4"/>
      <c r="N32" s="69" t="s">
        <v>145</v>
      </c>
      <c r="O32">
        <v>4</v>
      </c>
      <c r="P32" s="4">
        <v>11845</v>
      </c>
      <c r="R32" s="44">
        <v>29</v>
      </c>
      <c r="S32" s="17" t="s">
        <v>77</v>
      </c>
      <c r="T32" s="52">
        <f>VLOOKUP(S32,'Bu Erta'!$C$2:$F$66,4,0)</f>
        <v>800</v>
      </c>
      <c r="U32" s="53">
        <f t="shared" si="1"/>
        <v>0</v>
      </c>
      <c r="V32" s="52">
        <f t="shared" si="2"/>
        <v>0</v>
      </c>
      <c r="X32" s="44">
        <v>29</v>
      </c>
      <c r="Y32" s="17" t="s">
        <v>77</v>
      </c>
      <c r="Z32" s="52"/>
      <c r="AA32" s="53"/>
      <c r="AB32" s="52"/>
      <c r="AC32" s="9"/>
      <c r="AE32" s="69" t="s">
        <v>60</v>
      </c>
      <c r="AF32">
        <v>1.1499999999999999</v>
      </c>
      <c r="AG32" s="4">
        <v>1380</v>
      </c>
    </row>
    <row r="33" spans="1:33" x14ac:dyDescent="0.35">
      <c r="A33" s="109"/>
      <c r="B33" s="20" t="s">
        <v>85</v>
      </c>
      <c r="C33" s="109"/>
      <c r="D33" s="20" t="s">
        <v>31</v>
      </c>
      <c r="E33" s="33">
        <f>VLOOKUP(D33,'Bu Erta'!$C$2:$E$66,3,0)</f>
        <v>1000</v>
      </c>
      <c r="F33" s="20">
        <f>0.35+2.25</f>
        <v>2.6</v>
      </c>
      <c r="G33" s="33">
        <f t="shared" si="0"/>
        <v>2600</v>
      </c>
      <c r="H33" s="3">
        <f>(VLOOKUP(D33,'Bu Erta'!$C$2:$F$66,4,0))*F33</f>
        <v>2860</v>
      </c>
      <c r="J33" s="69" t="s">
        <v>135</v>
      </c>
      <c r="K33">
        <v>4</v>
      </c>
      <c r="L33" s="4">
        <v>8910</v>
      </c>
      <c r="M33" s="4"/>
      <c r="N33" s="69" t="s">
        <v>135</v>
      </c>
      <c r="O33">
        <v>4</v>
      </c>
      <c r="P33" s="4">
        <v>8910</v>
      </c>
      <c r="R33" s="44">
        <v>30</v>
      </c>
      <c r="S33" s="17" t="s">
        <v>40</v>
      </c>
      <c r="T33" s="52">
        <f>VLOOKUP(S33,'Bu Erta'!$C$2:$F$66,4,0)</f>
        <v>2000</v>
      </c>
      <c r="U33" s="53">
        <f t="shared" si="1"/>
        <v>21.700000000000003</v>
      </c>
      <c r="V33" s="52">
        <f t="shared" si="2"/>
        <v>43400.000000000007</v>
      </c>
      <c r="X33" s="44">
        <v>30</v>
      </c>
      <c r="Y33" s="17" t="s">
        <v>40</v>
      </c>
      <c r="Z33" s="52"/>
      <c r="AA33" s="53"/>
      <c r="AB33" s="52"/>
      <c r="AC33" s="9"/>
      <c r="AE33" s="69" t="s">
        <v>62</v>
      </c>
      <c r="AF33">
        <v>2.25</v>
      </c>
      <c r="AG33" s="4">
        <v>900</v>
      </c>
    </row>
    <row r="34" spans="1:33" x14ac:dyDescent="0.35">
      <c r="A34" s="109"/>
      <c r="B34" s="20" t="s">
        <v>85</v>
      </c>
      <c r="C34" s="109"/>
      <c r="D34" s="20" t="s">
        <v>24</v>
      </c>
      <c r="E34" s="33">
        <f>VLOOKUP(D34,'Bu Erta'!$C$2:$E$66,3,0)</f>
        <v>150</v>
      </c>
      <c r="F34" s="20">
        <v>0.2</v>
      </c>
      <c r="G34" s="33">
        <f t="shared" si="0"/>
        <v>30</v>
      </c>
      <c r="H34" s="3">
        <f>(VLOOKUP(D34,'Bu Erta'!$C$2:$F$66,4,0))*F34</f>
        <v>40</v>
      </c>
      <c r="J34" s="69" t="s">
        <v>136</v>
      </c>
      <c r="K34">
        <v>4</v>
      </c>
      <c r="L34" s="4">
        <v>1350</v>
      </c>
      <c r="M34" s="4"/>
      <c r="N34" s="69" t="s">
        <v>136</v>
      </c>
      <c r="O34">
        <v>4</v>
      </c>
      <c r="P34" s="4">
        <v>1350</v>
      </c>
      <c r="R34" s="44">
        <v>31</v>
      </c>
      <c r="S34" s="17" t="s">
        <v>41</v>
      </c>
      <c r="T34" s="52">
        <f>VLOOKUP(S34,'Bu Erta'!$C$2:$F$66,4,0)</f>
        <v>2000</v>
      </c>
      <c r="U34" s="53">
        <f t="shared" si="1"/>
        <v>10.95</v>
      </c>
      <c r="V34" s="52">
        <f t="shared" si="2"/>
        <v>21900</v>
      </c>
      <c r="X34" s="44">
        <v>31</v>
      </c>
      <c r="Y34" s="17" t="s">
        <v>41</v>
      </c>
      <c r="Z34" s="52"/>
      <c r="AA34" s="53"/>
      <c r="AB34" s="52"/>
      <c r="AC34" s="9"/>
      <c r="AE34" s="69" t="s">
        <v>63</v>
      </c>
      <c r="AF34">
        <v>3.1</v>
      </c>
      <c r="AG34" s="4">
        <v>2480</v>
      </c>
    </row>
    <row r="35" spans="1:33" x14ac:dyDescent="0.35">
      <c r="A35" s="109">
        <v>5</v>
      </c>
      <c r="B35" s="20" t="s">
        <v>133</v>
      </c>
      <c r="C35" s="109">
        <v>4</v>
      </c>
      <c r="D35" s="20" t="s">
        <v>42</v>
      </c>
      <c r="E35" s="33">
        <f>VLOOKUP(D35,'Bu Erta'!$C$2:$E$66,3,0)</f>
        <v>1000</v>
      </c>
      <c r="F35" s="20">
        <v>4.5999999999999996</v>
      </c>
      <c r="G35" s="33">
        <f t="shared" si="0"/>
        <v>4600</v>
      </c>
      <c r="H35" s="3">
        <f>(VLOOKUP(D35,'Bu Erta'!$C$2:$F$66,4,0))*F35</f>
        <v>5520</v>
      </c>
      <c r="J35" s="69" t="s">
        <v>151</v>
      </c>
      <c r="K35">
        <v>4</v>
      </c>
      <c r="L35" s="4">
        <v>18250</v>
      </c>
      <c r="M35" s="4"/>
      <c r="N35" s="69" t="s">
        <v>151</v>
      </c>
      <c r="O35">
        <v>4</v>
      </c>
      <c r="P35" s="4">
        <v>18250</v>
      </c>
      <c r="R35" s="44">
        <v>32</v>
      </c>
      <c r="S35" s="17" t="s">
        <v>42</v>
      </c>
      <c r="T35" s="52">
        <f>VLOOKUP(S35,'Bu Erta'!$C$2:$F$66,4,0)</f>
        <v>1200</v>
      </c>
      <c r="U35" s="53">
        <f t="shared" si="1"/>
        <v>68.599999999999994</v>
      </c>
      <c r="V35" s="52">
        <f t="shared" si="2"/>
        <v>82320</v>
      </c>
      <c r="X35" s="44">
        <v>32</v>
      </c>
      <c r="Y35" s="17" t="s">
        <v>42</v>
      </c>
      <c r="Z35" s="52"/>
      <c r="AA35" s="53"/>
      <c r="AB35" s="52"/>
      <c r="AC35" s="9"/>
      <c r="AE35" s="69" t="s">
        <v>65</v>
      </c>
      <c r="AF35">
        <v>0.85000000000000009</v>
      </c>
      <c r="AG35" s="4">
        <v>127.5</v>
      </c>
    </row>
    <row r="36" spans="1:33" x14ac:dyDescent="0.35">
      <c r="A36" s="109"/>
      <c r="B36" s="20" t="s">
        <v>133</v>
      </c>
      <c r="C36" s="109"/>
      <c r="D36" s="20" t="s">
        <v>68</v>
      </c>
      <c r="E36" s="33">
        <f>VLOOKUP(D36,'Bu Erta'!$C$2:$E$66,3,0)</f>
        <v>150</v>
      </c>
      <c r="F36" s="20">
        <v>0.5</v>
      </c>
      <c r="G36" s="33">
        <f t="shared" si="0"/>
        <v>75</v>
      </c>
      <c r="H36" s="3">
        <f>(VLOOKUP(D36,'Bu Erta'!$C$2:$F$66,4,0))*F36</f>
        <v>100</v>
      </c>
      <c r="J36" s="69" t="s">
        <v>112</v>
      </c>
      <c r="K36">
        <v>4</v>
      </c>
      <c r="L36" s="4">
        <v>10320</v>
      </c>
      <c r="M36" s="4"/>
      <c r="N36" s="69" t="s">
        <v>112</v>
      </c>
      <c r="O36">
        <v>4</v>
      </c>
      <c r="P36" s="4">
        <v>10320</v>
      </c>
      <c r="R36" s="44">
        <v>33</v>
      </c>
      <c r="S36" s="17" t="s">
        <v>43</v>
      </c>
      <c r="T36" s="52">
        <f>VLOOKUP(S36,'Bu Erta'!$C$2:$F$66,4,0)</f>
        <v>500</v>
      </c>
      <c r="U36" s="53">
        <f t="shared" si="1"/>
        <v>0</v>
      </c>
      <c r="V36" s="52">
        <f t="shared" si="2"/>
        <v>0</v>
      </c>
      <c r="X36" s="44">
        <v>33</v>
      </c>
      <c r="Y36" s="17" t="s">
        <v>43</v>
      </c>
      <c r="Z36" s="52"/>
      <c r="AA36" s="53"/>
      <c r="AB36" s="52"/>
      <c r="AC36" s="9"/>
      <c r="AE36" s="69" t="s">
        <v>67</v>
      </c>
      <c r="AF36">
        <v>1.6</v>
      </c>
      <c r="AG36" s="4">
        <v>4320</v>
      </c>
    </row>
    <row r="37" spans="1:33" x14ac:dyDescent="0.35">
      <c r="A37" s="109"/>
      <c r="B37" s="20" t="s">
        <v>133</v>
      </c>
      <c r="C37" s="109"/>
      <c r="D37" s="20" t="s">
        <v>67</v>
      </c>
      <c r="E37" s="33">
        <f>VLOOKUP(D37,'Bu Erta'!$C$2:$E$66,3,0)</f>
        <v>2700</v>
      </c>
      <c r="F37" s="20">
        <v>0.2</v>
      </c>
      <c r="G37" s="33">
        <f t="shared" si="0"/>
        <v>540</v>
      </c>
      <c r="H37" s="3">
        <f>(VLOOKUP(D37,'Bu Erta'!$C$2:$F$66,4,0))*F37</f>
        <v>600</v>
      </c>
      <c r="J37" s="69" t="s">
        <v>94</v>
      </c>
      <c r="K37">
        <v>4</v>
      </c>
      <c r="L37" s="4">
        <v>3890</v>
      </c>
      <c r="M37" s="4"/>
      <c r="N37" s="69" t="s">
        <v>94</v>
      </c>
      <c r="O37">
        <v>4</v>
      </c>
      <c r="P37" s="4">
        <v>3890</v>
      </c>
      <c r="R37" s="44">
        <v>34</v>
      </c>
      <c r="S37" s="17" t="s">
        <v>44</v>
      </c>
      <c r="T37" s="52">
        <f>VLOOKUP(S37,'Bu Erta'!$C$2:$F$66,4,0)</f>
        <v>500</v>
      </c>
      <c r="U37" s="53">
        <f t="shared" si="1"/>
        <v>9.35</v>
      </c>
      <c r="V37" s="52">
        <f t="shared" si="2"/>
        <v>4675</v>
      </c>
      <c r="X37" s="44">
        <v>34</v>
      </c>
      <c r="Y37" s="17" t="s">
        <v>44</v>
      </c>
      <c r="Z37" s="52"/>
      <c r="AA37" s="53"/>
      <c r="AB37" s="52"/>
      <c r="AC37" s="9"/>
      <c r="AE37" s="69" t="s">
        <v>68</v>
      </c>
      <c r="AF37">
        <v>12.35</v>
      </c>
      <c r="AG37" s="4">
        <v>1852.5</v>
      </c>
    </row>
    <row r="38" spans="1:33" x14ac:dyDescent="0.35">
      <c r="A38" s="109"/>
      <c r="B38" s="20" t="s">
        <v>133</v>
      </c>
      <c r="C38" s="109"/>
      <c r="D38" s="20" t="s">
        <v>27</v>
      </c>
      <c r="E38" s="33">
        <f>VLOOKUP(D38,'Bu Erta'!$C$2:$E$66,3,0)</f>
        <v>2800</v>
      </c>
      <c r="F38" s="20">
        <v>0.55000000000000004</v>
      </c>
      <c r="G38" s="33">
        <f t="shared" si="0"/>
        <v>1540.0000000000002</v>
      </c>
      <c r="H38" s="3">
        <f>(VLOOKUP(D38,'Bu Erta'!$C$2:$F$66,4,0))*F38</f>
        <v>1705.0000000000002</v>
      </c>
      <c r="J38" s="69" t="s">
        <v>89</v>
      </c>
      <c r="K38">
        <v>4</v>
      </c>
      <c r="L38" s="4">
        <v>3157.5</v>
      </c>
      <c r="M38" s="4"/>
      <c r="N38" s="69" t="s">
        <v>89</v>
      </c>
      <c r="O38">
        <v>4</v>
      </c>
      <c r="P38" s="4">
        <v>3157.5</v>
      </c>
      <c r="R38" s="44">
        <v>35</v>
      </c>
      <c r="S38" s="17" t="s">
        <v>45</v>
      </c>
      <c r="T38" s="52">
        <f>VLOOKUP(S38,'Bu Erta'!$C$2:$F$66,4,0)</f>
        <v>800</v>
      </c>
      <c r="U38" s="53">
        <f t="shared" si="1"/>
        <v>0.55000000000000004</v>
      </c>
      <c r="V38" s="52">
        <f t="shared" si="2"/>
        <v>440.00000000000006</v>
      </c>
      <c r="X38" s="44">
        <v>35</v>
      </c>
      <c r="Y38" s="17" t="s">
        <v>45</v>
      </c>
      <c r="Z38" s="52"/>
      <c r="AA38" s="53"/>
      <c r="AB38" s="52"/>
      <c r="AC38" s="9"/>
      <c r="AE38" s="69" t="s">
        <v>69</v>
      </c>
      <c r="AF38">
        <v>0.85</v>
      </c>
      <c r="AG38" s="4">
        <v>2125</v>
      </c>
    </row>
    <row r="39" spans="1:33" x14ac:dyDescent="0.35">
      <c r="A39" s="109"/>
      <c r="B39" s="20" t="s">
        <v>133</v>
      </c>
      <c r="C39" s="109"/>
      <c r="D39" s="20" t="s">
        <v>6</v>
      </c>
      <c r="E39" s="33">
        <f>VLOOKUP(D39,'Bu Erta'!$C$2:$E$66,3,0)</f>
        <v>2000</v>
      </c>
      <c r="F39" s="20">
        <v>0.2</v>
      </c>
      <c r="G39" s="33">
        <f t="shared" si="0"/>
        <v>400</v>
      </c>
      <c r="H39" s="3">
        <f>(VLOOKUP(D39,'Bu Erta'!$C$2:$F$66,4,0))*F39</f>
        <v>500</v>
      </c>
      <c r="J39" s="69" t="s">
        <v>114</v>
      </c>
      <c r="K39">
        <v>4</v>
      </c>
      <c r="L39" s="4">
        <v>1507.5</v>
      </c>
      <c r="M39" s="4"/>
      <c r="N39" s="69" t="s">
        <v>114</v>
      </c>
      <c r="O39">
        <v>4</v>
      </c>
      <c r="P39" s="4">
        <v>1507.5</v>
      </c>
      <c r="R39" s="44">
        <v>36</v>
      </c>
      <c r="S39" s="17" t="s">
        <v>46</v>
      </c>
      <c r="T39" s="52">
        <f>VLOOKUP(S39,'Bu Erta'!$C$2:$F$66,4,0)</f>
        <v>1500</v>
      </c>
      <c r="U39" s="53">
        <f t="shared" si="1"/>
        <v>9.6499999999999986</v>
      </c>
      <c r="V39" s="52">
        <f t="shared" si="2"/>
        <v>14474.999999999998</v>
      </c>
      <c r="X39" s="44">
        <v>36</v>
      </c>
      <c r="Y39" s="17" t="s">
        <v>46</v>
      </c>
      <c r="Z39" s="52"/>
      <c r="AA39" s="53"/>
      <c r="AB39" s="52"/>
      <c r="AC39" s="9"/>
      <c r="AE39" s="69" t="s">
        <v>72</v>
      </c>
      <c r="AF39">
        <v>1</v>
      </c>
      <c r="AG39" s="4">
        <v>13000</v>
      </c>
    </row>
    <row r="40" spans="1:33" x14ac:dyDescent="0.35">
      <c r="A40" s="109"/>
      <c r="B40" s="20" t="s">
        <v>133</v>
      </c>
      <c r="C40" s="109"/>
      <c r="D40" s="20" t="s">
        <v>31</v>
      </c>
      <c r="E40" s="33">
        <f>VLOOKUP(D40,'Bu Erta'!$C$2:$E$66,3,0)</f>
        <v>1000</v>
      </c>
      <c r="F40" s="20">
        <v>2.1</v>
      </c>
      <c r="G40" s="33">
        <f t="shared" si="0"/>
        <v>2100</v>
      </c>
      <c r="H40" s="3">
        <f>(VLOOKUP(D40,'Bu Erta'!$C$2:$F$66,4,0))*F40</f>
        <v>2310</v>
      </c>
      <c r="J40" s="69" t="s">
        <v>84</v>
      </c>
      <c r="K40">
        <v>4</v>
      </c>
      <c r="L40" s="4">
        <v>9495</v>
      </c>
      <c r="M40" s="4"/>
      <c r="N40" s="69" t="s">
        <v>84</v>
      </c>
      <c r="O40">
        <v>4</v>
      </c>
      <c r="P40" s="4">
        <v>9495</v>
      </c>
      <c r="R40" s="44">
        <v>37</v>
      </c>
      <c r="S40" s="17" t="s">
        <v>47</v>
      </c>
      <c r="T40" s="52">
        <f>VLOOKUP(S40,'Bu Erta'!$C$2:$F$66,4,0)</f>
        <v>1500</v>
      </c>
      <c r="U40" s="53">
        <f t="shared" si="1"/>
        <v>0</v>
      </c>
      <c r="V40" s="52">
        <f t="shared" si="2"/>
        <v>0</v>
      </c>
      <c r="X40" s="44">
        <v>37</v>
      </c>
      <c r="Y40" s="17" t="s">
        <v>47</v>
      </c>
      <c r="Z40" s="52"/>
      <c r="AA40" s="53"/>
      <c r="AB40" s="52"/>
      <c r="AC40" s="9"/>
      <c r="AE40" s="69" t="s">
        <v>58</v>
      </c>
      <c r="AF40">
        <v>1</v>
      </c>
      <c r="AG40" s="4">
        <v>13000</v>
      </c>
    </row>
    <row r="41" spans="1:33" x14ac:dyDescent="0.35">
      <c r="A41" s="109"/>
      <c r="B41" s="20" t="s">
        <v>133</v>
      </c>
      <c r="C41" s="109"/>
      <c r="D41" s="20" t="s">
        <v>24</v>
      </c>
      <c r="E41" s="33">
        <f>VLOOKUP(D41,'Bu Erta'!$C$2:$E$66,3,0)</f>
        <v>150</v>
      </c>
      <c r="F41" s="20">
        <v>0.35</v>
      </c>
      <c r="G41" s="33">
        <f t="shared" si="0"/>
        <v>52.5</v>
      </c>
      <c r="H41" s="3">
        <f>(VLOOKUP(D41,'Bu Erta'!$C$2:$F$66,4,0))*F41</f>
        <v>70</v>
      </c>
      <c r="J41" s="69" t="s">
        <v>100</v>
      </c>
      <c r="K41">
        <v>4</v>
      </c>
      <c r="L41" s="4">
        <v>39442.5</v>
      </c>
      <c r="M41" s="4"/>
      <c r="N41" s="69" t="s">
        <v>100</v>
      </c>
      <c r="O41">
        <v>4</v>
      </c>
      <c r="P41" s="4">
        <v>39442.5</v>
      </c>
      <c r="R41" s="44">
        <v>38</v>
      </c>
      <c r="S41" s="17" t="s">
        <v>48</v>
      </c>
      <c r="T41" s="52">
        <f>VLOOKUP(S41,'Bu Erta'!$C$2:$F$66,4,0)</f>
        <v>15000</v>
      </c>
      <c r="U41" s="53">
        <f t="shared" si="1"/>
        <v>0</v>
      </c>
      <c r="V41" s="52">
        <f t="shared" si="2"/>
        <v>0</v>
      </c>
      <c r="X41" s="44">
        <v>38</v>
      </c>
      <c r="Y41" s="17" t="s">
        <v>48</v>
      </c>
      <c r="Z41" s="52"/>
      <c r="AA41" s="53"/>
      <c r="AB41" s="52"/>
      <c r="AC41" s="9"/>
      <c r="AE41" s="69" t="s">
        <v>81</v>
      </c>
      <c r="AF41">
        <v>522.04000000000019</v>
      </c>
      <c r="AG41" s="4">
        <v>620721</v>
      </c>
    </row>
    <row r="42" spans="1:33" x14ac:dyDescent="0.35">
      <c r="A42" s="109"/>
      <c r="B42" s="20" t="s">
        <v>133</v>
      </c>
      <c r="C42" s="109"/>
      <c r="D42" s="20" t="s">
        <v>41</v>
      </c>
      <c r="E42" s="33">
        <f>VLOOKUP(D42,'Bu Erta'!$C$2:$E$66,3,0)</f>
        <v>1500</v>
      </c>
      <c r="F42" s="20">
        <v>0.75</v>
      </c>
      <c r="G42" s="33">
        <f t="shared" si="0"/>
        <v>1125</v>
      </c>
      <c r="H42" s="3">
        <f>(VLOOKUP(D42,'Bu Erta'!$C$2:$F$66,4,0))*F42</f>
        <v>1500</v>
      </c>
      <c r="J42" s="69" t="s">
        <v>118</v>
      </c>
      <c r="K42">
        <v>4</v>
      </c>
      <c r="L42" s="4">
        <v>14012.5</v>
      </c>
      <c r="M42" s="4"/>
      <c r="N42" s="69" t="s">
        <v>118</v>
      </c>
      <c r="O42">
        <v>4</v>
      </c>
      <c r="P42" s="4">
        <v>14012.5</v>
      </c>
      <c r="R42" s="44">
        <v>39</v>
      </c>
      <c r="S42" s="17" t="s">
        <v>49</v>
      </c>
      <c r="T42" s="52">
        <f>VLOOKUP(S42,'Bu Erta'!$C$2:$F$66,4,0)</f>
        <v>900</v>
      </c>
      <c r="U42" s="53">
        <f t="shared" si="1"/>
        <v>8.1</v>
      </c>
      <c r="V42" s="52">
        <f t="shared" si="2"/>
        <v>7290</v>
      </c>
      <c r="X42" s="44">
        <v>39</v>
      </c>
      <c r="Y42" s="17" t="s">
        <v>49</v>
      </c>
      <c r="Z42" s="52"/>
      <c r="AA42" s="53"/>
      <c r="AB42" s="52"/>
      <c r="AC42" s="9"/>
    </row>
    <row r="43" spans="1:33" x14ac:dyDescent="0.35">
      <c r="A43" s="109"/>
      <c r="B43" s="20" t="s">
        <v>133</v>
      </c>
      <c r="C43" s="109"/>
      <c r="D43" s="20" t="s">
        <v>40</v>
      </c>
      <c r="E43" s="33">
        <f>VLOOKUP(D43,'Bu Erta'!$C$2:$E$66,3,0)</f>
        <v>1800</v>
      </c>
      <c r="F43" s="20">
        <v>0.8</v>
      </c>
      <c r="G43" s="33">
        <f t="shared" si="0"/>
        <v>1440</v>
      </c>
      <c r="H43" s="3">
        <f>(VLOOKUP(D43,'Bu Erta'!$C$2:$F$66,4,0))*F43</f>
        <v>1600</v>
      </c>
      <c r="J43" s="69" t="s">
        <v>140</v>
      </c>
      <c r="K43">
        <v>4</v>
      </c>
      <c r="L43" s="4">
        <v>34945</v>
      </c>
      <c r="M43" s="4"/>
      <c r="N43" s="69" t="s">
        <v>140</v>
      </c>
      <c r="O43">
        <v>4</v>
      </c>
      <c r="P43" s="4">
        <v>34945</v>
      </c>
      <c r="R43" s="44">
        <v>40</v>
      </c>
      <c r="S43" s="17" t="s">
        <v>50</v>
      </c>
      <c r="T43" s="52">
        <f>VLOOKUP(S43,'Bu Erta'!$C$2:$F$66,4,0)</f>
        <v>45000</v>
      </c>
      <c r="U43" s="53">
        <f t="shared" si="1"/>
        <v>0</v>
      </c>
      <c r="V43" s="52">
        <f t="shared" si="2"/>
        <v>0</v>
      </c>
      <c r="X43" s="44">
        <v>40</v>
      </c>
      <c r="Y43" s="17" t="s">
        <v>50</v>
      </c>
      <c r="Z43" s="52"/>
      <c r="AA43" s="53"/>
      <c r="AB43" s="52"/>
      <c r="AC43" s="9"/>
    </row>
    <row r="44" spans="1:33" x14ac:dyDescent="0.35">
      <c r="A44" s="109">
        <v>6</v>
      </c>
      <c r="B44" s="20" t="s">
        <v>134</v>
      </c>
      <c r="C44" s="109">
        <v>4</v>
      </c>
      <c r="D44" s="20" t="s">
        <v>67</v>
      </c>
      <c r="E44" s="33">
        <f>VLOOKUP(D44,'Bu Erta'!$C$2:$E$66,3,0)</f>
        <v>2700</v>
      </c>
      <c r="F44" s="20">
        <v>0.65</v>
      </c>
      <c r="G44" s="33">
        <f t="shared" si="0"/>
        <v>1755</v>
      </c>
      <c r="H44" s="3">
        <f>(VLOOKUP(D44,'Bu Erta'!$C$2:$F$66,4,0))*F44</f>
        <v>1950</v>
      </c>
      <c r="J44" s="69" t="s">
        <v>86</v>
      </c>
      <c r="K44">
        <v>4</v>
      </c>
      <c r="L44" s="4">
        <v>33435</v>
      </c>
      <c r="M44" s="4"/>
      <c r="N44" s="69" t="s">
        <v>86</v>
      </c>
      <c r="O44">
        <v>4</v>
      </c>
      <c r="P44" s="4">
        <v>33435</v>
      </c>
      <c r="R44" s="44">
        <v>41</v>
      </c>
      <c r="S44" s="17" t="s">
        <v>51</v>
      </c>
      <c r="T44" s="52">
        <f>VLOOKUP(S44,'Bu Erta'!$C$2:$F$66,4,0)</f>
        <v>55000</v>
      </c>
      <c r="U44" s="53">
        <f t="shared" si="1"/>
        <v>0</v>
      </c>
      <c r="V44" s="52">
        <f t="shared" si="2"/>
        <v>0</v>
      </c>
      <c r="X44" s="44">
        <v>41</v>
      </c>
      <c r="Y44" s="17" t="s">
        <v>51</v>
      </c>
      <c r="Z44" s="52"/>
      <c r="AA44" s="53"/>
      <c r="AB44" s="52"/>
      <c r="AC44" s="9"/>
    </row>
    <row r="45" spans="1:33" x14ac:dyDescent="0.35">
      <c r="A45" s="109"/>
      <c r="B45" s="20" t="s">
        <v>134</v>
      </c>
      <c r="C45" s="109"/>
      <c r="D45" s="20" t="s">
        <v>41</v>
      </c>
      <c r="E45" s="33">
        <f>VLOOKUP(D45,'Bu Erta'!$C$2:$E$66,3,0)</f>
        <v>1500</v>
      </c>
      <c r="F45" s="20">
        <v>0.65</v>
      </c>
      <c r="G45" s="33">
        <f t="shared" si="0"/>
        <v>975</v>
      </c>
      <c r="H45" s="3">
        <f>(VLOOKUP(D45,'Bu Erta'!$C$2:$F$66,4,0))*F45</f>
        <v>1300</v>
      </c>
      <c r="J45" s="69" t="s">
        <v>132</v>
      </c>
      <c r="K45">
        <v>4</v>
      </c>
      <c r="L45" s="4">
        <v>1330</v>
      </c>
      <c r="M45" s="4"/>
      <c r="N45" s="69" t="s">
        <v>132</v>
      </c>
      <c r="O45">
        <v>4</v>
      </c>
      <c r="P45" s="4">
        <v>1330</v>
      </c>
      <c r="R45" s="44">
        <v>42</v>
      </c>
      <c r="S45" s="17" t="s">
        <v>52</v>
      </c>
      <c r="T45" s="52">
        <f>VLOOKUP(S45,'Bu Erta'!$C$2:$F$66,4,0)</f>
        <v>30000</v>
      </c>
      <c r="U45" s="53">
        <f t="shared" si="1"/>
        <v>0</v>
      </c>
      <c r="V45" s="52">
        <f t="shared" si="2"/>
        <v>0</v>
      </c>
      <c r="X45" s="44">
        <v>42</v>
      </c>
      <c r="Y45" s="17" t="s">
        <v>52</v>
      </c>
      <c r="Z45" s="52"/>
      <c r="AA45" s="53"/>
      <c r="AB45" s="52"/>
      <c r="AC45" s="9"/>
    </row>
    <row r="46" spans="1:33" x14ac:dyDescent="0.35">
      <c r="A46" s="109"/>
      <c r="B46" s="20" t="s">
        <v>134</v>
      </c>
      <c r="C46" s="109"/>
      <c r="D46" s="20" t="s">
        <v>7</v>
      </c>
      <c r="E46" s="33">
        <f>VLOOKUP(D46,'Bu Erta'!$C$2:$E$66,3,0)</f>
        <v>1400</v>
      </c>
      <c r="F46" s="20">
        <f>1.55+0.8</f>
        <v>2.35</v>
      </c>
      <c r="G46" s="33">
        <f t="shared" si="0"/>
        <v>3290</v>
      </c>
      <c r="H46" s="3">
        <f>(VLOOKUP(D46,'Bu Erta'!$C$2:$F$66,4,0))*F46</f>
        <v>3760</v>
      </c>
      <c r="J46" s="69" t="s">
        <v>148</v>
      </c>
      <c r="K46">
        <v>4</v>
      </c>
      <c r="L46" s="4">
        <v>28577.5</v>
      </c>
      <c r="M46" s="4"/>
      <c r="N46" s="69" t="s">
        <v>148</v>
      </c>
      <c r="O46">
        <v>4</v>
      </c>
      <c r="P46" s="4">
        <v>28577.5</v>
      </c>
      <c r="R46" s="44">
        <v>43</v>
      </c>
      <c r="S46" s="17" t="s">
        <v>53</v>
      </c>
      <c r="T46" s="52">
        <f>VLOOKUP(S46,'Bu Erta'!$C$2:$F$66,4,0)</f>
        <v>12000</v>
      </c>
      <c r="U46" s="53">
        <f t="shared" si="1"/>
        <v>2</v>
      </c>
      <c r="V46" s="52">
        <f t="shared" si="2"/>
        <v>24000</v>
      </c>
      <c r="X46" s="44">
        <v>43</v>
      </c>
      <c r="Y46" s="17" t="s">
        <v>53</v>
      </c>
      <c r="Z46" s="52"/>
      <c r="AA46" s="53"/>
      <c r="AB46" s="52"/>
      <c r="AC46" s="9"/>
    </row>
    <row r="47" spans="1:33" x14ac:dyDescent="0.35">
      <c r="A47" s="109"/>
      <c r="B47" s="20" t="s">
        <v>134</v>
      </c>
      <c r="C47" s="109"/>
      <c r="D47" s="20" t="s">
        <v>37</v>
      </c>
      <c r="E47" s="33">
        <f>VLOOKUP(D47,'Bu Erta'!$C$2:$E$66,3,0)</f>
        <v>1600</v>
      </c>
      <c r="F47" s="20">
        <v>1.25</v>
      </c>
      <c r="G47" s="33">
        <f t="shared" si="0"/>
        <v>2000</v>
      </c>
      <c r="H47" s="3">
        <f>(VLOOKUP(D47,'Bu Erta'!$C$2:$F$66,4,0))*F47</f>
        <v>2500</v>
      </c>
      <c r="J47" s="69" t="s">
        <v>95</v>
      </c>
      <c r="K47">
        <v>5</v>
      </c>
      <c r="L47" s="4">
        <v>13575</v>
      </c>
      <c r="M47" s="4"/>
      <c r="N47" s="69" t="s">
        <v>95</v>
      </c>
      <c r="O47">
        <v>5</v>
      </c>
      <c r="P47" s="4">
        <v>13575</v>
      </c>
      <c r="R47" s="44">
        <v>44</v>
      </c>
      <c r="S47" s="17" t="s">
        <v>54</v>
      </c>
      <c r="T47" s="52">
        <f>VLOOKUP(S47,'Bu Erta'!$C$2:$F$66,4,0)</f>
        <v>650</v>
      </c>
      <c r="U47" s="53">
        <f t="shared" si="1"/>
        <v>0</v>
      </c>
      <c r="V47" s="52">
        <f t="shared" si="2"/>
        <v>0</v>
      </c>
      <c r="X47" s="44">
        <v>44</v>
      </c>
      <c r="Y47" s="17" t="s">
        <v>54</v>
      </c>
      <c r="Z47" s="52"/>
      <c r="AA47" s="53"/>
      <c r="AB47" s="52"/>
      <c r="AC47" s="9"/>
    </row>
    <row r="48" spans="1:33" x14ac:dyDescent="0.35">
      <c r="A48" s="109"/>
      <c r="B48" s="20" t="s">
        <v>134</v>
      </c>
      <c r="C48" s="109"/>
      <c r="D48" s="20" t="s">
        <v>25</v>
      </c>
      <c r="E48" s="33">
        <f>VLOOKUP(D48,'Bu Erta'!$C$2:$E$66,3,0)</f>
        <v>1600</v>
      </c>
      <c r="F48" s="20">
        <f>1.3+1</f>
        <v>2.2999999999999998</v>
      </c>
      <c r="G48" s="33">
        <f t="shared" si="0"/>
        <v>3679.9999999999995</v>
      </c>
      <c r="H48" s="3">
        <f>(VLOOKUP(D48,'Bu Erta'!$C$2:$F$66,4,0))*F48</f>
        <v>3909.9999999999995</v>
      </c>
      <c r="J48" s="69" t="s">
        <v>174</v>
      </c>
      <c r="K48">
        <v>5</v>
      </c>
      <c r="L48" s="4">
        <v>18200</v>
      </c>
      <c r="M48" s="4"/>
      <c r="N48" s="69" t="s">
        <v>174</v>
      </c>
      <c r="O48">
        <v>5</v>
      </c>
      <c r="P48" s="4">
        <v>18200</v>
      </c>
      <c r="R48" s="44">
        <v>45</v>
      </c>
      <c r="S48" s="17" t="s">
        <v>55</v>
      </c>
      <c r="T48" s="52">
        <f>VLOOKUP(S48,'Bu Erta'!$C$2:$F$66,4,0)</f>
        <v>40000</v>
      </c>
      <c r="U48" s="53">
        <f t="shared" si="1"/>
        <v>0</v>
      </c>
      <c r="V48" s="52">
        <f t="shared" si="2"/>
        <v>0</v>
      </c>
      <c r="X48" s="44">
        <v>45</v>
      </c>
      <c r="Y48" s="17" t="s">
        <v>55</v>
      </c>
      <c r="Z48" s="52"/>
      <c r="AA48" s="53"/>
      <c r="AB48" s="52"/>
      <c r="AC48" s="9"/>
    </row>
    <row r="49" spans="1:29" x14ac:dyDescent="0.35">
      <c r="A49" s="109"/>
      <c r="B49" s="20" t="s">
        <v>134</v>
      </c>
      <c r="C49" s="109"/>
      <c r="D49" s="20" t="s">
        <v>31</v>
      </c>
      <c r="E49" s="33">
        <f>VLOOKUP(D49,'Bu Erta'!$C$2:$E$66,3,0)</f>
        <v>1000</v>
      </c>
      <c r="F49" s="20">
        <f>0.75+2.15</f>
        <v>2.9</v>
      </c>
      <c r="G49" s="33">
        <f t="shared" si="0"/>
        <v>2900</v>
      </c>
      <c r="H49" s="3">
        <f>(VLOOKUP(D49,'Bu Erta'!$C$2:$F$66,4,0))*F49</f>
        <v>3190</v>
      </c>
      <c r="J49" s="69" t="s">
        <v>149</v>
      </c>
      <c r="K49">
        <v>5</v>
      </c>
      <c r="L49" s="4">
        <v>3735</v>
      </c>
      <c r="M49" s="4"/>
      <c r="N49" s="69" t="s">
        <v>149</v>
      </c>
      <c r="O49">
        <v>5</v>
      </c>
      <c r="P49" s="4">
        <v>3735</v>
      </c>
      <c r="R49" s="44">
        <v>46</v>
      </c>
      <c r="S49" s="17" t="s">
        <v>56</v>
      </c>
      <c r="T49" s="52">
        <f>VLOOKUP(S49,'Bu Erta'!$C$2:$F$66,4,0)</f>
        <v>5500</v>
      </c>
      <c r="U49" s="53">
        <f t="shared" si="1"/>
        <v>9.6499999999999986</v>
      </c>
      <c r="V49" s="52">
        <f t="shared" si="2"/>
        <v>53074.999999999993</v>
      </c>
      <c r="X49" s="44">
        <v>46</v>
      </c>
      <c r="Y49" s="17" t="s">
        <v>56</v>
      </c>
      <c r="Z49" s="52"/>
      <c r="AA49" s="53"/>
      <c r="AB49" s="52"/>
      <c r="AC49" s="9"/>
    </row>
    <row r="50" spans="1:29" x14ac:dyDescent="0.35">
      <c r="A50" s="109"/>
      <c r="B50" s="20" t="s">
        <v>134</v>
      </c>
      <c r="C50" s="109"/>
      <c r="D50" s="20" t="s">
        <v>36</v>
      </c>
      <c r="E50" s="33">
        <f>VLOOKUP(D50,'Bu Erta'!$C$2:$E$66,3,0)</f>
        <v>600</v>
      </c>
      <c r="F50" s="20">
        <v>1.65</v>
      </c>
      <c r="G50" s="33">
        <f t="shared" si="0"/>
        <v>990</v>
      </c>
      <c r="H50" s="3">
        <f>(VLOOKUP(D50,'Bu Erta'!$C$2:$F$66,4,0))*F50</f>
        <v>1072.5</v>
      </c>
      <c r="J50" s="69" t="s">
        <v>111</v>
      </c>
      <c r="K50">
        <v>5</v>
      </c>
      <c r="L50" s="4">
        <v>15025</v>
      </c>
      <c r="M50" s="4"/>
      <c r="N50" s="69" t="s">
        <v>111</v>
      </c>
      <c r="O50">
        <v>5</v>
      </c>
      <c r="P50" s="4">
        <v>15025</v>
      </c>
      <c r="R50" s="44">
        <v>47</v>
      </c>
      <c r="S50" s="17" t="s">
        <v>88</v>
      </c>
      <c r="T50" s="52">
        <f>VLOOKUP(S50,'Bu Erta'!$C$2:$F$66,4,0)</f>
        <v>400</v>
      </c>
      <c r="U50" s="53">
        <f t="shared" si="1"/>
        <v>4.8</v>
      </c>
      <c r="V50" s="52">
        <f t="shared" si="2"/>
        <v>1920</v>
      </c>
      <c r="X50" s="44">
        <v>47</v>
      </c>
      <c r="Y50" s="17" t="s">
        <v>88</v>
      </c>
      <c r="Z50" s="52"/>
      <c r="AA50" s="53"/>
      <c r="AB50" s="52"/>
      <c r="AC50" s="9"/>
    </row>
    <row r="51" spans="1:29" x14ac:dyDescent="0.35">
      <c r="A51" s="109"/>
      <c r="B51" s="20" t="s">
        <v>134</v>
      </c>
      <c r="C51" s="109"/>
      <c r="D51" s="20" t="s">
        <v>6</v>
      </c>
      <c r="E51" s="33">
        <f>VLOOKUP(D51,'Bu Erta'!$C$2:$E$66,3,0)</f>
        <v>2000</v>
      </c>
      <c r="F51" s="20">
        <v>0.2</v>
      </c>
      <c r="G51" s="33">
        <f t="shared" si="0"/>
        <v>400</v>
      </c>
      <c r="H51" s="3">
        <f>(VLOOKUP(D51,'Bu Erta'!$C$2:$F$66,4,0))*F51</f>
        <v>500</v>
      </c>
      <c r="J51" s="69" t="s">
        <v>81</v>
      </c>
      <c r="K51" s="75">
        <v>161</v>
      </c>
      <c r="L51" s="4">
        <v>620721</v>
      </c>
      <c r="P51" s="47">
        <f>SUM(P3:P50)</f>
        <v>620721</v>
      </c>
      <c r="R51" s="44">
        <v>48</v>
      </c>
      <c r="S51" s="17" t="s">
        <v>57</v>
      </c>
      <c r="T51" s="52">
        <f>VLOOKUP(S51,'Bu Erta'!$C$2:$F$66,4,0)</f>
        <v>10000</v>
      </c>
      <c r="U51" s="53">
        <f t="shared" si="1"/>
        <v>0</v>
      </c>
      <c r="V51" s="52">
        <f t="shared" si="2"/>
        <v>0</v>
      </c>
      <c r="X51" s="44">
        <v>48</v>
      </c>
      <c r="Y51" s="17" t="s">
        <v>57</v>
      </c>
      <c r="Z51" s="52"/>
      <c r="AA51" s="53"/>
      <c r="AB51" s="52"/>
      <c r="AC51" s="9"/>
    </row>
    <row r="52" spans="1:29" x14ac:dyDescent="0.35">
      <c r="A52" s="109"/>
      <c r="B52" s="20" t="s">
        <v>134</v>
      </c>
      <c r="C52" s="109"/>
      <c r="D52" s="20" t="s">
        <v>40</v>
      </c>
      <c r="E52" s="33">
        <f>VLOOKUP(D52,'Bu Erta'!$C$2:$E$66,3,0)</f>
        <v>1800</v>
      </c>
      <c r="F52" s="20">
        <v>0.9</v>
      </c>
      <c r="G52" s="33">
        <f t="shared" si="0"/>
        <v>1620</v>
      </c>
      <c r="H52" s="3">
        <f>(VLOOKUP(D52,'Bu Erta'!$C$2:$F$66,4,0))*F52</f>
        <v>1800</v>
      </c>
      <c r="R52" s="44">
        <v>49</v>
      </c>
      <c r="S52" s="17" t="s">
        <v>58</v>
      </c>
      <c r="T52" s="52">
        <f>VLOOKUP(S52,'Bu Erta'!$C$2:$F$66,4,0)</f>
        <v>15000</v>
      </c>
      <c r="U52" s="53">
        <f t="shared" si="1"/>
        <v>1</v>
      </c>
      <c r="V52" s="52">
        <f t="shared" si="2"/>
        <v>15000</v>
      </c>
      <c r="X52" s="44">
        <v>49</v>
      </c>
      <c r="Y52" s="17" t="s">
        <v>58</v>
      </c>
      <c r="Z52" s="52"/>
      <c r="AA52" s="53"/>
      <c r="AB52" s="52"/>
      <c r="AC52" s="9"/>
    </row>
    <row r="53" spans="1:29" x14ac:dyDescent="0.35">
      <c r="A53" s="109"/>
      <c r="B53" s="20" t="s">
        <v>134</v>
      </c>
      <c r="C53" s="109"/>
      <c r="D53" s="20" t="s">
        <v>22</v>
      </c>
      <c r="E53" s="33">
        <f>VLOOKUP(D53,'Bu Erta'!$C$2:$E$66,3,0)</f>
        <v>2500</v>
      </c>
      <c r="F53" s="20">
        <v>0.8</v>
      </c>
      <c r="G53" s="33">
        <f t="shared" si="0"/>
        <v>2000</v>
      </c>
      <c r="H53" s="3">
        <f>(VLOOKUP(D53,'Bu Erta'!$C$2:$F$66,4,0))*F53</f>
        <v>2400</v>
      </c>
      <c r="N53" s="69"/>
      <c r="R53" s="44">
        <v>50</v>
      </c>
      <c r="S53" s="17" t="s">
        <v>6</v>
      </c>
      <c r="T53" s="52">
        <f>VLOOKUP(S53,'Bu Erta'!$C$2:$F$66,4,0)</f>
        <v>2500</v>
      </c>
      <c r="U53" s="53">
        <f t="shared" si="1"/>
        <v>1.85</v>
      </c>
      <c r="V53" s="52">
        <f t="shared" si="2"/>
        <v>4625</v>
      </c>
      <c r="X53" s="44">
        <v>50</v>
      </c>
      <c r="Y53" s="17" t="s">
        <v>6</v>
      </c>
      <c r="Z53" s="52"/>
      <c r="AA53" s="53"/>
      <c r="AB53" s="52"/>
      <c r="AC53" s="9"/>
    </row>
    <row r="54" spans="1:29" x14ac:dyDescent="0.35">
      <c r="A54" s="109">
        <v>7</v>
      </c>
      <c r="B54" s="20" t="s">
        <v>135</v>
      </c>
      <c r="C54" s="109">
        <v>4</v>
      </c>
      <c r="D54" s="20" t="s">
        <v>19</v>
      </c>
      <c r="E54" s="33">
        <f>VLOOKUP(D54,'Bu Erta'!$C$2:$E$66,3,0)</f>
        <v>200</v>
      </c>
      <c r="F54" s="20">
        <f>3.2+1.05+2.5</f>
        <v>6.75</v>
      </c>
      <c r="G54" s="33">
        <f t="shared" si="0"/>
        <v>1350</v>
      </c>
      <c r="H54" s="3">
        <f>(VLOOKUP(D54,'Bu Erta'!$C$2:$F$66,4,0))*F54</f>
        <v>2025</v>
      </c>
      <c r="N54" s="71"/>
      <c r="O54" s="71"/>
      <c r="P54" s="71"/>
      <c r="R54" s="44">
        <v>51</v>
      </c>
      <c r="S54" s="17" t="s">
        <v>59</v>
      </c>
      <c r="T54" s="52">
        <f>VLOOKUP(S54,'Bu Erta'!$C$2:$F$66,4,0)</f>
        <v>600</v>
      </c>
      <c r="U54" s="53">
        <f t="shared" si="1"/>
        <v>0.75</v>
      </c>
      <c r="V54" s="52">
        <f t="shared" si="2"/>
        <v>450</v>
      </c>
      <c r="X54" s="44">
        <v>51</v>
      </c>
      <c r="Y54" s="17" t="s">
        <v>59</v>
      </c>
      <c r="Z54" s="52"/>
      <c r="AA54" s="53"/>
      <c r="AB54" s="52"/>
      <c r="AC54" s="9"/>
    </row>
    <row r="55" spans="1:29" x14ac:dyDescent="0.35">
      <c r="A55" s="109"/>
      <c r="B55" s="20" t="s">
        <v>135</v>
      </c>
      <c r="C55" s="109"/>
      <c r="D55" s="20" t="s">
        <v>37</v>
      </c>
      <c r="E55" s="33">
        <f>VLOOKUP(D55,'Bu Erta'!$C$2:$E$66,3,0)</f>
        <v>1600</v>
      </c>
      <c r="F55" s="20">
        <v>2.4</v>
      </c>
      <c r="G55" s="33">
        <f t="shared" si="0"/>
        <v>3840</v>
      </c>
      <c r="H55" s="3">
        <f>(VLOOKUP(D55,'Bu Erta'!$C$2:$F$66,4,0))*F55</f>
        <v>4800</v>
      </c>
      <c r="N55" s="69"/>
      <c r="P55" s="4"/>
      <c r="R55" s="44">
        <v>52</v>
      </c>
      <c r="S55" s="17" t="s">
        <v>60</v>
      </c>
      <c r="T55" s="52">
        <f>VLOOKUP(S55,'Bu Erta'!$C$2:$F$66,4,0)</f>
        <v>1500</v>
      </c>
      <c r="U55" s="53">
        <f t="shared" si="1"/>
        <v>1.1499999999999999</v>
      </c>
      <c r="V55" s="52">
        <f t="shared" si="2"/>
        <v>1724.9999999999998</v>
      </c>
      <c r="X55" s="44">
        <v>52</v>
      </c>
      <c r="Y55" s="17" t="s">
        <v>60</v>
      </c>
      <c r="Z55" s="52"/>
      <c r="AA55" s="53"/>
      <c r="AB55" s="52"/>
      <c r="AC55" s="9"/>
    </row>
    <row r="56" spans="1:29" x14ac:dyDescent="0.35">
      <c r="A56" s="109"/>
      <c r="B56" s="20" t="s">
        <v>135</v>
      </c>
      <c r="C56" s="109"/>
      <c r="D56" s="20" t="s">
        <v>88</v>
      </c>
      <c r="E56" s="33">
        <f>VLOOKUP(D56,'Bu Erta'!$C$2:$E$66,3,0)</f>
        <v>300</v>
      </c>
      <c r="F56" s="20">
        <v>0.4</v>
      </c>
      <c r="G56" s="33">
        <f t="shared" si="0"/>
        <v>120</v>
      </c>
      <c r="H56" s="3">
        <f>(VLOOKUP(D56,'Bu Erta'!$C$2:$F$66,4,0))*F56</f>
        <v>160</v>
      </c>
      <c r="N56" s="69" t="s">
        <v>228</v>
      </c>
      <c r="P56" s="4"/>
      <c r="R56" s="44">
        <v>53</v>
      </c>
      <c r="S56" s="17" t="s">
        <v>61</v>
      </c>
      <c r="T56" s="52">
        <f>VLOOKUP(S56,'Bu Erta'!$C$2:$F$66,4,0)</f>
        <v>900</v>
      </c>
      <c r="U56" s="53">
        <f t="shared" si="1"/>
        <v>0</v>
      </c>
      <c r="V56" s="52">
        <f t="shared" si="2"/>
        <v>0</v>
      </c>
      <c r="X56" s="44">
        <v>53</v>
      </c>
      <c r="Y56" s="17" t="s">
        <v>61</v>
      </c>
      <c r="Z56" s="52"/>
      <c r="AA56" s="53"/>
      <c r="AB56" s="52"/>
      <c r="AC56" s="9"/>
    </row>
    <row r="57" spans="1:29" x14ac:dyDescent="0.35">
      <c r="A57" s="109"/>
      <c r="B57" s="20" t="s">
        <v>135</v>
      </c>
      <c r="C57" s="109"/>
      <c r="D57" s="20" t="s">
        <v>44</v>
      </c>
      <c r="E57" s="33">
        <f>VLOOKUP(D57,'Bu Erta'!$C$2:$E$66,3,0)</f>
        <v>400</v>
      </c>
      <c r="F57" s="20">
        <v>1.1499999999999999</v>
      </c>
      <c r="G57" s="33">
        <f t="shared" si="0"/>
        <v>459.99999999999994</v>
      </c>
      <c r="H57" s="3">
        <f>(VLOOKUP(D57,'Bu Erta'!$C$2:$F$66,4,0))*F57</f>
        <v>575</v>
      </c>
      <c r="N57" s="81">
        <f>V68+AB68-GETPIVOTDATA("Sum of Total Harga",$J$2)</f>
        <v>102905.5</v>
      </c>
      <c r="P57" s="4"/>
      <c r="R57" s="44">
        <v>54</v>
      </c>
      <c r="S57" s="17" t="s">
        <v>62</v>
      </c>
      <c r="T57" s="52">
        <f>VLOOKUP(S57,'Bu Erta'!$C$2:$F$66,4,0)</f>
        <v>500</v>
      </c>
      <c r="U57" s="53">
        <f t="shared" si="1"/>
        <v>2.25</v>
      </c>
      <c r="V57" s="52">
        <f t="shared" si="2"/>
        <v>1125</v>
      </c>
      <c r="X57" s="44">
        <v>54</v>
      </c>
      <c r="Y57" s="17" t="s">
        <v>62</v>
      </c>
      <c r="Z57" s="52"/>
      <c r="AA57" s="53"/>
      <c r="AB57" s="52"/>
      <c r="AC57" s="9"/>
    </row>
    <row r="58" spans="1:29" x14ac:dyDescent="0.35">
      <c r="A58" s="109"/>
      <c r="B58" s="20" t="s">
        <v>135</v>
      </c>
      <c r="C58" s="109"/>
      <c r="D58" s="20" t="s">
        <v>7</v>
      </c>
      <c r="E58" s="33">
        <f>VLOOKUP(D58,'Bu Erta'!$C$2:$E$66,3,0)</f>
        <v>1400</v>
      </c>
      <c r="F58" s="20">
        <v>1.35</v>
      </c>
      <c r="G58" s="33">
        <f t="shared" si="0"/>
        <v>1890.0000000000002</v>
      </c>
      <c r="H58" s="3">
        <f>(VLOOKUP(D58,'Bu Erta'!$C$2:$F$66,4,0))*F58</f>
        <v>2160</v>
      </c>
      <c r="N58" s="69"/>
      <c r="P58" s="4"/>
      <c r="R58" s="44">
        <v>55</v>
      </c>
      <c r="S58" s="17" t="s">
        <v>63</v>
      </c>
      <c r="T58" s="52">
        <f>VLOOKUP(S58,'Bu Erta'!$C$2:$F$66,4,0)</f>
        <v>1000</v>
      </c>
      <c r="U58" s="53">
        <f t="shared" si="1"/>
        <v>3.1</v>
      </c>
      <c r="V58" s="52">
        <f t="shared" si="2"/>
        <v>3100</v>
      </c>
      <c r="X58" s="44">
        <v>55</v>
      </c>
      <c r="Y58" s="17" t="s">
        <v>63</v>
      </c>
      <c r="Z58" s="52"/>
      <c r="AA58" s="53"/>
      <c r="AB58" s="52"/>
      <c r="AC58" s="9"/>
    </row>
    <row r="59" spans="1:29" x14ac:dyDescent="0.35">
      <c r="A59" s="109"/>
      <c r="B59" s="20" t="s">
        <v>135</v>
      </c>
      <c r="C59" s="109"/>
      <c r="D59" s="20" t="s">
        <v>22</v>
      </c>
      <c r="E59" s="33">
        <f>VLOOKUP(D59,'Bu Erta'!$C$2:$E$66,3,0)</f>
        <v>2500</v>
      </c>
      <c r="F59" s="20">
        <v>0.5</v>
      </c>
      <c r="G59" s="33">
        <f t="shared" si="0"/>
        <v>1250</v>
      </c>
      <c r="H59" s="3">
        <f>(VLOOKUP(D59,'Bu Erta'!$C$2:$F$66,4,0))*F59</f>
        <v>1500</v>
      </c>
      <c r="N59" s="69"/>
      <c r="P59" s="4"/>
      <c r="R59" s="44">
        <v>56</v>
      </c>
      <c r="S59" s="17" t="s">
        <v>64</v>
      </c>
      <c r="T59" s="52">
        <f>VLOOKUP(S59,'Bu Erta'!$C$2:$F$66,4,0)</f>
        <v>900</v>
      </c>
      <c r="U59" s="53">
        <f t="shared" si="1"/>
        <v>0</v>
      </c>
      <c r="V59" s="52">
        <f t="shared" si="2"/>
        <v>0</v>
      </c>
      <c r="X59" s="44">
        <v>56</v>
      </c>
      <c r="Y59" s="17" t="s">
        <v>64</v>
      </c>
      <c r="Z59" s="52"/>
      <c r="AA59" s="53"/>
      <c r="AB59" s="52"/>
      <c r="AC59" s="9"/>
    </row>
    <row r="60" spans="1:29" x14ac:dyDescent="0.35">
      <c r="A60" s="48">
        <v>8</v>
      </c>
      <c r="B60" s="20" t="s">
        <v>136</v>
      </c>
      <c r="C60" s="48">
        <v>4</v>
      </c>
      <c r="D60" s="20" t="s">
        <v>31</v>
      </c>
      <c r="E60" s="33">
        <f>VLOOKUP(D60,'Bu Erta'!$C$2:$E$66,3,0)</f>
        <v>1000</v>
      </c>
      <c r="F60" s="20">
        <v>1.35</v>
      </c>
      <c r="G60" s="33">
        <f t="shared" si="0"/>
        <v>1350</v>
      </c>
      <c r="H60" s="3">
        <f>(VLOOKUP(D60,'Bu Erta'!$C$2:$F$66,4,0))*F60</f>
        <v>1485</v>
      </c>
      <c r="N60" s="69"/>
      <c r="P60" s="4"/>
      <c r="R60" s="44">
        <v>57</v>
      </c>
      <c r="S60" s="17" t="s">
        <v>65</v>
      </c>
      <c r="T60" s="52">
        <f>VLOOKUP(S60,'Bu Erta'!$C$2:$F$66,4,0)</f>
        <v>200</v>
      </c>
      <c r="U60" s="53">
        <f t="shared" si="1"/>
        <v>0.85000000000000009</v>
      </c>
      <c r="V60" s="52">
        <f t="shared" si="2"/>
        <v>170.00000000000003</v>
      </c>
      <c r="X60" s="44">
        <v>57</v>
      </c>
      <c r="Y60" s="17" t="s">
        <v>65</v>
      </c>
      <c r="Z60" s="52"/>
      <c r="AA60" s="53"/>
      <c r="AB60" s="52"/>
      <c r="AC60" s="9"/>
    </row>
    <row r="61" spans="1:29" x14ac:dyDescent="0.35">
      <c r="A61" s="109">
        <v>9</v>
      </c>
      <c r="B61" s="20" t="s">
        <v>86</v>
      </c>
      <c r="C61" s="109">
        <v>4</v>
      </c>
      <c r="D61" s="20" t="s">
        <v>88</v>
      </c>
      <c r="E61" s="33">
        <f>VLOOKUP(D61,'Bu Erta'!$C$2:$E$66,3,0)</f>
        <v>300</v>
      </c>
      <c r="F61" s="20">
        <v>0.25</v>
      </c>
      <c r="G61" s="33">
        <f t="shared" si="0"/>
        <v>75</v>
      </c>
      <c r="H61" s="3">
        <f>(VLOOKUP(D61,'Bu Erta'!$C$2:$F$66,4,0))*F61</f>
        <v>100</v>
      </c>
      <c r="N61" s="69"/>
      <c r="P61" s="4"/>
      <c r="R61" s="44">
        <v>58</v>
      </c>
      <c r="S61" s="17" t="s">
        <v>66</v>
      </c>
      <c r="T61" s="52">
        <f>VLOOKUP(S61,'Bu Erta'!$C$2:$F$66,4,0)</f>
        <v>55000</v>
      </c>
      <c r="U61" s="53">
        <f t="shared" si="1"/>
        <v>0</v>
      </c>
      <c r="V61" s="52">
        <f t="shared" si="2"/>
        <v>0</v>
      </c>
      <c r="X61" s="44">
        <v>58</v>
      </c>
      <c r="Y61" s="17" t="s">
        <v>66</v>
      </c>
      <c r="Z61" s="52"/>
      <c r="AA61" s="53"/>
      <c r="AB61" s="52"/>
      <c r="AC61" s="9"/>
    </row>
    <row r="62" spans="1:29" x14ac:dyDescent="0.35">
      <c r="A62" s="109"/>
      <c r="B62" s="20" t="s">
        <v>86</v>
      </c>
      <c r="C62" s="109"/>
      <c r="D62" s="20" t="s">
        <v>19</v>
      </c>
      <c r="E62" s="33">
        <f>VLOOKUP(D62,'Bu Erta'!$C$2:$E$66,3,0)</f>
        <v>200</v>
      </c>
      <c r="F62" s="20">
        <f>1+1</f>
        <v>2</v>
      </c>
      <c r="G62" s="33">
        <f t="shared" si="0"/>
        <v>400</v>
      </c>
      <c r="H62" s="3">
        <f>(VLOOKUP(D62,'Bu Erta'!$C$2:$F$66,4,0))*F62</f>
        <v>600</v>
      </c>
      <c r="N62" s="69"/>
      <c r="P62" s="4"/>
      <c r="R62" s="44">
        <v>59</v>
      </c>
      <c r="S62" s="17" t="s">
        <v>67</v>
      </c>
      <c r="T62" s="52">
        <f>VLOOKUP(S62,'Bu Erta'!$C$2:$F$66,4,0)</f>
        <v>3000</v>
      </c>
      <c r="U62" s="53">
        <f t="shared" si="1"/>
        <v>1.6</v>
      </c>
      <c r="V62" s="52">
        <f t="shared" si="2"/>
        <v>4800</v>
      </c>
      <c r="X62" s="44">
        <v>59</v>
      </c>
      <c r="Y62" s="17" t="s">
        <v>67</v>
      </c>
      <c r="Z62" s="52"/>
      <c r="AA62" s="53"/>
      <c r="AB62" s="52"/>
      <c r="AC62" s="9"/>
    </row>
    <row r="63" spans="1:29" x14ac:dyDescent="0.35">
      <c r="A63" s="109"/>
      <c r="B63" s="20" t="s">
        <v>86</v>
      </c>
      <c r="C63" s="109"/>
      <c r="D63" s="20" t="s">
        <v>28</v>
      </c>
      <c r="E63" s="33">
        <f>VLOOKUP(D63,'Bu Erta'!$C$2:$E$66,3,0)</f>
        <v>1200</v>
      </c>
      <c r="F63" s="20">
        <f>10.3+3.5+0.6</f>
        <v>14.4</v>
      </c>
      <c r="G63" s="33">
        <f t="shared" si="0"/>
        <v>17280</v>
      </c>
      <c r="H63" s="3">
        <f>(VLOOKUP(D63,'Bu Erta'!$C$2:$F$66,4,0))*F63</f>
        <v>18720</v>
      </c>
      <c r="N63" s="69"/>
      <c r="P63" s="4"/>
      <c r="R63" s="44">
        <v>60</v>
      </c>
      <c r="S63" s="17" t="s">
        <v>68</v>
      </c>
      <c r="T63" s="52">
        <f>VLOOKUP(S63,'Bu Erta'!$C$2:$F$66,4,0)</f>
        <v>200</v>
      </c>
      <c r="U63" s="53">
        <f t="shared" si="1"/>
        <v>12.35</v>
      </c>
      <c r="V63" s="52">
        <f t="shared" si="2"/>
        <v>2470</v>
      </c>
      <c r="X63" s="44">
        <v>60</v>
      </c>
      <c r="Y63" s="17" t="s">
        <v>68</v>
      </c>
      <c r="Z63" s="52"/>
      <c r="AA63" s="53"/>
      <c r="AB63" s="52"/>
      <c r="AC63" s="9"/>
    </row>
    <row r="64" spans="1:29" x14ac:dyDescent="0.35">
      <c r="A64" s="109"/>
      <c r="B64" s="20" t="s">
        <v>86</v>
      </c>
      <c r="C64" s="109"/>
      <c r="D64" s="20" t="s">
        <v>7</v>
      </c>
      <c r="E64" s="33">
        <f>VLOOKUP(D64,'Bu Erta'!$C$2:$E$66,3,0)</f>
        <v>1400</v>
      </c>
      <c r="F64" s="20">
        <f>2.05+0.15+1.85</f>
        <v>4.05</v>
      </c>
      <c r="G64" s="33">
        <f t="shared" si="0"/>
        <v>5670</v>
      </c>
      <c r="H64" s="3">
        <f>(VLOOKUP(D64,'Bu Erta'!$C$2:$F$66,4,0))*F64</f>
        <v>6480</v>
      </c>
      <c r="N64" s="69"/>
      <c r="P64" s="4"/>
      <c r="R64" s="44">
        <v>61</v>
      </c>
      <c r="S64" s="17" t="s">
        <v>69</v>
      </c>
      <c r="T64" s="52">
        <f>VLOOKUP(S64,'Bu Erta'!$C$2:$F$66,4,0)</f>
        <v>3000</v>
      </c>
      <c r="U64" s="53">
        <f t="shared" si="1"/>
        <v>0.85</v>
      </c>
      <c r="V64" s="52">
        <f t="shared" si="2"/>
        <v>2550</v>
      </c>
      <c r="X64" s="44">
        <v>61</v>
      </c>
      <c r="Y64" s="17" t="s">
        <v>69</v>
      </c>
      <c r="Z64" s="52"/>
      <c r="AA64" s="53"/>
      <c r="AB64" s="52"/>
      <c r="AC64" s="9"/>
    </row>
    <row r="65" spans="1:29" x14ac:dyDescent="0.35">
      <c r="A65" s="109"/>
      <c r="B65" s="20" t="s">
        <v>86</v>
      </c>
      <c r="C65" s="109"/>
      <c r="D65" s="20" t="s">
        <v>40</v>
      </c>
      <c r="E65" s="33">
        <f>VLOOKUP(D65,'Bu Erta'!$C$2:$E$66,3,0)</f>
        <v>1800</v>
      </c>
      <c r="F65" s="20">
        <v>2.5499999999999998</v>
      </c>
      <c r="G65" s="33">
        <f t="shared" si="0"/>
        <v>4590</v>
      </c>
      <c r="H65" s="3">
        <f>(VLOOKUP(D65,'Bu Erta'!$C$2:$F$66,4,0))*F65</f>
        <v>5100</v>
      </c>
      <c r="N65" s="69"/>
      <c r="P65" s="4"/>
      <c r="R65" s="44">
        <v>62</v>
      </c>
      <c r="S65" s="17" t="s">
        <v>70</v>
      </c>
      <c r="T65" s="52">
        <f>VLOOKUP(S65,'Bu Erta'!$C$2:$F$66,4,0)</f>
        <v>4000</v>
      </c>
      <c r="U65" s="53">
        <f t="shared" si="1"/>
        <v>0</v>
      </c>
      <c r="V65" s="52">
        <f t="shared" si="2"/>
        <v>0</v>
      </c>
      <c r="X65" s="44">
        <v>62</v>
      </c>
      <c r="Y65" s="17" t="s">
        <v>70</v>
      </c>
      <c r="Z65" s="52"/>
      <c r="AA65" s="53"/>
      <c r="AB65" s="52"/>
      <c r="AC65" s="9"/>
    </row>
    <row r="66" spans="1:29" x14ac:dyDescent="0.35">
      <c r="A66" s="109"/>
      <c r="B66" s="20" t="s">
        <v>86</v>
      </c>
      <c r="C66" s="109"/>
      <c r="D66" s="20" t="s">
        <v>25</v>
      </c>
      <c r="E66" s="33">
        <f>VLOOKUP(D66,'Bu Erta'!$C$2:$E$66,3,0)</f>
        <v>1600</v>
      </c>
      <c r="F66" s="20">
        <v>0.45</v>
      </c>
      <c r="G66" s="33">
        <f t="shared" si="0"/>
        <v>720</v>
      </c>
      <c r="H66" s="3">
        <f>(VLOOKUP(D66,'Bu Erta'!$C$2:$F$66,4,0))*F66</f>
        <v>765</v>
      </c>
      <c r="N66" s="69"/>
      <c r="P66" s="4"/>
      <c r="R66" s="44">
        <v>63</v>
      </c>
      <c r="S66" s="17" t="s">
        <v>71</v>
      </c>
      <c r="T66" s="52">
        <f>VLOOKUP(S66,'Bu Erta'!$C$2:$F$66,4,0)</f>
        <v>10000</v>
      </c>
      <c r="U66" s="53">
        <f t="shared" si="1"/>
        <v>0</v>
      </c>
      <c r="V66" s="52">
        <f t="shared" si="2"/>
        <v>0</v>
      </c>
      <c r="X66" s="44">
        <v>63</v>
      </c>
      <c r="Y66" s="17" t="s">
        <v>71</v>
      </c>
      <c r="Z66" s="52"/>
      <c r="AA66" s="53"/>
      <c r="AB66" s="52"/>
      <c r="AC66" s="9"/>
    </row>
    <row r="67" spans="1:29" x14ac:dyDescent="0.35">
      <c r="A67" s="109"/>
      <c r="B67" s="20" t="s">
        <v>86</v>
      </c>
      <c r="C67" s="109"/>
      <c r="D67" s="20" t="s">
        <v>37</v>
      </c>
      <c r="E67" s="33">
        <f>VLOOKUP(D67,'Bu Erta'!$C$2:$E$66,3,0)</f>
        <v>1600</v>
      </c>
      <c r="F67" s="20">
        <v>1.25</v>
      </c>
      <c r="G67" s="33">
        <f t="shared" si="0"/>
        <v>2000</v>
      </c>
      <c r="H67" s="3">
        <f>(VLOOKUP(D67,'Bu Erta'!$C$2:$F$66,4,0))*F67</f>
        <v>2500</v>
      </c>
      <c r="N67" s="69"/>
      <c r="P67" s="4"/>
      <c r="R67" s="44">
        <v>64</v>
      </c>
      <c r="S67" s="17" t="s">
        <v>72</v>
      </c>
      <c r="T67" s="52">
        <f>VLOOKUP(S67,'Bu Erta'!$C$2:$F$66,4,0)</f>
        <v>15000</v>
      </c>
      <c r="U67" s="53">
        <v>0</v>
      </c>
      <c r="V67" s="52">
        <f t="shared" si="2"/>
        <v>0</v>
      </c>
      <c r="X67" s="44">
        <v>64</v>
      </c>
      <c r="Y67" s="17" t="s">
        <v>72</v>
      </c>
      <c r="Z67" s="52"/>
      <c r="AA67" s="53">
        <f>SUMIF($D$3:$D$278,S67,$F$3:$F$278)</f>
        <v>1</v>
      </c>
      <c r="AB67" s="52"/>
      <c r="AC67" s="9" t="s">
        <v>203</v>
      </c>
    </row>
    <row r="68" spans="1:29" x14ac:dyDescent="0.35">
      <c r="A68" s="109"/>
      <c r="B68" s="20" t="s">
        <v>86</v>
      </c>
      <c r="C68" s="109"/>
      <c r="D68" s="20" t="s">
        <v>31</v>
      </c>
      <c r="E68" s="33">
        <f>VLOOKUP(D68,'Bu Erta'!$C$2:$E$66,3,0)</f>
        <v>1000</v>
      </c>
      <c r="F68" s="20">
        <v>1.8</v>
      </c>
      <c r="G68" s="33">
        <f t="shared" si="0"/>
        <v>1800</v>
      </c>
      <c r="H68" s="3">
        <f>(VLOOKUP(D68,'Bu Erta'!$C$2:$F$66,4,0))*F68</f>
        <v>1980</v>
      </c>
      <c r="N68" s="69"/>
      <c r="P68" s="4"/>
      <c r="R68" s="17"/>
      <c r="S68" s="17"/>
      <c r="T68" s="54" t="s">
        <v>130</v>
      </c>
      <c r="U68" s="54">
        <f>SUM(U4:U67)</f>
        <v>504.84000000000015</v>
      </c>
      <c r="V68" s="55">
        <f>SUM(V4:V67)</f>
        <v>663626.5</v>
      </c>
      <c r="X68" s="17"/>
      <c r="Y68" s="17"/>
      <c r="Z68" s="54" t="s">
        <v>130</v>
      </c>
      <c r="AA68" s="54">
        <f>SUM(AA4:AA67)</f>
        <v>21.200000000000003</v>
      </c>
      <c r="AB68" s="55">
        <f>SUM(AB4:AB67)</f>
        <v>60000</v>
      </c>
      <c r="AC68" s="74"/>
    </row>
    <row r="69" spans="1:29" x14ac:dyDescent="0.35">
      <c r="A69" s="109"/>
      <c r="B69" s="20" t="s">
        <v>86</v>
      </c>
      <c r="C69" s="109"/>
      <c r="D69" s="20" t="s">
        <v>62</v>
      </c>
      <c r="E69" s="33">
        <f>VLOOKUP(D69,'Bu Erta'!$C$2:$E$66,3,0)</f>
        <v>400</v>
      </c>
      <c r="F69" s="20">
        <v>2.25</v>
      </c>
      <c r="G69" s="33">
        <f t="shared" si="0"/>
        <v>900</v>
      </c>
      <c r="H69" s="3">
        <f>(VLOOKUP(D69,'Bu Erta'!$C$2:$F$66,4,0))*F69</f>
        <v>1125</v>
      </c>
      <c r="N69" s="69"/>
      <c r="P69" s="4"/>
    </row>
    <row r="70" spans="1:29" x14ac:dyDescent="0.35">
      <c r="A70" s="109">
        <v>10</v>
      </c>
      <c r="B70" s="20" t="s">
        <v>137</v>
      </c>
      <c r="C70" s="109">
        <v>4</v>
      </c>
      <c r="D70" s="20" t="s">
        <v>31</v>
      </c>
      <c r="E70" s="33">
        <f>VLOOKUP(D70,'Bu Erta'!$C$2:$E$66,3,0)</f>
        <v>1000</v>
      </c>
      <c r="F70" s="20">
        <f>1.35+0.7</f>
        <v>2.0499999999999998</v>
      </c>
      <c r="G70" s="33">
        <f t="shared" ref="G70:G128" si="6">E70*F70</f>
        <v>2050</v>
      </c>
      <c r="H70" s="3">
        <f>(VLOOKUP(D70,'Bu Erta'!$C$2:$F$66,4,0))*F70</f>
        <v>2255</v>
      </c>
      <c r="N70" s="69"/>
      <c r="P70" s="4"/>
    </row>
    <row r="71" spans="1:29" x14ac:dyDescent="0.35">
      <c r="A71" s="109"/>
      <c r="B71" s="20" t="s">
        <v>137</v>
      </c>
      <c r="C71" s="109"/>
      <c r="D71" s="20" t="s">
        <v>42</v>
      </c>
      <c r="E71" s="33">
        <f>VLOOKUP(D71,'Bu Erta'!$C$2:$E$66,3,0)</f>
        <v>1000</v>
      </c>
      <c r="F71" s="20">
        <v>1.75</v>
      </c>
      <c r="G71" s="33">
        <f t="shared" si="6"/>
        <v>1750</v>
      </c>
      <c r="H71" s="3">
        <f>(VLOOKUP(D71,'Bu Erta'!$C$2:$F$66,4,0))*F71</f>
        <v>2100</v>
      </c>
      <c r="N71" s="69"/>
      <c r="P71" s="4"/>
      <c r="V71" s="4">
        <f>V68+AB68</f>
        <v>723626.5</v>
      </c>
    </row>
    <row r="72" spans="1:29" x14ac:dyDescent="0.35">
      <c r="A72" s="109">
        <v>11</v>
      </c>
      <c r="B72" s="20" t="s">
        <v>112</v>
      </c>
      <c r="C72" s="109">
        <v>4</v>
      </c>
      <c r="D72" s="20" t="s">
        <v>31</v>
      </c>
      <c r="E72" s="33">
        <f>VLOOKUP(D72,'Bu Erta'!$C$2:$E$66,3,0)</f>
        <v>1000</v>
      </c>
      <c r="F72" s="20">
        <v>7.85</v>
      </c>
      <c r="G72" s="33">
        <f t="shared" si="6"/>
        <v>7850</v>
      </c>
      <c r="H72" s="3">
        <f>(VLOOKUP(D72,'Bu Erta'!$C$2:$F$66,4,0))*F72</f>
        <v>8635</v>
      </c>
      <c r="N72" s="69"/>
      <c r="P72" s="4"/>
    </row>
    <row r="73" spans="1:29" x14ac:dyDescent="0.35">
      <c r="A73" s="109"/>
      <c r="B73" s="20" t="s">
        <v>112</v>
      </c>
      <c r="C73" s="109"/>
      <c r="D73" s="20" t="s">
        <v>40</v>
      </c>
      <c r="E73" s="33">
        <f>VLOOKUP(D73,'Bu Erta'!$C$2:$E$66,3,0)</f>
        <v>1800</v>
      </c>
      <c r="F73" s="20">
        <v>0.75</v>
      </c>
      <c r="G73" s="33">
        <f t="shared" si="6"/>
        <v>1350</v>
      </c>
      <c r="H73" s="3">
        <f>(VLOOKUP(D73,'Bu Erta'!$C$2:$F$66,4,0))*F73</f>
        <v>1500</v>
      </c>
      <c r="N73" s="69"/>
      <c r="P73" s="4"/>
    </row>
    <row r="74" spans="1:29" x14ac:dyDescent="0.35">
      <c r="A74" s="109"/>
      <c r="B74" s="20" t="s">
        <v>112</v>
      </c>
      <c r="C74" s="109"/>
      <c r="D74" s="20" t="s">
        <v>7</v>
      </c>
      <c r="E74" s="33">
        <f>VLOOKUP(D74,'Bu Erta'!$C$2:$E$66,3,0)</f>
        <v>1400</v>
      </c>
      <c r="F74" s="20">
        <v>0.8</v>
      </c>
      <c r="G74" s="33">
        <f t="shared" si="6"/>
        <v>1120</v>
      </c>
      <c r="H74" s="3">
        <f>(VLOOKUP(D74,'Bu Erta'!$C$2:$F$66,4,0))*F74</f>
        <v>1280</v>
      </c>
      <c r="N74" s="69"/>
      <c r="P74" s="4"/>
    </row>
    <row r="75" spans="1:29" x14ac:dyDescent="0.35">
      <c r="A75" s="109">
        <v>12</v>
      </c>
      <c r="B75" s="20" t="s">
        <v>103</v>
      </c>
      <c r="C75" s="109">
        <v>1</v>
      </c>
      <c r="D75" s="20" t="s">
        <v>44</v>
      </c>
      <c r="E75" s="33">
        <f>VLOOKUP(D75,'Bu Erta'!$C$2:$E$66,3,0)</f>
        <v>400</v>
      </c>
      <c r="F75" s="20">
        <v>1.45</v>
      </c>
      <c r="G75" s="33">
        <f t="shared" si="6"/>
        <v>580</v>
      </c>
      <c r="H75" s="3">
        <f>(VLOOKUP(D75,'Bu Erta'!$C$2:$F$66,4,0))*F75</f>
        <v>725</v>
      </c>
      <c r="N75" s="69"/>
      <c r="P75" s="4"/>
    </row>
    <row r="76" spans="1:29" x14ac:dyDescent="0.35">
      <c r="A76" s="109"/>
      <c r="B76" s="20" t="s">
        <v>103</v>
      </c>
      <c r="C76" s="109"/>
      <c r="D76" s="20" t="s">
        <v>31</v>
      </c>
      <c r="E76" s="33">
        <f>VLOOKUP(D76,'Bu Erta'!$C$2:$E$66,3,0)</f>
        <v>1000</v>
      </c>
      <c r="F76" s="20">
        <v>0.4</v>
      </c>
      <c r="G76" s="33">
        <f t="shared" si="6"/>
        <v>400</v>
      </c>
      <c r="H76" s="3">
        <f>(VLOOKUP(D76,'Bu Erta'!$C$2:$F$66,4,0))*F76</f>
        <v>440</v>
      </c>
      <c r="N76" s="69"/>
      <c r="P76" s="4"/>
    </row>
    <row r="77" spans="1:29" x14ac:dyDescent="0.35">
      <c r="A77" s="109">
        <v>13</v>
      </c>
      <c r="B77" s="20" t="s">
        <v>138</v>
      </c>
      <c r="C77" s="109">
        <v>1</v>
      </c>
      <c r="D77" s="20" t="s">
        <v>7</v>
      </c>
      <c r="E77" s="33">
        <f>VLOOKUP(D77,'Bu Erta'!$C$2:$E$66,3,0)</f>
        <v>1400</v>
      </c>
      <c r="F77" s="20">
        <f>2.55+1.05+0.7+6.39</f>
        <v>10.69</v>
      </c>
      <c r="G77" s="33">
        <f t="shared" si="6"/>
        <v>14966</v>
      </c>
      <c r="H77" s="3">
        <f>(VLOOKUP(D77,'Bu Erta'!$C$2:$F$66,4,0))*F77</f>
        <v>17104</v>
      </c>
      <c r="N77" s="69"/>
      <c r="P77" s="4"/>
    </row>
    <row r="78" spans="1:29" x14ac:dyDescent="0.35">
      <c r="A78" s="109"/>
      <c r="B78" s="20" t="s">
        <v>138</v>
      </c>
      <c r="C78" s="109"/>
      <c r="D78" s="20" t="s">
        <v>36</v>
      </c>
      <c r="E78" s="33">
        <f>VLOOKUP(D78,'Bu Erta'!$C$2:$E$66,3,0)</f>
        <v>600</v>
      </c>
      <c r="F78" s="20">
        <v>3.05</v>
      </c>
      <c r="G78" s="33">
        <f t="shared" si="6"/>
        <v>1830</v>
      </c>
      <c r="H78" s="3">
        <f>(VLOOKUP(D78,'Bu Erta'!$C$2:$F$66,4,0))*F78</f>
        <v>1982.4999999999998</v>
      </c>
      <c r="N78" s="69"/>
      <c r="P78" s="4"/>
    </row>
    <row r="79" spans="1:29" x14ac:dyDescent="0.35">
      <c r="A79" s="109"/>
      <c r="B79" s="20" t="s">
        <v>138</v>
      </c>
      <c r="C79" s="109"/>
      <c r="D79" s="20" t="s">
        <v>23</v>
      </c>
      <c r="E79" s="33">
        <f>VLOOKUP(D79,'Bu Erta'!$C$2:$E$66,3,0)</f>
        <v>300</v>
      </c>
      <c r="F79" s="20">
        <v>0.4</v>
      </c>
      <c r="G79" s="33">
        <f t="shared" si="6"/>
        <v>120</v>
      </c>
      <c r="H79" s="3">
        <f>(VLOOKUP(D79,'Bu Erta'!$C$2:$F$66,4,0))*F79</f>
        <v>160</v>
      </c>
      <c r="N79" s="69"/>
      <c r="P79" s="4"/>
    </row>
    <row r="80" spans="1:29" x14ac:dyDescent="0.35">
      <c r="A80" s="109"/>
      <c r="B80" s="20" t="s">
        <v>138</v>
      </c>
      <c r="C80" s="109"/>
      <c r="D80" s="20" t="s">
        <v>31</v>
      </c>
      <c r="E80" s="33">
        <f>VLOOKUP(D80,'Bu Erta'!$C$2:$E$66,3,0)</f>
        <v>1000</v>
      </c>
      <c r="F80" s="20">
        <v>0.55000000000000004</v>
      </c>
      <c r="G80" s="33">
        <f t="shared" si="6"/>
        <v>550</v>
      </c>
      <c r="H80" s="3">
        <f>(VLOOKUP(D80,'Bu Erta'!$C$2:$F$66,4,0))*F80</f>
        <v>605</v>
      </c>
      <c r="N80" s="69"/>
      <c r="P80" s="4"/>
    </row>
    <row r="81" spans="1:16" x14ac:dyDescent="0.35">
      <c r="A81" s="109"/>
      <c r="B81" s="20" t="s">
        <v>138</v>
      </c>
      <c r="C81" s="109"/>
      <c r="D81" s="20" t="s">
        <v>24</v>
      </c>
      <c r="E81" s="33">
        <f>VLOOKUP(D81,'Bu Erta'!$C$2:$E$66,3,0)</f>
        <v>150</v>
      </c>
      <c r="F81" s="20">
        <v>1.35</v>
      </c>
      <c r="G81" s="33">
        <f t="shared" si="6"/>
        <v>202.5</v>
      </c>
      <c r="H81" s="3">
        <f>(VLOOKUP(D81,'Bu Erta'!$C$2:$F$66,4,0))*F81</f>
        <v>270</v>
      </c>
      <c r="N81" s="69"/>
      <c r="P81" s="4"/>
    </row>
    <row r="82" spans="1:16" x14ac:dyDescent="0.35">
      <c r="A82" s="109"/>
      <c r="B82" s="20" t="s">
        <v>138</v>
      </c>
      <c r="C82" s="109"/>
      <c r="D82" s="20" t="s">
        <v>41</v>
      </c>
      <c r="E82" s="33">
        <f>VLOOKUP(D82,'Bu Erta'!$C$2:$E$66,3,0)</f>
        <v>1500</v>
      </c>
      <c r="F82" s="20">
        <v>1.2</v>
      </c>
      <c r="G82" s="33">
        <f t="shared" si="6"/>
        <v>1800</v>
      </c>
      <c r="H82" s="3">
        <f>(VLOOKUP(D82,'Bu Erta'!$C$2:$F$66,4,0))*F82</f>
        <v>2400</v>
      </c>
      <c r="N82" s="69"/>
      <c r="P82" s="4"/>
    </row>
    <row r="83" spans="1:16" x14ac:dyDescent="0.35">
      <c r="A83" s="109"/>
      <c r="B83" s="20" t="s">
        <v>138</v>
      </c>
      <c r="C83" s="109"/>
      <c r="D83" s="20" t="s">
        <v>38</v>
      </c>
      <c r="E83" s="33">
        <f>VLOOKUP(D83,'Bu Erta'!$C$2:$E$66,3,0)</f>
        <v>1400</v>
      </c>
      <c r="F83" s="20">
        <v>2.9</v>
      </c>
      <c r="G83" s="33">
        <f t="shared" si="6"/>
        <v>4060</v>
      </c>
      <c r="H83" s="3">
        <f>(VLOOKUP(D83,'Bu Erta'!$C$2:$F$66,4,0))*F83</f>
        <v>4640</v>
      </c>
      <c r="N83" s="69"/>
      <c r="P83" s="4"/>
    </row>
    <row r="84" spans="1:16" x14ac:dyDescent="0.35">
      <c r="A84" s="109"/>
      <c r="B84" s="20" t="s">
        <v>138</v>
      </c>
      <c r="C84" s="109"/>
      <c r="D84" s="20" t="s">
        <v>42</v>
      </c>
      <c r="E84" s="33">
        <f>VLOOKUP(D84,'Bu Erta'!$C$2:$E$66,3,0)</f>
        <v>1000</v>
      </c>
      <c r="F84" s="20">
        <v>0.4</v>
      </c>
      <c r="G84" s="33">
        <f t="shared" si="6"/>
        <v>400</v>
      </c>
      <c r="H84" s="3">
        <f>(VLOOKUP(D84,'Bu Erta'!$C$2:$F$66,4,0))*F84</f>
        <v>480</v>
      </c>
      <c r="N84" s="69"/>
      <c r="P84" s="4"/>
    </row>
    <row r="85" spans="1:16" x14ac:dyDescent="0.35">
      <c r="A85" s="109">
        <v>14</v>
      </c>
      <c r="B85" s="20" t="s">
        <v>139</v>
      </c>
      <c r="C85" s="109">
        <v>1</v>
      </c>
      <c r="D85" s="20" t="s">
        <v>34</v>
      </c>
      <c r="E85" s="33">
        <f>VLOOKUP(D85,'Bu Erta'!$C$2:$E$66,3,0)</f>
        <v>3500</v>
      </c>
      <c r="F85" s="20">
        <f>1.05+0.05</f>
        <v>1.1000000000000001</v>
      </c>
      <c r="G85" s="33">
        <f t="shared" si="6"/>
        <v>3850.0000000000005</v>
      </c>
      <c r="H85" s="3">
        <f>(VLOOKUP(D85,'Bu Erta'!$C$2:$F$66,4,0))*F85</f>
        <v>3960.0000000000005</v>
      </c>
      <c r="N85" s="69"/>
      <c r="P85" s="4"/>
    </row>
    <row r="86" spans="1:16" x14ac:dyDescent="0.35">
      <c r="A86" s="109"/>
      <c r="B86" s="20" t="s">
        <v>139</v>
      </c>
      <c r="C86" s="109"/>
      <c r="D86" s="20" t="s">
        <v>27</v>
      </c>
      <c r="E86" s="33">
        <f>VLOOKUP(D86,'Bu Erta'!$C$2:$E$66,3,0)</f>
        <v>2800</v>
      </c>
      <c r="F86" s="20">
        <v>0.15</v>
      </c>
      <c r="G86" s="33">
        <f t="shared" si="6"/>
        <v>420</v>
      </c>
      <c r="H86" s="3">
        <f>(VLOOKUP(D86,'Bu Erta'!$C$2:$F$66,4,0))*F86</f>
        <v>465</v>
      </c>
      <c r="N86" s="69"/>
      <c r="P86" s="4"/>
    </row>
    <row r="87" spans="1:16" x14ac:dyDescent="0.35">
      <c r="A87" s="109"/>
      <c r="B87" s="20" t="s">
        <v>139</v>
      </c>
      <c r="C87" s="109"/>
      <c r="D87" s="20" t="s">
        <v>67</v>
      </c>
      <c r="E87" s="33">
        <f>VLOOKUP(D87,'Bu Erta'!$C$2:$E$66,3,0)</f>
        <v>2700</v>
      </c>
      <c r="F87" s="20">
        <v>0.1</v>
      </c>
      <c r="G87" s="33">
        <f t="shared" si="6"/>
        <v>270</v>
      </c>
      <c r="H87" s="3">
        <f>(VLOOKUP(D87,'Bu Erta'!$C$2:$F$66,4,0))*F87</f>
        <v>300</v>
      </c>
      <c r="N87" s="69"/>
      <c r="P87" s="4"/>
    </row>
    <row r="88" spans="1:16" x14ac:dyDescent="0.35">
      <c r="A88" s="109"/>
      <c r="B88" s="20" t="s">
        <v>139</v>
      </c>
      <c r="C88" s="109"/>
      <c r="D88" s="20" t="s">
        <v>7</v>
      </c>
      <c r="E88" s="33">
        <f>VLOOKUP(D88,'Bu Erta'!$C$2:$E$66,3,0)</f>
        <v>1400</v>
      </c>
      <c r="F88" s="20">
        <f>2.7+2.45</f>
        <v>5.15</v>
      </c>
      <c r="G88" s="33">
        <f t="shared" si="6"/>
        <v>7210.0000000000009</v>
      </c>
      <c r="H88" s="3">
        <f>(VLOOKUP(D88,'Bu Erta'!$C$2:$F$66,4,0))*F88</f>
        <v>8240</v>
      </c>
      <c r="N88" s="69"/>
      <c r="P88" s="4"/>
    </row>
    <row r="89" spans="1:16" x14ac:dyDescent="0.35">
      <c r="A89" s="109"/>
      <c r="B89" s="20" t="s">
        <v>139</v>
      </c>
      <c r="C89" s="109"/>
      <c r="D89" s="20" t="s">
        <v>69</v>
      </c>
      <c r="E89" s="33">
        <f>VLOOKUP(D89,'Bu Erta'!$C$2:$E$66,3,0)</f>
        <v>2500</v>
      </c>
      <c r="F89" s="20">
        <v>0.15</v>
      </c>
      <c r="G89" s="33">
        <f t="shared" si="6"/>
        <v>375</v>
      </c>
      <c r="H89" s="3">
        <f>(VLOOKUP(D89,'Bu Erta'!$C$2:$F$66,4,0))*F89</f>
        <v>450</v>
      </c>
      <c r="N89" s="69"/>
      <c r="P89" s="4"/>
    </row>
    <row r="90" spans="1:16" x14ac:dyDescent="0.35">
      <c r="A90" s="109"/>
      <c r="B90" s="20" t="s">
        <v>139</v>
      </c>
      <c r="C90" s="109"/>
      <c r="D90" s="20" t="s">
        <v>41</v>
      </c>
      <c r="E90" s="33">
        <f>VLOOKUP(D90,'Bu Erta'!$C$2:$E$66,3,0)</f>
        <v>1500</v>
      </c>
      <c r="F90" s="20">
        <v>0.75</v>
      </c>
      <c r="G90" s="33">
        <f t="shared" si="6"/>
        <v>1125</v>
      </c>
      <c r="H90" s="3">
        <f>(VLOOKUP(D90,'Bu Erta'!$C$2:$F$66,4,0))*F90</f>
        <v>1500</v>
      </c>
      <c r="N90" s="69"/>
      <c r="P90" s="4"/>
    </row>
    <row r="91" spans="1:16" x14ac:dyDescent="0.35">
      <c r="A91" s="109"/>
      <c r="B91" s="20" t="s">
        <v>139</v>
      </c>
      <c r="C91" s="109"/>
      <c r="D91" s="20" t="s">
        <v>19</v>
      </c>
      <c r="E91" s="33">
        <f>VLOOKUP(D91,'Bu Erta'!$C$2:$E$66,3,0)</f>
        <v>200</v>
      </c>
      <c r="F91" s="20">
        <v>0.5</v>
      </c>
      <c r="G91" s="33">
        <f t="shared" si="6"/>
        <v>100</v>
      </c>
      <c r="H91" s="3">
        <f>(VLOOKUP(D91,'Bu Erta'!$C$2:$F$66,4,0))*F91</f>
        <v>150</v>
      </c>
      <c r="N91" s="69"/>
      <c r="P91" s="4"/>
    </row>
    <row r="92" spans="1:16" x14ac:dyDescent="0.35">
      <c r="A92" s="109"/>
      <c r="B92" s="20" t="s">
        <v>139</v>
      </c>
      <c r="C92" s="109"/>
      <c r="D92" s="20" t="s">
        <v>23</v>
      </c>
      <c r="E92" s="33">
        <f>VLOOKUP(D92,'Bu Erta'!$C$2:$E$66,3,0)</f>
        <v>300</v>
      </c>
      <c r="F92" s="20">
        <v>0.35</v>
      </c>
      <c r="G92" s="33">
        <f t="shared" si="6"/>
        <v>105</v>
      </c>
      <c r="H92" s="3">
        <f>(VLOOKUP(D92,'Bu Erta'!$C$2:$F$66,4,0))*F92</f>
        <v>140</v>
      </c>
      <c r="N92" s="69"/>
      <c r="P92" s="4"/>
    </row>
    <row r="93" spans="1:16" x14ac:dyDescent="0.35">
      <c r="A93" s="109"/>
      <c r="B93" s="20" t="s">
        <v>139</v>
      </c>
      <c r="C93" s="109"/>
      <c r="D93" s="20" t="s">
        <v>65</v>
      </c>
      <c r="E93" s="33">
        <f>VLOOKUP(D93,'Bu Erta'!$C$2:$E$66,3,0)</f>
        <v>150</v>
      </c>
      <c r="F93" s="20">
        <v>0.3</v>
      </c>
      <c r="G93" s="33">
        <f t="shared" si="6"/>
        <v>45</v>
      </c>
      <c r="H93" s="3">
        <f>(VLOOKUP(D93,'Bu Erta'!$C$2:$F$66,4,0))*F93</f>
        <v>60</v>
      </c>
      <c r="N93" s="69"/>
      <c r="P93" s="4"/>
    </row>
    <row r="94" spans="1:16" x14ac:dyDescent="0.35">
      <c r="A94" s="109"/>
      <c r="B94" s="20" t="s">
        <v>139</v>
      </c>
      <c r="C94" s="109"/>
      <c r="D94" s="20" t="s">
        <v>44</v>
      </c>
      <c r="E94" s="33">
        <f>VLOOKUP(D94,'Bu Erta'!$C$2:$E$66,3,0)</f>
        <v>400</v>
      </c>
      <c r="F94" s="20">
        <v>1.55</v>
      </c>
      <c r="G94" s="33">
        <f t="shared" si="6"/>
        <v>620</v>
      </c>
      <c r="H94" s="3">
        <f>(VLOOKUP(D94,'Bu Erta'!$C$2:$F$66,4,0))*F94</f>
        <v>775</v>
      </c>
      <c r="N94" s="69"/>
      <c r="P94" s="4"/>
    </row>
    <row r="95" spans="1:16" x14ac:dyDescent="0.35">
      <c r="A95" s="48">
        <v>15</v>
      </c>
      <c r="B95" s="20" t="s">
        <v>141</v>
      </c>
      <c r="C95" s="48">
        <v>3</v>
      </c>
      <c r="D95" s="20" t="s">
        <v>28</v>
      </c>
      <c r="E95" s="33">
        <f>VLOOKUP(D95,'Bu Erta'!$C$2:$E$66,3,0)</f>
        <v>1200</v>
      </c>
      <c r="F95" s="20">
        <v>8.25</v>
      </c>
      <c r="G95" s="33">
        <f t="shared" si="6"/>
        <v>9900</v>
      </c>
      <c r="H95" s="3">
        <f>(VLOOKUP(D95,'Bu Erta'!$C$2:$F$66,4,0))*F95</f>
        <v>10725</v>
      </c>
      <c r="N95" s="69"/>
      <c r="P95" s="4"/>
    </row>
    <row r="96" spans="1:16" x14ac:dyDescent="0.35">
      <c r="A96" s="109">
        <v>16</v>
      </c>
      <c r="B96" s="20" t="s">
        <v>142</v>
      </c>
      <c r="C96" s="109">
        <v>4</v>
      </c>
      <c r="D96" s="20" t="s">
        <v>56</v>
      </c>
      <c r="E96" s="33">
        <f>VLOOKUP(D96,'Bu Erta'!$C$2:$E$66,3,0)</f>
        <v>4000</v>
      </c>
      <c r="F96" s="20">
        <v>0.6</v>
      </c>
      <c r="G96" s="33">
        <f t="shared" si="6"/>
        <v>2400</v>
      </c>
      <c r="H96" s="3">
        <f>(VLOOKUP(D96,'Bu Erta'!$C$2:$F$66,4,0))*F96</f>
        <v>3300</v>
      </c>
      <c r="N96" s="69"/>
      <c r="P96" s="4"/>
    </row>
    <row r="97" spans="1:17" x14ac:dyDescent="0.35">
      <c r="A97" s="109"/>
      <c r="B97" s="20" t="s">
        <v>142</v>
      </c>
      <c r="C97" s="109"/>
      <c r="D97" s="20" t="s">
        <v>24</v>
      </c>
      <c r="E97" s="33">
        <f>VLOOKUP(D97,'Bu Erta'!$C$2:$E$66,3,0)</f>
        <v>150</v>
      </c>
      <c r="F97" s="20">
        <f>5.2+1.95+0.45</f>
        <v>7.6000000000000005</v>
      </c>
      <c r="G97" s="33">
        <f t="shared" si="6"/>
        <v>1140</v>
      </c>
      <c r="H97" s="3">
        <f>(VLOOKUP(D97,'Bu Erta'!$C$2:$F$66,4,0))*F97</f>
        <v>1520</v>
      </c>
      <c r="N97" s="69"/>
      <c r="P97" s="4"/>
    </row>
    <row r="98" spans="1:17" x14ac:dyDescent="0.35">
      <c r="A98" s="109"/>
      <c r="B98" s="20" t="s">
        <v>142</v>
      </c>
      <c r="C98" s="109"/>
      <c r="D98" s="20" t="s">
        <v>7</v>
      </c>
      <c r="E98" s="33">
        <f>VLOOKUP(D98,'Bu Erta'!$C$2:$E$66,3,0)</f>
        <v>1400</v>
      </c>
      <c r="F98" s="20">
        <v>0.6</v>
      </c>
      <c r="G98" s="33">
        <f t="shared" si="6"/>
        <v>840</v>
      </c>
      <c r="H98" s="3">
        <f>(VLOOKUP(D98,'Bu Erta'!$C$2:$F$66,4,0))*F98</f>
        <v>960</v>
      </c>
      <c r="N98" s="69"/>
      <c r="P98" s="4"/>
    </row>
    <row r="99" spans="1:17" x14ac:dyDescent="0.35">
      <c r="A99" s="109"/>
      <c r="B99" s="20" t="s">
        <v>142</v>
      </c>
      <c r="C99" s="109"/>
      <c r="D99" s="20" t="s">
        <v>42</v>
      </c>
      <c r="E99" s="33">
        <f>VLOOKUP(D99,'Bu Erta'!$C$2:$E$66,3,0)</f>
        <v>1000</v>
      </c>
      <c r="F99" s="20">
        <v>1.65</v>
      </c>
      <c r="G99" s="33">
        <f t="shared" si="6"/>
        <v>1650</v>
      </c>
      <c r="H99" s="3">
        <f>(VLOOKUP(D99,'Bu Erta'!$C$2:$F$66,4,0))*F99</f>
        <v>1980</v>
      </c>
      <c r="N99" s="69"/>
      <c r="P99" s="4"/>
    </row>
    <row r="100" spans="1:17" x14ac:dyDescent="0.35">
      <c r="A100" s="109">
        <v>17</v>
      </c>
      <c r="B100" s="20" t="s">
        <v>100</v>
      </c>
      <c r="C100" s="109">
        <v>4</v>
      </c>
      <c r="D100" s="20" t="s">
        <v>24</v>
      </c>
      <c r="E100" s="33">
        <f>VLOOKUP(D100,'Bu Erta'!$C$2:$E$66,3,0)</f>
        <v>150</v>
      </c>
      <c r="F100" s="20">
        <f>9+0.25</f>
        <v>9.25</v>
      </c>
      <c r="G100" s="33">
        <f t="shared" si="6"/>
        <v>1387.5</v>
      </c>
      <c r="H100" s="3">
        <f>(VLOOKUP(D100,'Bu Erta'!$C$2:$F$66,4,0))*F100</f>
        <v>1850</v>
      </c>
      <c r="N100" s="69"/>
      <c r="P100" s="4"/>
    </row>
    <row r="101" spans="1:17" x14ac:dyDescent="0.35">
      <c r="A101" s="109"/>
      <c r="B101" s="20" t="s">
        <v>100</v>
      </c>
      <c r="C101" s="109"/>
      <c r="D101" s="20" t="s">
        <v>40</v>
      </c>
      <c r="E101" s="33">
        <f>VLOOKUP(D101,'Bu Erta'!$C$2:$E$66,3,0)</f>
        <v>1800</v>
      </c>
      <c r="F101" s="20">
        <f>0.8+2</f>
        <v>2.8</v>
      </c>
      <c r="G101" s="33">
        <f t="shared" si="6"/>
        <v>5040</v>
      </c>
      <c r="H101" s="3">
        <f>(VLOOKUP(D101,'Bu Erta'!$C$2:$F$66,4,0))*F101</f>
        <v>5600</v>
      </c>
      <c r="N101" s="69"/>
      <c r="P101" s="4"/>
    </row>
    <row r="102" spans="1:17" x14ac:dyDescent="0.35">
      <c r="A102" s="109"/>
      <c r="B102" s="20" t="s">
        <v>100</v>
      </c>
      <c r="C102" s="109"/>
      <c r="D102" s="20" t="s">
        <v>7</v>
      </c>
      <c r="E102" s="33">
        <f>VLOOKUP(D102,'Bu Erta'!$C$2:$E$66,3,0)</f>
        <v>1400</v>
      </c>
      <c r="F102" s="20">
        <f>2.95+1.35+2</f>
        <v>6.3000000000000007</v>
      </c>
      <c r="G102" s="33">
        <f t="shared" si="6"/>
        <v>8820.0000000000018</v>
      </c>
      <c r="H102" s="3">
        <f>(VLOOKUP(D102,'Bu Erta'!$C$2:$F$66,4,0))*F102</f>
        <v>10080.000000000002</v>
      </c>
      <c r="N102" s="69"/>
      <c r="P102" s="4"/>
    </row>
    <row r="103" spans="1:17" x14ac:dyDescent="0.35">
      <c r="A103" s="109"/>
      <c r="B103" s="20" t="s">
        <v>100</v>
      </c>
      <c r="C103" s="109"/>
      <c r="D103" s="20" t="s">
        <v>45</v>
      </c>
      <c r="E103" s="33">
        <f>VLOOKUP(D103,'Bu Erta'!$C$2:$E$66,3,0)</f>
        <v>700</v>
      </c>
      <c r="F103" s="20">
        <v>0.25</v>
      </c>
      <c r="G103" s="33">
        <f t="shared" si="6"/>
        <v>175</v>
      </c>
      <c r="H103" s="3">
        <f>(VLOOKUP(D103,'Bu Erta'!$C$2:$F$66,4,0))*F103</f>
        <v>200</v>
      </c>
      <c r="N103" s="114"/>
      <c r="O103" s="114"/>
      <c r="P103" s="47"/>
      <c r="Q103" s="4"/>
    </row>
    <row r="104" spans="1:17" x14ac:dyDescent="0.35">
      <c r="A104" s="109"/>
      <c r="B104" s="20" t="s">
        <v>100</v>
      </c>
      <c r="C104" s="109"/>
      <c r="D104" s="20" t="s">
        <v>23</v>
      </c>
      <c r="E104" s="33">
        <f>VLOOKUP(D104,'Bu Erta'!$C$2:$E$66,3,0)</f>
        <v>300</v>
      </c>
      <c r="F104" s="20">
        <v>0.7</v>
      </c>
      <c r="G104" s="33">
        <f t="shared" si="6"/>
        <v>210</v>
      </c>
      <c r="H104" s="3">
        <f>(VLOOKUP(D104,'Bu Erta'!$C$2:$F$66,4,0))*F104</f>
        <v>280</v>
      </c>
    </row>
    <row r="105" spans="1:17" x14ac:dyDescent="0.35">
      <c r="A105" s="109"/>
      <c r="B105" s="20" t="s">
        <v>100</v>
      </c>
      <c r="C105" s="109"/>
      <c r="D105" s="20" t="s">
        <v>42</v>
      </c>
      <c r="E105" s="33">
        <f>VLOOKUP(D105,'Bu Erta'!$C$2:$E$66,3,0)</f>
        <v>1000</v>
      </c>
      <c r="F105" s="20">
        <v>1.2</v>
      </c>
      <c r="G105" s="33">
        <f t="shared" si="6"/>
        <v>1200</v>
      </c>
      <c r="H105" s="3">
        <f>(VLOOKUP(D105,'Bu Erta'!$C$2:$F$66,4,0))*F105</f>
        <v>1440</v>
      </c>
    </row>
    <row r="106" spans="1:17" x14ac:dyDescent="0.35">
      <c r="A106" s="109"/>
      <c r="B106" s="20" t="s">
        <v>100</v>
      </c>
      <c r="C106" s="109"/>
      <c r="D106" s="20" t="s">
        <v>6</v>
      </c>
      <c r="E106" s="33">
        <f>VLOOKUP(D106,'Bu Erta'!$C$2:$E$66,3,0)</f>
        <v>2000</v>
      </c>
      <c r="F106" s="20">
        <v>1.1000000000000001</v>
      </c>
      <c r="G106" s="33">
        <f t="shared" si="6"/>
        <v>2200</v>
      </c>
      <c r="H106" s="3">
        <f>(VLOOKUP(D106,'Bu Erta'!$C$2:$F$66,4,0))*F106</f>
        <v>2750</v>
      </c>
    </row>
    <row r="107" spans="1:17" x14ac:dyDescent="0.35">
      <c r="A107" s="109"/>
      <c r="B107" s="20" t="s">
        <v>100</v>
      </c>
      <c r="C107" s="109"/>
      <c r="D107" s="20" t="s">
        <v>25</v>
      </c>
      <c r="E107" s="33">
        <f>VLOOKUP(D107,'Bu Erta'!$C$2:$E$66,3,0)</f>
        <v>1600</v>
      </c>
      <c r="F107" s="20">
        <v>0.1</v>
      </c>
      <c r="G107" s="33">
        <f t="shared" si="6"/>
        <v>160</v>
      </c>
      <c r="H107" s="3">
        <f>(VLOOKUP(D107,'Bu Erta'!$C$2:$F$66,4,0))*F107</f>
        <v>170</v>
      </c>
    </row>
    <row r="108" spans="1:17" x14ac:dyDescent="0.35">
      <c r="A108" s="109"/>
      <c r="B108" s="20" t="s">
        <v>100</v>
      </c>
      <c r="C108" s="109"/>
      <c r="D108" s="20" t="s">
        <v>29</v>
      </c>
      <c r="E108" s="33">
        <f>VLOOKUP(D108,'Bu Erta'!$C$2:$E$66,3,0)</f>
        <v>5000</v>
      </c>
      <c r="F108" s="20">
        <v>4.05</v>
      </c>
      <c r="G108" s="33">
        <f t="shared" si="6"/>
        <v>20250</v>
      </c>
      <c r="H108" s="3">
        <f>(VLOOKUP(D108,'Bu Erta'!$C$2:$F$66,4,0))*F108</f>
        <v>24300</v>
      </c>
    </row>
    <row r="109" spans="1:17" x14ac:dyDescent="0.35">
      <c r="A109" s="109">
        <v>18</v>
      </c>
      <c r="B109" s="20" t="s">
        <v>143</v>
      </c>
      <c r="C109" s="109">
        <v>1</v>
      </c>
      <c r="D109" s="20" t="s">
        <v>42</v>
      </c>
      <c r="E109" s="33">
        <f>VLOOKUP(D109,'Bu Erta'!$C$2:$E$66,3,0)</f>
        <v>1000</v>
      </c>
      <c r="F109" s="20">
        <v>16.399999999999999</v>
      </c>
      <c r="G109" s="33">
        <f t="shared" si="6"/>
        <v>16400</v>
      </c>
      <c r="H109" s="3">
        <f>(VLOOKUP(D109,'Bu Erta'!$C$2:$F$66,4,0))*F109</f>
        <v>19680</v>
      </c>
    </row>
    <row r="110" spans="1:17" x14ac:dyDescent="0.35">
      <c r="A110" s="109"/>
      <c r="B110" s="20" t="s">
        <v>143</v>
      </c>
      <c r="C110" s="109"/>
      <c r="D110" s="20" t="s">
        <v>23</v>
      </c>
      <c r="E110" s="33">
        <f>VLOOKUP(D110,'Bu Erta'!$C$2:$E$66,3,0)</f>
        <v>300</v>
      </c>
      <c r="F110" s="20">
        <v>0.65</v>
      </c>
      <c r="G110" s="33">
        <f t="shared" si="6"/>
        <v>195</v>
      </c>
      <c r="H110" s="3">
        <f>(VLOOKUP(D110,'Bu Erta'!$C$2:$F$66,4,0))*F110</f>
        <v>260</v>
      </c>
    </row>
    <row r="111" spans="1:17" x14ac:dyDescent="0.35">
      <c r="A111" s="109"/>
      <c r="B111" s="20" t="s">
        <v>143</v>
      </c>
      <c r="C111" s="109"/>
      <c r="D111" s="20" t="s">
        <v>41</v>
      </c>
      <c r="E111" s="33">
        <f>VLOOKUP(D111,'Bu Erta'!$C$2:$E$66,3,0)</f>
        <v>1500</v>
      </c>
      <c r="F111" s="20">
        <v>1.6</v>
      </c>
      <c r="G111" s="33">
        <f t="shared" si="6"/>
        <v>2400</v>
      </c>
      <c r="H111" s="3">
        <f>(VLOOKUP(D111,'Bu Erta'!$C$2:$F$66,4,0))*F111</f>
        <v>3200</v>
      </c>
    </row>
    <row r="112" spans="1:17" x14ac:dyDescent="0.35">
      <c r="A112" s="109"/>
      <c r="B112" s="20" t="s">
        <v>143</v>
      </c>
      <c r="C112" s="109"/>
      <c r="D112" s="20" t="s">
        <v>24</v>
      </c>
      <c r="E112" s="33">
        <f>VLOOKUP(D112,'Bu Erta'!$C$2:$E$66,3,0)</f>
        <v>150</v>
      </c>
      <c r="F112" s="20">
        <v>3.8</v>
      </c>
      <c r="G112" s="33">
        <f t="shared" si="6"/>
        <v>570</v>
      </c>
      <c r="H112" s="3">
        <f>(VLOOKUP(D112,'Bu Erta'!$C$2:$F$66,4,0))*F112</f>
        <v>760</v>
      </c>
    </row>
    <row r="113" spans="1:8" x14ac:dyDescent="0.35">
      <c r="A113" s="109"/>
      <c r="B113" s="20" t="s">
        <v>143</v>
      </c>
      <c r="C113" s="109"/>
      <c r="D113" s="20" t="s">
        <v>7</v>
      </c>
      <c r="E113" s="33">
        <f>VLOOKUP(D113,'Bu Erta'!$C$2:$E$66,3,0)</f>
        <v>1400</v>
      </c>
      <c r="F113" s="20">
        <v>0.1</v>
      </c>
      <c r="G113" s="33">
        <f t="shared" si="6"/>
        <v>140</v>
      </c>
      <c r="H113" s="3">
        <f>(VLOOKUP(D113,'Bu Erta'!$C$2:$F$66,4,0))*F113</f>
        <v>160</v>
      </c>
    </row>
    <row r="114" spans="1:8" x14ac:dyDescent="0.35">
      <c r="A114" s="109"/>
      <c r="B114" s="20" t="s">
        <v>143</v>
      </c>
      <c r="C114" s="109"/>
      <c r="D114" s="20" t="s">
        <v>53</v>
      </c>
      <c r="E114" s="33">
        <f>VLOOKUP(D114,'Bu Erta'!$C$2:$E$66,3,0)</f>
        <v>10000</v>
      </c>
      <c r="F114" s="20">
        <v>1</v>
      </c>
      <c r="G114" s="33">
        <f t="shared" si="6"/>
        <v>10000</v>
      </c>
      <c r="H114" s="3">
        <f>(VLOOKUP(D114,'Bu Erta'!$C$2:$F$66,4,0))*F114</f>
        <v>12000</v>
      </c>
    </row>
    <row r="115" spans="1:8" x14ac:dyDescent="0.35">
      <c r="A115" s="48">
        <v>19</v>
      </c>
      <c r="B115" s="20" t="s">
        <v>178</v>
      </c>
      <c r="C115" s="48">
        <v>3</v>
      </c>
      <c r="D115" s="20" t="s">
        <v>19</v>
      </c>
      <c r="E115" s="33">
        <f>VLOOKUP(D115,'Bu Erta'!$C$2:$E$66,3,0)</f>
        <v>200</v>
      </c>
      <c r="F115" s="20">
        <v>1.65</v>
      </c>
      <c r="G115" s="33">
        <f t="shared" si="6"/>
        <v>330</v>
      </c>
      <c r="H115" s="3">
        <f>(VLOOKUP(D115,'Bu Erta'!$C$2:$F$66,4,0))*F115</f>
        <v>495</v>
      </c>
    </row>
    <row r="116" spans="1:8" x14ac:dyDescent="0.35">
      <c r="A116" s="109">
        <v>20</v>
      </c>
      <c r="B116" s="20" t="s">
        <v>78</v>
      </c>
      <c r="C116" s="109">
        <v>2</v>
      </c>
      <c r="D116" s="20" t="s">
        <v>27</v>
      </c>
      <c r="E116" s="33">
        <f>VLOOKUP(D116,'Bu Erta'!$C$2:$E$66,3,0)</f>
        <v>2800</v>
      </c>
      <c r="F116" s="20">
        <v>0.15</v>
      </c>
      <c r="G116" s="33">
        <f t="shared" si="6"/>
        <v>420</v>
      </c>
      <c r="H116" s="3">
        <f>(VLOOKUP(D116,'Bu Erta'!$C$2:$F$66,4,0))*F116</f>
        <v>465</v>
      </c>
    </row>
    <row r="117" spans="1:8" x14ac:dyDescent="0.35">
      <c r="A117" s="109"/>
      <c r="B117" s="20" t="s">
        <v>78</v>
      </c>
      <c r="C117" s="109"/>
      <c r="D117" s="20" t="s">
        <v>34</v>
      </c>
      <c r="E117" s="33">
        <f>VLOOKUP(D117,'Bu Erta'!$C$2:$E$66,3,0)</f>
        <v>3500</v>
      </c>
      <c r="F117" s="20">
        <v>0.05</v>
      </c>
      <c r="G117" s="33">
        <f t="shared" si="6"/>
        <v>175</v>
      </c>
      <c r="H117" s="3">
        <f>(VLOOKUP(D117,'Bu Erta'!$C$2:$F$66,4,0))*F117</f>
        <v>180</v>
      </c>
    </row>
    <row r="118" spans="1:8" x14ac:dyDescent="0.35">
      <c r="A118" s="109"/>
      <c r="B118" s="20" t="s">
        <v>78</v>
      </c>
      <c r="C118" s="109"/>
      <c r="D118" s="20" t="s">
        <v>41</v>
      </c>
      <c r="E118" s="33">
        <f>VLOOKUP(D118,'Bu Erta'!$C$2:$E$66,3,0)</f>
        <v>1500</v>
      </c>
      <c r="F118" s="20">
        <v>0.3</v>
      </c>
      <c r="G118" s="33">
        <f t="shared" si="6"/>
        <v>450</v>
      </c>
      <c r="H118" s="3">
        <f>(VLOOKUP(D118,'Bu Erta'!$C$2:$F$66,4,0))*F118</f>
        <v>600</v>
      </c>
    </row>
    <row r="119" spans="1:8" x14ac:dyDescent="0.35">
      <c r="A119" s="109"/>
      <c r="B119" s="20" t="s">
        <v>78</v>
      </c>
      <c r="C119" s="109"/>
      <c r="D119" s="20" t="s">
        <v>19</v>
      </c>
      <c r="E119" s="33">
        <f>VLOOKUP(D119,'Bu Erta'!$C$2:$E$66,3,0)</f>
        <v>200</v>
      </c>
      <c r="F119" s="20">
        <v>0.05</v>
      </c>
      <c r="G119" s="33">
        <f t="shared" si="6"/>
        <v>10</v>
      </c>
      <c r="H119" s="3">
        <f>(VLOOKUP(D119,'Bu Erta'!$C$2:$F$66,4,0))*F119</f>
        <v>15</v>
      </c>
    </row>
    <row r="120" spans="1:8" x14ac:dyDescent="0.35">
      <c r="A120" s="109"/>
      <c r="B120" s="20" t="s">
        <v>78</v>
      </c>
      <c r="C120" s="109"/>
      <c r="D120" s="20" t="s">
        <v>23</v>
      </c>
      <c r="E120" s="33">
        <f>VLOOKUP(D120,'Bu Erta'!$C$2:$E$66,3,0)</f>
        <v>300</v>
      </c>
      <c r="F120" s="20">
        <v>0.3</v>
      </c>
      <c r="G120" s="33">
        <f t="shared" si="6"/>
        <v>90</v>
      </c>
      <c r="H120" s="3">
        <f>(VLOOKUP(D120,'Bu Erta'!$C$2:$F$66,4,0))*F120</f>
        <v>120</v>
      </c>
    </row>
    <row r="121" spans="1:8" x14ac:dyDescent="0.35">
      <c r="A121" s="109"/>
      <c r="B121" s="20" t="s">
        <v>78</v>
      </c>
      <c r="C121" s="109"/>
      <c r="D121" s="20" t="s">
        <v>42</v>
      </c>
      <c r="E121" s="33">
        <f>VLOOKUP(D121,'Bu Erta'!$C$2:$E$66,3,0)</f>
        <v>1000</v>
      </c>
      <c r="F121" s="20">
        <v>3.35</v>
      </c>
      <c r="G121" s="33">
        <f t="shared" si="6"/>
        <v>3350</v>
      </c>
      <c r="H121" s="3">
        <f>(VLOOKUP(D121,'Bu Erta'!$C$2:$F$66,4,0))*F121</f>
        <v>4020</v>
      </c>
    </row>
    <row r="122" spans="1:8" x14ac:dyDescent="0.35">
      <c r="A122" s="109"/>
      <c r="B122" s="20" t="s">
        <v>78</v>
      </c>
      <c r="C122" s="109"/>
      <c r="D122" s="20" t="s">
        <v>36</v>
      </c>
      <c r="E122" s="33">
        <f>VLOOKUP(D122,'Bu Erta'!$C$2:$E$66,3,0)</f>
        <v>600</v>
      </c>
      <c r="F122" s="20">
        <v>11.9</v>
      </c>
      <c r="G122" s="33">
        <f t="shared" si="6"/>
        <v>7140</v>
      </c>
      <c r="H122" s="3">
        <f>(VLOOKUP(D122,'Bu Erta'!$C$2:$F$66,4,0))*F122</f>
        <v>7735</v>
      </c>
    </row>
    <row r="123" spans="1:8" x14ac:dyDescent="0.35">
      <c r="A123" s="109"/>
      <c r="B123" s="20" t="s">
        <v>78</v>
      </c>
      <c r="C123" s="109"/>
      <c r="D123" s="20" t="s">
        <v>22</v>
      </c>
      <c r="E123" s="33">
        <f>VLOOKUP(D123,'Bu Erta'!$C$2:$E$66,3,0)</f>
        <v>2500</v>
      </c>
      <c r="F123" s="20">
        <v>6.25</v>
      </c>
      <c r="G123" s="33">
        <f t="shared" si="6"/>
        <v>15625</v>
      </c>
      <c r="H123" s="3">
        <f>(VLOOKUP(D123,'Bu Erta'!$C$2:$F$66,4,0))*F123</f>
        <v>18750</v>
      </c>
    </row>
    <row r="124" spans="1:8" x14ac:dyDescent="0.35">
      <c r="A124" s="109"/>
      <c r="B124" s="20" t="s">
        <v>78</v>
      </c>
      <c r="C124" s="109"/>
      <c r="D124" s="20" t="s">
        <v>7</v>
      </c>
      <c r="E124" s="33">
        <f>VLOOKUP(D124,'Bu Erta'!$C$2:$E$66,3,0)</f>
        <v>1400</v>
      </c>
      <c r="F124" s="20">
        <v>3.35</v>
      </c>
      <c r="G124" s="33">
        <f t="shared" si="6"/>
        <v>4690</v>
      </c>
      <c r="H124" s="3">
        <f>(VLOOKUP(D124,'Bu Erta'!$C$2:$F$66,4,0))*F124</f>
        <v>5360</v>
      </c>
    </row>
    <row r="125" spans="1:8" x14ac:dyDescent="0.35">
      <c r="A125" s="109"/>
      <c r="B125" s="20" t="s">
        <v>78</v>
      </c>
      <c r="C125" s="109"/>
      <c r="D125" s="20" t="s">
        <v>58</v>
      </c>
      <c r="E125" s="33">
        <f>VLOOKUP(D125,'Bu Erta'!$C$2:$E$66,3,0)</f>
        <v>13000</v>
      </c>
      <c r="F125" s="20">
        <v>1</v>
      </c>
      <c r="G125" s="33">
        <f t="shared" si="6"/>
        <v>13000</v>
      </c>
      <c r="H125" s="3">
        <f>(VLOOKUP(D125,'Bu Erta'!$C$2:$F$66,4,0))*F125</f>
        <v>15000</v>
      </c>
    </row>
    <row r="126" spans="1:8" x14ac:dyDescent="0.35">
      <c r="A126" s="109">
        <v>21</v>
      </c>
      <c r="B126" s="20" t="s">
        <v>132</v>
      </c>
      <c r="C126" s="109">
        <v>4</v>
      </c>
      <c r="D126" s="20" t="s">
        <v>68</v>
      </c>
      <c r="E126" s="33">
        <f>VLOOKUP(D126,'Bu Erta'!$C$2:$E$66,3,0)</f>
        <v>150</v>
      </c>
      <c r="F126" s="20">
        <v>0.65</v>
      </c>
      <c r="G126" s="33">
        <f t="shared" si="6"/>
        <v>97.5</v>
      </c>
      <c r="H126" s="3">
        <f>(VLOOKUP(D126,'Bu Erta'!$C$2:$F$66,4,0))*F126</f>
        <v>130</v>
      </c>
    </row>
    <row r="127" spans="1:8" x14ac:dyDescent="0.35">
      <c r="A127" s="109"/>
      <c r="B127" s="20" t="s">
        <v>132</v>
      </c>
      <c r="C127" s="109"/>
      <c r="D127" s="20" t="s">
        <v>24</v>
      </c>
      <c r="E127" s="33">
        <f>VLOOKUP(D127,'Bu Erta'!$C$2:$E$66,3,0)</f>
        <v>150</v>
      </c>
      <c r="F127" s="20">
        <v>1.65</v>
      </c>
      <c r="G127" s="33">
        <f t="shared" si="6"/>
        <v>247.5</v>
      </c>
      <c r="H127" s="3">
        <f>(VLOOKUP(D127,'Bu Erta'!$C$2:$F$66,4,0))*F127</f>
        <v>330</v>
      </c>
    </row>
    <row r="128" spans="1:8" x14ac:dyDescent="0.35">
      <c r="A128" s="109"/>
      <c r="B128" s="20" t="s">
        <v>132</v>
      </c>
      <c r="C128" s="109"/>
      <c r="D128" s="20" t="s">
        <v>25</v>
      </c>
      <c r="E128" s="33">
        <f>VLOOKUP(D128,'Bu Erta'!$C$2:$E$66,3,0)</f>
        <v>1600</v>
      </c>
      <c r="F128" s="20">
        <v>0.3</v>
      </c>
      <c r="G128" s="33">
        <f t="shared" si="6"/>
        <v>480</v>
      </c>
      <c r="H128" s="3">
        <f>(VLOOKUP(D128,'Bu Erta'!$C$2:$F$66,4,0))*F128</f>
        <v>510</v>
      </c>
    </row>
    <row r="129" spans="1:8" x14ac:dyDescent="0.35">
      <c r="A129" s="109"/>
      <c r="B129" s="20" t="s">
        <v>132</v>
      </c>
      <c r="C129" s="109"/>
      <c r="D129" s="20" t="s">
        <v>7</v>
      </c>
      <c r="E129" s="33">
        <f>VLOOKUP(D129,'Bu Erta'!$C$2:$E$66,3,0)</f>
        <v>1400</v>
      </c>
      <c r="F129" s="20">
        <v>0.05</v>
      </c>
      <c r="G129" s="33">
        <f t="shared" ref="G129:G192" si="7">E129*F129</f>
        <v>70</v>
      </c>
      <c r="H129" s="3">
        <f>(VLOOKUP(D129,'Bu Erta'!$C$2:$F$66,4,0))*F129</f>
        <v>80</v>
      </c>
    </row>
    <row r="130" spans="1:8" x14ac:dyDescent="0.35">
      <c r="A130" s="109"/>
      <c r="B130" s="20" t="s">
        <v>132</v>
      </c>
      <c r="C130" s="109"/>
      <c r="D130" s="20" t="s">
        <v>41</v>
      </c>
      <c r="E130" s="33">
        <f>VLOOKUP(D130,'Bu Erta'!$C$2:$E$66,3,0)</f>
        <v>1500</v>
      </c>
      <c r="F130" s="20">
        <v>0.25</v>
      </c>
      <c r="G130" s="33">
        <f t="shared" si="7"/>
        <v>375</v>
      </c>
      <c r="H130" s="3">
        <f>(VLOOKUP(D130,'Bu Erta'!$C$2:$F$66,4,0))*F130</f>
        <v>500</v>
      </c>
    </row>
    <row r="131" spans="1:8" x14ac:dyDescent="0.35">
      <c r="A131" s="109"/>
      <c r="B131" s="20" t="s">
        <v>132</v>
      </c>
      <c r="C131" s="109"/>
      <c r="D131" s="20" t="s">
        <v>19</v>
      </c>
      <c r="E131" s="33">
        <f>VLOOKUP(D131,'Bu Erta'!$C$2:$E$66,3,0)</f>
        <v>200</v>
      </c>
      <c r="F131" s="20">
        <v>0.3</v>
      </c>
      <c r="G131" s="33">
        <f t="shared" si="7"/>
        <v>60</v>
      </c>
      <c r="H131" s="3">
        <f>(VLOOKUP(D131,'Bu Erta'!$C$2:$F$66,4,0))*F131</f>
        <v>90</v>
      </c>
    </row>
    <row r="132" spans="1:8" x14ac:dyDescent="0.35">
      <c r="A132" s="109">
        <v>22</v>
      </c>
      <c r="B132" s="20" t="s">
        <v>145</v>
      </c>
      <c r="C132" s="109">
        <v>4</v>
      </c>
      <c r="D132" s="20" t="s">
        <v>42</v>
      </c>
      <c r="E132" s="33">
        <f>VLOOKUP(D132,'Bu Erta'!$C$2:$E$66,3,0)</f>
        <v>1000</v>
      </c>
      <c r="F132" s="20">
        <v>6.5</v>
      </c>
      <c r="G132" s="33">
        <f t="shared" si="7"/>
        <v>6500</v>
      </c>
      <c r="H132" s="3">
        <f>(VLOOKUP(D132,'Bu Erta'!$C$2:$F$66,4,0))*F132</f>
        <v>7800</v>
      </c>
    </row>
    <row r="133" spans="1:8" x14ac:dyDescent="0.35">
      <c r="A133" s="109"/>
      <c r="B133" s="20" t="s">
        <v>145</v>
      </c>
      <c r="C133" s="109"/>
      <c r="D133" s="20" t="s">
        <v>68</v>
      </c>
      <c r="E133" s="33">
        <f>VLOOKUP(D133,'Bu Erta'!$C$2:$E$66,3,0)</f>
        <v>150</v>
      </c>
      <c r="F133" s="20">
        <v>0.7</v>
      </c>
      <c r="G133" s="33">
        <f t="shared" si="7"/>
        <v>105</v>
      </c>
      <c r="H133" s="3">
        <f>(VLOOKUP(D133,'Bu Erta'!$C$2:$F$66,4,0))*F133</f>
        <v>140</v>
      </c>
    </row>
    <row r="134" spans="1:8" x14ac:dyDescent="0.35">
      <c r="A134" s="109"/>
      <c r="B134" s="20" t="s">
        <v>145</v>
      </c>
      <c r="C134" s="109"/>
      <c r="D134" s="20" t="s">
        <v>27</v>
      </c>
      <c r="E134" s="33">
        <f>VLOOKUP(D134,'Bu Erta'!$C$2:$E$66,3,0)</f>
        <v>2800</v>
      </c>
      <c r="F134" s="20">
        <v>1.1499999999999999</v>
      </c>
      <c r="G134" s="33">
        <f t="shared" si="7"/>
        <v>3219.9999999999995</v>
      </c>
      <c r="H134" s="3">
        <f>(VLOOKUP(D134,'Bu Erta'!$C$2:$F$66,4,0))*F134</f>
        <v>3564.9999999999995</v>
      </c>
    </row>
    <row r="135" spans="1:8" x14ac:dyDescent="0.35">
      <c r="A135" s="109"/>
      <c r="B135" s="20" t="s">
        <v>145</v>
      </c>
      <c r="C135" s="109"/>
      <c r="D135" s="20" t="s">
        <v>25</v>
      </c>
      <c r="E135" s="33">
        <f>VLOOKUP(D135,'Bu Erta'!$C$2:$E$66,3,0)</f>
        <v>1600</v>
      </c>
      <c r="F135" s="20">
        <v>0.15</v>
      </c>
      <c r="G135" s="33">
        <f t="shared" si="7"/>
        <v>240</v>
      </c>
      <c r="H135" s="3">
        <f>(VLOOKUP(D135,'Bu Erta'!$C$2:$F$66,4,0))*F135</f>
        <v>255</v>
      </c>
    </row>
    <row r="136" spans="1:8" x14ac:dyDescent="0.35">
      <c r="A136" s="109"/>
      <c r="B136" s="20" t="s">
        <v>145</v>
      </c>
      <c r="C136" s="109"/>
      <c r="D136" s="20" t="s">
        <v>31</v>
      </c>
      <c r="E136" s="33">
        <f>VLOOKUP(D136,'Bu Erta'!$C$2:$E$66,3,0)</f>
        <v>1000</v>
      </c>
      <c r="F136" s="20">
        <v>1.35</v>
      </c>
      <c r="G136" s="33">
        <f t="shared" si="7"/>
        <v>1350</v>
      </c>
      <c r="H136" s="3">
        <f>(VLOOKUP(D136,'Bu Erta'!$C$2:$F$66,4,0))*F136</f>
        <v>1485</v>
      </c>
    </row>
    <row r="137" spans="1:8" x14ac:dyDescent="0.35">
      <c r="A137" s="109"/>
      <c r="B137" s="20" t="s">
        <v>145</v>
      </c>
      <c r="C137" s="109"/>
      <c r="D137" s="20" t="s">
        <v>19</v>
      </c>
      <c r="E137" s="33">
        <f>VLOOKUP(D137,'Bu Erta'!$C$2:$E$66,3,0)</f>
        <v>200</v>
      </c>
      <c r="F137" s="20">
        <v>2.15</v>
      </c>
      <c r="G137" s="33">
        <f t="shared" si="7"/>
        <v>430</v>
      </c>
      <c r="H137" s="3">
        <f>(VLOOKUP(D137,'Bu Erta'!$C$2:$F$66,4,0))*F137</f>
        <v>645</v>
      </c>
    </row>
    <row r="138" spans="1:8" x14ac:dyDescent="0.35">
      <c r="A138" s="109">
        <v>23</v>
      </c>
      <c r="B138" s="20" t="s">
        <v>90</v>
      </c>
      <c r="C138" s="109">
        <v>3</v>
      </c>
      <c r="D138" s="20" t="s">
        <v>7</v>
      </c>
      <c r="E138" s="33">
        <f>VLOOKUP(D138,'Bu Erta'!$C$2:$E$66,3,0)</f>
        <v>1400</v>
      </c>
      <c r="F138" s="20">
        <v>0.2</v>
      </c>
      <c r="G138" s="33">
        <f t="shared" si="7"/>
        <v>280</v>
      </c>
      <c r="H138" s="3">
        <f>(VLOOKUP(D138,'Bu Erta'!$C$2:$F$66,4,0))*F138</f>
        <v>320</v>
      </c>
    </row>
    <row r="139" spans="1:8" x14ac:dyDescent="0.35">
      <c r="A139" s="109"/>
      <c r="B139" s="20" t="s">
        <v>90</v>
      </c>
      <c r="C139" s="109"/>
      <c r="D139" s="20" t="s">
        <v>59</v>
      </c>
      <c r="E139" s="33">
        <f>VLOOKUP(D139,'Bu Erta'!$C$2:$E$66,3,0)</f>
        <v>500</v>
      </c>
      <c r="F139" s="20">
        <v>0.75</v>
      </c>
      <c r="G139" s="33">
        <f t="shared" si="7"/>
        <v>375</v>
      </c>
      <c r="H139" s="3">
        <f>(VLOOKUP(D139,'Bu Erta'!$C$2:$F$66,4,0))*F139</f>
        <v>450</v>
      </c>
    </row>
    <row r="140" spans="1:8" x14ac:dyDescent="0.35">
      <c r="A140" s="109">
        <v>24</v>
      </c>
      <c r="B140" s="20" t="s">
        <v>127</v>
      </c>
      <c r="C140" s="109">
        <v>2</v>
      </c>
      <c r="D140" s="20" t="s">
        <v>42</v>
      </c>
      <c r="E140" s="33">
        <f>VLOOKUP(D140,'Bu Erta'!$C$2:$E$66,3,0)</f>
        <v>1000</v>
      </c>
      <c r="F140" s="20">
        <v>7.05</v>
      </c>
      <c r="G140" s="33">
        <f t="shared" si="7"/>
        <v>7050</v>
      </c>
      <c r="H140" s="3">
        <f>(VLOOKUP(D140,'Bu Erta'!$C$2:$F$66,4,0))*F140</f>
        <v>8460</v>
      </c>
    </row>
    <row r="141" spans="1:8" x14ac:dyDescent="0.35">
      <c r="A141" s="109"/>
      <c r="B141" s="20" t="s">
        <v>127</v>
      </c>
      <c r="C141" s="109"/>
      <c r="D141" s="20" t="s">
        <v>7</v>
      </c>
      <c r="E141" s="33">
        <f>VLOOKUP(D141,'Bu Erta'!$C$2:$E$66,3,0)</f>
        <v>1400</v>
      </c>
      <c r="F141" s="20">
        <f>0.9+3.9</f>
        <v>4.8</v>
      </c>
      <c r="G141" s="33">
        <f t="shared" si="7"/>
        <v>6720</v>
      </c>
      <c r="H141" s="3">
        <f>(VLOOKUP(D141,'Bu Erta'!$C$2:$F$66,4,0))*F141</f>
        <v>7680</v>
      </c>
    </row>
    <row r="142" spans="1:8" x14ac:dyDescent="0.35">
      <c r="A142" s="109"/>
      <c r="B142" s="20" t="s">
        <v>127</v>
      </c>
      <c r="C142" s="109"/>
      <c r="D142" s="20" t="s">
        <v>37</v>
      </c>
      <c r="E142" s="33">
        <f>VLOOKUP(D142,'Bu Erta'!$C$2:$E$66,3,0)</f>
        <v>1600</v>
      </c>
      <c r="F142" s="20">
        <v>0.2</v>
      </c>
      <c r="G142" s="33">
        <f t="shared" si="7"/>
        <v>320</v>
      </c>
      <c r="H142" s="3">
        <f>(VLOOKUP(D142,'Bu Erta'!$C$2:$F$66,4,0))*F142</f>
        <v>400</v>
      </c>
    </row>
    <row r="143" spans="1:8" x14ac:dyDescent="0.35">
      <c r="A143" s="109"/>
      <c r="B143" s="20" t="s">
        <v>127</v>
      </c>
      <c r="C143" s="109"/>
      <c r="D143" s="20" t="s">
        <v>7</v>
      </c>
      <c r="E143" s="33">
        <f>VLOOKUP(D143,'Bu Erta'!$C$2:$E$66,3,0)</f>
        <v>1400</v>
      </c>
      <c r="F143" s="20">
        <v>0.6</v>
      </c>
      <c r="G143" s="33">
        <f t="shared" si="7"/>
        <v>840</v>
      </c>
      <c r="H143" s="3">
        <f>(VLOOKUP(D143,'Bu Erta'!$C$2:$F$66,4,0))*F143</f>
        <v>960</v>
      </c>
    </row>
    <row r="144" spans="1:8" x14ac:dyDescent="0.35">
      <c r="A144" s="109"/>
      <c r="B144" s="20" t="s">
        <v>127</v>
      </c>
      <c r="C144" s="109"/>
      <c r="D144" s="20" t="s">
        <v>25</v>
      </c>
      <c r="E144" s="33">
        <f>VLOOKUP(D144,'Bu Erta'!$C$2:$E$66,3,0)</f>
        <v>1600</v>
      </c>
      <c r="F144" s="20">
        <v>0.05</v>
      </c>
      <c r="G144" s="33">
        <f t="shared" si="7"/>
        <v>80</v>
      </c>
      <c r="H144" s="3">
        <f>(VLOOKUP(D144,'Bu Erta'!$C$2:$F$66,4,0))*F144</f>
        <v>85</v>
      </c>
    </row>
    <row r="145" spans="1:8" x14ac:dyDescent="0.35">
      <c r="A145" s="109"/>
      <c r="B145" s="20" t="s">
        <v>127</v>
      </c>
      <c r="C145" s="109"/>
      <c r="D145" s="20" t="s">
        <v>27</v>
      </c>
      <c r="E145" s="33">
        <f>VLOOKUP(D145,'Bu Erta'!$C$2:$E$66,3,0)</f>
        <v>2800</v>
      </c>
      <c r="F145" s="20">
        <v>0.45</v>
      </c>
      <c r="G145" s="33">
        <f t="shared" si="7"/>
        <v>1260</v>
      </c>
      <c r="H145" s="3">
        <f>(VLOOKUP(D145,'Bu Erta'!$C$2:$F$66,4,0))*F145</f>
        <v>1395</v>
      </c>
    </row>
    <row r="146" spans="1:8" x14ac:dyDescent="0.35">
      <c r="A146" s="109"/>
      <c r="B146" s="20" t="s">
        <v>127</v>
      </c>
      <c r="C146" s="109"/>
      <c r="D146" s="20" t="s">
        <v>23</v>
      </c>
      <c r="E146" s="33">
        <f>VLOOKUP(D146,'Bu Erta'!$C$2:$E$66,3,0)</f>
        <v>300</v>
      </c>
      <c r="F146" s="20">
        <v>1.1000000000000001</v>
      </c>
      <c r="G146" s="33">
        <f t="shared" si="7"/>
        <v>330</v>
      </c>
      <c r="H146" s="3">
        <f>(VLOOKUP(D146,'Bu Erta'!$C$2:$F$66,4,0))*F146</f>
        <v>440.00000000000006</v>
      </c>
    </row>
    <row r="147" spans="1:8" x14ac:dyDescent="0.35">
      <c r="A147" s="109"/>
      <c r="B147" s="20" t="s">
        <v>127</v>
      </c>
      <c r="C147" s="109"/>
      <c r="D147" s="20" t="s">
        <v>41</v>
      </c>
      <c r="E147" s="33">
        <f>VLOOKUP(D147,'Bu Erta'!$C$2:$E$66,3,0)</f>
        <v>1500</v>
      </c>
      <c r="F147" s="20">
        <v>0.65</v>
      </c>
      <c r="G147" s="33">
        <f t="shared" si="7"/>
        <v>975</v>
      </c>
      <c r="H147" s="3">
        <f>(VLOOKUP(D147,'Bu Erta'!$C$2:$F$66,4,0))*F147</f>
        <v>1300</v>
      </c>
    </row>
    <row r="148" spans="1:8" x14ac:dyDescent="0.35">
      <c r="A148" s="109"/>
      <c r="B148" s="20" t="s">
        <v>127</v>
      </c>
      <c r="C148" s="109"/>
      <c r="D148" s="20" t="s">
        <v>17</v>
      </c>
      <c r="E148" s="33">
        <f>VLOOKUP(D148,'Bu Erta'!$C$2:$E$66,3,0)</f>
        <v>8000</v>
      </c>
      <c r="F148" s="20">
        <v>0.1</v>
      </c>
      <c r="G148" s="33">
        <f t="shared" si="7"/>
        <v>800</v>
      </c>
      <c r="H148" s="3">
        <f>(VLOOKUP(D148,'Bu Erta'!$C$2:$F$66,4,0))*F148</f>
        <v>850</v>
      </c>
    </row>
    <row r="149" spans="1:8" x14ac:dyDescent="0.35">
      <c r="A149" s="109"/>
      <c r="B149" s="20" t="s">
        <v>127</v>
      </c>
      <c r="C149" s="109"/>
      <c r="D149" s="20" t="s">
        <v>24</v>
      </c>
      <c r="E149" s="33">
        <f>VLOOKUP(D149,'Bu Erta'!$C$2:$E$66,3,0)</f>
        <v>150</v>
      </c>
      <c r="F149" s="20">
        <v>3.9</v>
      </c>
      <c r="G149" s="33">
        <f t="shared" si="7"/>
        <v>585</v>
      </c>
      <c r="H149" s="3">
        <f>(VLOOKUP(D149,'Bu Erta'!$C$2:$F$66,4,0))*F149</f>
        <v>780</v>
      </c>
    </row>
    <row r="150" spans="1:8" x14ac:dyDescent="0.35">
      <c r="A150" s="109"/>
      <c r="B150" s="20" t="s">
        <v>127</v>
      </c>
      <c r="C150" s="109"/>
      <c r="D150" s="20" t="s">
        <v>72</v>
      </c>
      <c r="E150" s="33">
        <f>VLOOKUP(D150,'Bu Erta'!$C$2:$E$66,3,0)</f>
        <v>13000</v>
      </c>
      <c r="F150" s="20">
        <v>1</v>
      </c>
      <c r="G150" s="33">
        <f t="shared" si="7"/>
        <v>13000</v>
      </c>
      <c r="H150" s="3">
        <f>(VLOOKUP(D150,'Bu Erta'!$C$2:$F$66,4,0))*F150</f>
        <v>15000</v>
      </c>
    </row>
    <row r="151" spans="1:8" x14ac:dyDescent="0.35">
      <c r="A151" s="109"/>
      <c r="B151" s="20" t="s">
        <v>127</v>
      </c>
      <c r="C151" s="109"/>
      <c r="D151" s="20" t="s">
        <v>28</v>
      </c>
      <c r="E151" s="33">
        <f>VLOOKUP(D151,'Bu Erta'!$C$2:$E$66,3,0)</f>
        <v>1200</v>
      </c>
      <c r="F151" s="20">
        <v>3.35</v>
      </c>
      <c r="G151" s="33">
        <f t="shared" si="7"/>
        <v>4020</v>
      </c>
      <c r="H151" s="3">
        <f>(VLOOKUP(D151,'Bu Erta'!$C$2:$F$66,4,0))*F151</f>
        <v>4355</v>
      </c>
    </row>
    <row r="152" spans="1:8" x14ac:dyDescent="0.35">
      <c r="A152" s="109"/>
      <c r="B152" s="20" t="s">
        <v>127</v>
      </c>
      <c r="C152" s="109"/>
      <c r="D152" s="20" t="s">
        <v>19</v>
      </c>
      <c r="E152" s="33">
        <f>VLOOKUP(D152,'Bu Erta'!$C$2:$E$66,3,0)</f>
        <v>200</v>
      </c>
      <c r="F152" s="20">
        <v>0.3</v>
      </c>
      <c r="G152" s="33">
        <f t="shared" si="7"/>
        <v>60</v>
      </c>
      <c r="H152" s="3">
        <f>(VLOOKUP(D152,'Bu Erta'!$C$2:$F$66,4,0))*F152</f>
        <v>90</v>
      </c>
    </row>
    <row r="153" spans="1:8" x14ac:dyDescent="0.35">
      <c r="A153" s="109"/>
      <c r="B153" s="20" t="s">
        <v>127</v>
      </c>
      <c r="C153" s="109"/>
      <c r="D153" s="20" t="s">
        <v>69</v>
      </c>
      <c r="E153" s="33">
        <f>VLOOKUP(D153,'Bu Erta'!$C$2:$E$66,3,0)</f>
        <v>2500</v>
      </c>
      <c r="F153" s="20">
        <v>0.3</v>
      </c>
      <c r="G153" s="33">
        <f t="shared" si="7"/>
        <v>750</v>
      </c>
      <c r="H153" s="3">
        <f>(VLOOKUP(D153,'Bu Erta'!$C$2:$F$66,4,0))*F153</f>
        <v>900</v>
      </c>
    </row>
    <row r="154" spans="1:8" x14ac:dyDescent="0.35">
      <c r="A154" s="109">
        <v>25</v>
      </c>
      <c r="B154" s="20" t="s">
        <v>111</v>
      </c>
      <c r="C154" s="109">
        <v>5</v>
      </c>
      <c r="D154" s="20" t="s">
        <v>24</v>
      </c>
      <c r="E154" s="33">
        <f>VLOOKUP(D154,'Bu Erta'!$C$2:$E$66,3,0)</f>
        <v>150</v>
      </c>
      <c r="F154" s="20">
        <v>0.7</v>
      </c>
      <c r="G154" s="33">
        <f t="shared" si="7"/>
        <v>105</v>
      </c>
      <c r="H154" s="3">
        <f>(VLOOKUP(D154,'Bu Erta'!$C$2:$F$66,4,0))*F154</f>
        <v>140</v>
      </c>
    </row>
    <row r="155" spans="1:8" x14ac:dyDescent="0.35">
      <c r="A155" s="109"/>
      <c r="B155" s="20" t="s">
        <v>111</v>
      </c>
      <c r="C155" s="109"/>
      <c r="D155" s="20" t="s">
        <v>7</v>
      </c>
      <c r="E155" s="33">
        <f>VLOOKUP(D155,'Bu Erta'!$C$2:$E$66,3,0)</f>
        <v>1400</v>
      </c>
      <c r="F155" s="20">
        <f>3.15+0.2</f>
        <v>3.35</v>
      </c>
      <c r="G155" s="33">
        <f t="shared" si="7"/>
        <v>4690</v>
      </c>
      <c r="H155" s="3">
        <f>(VLOOKUP(D155,'Bu Erta'!$C$2:$F$66,4,0))*F155</f>
        <v>5360</v>
      </c>
    </row>
    <row r="156" spans="1:8" x14ac:dyDescent="0.35">
      <c r="A156" s="109"/>
      <c r="B156" s="20" t="s">
        <v>111</v>
      </c>
      <c r="C156" s="109"/>
      <c r="D156" s="20" t="s">
        <v>29</v>
      </c>
      <c r="E156" s="33">
        <f>VLOOKUP(D156,'Bu Erta'!$C$2:$E$66,3,0)</f>
        <v>5000</v>
      </c>
      <c r="F156" s="20">
        <v>1.25</v>
      </c>
      <c r="G156" s="33">
        <f t="shared" si="7"/>
        <v>6250</v>
      </c>
      <c r="H156" s="3">
        <f>(VLOOKUP(D156,'Bu Erta'!$C$2:$F$66,4,0))*F156</f>
        <v>7500</v>
      </c>
    </row>
    <row r="157" spans="1:8" x14ac:dyDescent="0.35">
      <c r="A157" s="109"/>
      <c r="B157" s="20" t="s">
        <v>111</v>
      </c>
      <c r="C157" s="109"/>
      <c r="D157" s="20" t="s">
        <v>41</v>
      </c>
      <c r="E157" s="33">
        <f>VLOOKUP(D157,'Bu Erta'!$C$2:$E$66,3,0)</f>
        <v>1500</v>
      </c>
      <c r="F157" s="20">
        <v>0.8</v>
      </c>
      <c r="G157" s="33">
        <f t="shared" si="7"/>
        <v>1200</v>
      </c>
      <c r="H157" s="3">
        <f>(VLOOKUP(D157,'Bu Erta'!$C$2:$F$66,4,0))*F157</f>
        <v>1600</v>
      </c>
    </row>
    <row r="158" spans="1:8" x14ac:dyDescent="0.35">
      <c r="A158" s="109"/>
      <c r="B158" s="20" t="s">
        <v>111</v>
      </c>
      <c r="C158" s="109"/>
      <c r="D158" s="20" t="s">
        <v>22</v>
      </c>
      <c r="E158" s="33">
        <f>VLOOKUP(D158,'Bu Erta'!$C$2:$E$66,3,0)</f>
        <v>2500</v>
      </c>
      <c r="F158" s="20">
        <v>0.1</v>
      </c>
      <c r="G158" s="33">
        <f t="shared" si="7"/>
        <v>250</v>
      </c>
      <c r="H158" s="3">
        <f>(VLOOKUP(D158,'Bu Erta'!$C$2:$F$66,4,0))*F158</f>
        <v>300</v>
      </c>
    </row>
    <row r="159" spans="1:8" x14ac:dyDescent="0.35">
      <c r="A159" s="109"/>
      <c r="B159" s="20" t="s">
        <v>111</v>
      </c>
      <c r="C159" s="109"/>
      <c r="D159" s="20" t="s">
        <v>23</v>
      </c>
      <c r="E159" s="33">
        <f>VLOOKUP(D159,'Bu Erta'!$C$2:$E$66,3,0)</f>
        <v>300</v>
      </c>
      <c r="F159" s="20">
        <v>1.9</v>
      </c>
      <c r="G159" s="33">
        <f t="shared" si="7"/>
        <v>570</v>
      </c>
      <c r="H159" s="3">
        <f>(VLOOKUP(D159,'Bu Erta'!$C$2:$F$66,4,0))*F159</f>
        <v>760</v>
      </c>
    </row>
    <row r="160" spans="1:8" x14ac:dyDescent="0.35">
      <c r="A160" s="109"/>
      <c r="B160" s="20" t="s">
        <v>111</v>
      </c>
      <c r="C160" s="109"/>
      <c r="D160" s="20" t="s">
        <v>19</v>
      </c>
      <c r="E160" s="33">
        <f>VLOOKUP(D169,'Bu Erta'!$C$2:$E$66,3,0)</f>
        <v>600</v>
      </c>
      <c r="F160" s="20">
        <v>1.1499999999999999</v>
      </c>
      <c r="G160" s="33">
        <f t="shared" si="7"/>
        <v>690</v>
      </c>
      <c r="H160" s="3">
        <f>(VLOOKUP(D160,'Bu Erta'!$C$2:$F$66,4,0))*F160</f>
        <v>345</v>
      </c>
    </row>
    <row r="161" spans="1:8" x14ac:dyDescent="0.35">
      <c r="A161" s="109"/>
      <c r="B161" s="20" t="s">
        <v>111</v>
      </c>
      <c r="C161" s="109"/>
      <c r="D161" s="20" t="s">
        <v>27</v>
      </c>
      <c r="E161" s="33">
        <f>VLOOKUP(D170,'Bu Erta'!$C$2:$E$66,3,0)</f>
        <v>1000</v>
      </c>
      <c r="F161" s="20">
        <v>1</v>
      </c>
      <c r="G161" s="33">
        <f t="shared" si="7"/>
        <v>1000</v>
      </c>
      <c r="H161" s="3">
        <f>(VLOOKUP(D161,'Bu Erta'!$C$2:$F$66,4,0))*F161</f>
        <v>3100</v>
      </c>
    </row>
    <row r="162" spans="1:8" x14ac:dyDescent="0.35">
      <c r="A162" s="109"/>
      <c r="B162" s="20" t="s">
        <v>111</v>
      </c>
      <c r="C162" s="109"/>
      <c r="D162" s="20" t="s">
        <v>25</v>
      </c>
      <c r="E162" s="33">
        <f>VLOOKUP(D171,'Bu Erta'!$C$2:$E$66,3,0)</f>
        <v>1800</v>
      </c>
      <c r="F162" s="20">
        <v>0.15</v>
      </c>
      <c r="G162" s="33">
        <f t="shared" si="7"/>
        <v>270</v>
      </c>
      <c r="H162" s="3">
        <f>(VLOOKUP(D162,'Bu Erta'!$C$2:$F$66,4,0))*F162</f>
        <v>255</v>
      </c>
    </row>
    <row r="163" spans="1:8" x14ac:dyDescent="0.35">
      <c r="A163" s="109">
        <v>26</v>
      </c>
      <c r="B163" s="20" t="s">
        <v>147</v>
      </c>
      <c r="C163" s="109">
        <v>3</v>
      </c>
      <c r="D163" s="20" t="s">
        <v>23</v>
      </c>
      <c r="E163" s="33">
        <f>VLOOKUP(D163,'Bu Erta'!$C$2:$E$66,3,0)</f>
        <v>300</v>
      </c>
      <c r="F163" s="20">
        <v>0.85</v>
      </c>
      <c r="G163" s="33">
        <f t="shared" si="7"/>
        <v>255</v>
      </c>
      <c r="H163" s="3">
        <f>(VLOOKUP(D163,'Bu Erta'!$C$2:$F$66,4,0))*F163</f>
        <v>340</v>
      </c>
    </row>
    <row r="164" spans="1:8" x14ac:dyDescent="0.35">
      <c r="A164" s="109"/>
      <c r="B164" s="20" t="s">
        <v>147</v>
      </c>
      <c r="C164" s="109"/>
      <c r="D164" s="20" t="s">
        <v>42</v>
      </c>
      <c r="E164" s="33">
        <f>VLOOKUP(D164,'Bu Erta'!$C$2:$E$66,3,0)</f>
        <v>1000</v>
      </c>
      <c r="F164" s="20">
        <v>0.4</v>
      </c>
      <c r="G164" s="33">
        <f t="shared" si="7"/>
        <v>400</v>
      </c>
      <c r="H164" s="3">
        <f>(VLOOKUP(D164,'Bu Erta'!$C$2:$F$66,4,0))*F164</f>
        <v>480</v>
      </c>
    </row>
    <row r="165" spans="1:8" x14ac:dyDescent="0.35">
      <c r="A165" s="109"/>
      <c r="B165" s="20" t="s">
        <v>147</v>
      </c>
      <c r="C165" s="109"/>
      <c r="D165" s="20" t="s">
        <v>19</v>
      </c>
      <c r="E165" s="33">
        <f>VLOOKUP(D165,'Bu Erta'!$C$2:$E$66,3,0)</f>
        <v>200</v>
      </c>
      <c r="F165" s="20">
        <v>0.15</v>
      </c>
      <c r="G165" s="33">
        <f t="shared" si="7"/>
        <v>30</v>
      </c>
      <c r="H165" s="3">
        <f>(VLOOKUP(D165,'Bu Erta'!$C$2:$F$66,4,0))*F165</f>
        <v>45</v>
      </c>
    </row>
    <row r="166" spans="1:8" x14ac:dyDescent="0.35">
      <c r="A166" s="109"/>
      <c r="B166" s="20" t="s">
        <v>147</v>
      </c>
      <c r="C166" s="109"/>
      <c r="D166" s="20" t="s">
        <v>34</v>
      </c>
      <c r="E166" s="33">
        <f>VLOOKUP(D166,'Bu Erta'!$C$2:$E$66,3,0)</f>
        <v>3500</v>
      </c>
      <c r="F166" s="20">
        <v>0.6</v>
      </c>
      <c r="G166" s="33">
        <f t="shared" si="7"/>
        <v>2100</v>
      </c>
      <c r="H166" s="3">
        <f>(VLOOKUP(D166,'Bu Erta'!$C$2:$F$66,4,0))*F166</f>
        <v>2160</v>
      </c>
    </row>
    <row r="167" spans="1:8" x14ac:dyDescent="0.35">
      <c r="A167" s="109"/>
      <c r="B167" s="20" t="s">
        <v>147</v>
      </c>
      <c r="C167" s="109"/>
      <c r="D167" s="20" t="s">
        <v>27</v>
      </c>
      <c r="E167" s="33">
        <f>VLOOKUP(D167,'Bu Erta'!$C$2:$E$66,3,0)</f>
        <v>2800</v>
      </c>
      <c r="F167" s="20">
        <v>0.25</v>
      </c>
      <c r="G167" s="33">
        <f t="shared" si="7"/>
        <v>700</v>
      </c>
      <c r="H167" s="3">
        <f>(VLOOKUP(D167,'Bu Erta'!$C$2:$F$66,4,0))*F167</f>
        <v>775</v>
      </c>
    </row>
    <row r="168" spans="1:8" x14ac:dyDescent="0.35">
      <c r="A168" s="109"/>
      <c r="B168" s="20" t="s">
        <v>147</v>
      </c>
      <c r="C168" s="109"/>
      <c r="D168" s="20" t="s">
        <v>7</v>
      </c>
      <c r="E168" s="33">
        <f>VLOOKUP(D168,'Bu Erta'!$C$2:$E$66,3,0)</f>
        <v>1400</v>
      </c>
      <c r="F168" s="20">
        <f>0.65+0.2</f>
        <v>0.85000000000000009</v>
      </c>
      <c r="G168" s="33">
        <f t="shared" si="7"/>
        <v>1190.0000000000002</v>
      </c>
      <c r="H168" s="3">
        <f>(VLOOKUP(D168,'Bu Erta'!$C$2:$F$66,4,0))*F168</f>
        <v>1360.0000000000002</v>
      </c>
    </row>
    <row r="169" spans="1:8" x14ac:dyDescent="0.35">
      <c r="A169" s="109"/>
      <c r="B169" s="20" t="s">
        <v>147</v>
      </c>
      <c r="C169" s="109"/>
      <c r="D169" s="20" t="s">
        <v>36</v>
      </c>
      <c r="E169" s="33">
        <f>VLOOKUP(D169,'Bu Erta'!$C$2:$E$66,3,0)</f>
        <v>600</v>
      </c>
      <c r="F169" s="20">
        <v>0.95</v>
      </c>
      <c r="G169" s="33">
        <f t="shared" si="7"/>
        <v>570</v>
      </c>
      <c r="H169" s="3">
        <f>(VLOOKUP(D169,'Bu Erta'!$C$2:$F$66,4,0))*F169</f>
        <v>617.5</v>
      </c>
    </row>
    <row r="170" spans="1:8" x14ac:dyDescent="0.35">
      <c r="A170" s="109"/>
      <c r="B170" s="20" t="s">
        <v>147</v>
      </c>
      <c r="C170" s="109"/>
      <c r="D170" s="20" t="s">
        <v>42</v>
      </c>
      <c r="E170" s="33">
        <f>VLOOKUP(D170,'Bu Erta'!$C$2:$E$66,3,0)</f>
        <v>1000</v>
      </c>
      <c r="F170" s="20">
        <v>0.4</v>
      </c>
      <c r="G170" s="33">
        <f t="shared" si="7"/>
        <v>400</v>
      </c>
      <c r="H170" s="3">
        <f>(VLOOKUP(D170,'Bu Erta'!$C$2:$F$66,4,0))*F170</f>
        <v>480</v>
      </c>
    </row>
    <row r="171" spans="1:8" x14ac:dyDescent="0.35">
      <c r="A171" s="109"/>
      <c r="B171" s="20" t="s">
        <v>147</v>
      </c>
      <c r="C171" s="109"/>
      <c r="D171" s="20" t="s">
        <v>146</v>
      </c>
      <c r="E171" s="33">
        <f>VLOOKUP(D171,'Bu Erta'!$C$2:$E$66,3,0)</f>
        <v>1800</v>
      </c>
      <c r="F171" s="20">
        <f>6.8+2.4</f>
        <v>9.1999999999999993</v>
      </c>
      <c r="G171" s="33">
        <f t="shared" si="7"/>
        <v>16560</v>
      </c>
      <c r="H171" s="3">
        <f>(VLOOKUP(D171,'Bu Erta'!$C$2:$F$66,4,0))*F171</f>
        <v>18400</v>
      </c>
    </row>
    <row r="172" spans="1:8" x14ac:dyDescent="0.35">
      <c r="A172" s="109">
        <v>27</v>
      </c>
      <c r="B172" s="20" t="s">
        <v>148</v>
      </c>
      <c r="C172" s="109">
        <v>4</v>
      </c>
      <c r="D172" s="20" t="s">
        <v>28</v>
      </c>
      <c r="E172" s="33">
        <f>VLOOKUP(D172,'Bu Erta'!$C$2:$E$66,3,0)</f>
        <v>1200</v>
      </c>
      <c r="F172" s="20">
        <v>0.85</v>
      </c>
      <c r="G172" s="33">
        <f t="shared" si="7"/>
        <v>1020</v>
      </c>
      <c r="H172" s="3">
        <f>(VLOOKUP(D172,'Bu Erta'!$C$2:$F$66,4,0))*F172</f>
        <v>1105</v>
      </c>
    </row>
    <row r="173" spans="1:8" x14ac:dyDescent="0.35">
      <c r="A173" s="109"/>
      <c r="B173" s="20" t="s">
        <v>148</v>
      </c>
      <c r="C173" s="109"/>
      <c r="D173" s="20" t="s">
        <v>42</v>
      </c>
      <c r="E173" s="33">
        <f>VLOOKUP(D173,'Bu Erta'!$C$2:$E$66,3,0)</f>
        <v>1000</v>
      </c>
      <c r="F173" s="20">
        <v>10.8</v>
      </c>
      <c r="G173" s="33">
        <f t="shared" si="7"/>
        <v>10800</v>
      </c>
      <c r="H173" s="3">
        <f>(VLOOKUP(D173,'Bu Erta'!$C$2:$F$66,4,0))*F173</f>
        <v>12960</v>
      </c>
    </row>
    <row r="174" spans="1:8" x14ac:dyDescent="0.35">
      <c r="A174" s="109"/>
      <c r="B174" s="20" t="s">
        <v>148</v>
      </c>
      <c r="C174" s="109"/>
      <c r="D174" s="20" t="s">
        <v>44</v>
      </c>
      <c r="E174" s="33">
        <f>VLOOKUP(D174,'Bu Erta'!$C$2:$E$66,3,0)</f>
        <v>400</v>
      </c>
      <c r="F174" s="20">
        <v>3.4</v>
      </c>
      <c r="G174" s="33">
        <f t="shared" si="7"/>
        <v>1360</v>
      </c>
      <c r="H174" s="3">
        <f>(VLOOKUP(D174,'Bu Erta'!$C$2:$F$66,4,0))*F174</f>
        <v>1700</v>
      </c>
    </row>
    <row r="175" spans="1:8" x14ac:dyDescent="0.35">
      <c r="A175" s="109"/>
      <c r="B175" s="20" t="s">
        <v>148</v>
      </c>
      <c r="C175" s="109"/>
      <c r="D175" s="20" t="s">
        <v>68</v>
      </c>
      <c r="E175" s="33">
        <f>VLOOKUP(D175,'Bu Erta'!$C$2:$E$66,3,0)</f>
        <v>150</v>
      </c>
      <c r="F175" s="20">
        <v>6.65</v>
      </c>
      <c r="G175" s="33">
        <f t="shared" si="7"/>
        <v>997.5</v>
      </c>
      <c r="H175" s="3">
        <f>(VLOOKUP(D175,'Bu Erta'!$C$2:$F$66,4,0))*F175</f>
        <v>1330</v>
      </c>
    </row>
    <row r="176" spans="1:8" x14ac:dyDescent="0.35">
      <c r="A176" s="109"/>
      <c r="B176" s="20" t="s">
        <v>148</v>
      </c>
      <c r="C176" s="109"/>
      <c r="D176" s="20" t="s">
        <v>56</v>
      </c>
      <c r="E176" s="33">
        <f>VLOOKUP(D176,'Bu Erta'!$C$2:$E$66,3,0)</f>
        <v>4000</v>
      </c>
      <c r="F176" s="20">
        <v>3.6</v>
      </c>
      <c r="G176" s="33">
        <f t="shared" si="7"/>
        <v>14400</v>
      </c>
      <c r="H176" s="3">
        <f>(VLOOKUP(D176,'Bu Erta'!$C$2:$F$66,4,0))*F176</f>
        <v>19800</v>
      </c>
    </row>
    <row r="177" spans="1:8" x14ac:dyDescent="0.35">
      <c r="A177" s="109">
        <v>28</v>
      </c>
      <c r="B177" s="20" t="s">
        <v>149</v>
      </c>
      <c r="C177" s="109">
        <v>5</v>
      </c>
      <c r="D177" s="20" t="s">
        <v>31</v>
      </c>
      <c r="E177" s="33">
        <f>VLOOKUP(D177,'Bu Erta'!$C$2:$E$66,3,0)</f>
        <v>1000</v>
      </c>
      <c r="F177" s="20">
        <v>3.3</v>
      </c>
      <c r="G177" s="33">
        <f t="shared" si="7"/>
        <v>3300</v>
      </c>
      <c r="H177" s="3">
        <f>(VLOOKUP(D177,'Bu Erta'!$C$2:$F$66,4,0))*F177</f>
        <v>3630</v>
      </c>
    </row>
    <row r="178" spans="1:8" x14ac:dyDescent="0.35">
      <c r="A178" s="109"/>
      <c r="B178" s="20" t="s">
        <v>149</v>
      </c>
      <c r="C178" s="109"/>
      <c r="D178" s="20" t="s">
        <v>23</v>
      </c>
      <c r="E178" s="33">
        <f>VLOOKUP(D178,'Bu Erta'!$C$2:$E$66,3,0)</f>
        <v>300</v>
      </c>
      <c r="F178" s="20">
        <v>1.45</v>
      </c>
      <c r="G178" s="33">
        <f t="shared" si="7"/>
        <v>435</v>
      </c>
      <c r="H178" s="3">
        <f>(VLOOKUP(D178,'Bu Erta'!$C$2:$F$66,4,0))*F178</f>
        <v>580</v>
      </c>
    </row>
    <row r="179" spans="1:8" x14ac:dyDescent="0.35">
      <c r="A179" s="109">
        <v>29</v>
      </c>
      <c r="B179" s="20" t="s">
        <v>114</v>
      </c>
      <c r="C179" s="109">
        <v>4</v>
      </c>
      <c r="D179" s="20" t="s">
        <v>68</v>
      </c>
      <c r="E179" s="33">
        <f>VLOOKUP(D179,'Bu Erta'!$C$2:$E$66,3,0)</f>
        <v>150</v>
      </c>
      <c r="F179" s="20">
        <v>3.85</v>
      </c>
      <c r="G179" s="33">
        <f t="shared" si="7"/>
        <v>577.5</v>
      </c>
      <c r="H179" s="3">
        <f>(VLOOKUP(D179,'Bu Erta'!$C$2:$F$66,4,0))*F179</f>
        <v>770</v>
      </c>
    </row>
    <row r="180" spans="1:8" x14ac:dyDescent="0.35">
      <c r="A180" s="109"/>
      <c r="B180" s="20" t="s">
        <v>114</v>
      </c>
      <c r="C180" s="109"/>
      <c r="D180" s="20" t="s">
        <v>19</v>
      </c>
      <c r="E180" s="33">
        <f>VLOOKUP(D180,'Bu Erta'!$C$2:$E$66,3,0)</f>
        <v>200</v>
      </c>
      <c r="F180" s="20">
        <f>2.8+1.85</f>
        <v>4.6500000000000004</v>
      </c>
      <c r="G180" s="33">
        <f t="shared" si="7"/>
        <v>930.00000000000011</v>
      </c>
      <c r="H180" s="3">
        <f>(VLOOKUP(D180,'Bu Erta'!$C$2:$F$66,4,0))*F180</f>
        <v>1395</v>
      </c>
    </row>
    <row r="181" spans="1:8" x14ac:dyDescent="0.35">
      <c r="A181" s="109">
        <v>30</v>
      </c>
      <c r="B181" s="20" t="s">
        <v>5</v>
      </c>
      <c r="C181" s="109">
        <v>2</v>
      </c>
      <c r="D181" s="20" t="s">
        <v>42</v>
      </c>
      <c r="E181" s="33">
        <f>VLOOKUP(D181,'Bu Erta'!$C$2:$E$66,3,0)</f>
        <v>1000</v>
      </c>
      <c r="F181" s="20">
        <v>1.6</v>
      </c>
      <c r="G181" s="33">
        <f t="shared" si="7"/>
        <v>1600</v>
      </c>
      <c r="H181" s="3">
        <f>(VLOOKUP(D181,'Bu Erta'!$C$2:$F$66,4,0))*F181</f>
        <v>1920</v>
      </c>
    </row>
    <row r="182" spans="1:8" x14ac:dyDescent="0.35">
      <c r="A182" s="109"/>
      <c r="B182" s="20" t="s">
        <v>5</v>
      </c>
      <c r="C182" s="109"/>
      <c r="D182" s="20" t="s">
        <v>23</v>
      </c>
      <c r="E182" s="33">
        <f>VLOOKUP(D182,'Bu Erta'!$C$2:$E$66,3,0)</f>
        <v>300</v>
      </c>
      <c r="F182" s="20">
        <v>0.6</v>
      </c>
      <c r="G182" s="33">
        <f t="shared" si="7"/>
        <v>180</v>
      </c>
      <c r="H182" s="3">
        <f>(VLOOKUP(D182,'Bu Erta'!$C$2:$F$66,4,0))*F182</f>
        <v>240</v>
      </c>
    </row>
    <row r="183" spans="1:8" x14ac:dyDescent="0.35">
      <c r="A183" s="109"/>
      <c r="B183" s="20" t="s">
        <v>5</v>
      </c>
      <c r="C183" s="109"/>
      <c r="D183" s="20" t="s">
        <v>65</v>
      </c>
      <c r="E183" s="33">
        <f>VLOOKUP(D183,'Bu Erta'!$C$2:$E$66,3,0)</f>
        <v>150</v>
      </c>
      <c r="F183" s="20">
        <v>0.05</v>
      </c>
      <c r="G183" s="33">
        <f t="shared" si="7"/>
        <v>7.5</v>
      </c>
      <c r="H183" s="3">
        <f>(VLOOKUP(D183,'Bu Erta'!$C$2:$F$66,4,0))*F183</f>
        <v>10</v>
      </c>
    </row>
    <row r="184" spans="1:8" x14ac:dyDescent="0.35">
      <c r="A184" s="109"/>
      <c r="B184" s="20" t="s">
        <v>5</v>
      </c>
      <c r="C184" s="109"/>
      <c r="D184" s="20" t="s">
        <v>28</v>
      </c>
      <c r="E184" s="33">
        <f>VLOOKUP(D184,'Bu Erta'!$C$2:$E$66,3,0)</f>
        <v>1200</v>
      </c>
      <c r="F184" s="20">
        <v>9.65</v>
      </c>
      <c r="G184" s="33">
        <f t="shared" si="7"/>
        <v>11580</v>
      </c>
      <c r="H184" s="3">
        <f>(VLOOKUP(D184,'Bu Erta'!$C$2:$F$66,4,0))*F184</f>
        <v>12545</v>
      </c>
    </row>
    <row r="185" spans="1:8" x14ac:dyDescent="0.35">
      <c r="A185" s="109"/>
      <c r="B185" s="20" t="s">
        <v>5</v>
      </c>
      <c r="C185" s="109"/>
      <c r="D185" s="20" t="s">
        <v>7</v>
      </c>
      <c r="E185" s="33">
        <f>VLOOKUP(D185,'Bu Erta'!$C$2:$E$66,3,0)</f>
        <v>1400</v>
      </c>
      <c r="F185" s="20">
        <f>0.3+2.25</f>
        <v>2.5499999999999998</v>
      </c>
      <c r="G185" s="33">
        <f t="shared" si="7"/>
        <v>3569.9999999999995</v>
      </c>
      <c r="H185" s="3">
        <f>(VLOOKUP(D185,'Bu Erta'!$C$2:$F$66,4,0))*F185</f>
        <v>4079.9999999999995</v>
      </c>
    </row>
    <row r="186" spans="1:8" x14ac:dyDescent="0.35">
      <c r="A186" s="109"/>
      <c r="B186" s="20" t="s">
        <v>5</v>
      </c>
      <c r="C186" s="109"/>
      <c r="D186" s="20" t="s">
        <v>67</v>
      </c>
      <c r="E186" s="33">
        <f>VLOOKUP(D186,'Bu Erta'!$C$2:$E$66,3,0)</f>
        <v>2700</v>
      </c>
      <c r="F186" s="20">
        <v>0.2</v>
      </c>
      <c r="G186" s="33">
        <f t="shared" si="7"/>
        <v>540</v>
      </c>
      <c r="H186" s="3">
        <f>(VLOOKUP(D186,'Bu Erta'!$C$2:$F$66,4,0))*F186</f>
        <v>600</v>
      </c>
    </row>
    <row r="187" spans="1:8" x14ac:dyDescent="0.35">
      <c r="A187" s="109"/>
      <c r="B187" s="20" t="s">
        <v>5</v>
      </c>
      <c r="C187" s="109"/>
      <c r="D187" s="20" t="s">
        <v>27</v>
      </c>
      <c r="E187" s="33">
        <f>VLOOKUP(D187,'Bu Erta'!$C$2:$E$66,3,0)</f>
        <v>2800</v>
      </c>
      <c r="F187" s="20">
        <v>0.3</v>
      </c>
      <c r="G187" s="33">
        <f t="shared" si="7"/>
        <v>840</v>
      </c>
      <c r="H187" s="3">
        <f>(VLOOKUP(D187,'Bu Erta'!$C$2:$F$66,4,0))*F187</f>
        <v>930</v>
      </c>
    </row>
    <row r="188" spans="1:8" x14ac:dyDescent="0.35">
      <c r="A188" s="109"/>
      <c r="B188" s="20" t="s">
        <v>5</v>
      </c>
      <c r="C188" s="109"/>
      <c r="D188" s="20" t="s">
        <v>34</v>
      </c>
      <c r="E188" s="33">
        <f>VLOOKUP(D188,'Bu Erta'!$C$2:$E$66,3,0)</f>
        <v>3500</v>
      </c>
      <c r="F188" s="20">
        <v>0.2</v>
      </c>
      <c r="G188" s="33">
        <f t="shared" si="7"/>
        <v>700</v>
      </c>
      <c r="H188" s="3">
        <f>(VLOOKUP(D188,'Bu Erta'!$C$2:$F$66,4,0))*F188</f>
        <v>720</v>
      </c>
    </row>
    <row r="189" spans="1:8" x14ac:dyDescent="0.35">
      <c r="A189" s="109"/>
      <c r="B189" s="20" t="s">
        <v>5</v>
      </c>
      <c r="C189" s="109"/>
      <c r="D189" s="20" t="s">
        <v>146</v>
      </c>
      <c r="E189" s="33">
        <f>VLOOKUP(D189,'Bu Erta'!$C$2:$E$66,3,0)</f>
        <v>1800</v>
      </c>
      <c r="F189" s="20">
        <v>0.6</v>
      </c>
      <c r="G189" s="33">
        <f t="shared" si="7"/>
        <v>1080</v>
      </c>
      <c r="H189" s="3">
        <f>(VLOOKUP(D189,'Bu Erta'!$C$2:$F$66,4,0))*F189</f>
        <v>1200</v>
      </c>
    </row>
    <row r="190" spans="1:8" x14ac:dyDescent="0.35">
      <c r="A190" s="48">
        <v>31</v>
      </c>
      <c r="B190" s="20" t="s">
        <v>83</v>
      </c>
      <c r="C190" s="48">
        <v>1</v>
      </c>
      <c r="D190" s="20" t="s">
        <v>24</v>
      </c>
      <c r="E190" s="33">
        <f>VLOOKUP(D190,'Bu Erta'!$C$2:$E$66,3,0)</f>
        <v>150</v>
      </c>
      <c r="F190" s="20">
        <v>6.35</v>
      </c>
      <c r="G190" s="33">
        <f t="shared" si="7"/>
        <v>952.5</v>
      </c>
      <c r="H190" s="3">
        <f>(VLOOKUP(D190,'Bu Erta'!$C$2:$F$66,4,0))*F190</f>
        <v>1270</v>
      </c>
    </row>
    <row r="191" spans="1:8" x14ac:dyDescent="0.35">
      <c r="A191" s="109">
        <v>32</v>
      </c>
      <c r="B191" s="20" t="s">
        <v>164</v>
      </c>
      <c r="C191" s="109">
        <v>3</v>
      </c>
      <c r="D191" s="20" t="s">
        <v>24</v>
      </c>
      <c r="E191" s="33">
        <f>VLOOKUP(D191,'Bu Erta'!$C$2:$E$66,3,0)</f>
        <v>150</v>
      </c>
      <c r="F191" s="20">
        <v>1.4</v>
      </c>
      <c r="G191" s="33">
        <f t="shared" si="7"/>
        <v>210</v>
      </c>
      <c r="H191" s="3">
        <f>(VLOOKUP(D191,'Bu Erta'!$C$2:$F$66,4,0))*F191</f>
        <v>280</v>
      </c>
    </row>
    <row r="192" spans="1:8" x14ac:dyDescent="0.35">
      <c r="A192" s="109"/>
      <c r="B192" s="20" t="s">
        <v>164</v>
      </c>
      <c r="C192" s="109"/>
      <c r="D192" s="20" t="s">
        <v>41</v>
      </c>
      <c r="E192" s="33">
        <f>VLOOKUP(D192,'Bu Erta'!$C$2:$E$66,3,0)</f>
        <v>1500</v>
      </c>
      <c r="F192" s="20">
        <v>1.1000000000000001</v>
      </c>
      <c r="G192" s="33">
        <f t="shared" si="7"/>
        <v>1650.0000000000002</v>
      </c>
      <c r="H192" s="3">
        <f>(VLOOKUP(D192,'Bu Erta'!$C$2:$F$66,4,0))*F192</f>
        <v>2200</v>
      </c>
    </row>
    <row r="193" spans="1:8" x14ac:dyDescent="0.35">
      <c r="A193" s="109"/>
      <c r="B193" s="20" t="s">
        <v>164</v>
      </c>
      <c r="C193" s="109"/>
      <c r="D193" s="20" t="s">
        <v>146</v>
      </c>
      <c r="E193" s="33">
        <f>VLOOKUP(D193,'Bu Erta'!$C$2:$E$66,3,0)</f>
        <v>1800</v>
      </c>
      <c r="F193" s="20">
        <f>0.5+1.1</f>
        <v>1.6</v>
      </c>
      <c r="G193" s="33">
        <f t="shared" ref="G193:G256" si="8">E193*F193</f>
        <v>2880</v>
      </c>
      <c r="H193" s="3">
        <f>(VLOOKUP(D193,'Bu Erta'!$C$2:$F$66,4,0))*F193</f>
        <v>3200</v>
      </c>
    </row>
    <row r="194" spans="1:8" x14ac:dyDescent="0.35">
      <c r="A194" s="109"/>
      <c r="B194" s="20" t="s">
        <v>164</v>
      </c>
      <c r="C194" s="109"/>
      <c r="D194" s="20" t="s">
        <v>7</v>
      </c>
      <c r="E194" s="33">
        <f>VLOOKUP(D194,'Bu Erta'!$C$2:$E$66,3,0)</f>
        <v>1400</v>
      </c>
      <c r="F194" s="20">
        <v>1.4</v>
      </c>
      <c r="G194" s="33">
        <f t="shared" si="8"/>
        <v>1959.9999999999998</v>
      </c>
      <c r="H194" s="3">
        <f>(VLOOKUP(D194,'Bu Erta'!$C$2:$F$66,4,0))*F194</f>
        <v>2240</v>
      </c>
    </row>
    <row r="195" spans="1:8" x14ac:dyDescent="0.35">
      <c r="A195" s="109"/>
      <c r="B195" s="20" t="s">
        <v>164</v>
      </c>
      <c r="C195" s="109"/>
      <c r="D195" s="20" t="s">
        <v>45</v>
      </c>
      <c r="E195" s="33">
        <f>VLOOKUP(D195,'Bu Erta'!$C$2:$E$66,3,0)</f>
        <v>700</v>
      </c>
      <c r="F195" s="20">
        <v>0.15</v>
      </c>
      <c r="G195" s="33">
        <f t="shared" si="8"/>
        <v>105</v>
      </c>
      <c r="H195" s="3">
        <f>(VLOOKUP(D195,'Bu Erta'!$C$2:$F$66,4,0))*F195</f>
        <v>120</v>
      </c>
    </row>
    <row r="196" spans="1:8" x14ac:dyDescent="0.35">
      <c r="A196" s="109"/>
      <c r="B196" s="20" t="s">
        <v>164</v>
      </c>
      <c r="C196" s="109"/>
      <c r="D196" s="20" t="s">
        <v>42</v>
      </c>
      <c r="E196" s="33">
        <f>VLOOKUP(D196,'Bu Erta'!$C$2:$E$66,3,0)</f>
        <v>1000</v>
      </c>
      <c r="F196" s="20">
        <v>1.35</v>
      </c>
      <c r="G196" s="33">
        <f t="shared" si="8"/>
        <v>1350</v>
      </c>
      <c r="H196" s="3">
        <f>(VLOOKUP(D196,'Bu Erta'!$C$2:$F$66,4,0))*F196</f>
        <v>1620</v>
      </c>
    </row>
    <row r="197" spans="1:8" x14ac:dyDescent="0.35">
      <c r="A197" s="109">
        <v>33</v>
      </c>
      <c r="B197" s="20" t="s">
        <v>79</v>
      </c>
      <c r="C197" s="109">
        <v>2</v>
      </c>
      <c r="D197" s="20" t="s">
        <v>49</v>
      </c>
      <c r="E197" s="33">
        <f>VLOOKUP(D197,'Bu Erta'!$C$2:$E$66,3,0)</f>
        <v>800</v>
      </c>
      <c r="F197" s="20">
        <v>8.1</v>
      </c>
      <c r="G197" s="33">
        <f t="shared" si="8"/>
        <v>6480</v>
      </c>
      <c r="H197" s="3">
        <f>(VLOOKUP(D197,'Bu Erta'!$C$2:$F$66,4,0))*F197</f>
        <v>7290</v>
      </c>
    </row>
    <row r="198" spans="1:8" x14ac:dyDescent="0.35">
      <c r="A198" s="109"/>
      <c r="B198" s="20" t="s">
        <v>79</v>
      </c>
      <c r="C198" s="109"/>
      <c r="D198" s="20" t="s">
        <v>28</v>
      </c>
      <c r="E198" s="33">
        <f>VLOOKUP(D198,'Bu Erta'!$C$2:$E$66,3,0)</f>
        <v>1200</v>
      </c>
      <c r="F198" s="20">
        <v>8.6999999999999993</v>
      </c>
      <c r="G198" s="33">
        <f t="shared" si="8"/>
        <v>10440</v>
      </c>
      <c r="H198" s="3">
        <f>(VLOOKUP(D198,'Bu Erta'!$C$2:$F$66,4,0))*F198</f>
        <v>11309.999999999998</v>
      </c>
    </row>
    <row r="199" spans="1:8" x14ac:dyDescent="0.35">
      <c r="A199" s="109"/>
      <c r="B199" s="20" t="s">
        <v>79</v>
      </c>
      <c r="C199" s="109"/>
      <c r="D199" s="20" t="s">
        <v>23</v>
      </c>
      <c r="E199" s="33">
        <f>VLOOKUP(D199,'Bu Erta'!$C$2:$E$66,3,0)</f>
        <v>300</v>
      </c>
      <c r="F199" s="20">
        <v>0.6</v>
      </c>
      <c r="G199" s="33">
        <f t="shared" si="8"/>
        <v>180</v>
      </c>
      <c r="H199" s="3">
        <f>(VLOOKUP(D199,'Bu Erta'!$C$2:$F$66,4,0))*F199</f>
        <v>240</v>
      </c>
    </row>
    <row r="200" spans="1:8" x14ac:dyDescent="0.35">
      <c r="A200" s="109"/>
      <c r="B200" s="20" t="s">
        <v>79</v>
      </c>
      <c r="C200" s="109"/>
      <c r="D200" s="20" t="s">
        <v>67</v>
      </c>
      <c r="E200" s="33">
        <f>VLOOKUP(D200,'Bu Erta'!$C$2:$E$66,3,0)</f>
        <v>2700</v>
      </c>
      <c r="F200" s="20">
        <v>0.2</v>
      </c>
      <c r="G200" s="33">
        <f t="shared" si="8"/>
        <v>540</v>
      </c>
      <c r="H200" s="3">
        <f>(VLOOKUP(D200,'Bu Erta'!$C$2:$F$66,4,0))*F200</f>
        <v>600</v>
      </c>
    </row>
    <row r="201" spans="1:8" x14ac:dyDescent="0.35">
      <c r="A201" s="109"/>
      <c r="B201" s="20" t="s">
        <v>79</v>
      </c>
      <c r="C201" s="109"/>
      <c r="D201" s="20" t="s">
        <v>7</v>
      </c>
      <c r="E201" s="33">
        <f>VLOOKUP(D201,'Bu Erta'!$C$2:$E$66,3,0)</f>
        <v>1400</v>
      </c>
      <c r="F201" s="20">
        <f>3.05+3.05</f>
        <v>6.1</v>
      </c>
      <c r="G201" s="33">
        <f t="shared" si="8"/>
        <v>8540</v>
      </c>
      <c r="H201" s="3">
        <f>(VLOOKUP(D201,'Bu Erta'!$C$2:$F$66,4,0))*F201</f>
        <v>9760</v>
      </c>
    </row>
    <row r="202" spans="1:8" x14ac:dyDescent="0.35">
      <c r="A202" s="109">
        <v>34</v>
      </c>
      <c r="B202" s="20" t="s">
        <v>94</v>
      </c>
      <c r="C202" s="109">
        <v>4</v>
      </c>
      <c r="D202" s="20" t="s">
        <v>42</v>
      </c>
      <c r="E202" s="33">
        <f>VLOOKUP(D202,'Bu Erta'!$C$2:$E$66,3,0)</f>
        <v>1000</v>
      </c>
      <c r="F202" s="20">
        <v>0.55000000000000004</v>
      </c>
      <c r="G202" s="33">
        <f t="shared" si="8"/>
        <v>550</v>
      </c>
      <c r="H202" s="3">
        <f>(VLOOKUP(D202,'Bu Erta'!$C$2:$F$66,4,0))*F202</f>
        <v>660</v>
      </c>
    </row>
    <row r="203" spans="1:8" x14ac:dyDescent="0.35">
      <c r="A203" s="109"/>
      <c r="B203" s="20" t="s">
        <v>94</v>
      </c>
      <c r="C203" s="109"/>
      <c r="D203" s="20" t="s">
        <v>23</v>
      </c>
      <c r="E203" s="33">
        <f>VLOOKUP(D203,'Bu Erta'!$C$2:$E$66,3,0)</f>
        <v>300</v>
      </c>
      <c r="F203" s="20">
        <f>0.3+0.2</f>
        <v>0.5</v>
      </c>
      <c r="G203" s="33">
        <f t="shared" si="8"/>
        <v>150</v>
      </c>
      <c r="H203" s="3">
        <f>(VLOOKUP(D203,'Bu Erta'!$C$2:$F$66,4,0))*F203</f>
        <v>200</v>
      </c>
    </row>
    <row r="204" spans="1:8" x14ac:dyDescent="0.35">
      <c r="A204" s="109"/>
      <c r="B204" s="20" t="s">
        <v>94</v>
      </c>
      <c r="C204" s="109"/>
      <c r="D204" s="20" t="s">
        <v>19</v>
      </c>
      <c r="E204" s="33">
        <f>VLOOKUP(D204,'Bu Erta'!$C$2:$E$66,3,0)</f>
        <v>200</v>
      </c>
      <c r="F204" s="20">
        <v>0.2</v>
      </c>
      <c r="G204" s="33">
        <f t="shared" si="8"/>
        <v>40</v>
      </c>
      <c r="H204" s="3">
        <f>(VLOOKUP(D204,'Bu Erta'!$C$2:$F$66,4,0))*F204</f>
        <v>60</v>
      </c>
    </row>
    <row r="205" spans="1:8" x14ac:dyDescent="0.35">
      <c r="A205" s="109"/>
      <c r="B205" s="20" t="s">
        <v>94</v>
      </c>
      <c r="C205" s="109"/>
      <c r="D205" s="20" t="s">
        <v>25</v>
      </c>
      <c r="E205" s="33">
        <f>VLOOKUP(D205,'Bu Erta'!$C$2:$E$66,3,0)</f>
        <v>1600</v>
      </c>
      <c r="F205" s="20">
        <v>0.35</v>
      </c>
      <c r="G205" s="33">
        <f t="shared" si="8"/>
        <v>560</v>
      </c>
      <c r="H205" s="3">
        <f>(VLOOKUP(D205,'Bu Erta'!$C$2:$F$66,4,0))*F205</f>
        <v>595</v>
      </c>
    </row>
    <row r="206" spans="1:8" x14ac:dyDescent="0.35">
      <c r="A206" s="109"/>
      <c r="B206" s="20" t="s">
        <v>94</v>
      </c>
      <c r="C206" s="109"/>
      <c r="D206" s="20" t="s">
        <v>7</v>
      </c>
      <c r="E206" s="33">
        <f>VLOOKUP(D206,'Bu Erta'!$C$2:$E$66,3,0)</f>
        <v>1400</v>
      </c>
      <c r="F206" s="20">
        <v>1.85</v>
      </c>
      <c r="G206" s="33">
        <f t="shared" si="8"/>
        <v>2590</v>
      </c>
      <c r="H206" s="3">
        <f>(VLOOKUP(D206,'Bu Erta'!$C$2:$F$66,4,0))*F206</f>
        <v>2960</v>
      </c>
    </row>
    <row r="207" spans="1:8" x14ac:dyDescent="0.35">
      <c r="A207" s="109">
        <v>35</v>
      </c>
      <c r="B207" s="20" t="s">
        <v>118</v>
      </c>
      <c r="C207" s="109">
        <v>4</v>
      </c>
      <c r="D207" s="20" t="s">
        <v>24</v>
      </c>
      <c r="E207" s="33">
        <f>VLOOKUP(D207,'Bu Erta'!$C$2:$E$66,3,0)</f>
        <v>150</v>
      </c>
      <c r="F207" s="20">
        <f>5.6+2.15</f>
        <v>7.75</v>
      </c>
      <c r="G207" s="33">
        <f t="shared" si="8"/>
        <v>1162.5</v>
      </c>
      <c r="H207" s="3">
        <f>(VLOOKUP(D207,'Bu Erta'!$C$2:$F$66,4,0))*F207</f>
        <v>1550</v>
      </c>
    </row>
    <row r="208" spans="1:8" x14ac:dyDescent="0.35">
      <c r="A208" s="109"/>
      <c r="B208" s="20" t="s">
        <v>118</v>
      </c>
      <c r="C208" s="109"/>
      <c r="D208" s="20" t="s">
        <v>7</v>
      </c>
      <c r="E208" s="33">
        <f>VLOOKUP(D208,'Bu Erta'!$C$2:$E$66,3,0)</f>
        <v>1400</v>
      </c>
      <c r="F208" s="20">
        <v>1.95</v>
      </c>
      <c r="G208" s="33">
        <f t="shared" si="8"/>
        <v>2730</v>
      </c>
      <c r="H208" s="3">
        <f>(VLOOKUP(D208,'Bu Erta'!$C$2:$F$66,4,0))*F208</f>
        <v>3120</v>
      </c>
    </row>
    <row r="209" spans="1:8" x14ac:dyDescent="0.35">
      <c r="A209" s="109"/>
      <c r="B209" s="20" t="s">
        <v>118</v>
      </c>
      <c r="C209" s="109"/>
      <c r="D209" s="20" t="s">
        <v>53</v>
      </c>
      <c r="E209" s="33">
        <f>VLOOKUP(D209,'Bu Erta'!$C$2:$E$66,3,0)</f>
        <v>10000</v>
      </c>
      <c r="F209" s="20">
        <v>1</v>
      </c>
      <c r="G209" s="33">
        <f t="shared" si="8"/>
        <v>10000</v>
      </c>
      <c r="H209" s="3">
        <f>(VLOOKUP(D209,'Bu Erta'!$C$2:$F$66,4,0))*F209</f>
        <v>12000</v>
      </c>
    </row>
    <row r="210" spans="1:8" x14ac:dyDescent="0.35">
      <c r="A210" s="109"/>
      <c r="B210" s="20" t="s">
        <v>118</v>
      </c>
      <c r="C210" s="109"/>
      <c r="D210" s="20" t="s">
        <v>19</v>
      </c>
      <c r="E210" s="33">
        <f>VLOOKUP(D210,'Bu Erta'!$C$2:$E$66,3,0)</f>
        <v>200</v>
      </c>
      <c r="F210" s="20">
        <v>0.6</v>
      </c>
      <c r="G210" s="33">
        <f t="shared" si="8"/>
        <v>120</v>
      </c>
      <c r="H210" s="3">
        <f>(VLOOKUP(D210,'Bu Erta'!$C$2:$F$66,4,0))*F210</f>
        <v>180</v>
      </c>
    </row>
    <row r="211" spans="1:8" x14ac:dyDescent="0.35">
      <c r="A211" s="109">
        <v>36</v>
      </c>
      <c r="B211" s="20" t="s">
        <v>140</v>
      </c>
      <c r="C211" s="109">
        <v>4</v>
      </c>
      <c r="D211" s="20" t="s">
        <v>28</v>
      </c>
      <c r="E211" s="33">
        <f>VLOOKUP(D211,'Bu Erta'!$C$2:$E$66,3,0)</f>
        <v>1200</v>
      </c>
      <c r="F211" s="20">
        <v>5.25</v>
      </c>
      <c r="G211" s="33">
        <f t="shared" si="8"/>
        <v>6300</v>
      </c>
      <c r="H211" s="3">
        <f>(VLOOKUP(D211,'Bu Erta'!$C$2:$F$66,4,0))*F211</f>
        <v>6825</v>
      </c>
    </row>
    <row r="212" spans="1:8" x14ac:dyDescent="0.35">
      <c r="A212" s="109"/>
      <c r="B212" s="20" t="s">
        <v>140</v>
      </c>
      <c r="C212" s="109"/>
      <c r="D212" s="20" t="s">
        <v>46</v>
      </c>
      <c r="E212" s="33">
        <f>VLOOKUP(D212,'Bu Erta'!$C$2:$E$66,3,0)</f>
        <v>1400</v>
      </c>
      <c r="F212" s="20">
        <v>5.05</v>
      </c>
      <c r="G212" s="33">
        <f t="shared" si="8"/>
        <v>7070</v>
      </c>
      <c r="H212" s="3">
        <f>(VLOOKUP(D212,'Bu Erta'!$C$2:$F$66,4,0))*F212</f>
        <v>7575</v>
      </c>
    </row>
    <row r="213" spans="1:8" x14ac:dyDescent="0.35">
      <c r="A213" s="109"/>
      <c r="B213" s="20" t="s">
        <v>140</v>
      </c>
      <c r="C213" s="109"/>
      <c r="D213" s="20" t="s">
        <v>23</v>
      </c>
      <c r="E213" s="33">
        <f>VLOOKUP(D213,'Bu Erta'!$C$2:$E$66,3,0)</f>
        <v>300</v>
      </c>
      <c r="F213" s="20">
        <v>0.75</v>
      </c>
      <c r="G213" s="33">
        <f t="shared" si="8"/>
        <v>225</v>
      </c>
      <c r="H213" s="3">
        <f>(VLOOKUP(D213,'Bu Erta'!$C$2:$F$66,4,0))*F213</f>
        <v>300</v>
      </c>
    </row>
    <row r="214" spans="1:8" x14ac:dyDescent="0.35">
      <c r="A214" s="109"/>
      <c r="B214" s="20" t="s">
        <v>140</v>
      </c>
      <c r="C214" s="109"/>
      <c r="D214" s="20" t="s">
        <v>29</v>
      </c>
      <c r="E214" s="33">
        <f>VLOOKUP(D214,'Bu Erta'!$C$2:$E$66,3,0)</f>
        <v>5000</v>
      </c>
      <c r="F214" s="20">
        <v>0.9</v>
      </c>
      <c r="G214" s="33">
        <f t="shared" si="8"/>
        <v>4500</v>
      </c>
      <c r="H214" s="3">
        <f>(VLOOKUP(D214,'Bu Erta'!$C$2:$F$66,4,0))*F214</f>
        <v>5400</v>
      </c>
    </row>
    <row r="215" spans="1:8" x14ac:dyDescent="0.35">
      <c r="A215" s="109"/>
      <c r="B215" s="20" t="s">
        <v>140</v>
      </c>
      <c r="C215" s="109"/>
      <c r="D215" s="20" t="s">
        <v>38</v>
      </c>
      <c r="E215" s="33">
        <f>VLOOKUP(D215,'Bu Erta'!$C$2:$E$66,3,0)</f>
        <v>1400</v>
      </c>
      <c r="F215" s="20">
        <v>9.4</v>
      </c>
      <c r="G215" s="33">
        <f t="shared" si="8"/>
        <v>13160</v>
      </c>
      <c r="H215" s="3">
        <f>(VLOOKUP(D215,'Bu Erta'!$C$2:$F$66,4,0))*F215</f>
        <v>15040</v>
      </c>
    </row>
    <row r="216" spans="1:8" x14ac:dyDescent="0.35">
      <c r="A216" s="109"/>
      <c r="B216" s="20" t="s">
        <v>140</v>
      </c>
      <c r="C216" s="109"/>
      <c r="D216" s="20" t="s">
        <v>36</v>
      </c>
      <c r="E216" s="33">
        <f>VLOOKUP(D216,'Bu Erta'!$C$2:$E$66,3,0)</f>
        <v>600</v>
      </c>
      <c r="F216" s="20">
        <v>0.5</v>
      </c>
      <c r="G216" s="33">
        <f t="shared" si="8"/>
        <v>300</v>
      </c>
      <c r="H216" s="3">
        <f>(VLOOKUP(D216,'Bu Erta'!$C$2:$F$66,4,0))*F216</f>
        <v>325</v>
      </c>
    </row>
    <row r="217" spans="1:8" x14ac:dyDescent="0.35">
      <c r="A217" s="109"/>
      <c r="B217" s="20" t="s">
        <v>140</v>
      </c>
      <c r="C217" s="109"/>
      <c r="D217" s="20" t="s">
        <v>7</v>
      </c>
      <c r="E217" s="33">
        <f>VLOOKUP(D217,'Bu Erta'!$C$2:$E$66,3,0)</f>
        <v>1400</v>
      </c>
      <c r="F217" s="20">
        <f>0.7+1.15</f>
        <v>1.8499999999999999</v>
      </c>
      <c r="G217" s="33">
        <f t="shared" si="8"/>
        <v>2590</v>
      </c>
      <c r="H217" s="3">
        <f>(VLOOKUP(D217,'Bu Erta'!$C$2:$F$66,4,0))*F217</f>
        <v>2960</v>
      </c>
    </row>
    <row r="218" spans="1:8" x14ac:dyDescent="0.35">
      <c r="A218" s="109"/>
      <c r="B218" s="20" t="s">
        <v>140</v>
      </c>
      <c r="C218" s="109"/>
      <c r="D218" s="20" t="s">
        <v>17</v>
      </c>
      <c r="E218" s="33">
        <f>VLOOKUP(D218,'Bu Erta'!$C$2:$E$66,3,0)</f>
        <v>8000</v>
      </c>
      <c r="F218" s="20">
        <v>0.1</v>
      </c>
      <c r="G218" s="33">
        <f t="shared" si="8"/>
        <v>800</v>
      </c>
      <c r="H218" s="3">
        <f>(VLOOKUP(D218,'Bu Erta'!$C$2:$F$66,4,0))*F218</f>
        <v>850</v>
      </c>
    </row>
    <row r="219" spans="1:8" x14ac:dyDescent="0.35">
      <c r="A219" s="109">
        <v>37</v>
      </c>
      <c r="B219" s="20" t="s">
        <v>106</v>
      </c>
      <c r="C219" s="109">
        <v>4</v>
      </c>
      <c r="D219" s="20" t="s">
        <v>36</v>
      </c>
      <c r="E219" s="33">
        <f>VLOOKUP(D219,'Bu Erta'!$C$2:$E$66,3,0)</f>
        <v>600</v>
      </c>
      <c r="F219" s="20">
        <v>1.7</v>
      </c>
      <c r="G219" s="33">
        <f t="shared" si="8"/>
        <v>1020</v>
      </c>
      <c r="H219" s="3">
        <f>(VLOOKUP(D219,'Bu Erta'!$C$2:$F$66,4,0))*F219</f>
        <v>1105</v>
      </c>
    </row>
    <row r="220" spans="1:8" x14ac:dyDescent="0.35">
      <c r="A220" s="109"/>
      <c r="B220" s="20" t="s">
        <v>106</v>
      </c>
      <c r="C220" s="109"/>
      <c r="D220" s="20" t="s">
        <v>23</v>
      </c>
      <c r="E220" s="33">
        <f>VLOOKUP(D220,'Bu Erta'!$C$2:$E$66,3,0)</f>
        <v>300</v>
      </c>
      <c r="F220" s="20">
        <v>0.35</v>
      </c>
      <c r="G220" s="33">
        <f t="shared" si="8"/>
        <v>105</v>
      </c>
      <c r="H220" s="3">
        <f>(VLOOKUP(D220,'Bu Erta'!$C$2:$F$66,4,0))*F220</f>
        <v>140</v>
      </c>
    </row>
    <row r="221" spans="1:8" x14ac:dyDescent="0.35">
      <c r="A221" s="109"/>
      <c r="B221" s="20" t="s">
        <v>106</v>
      </c>
      <c r="C221" s="109"/>
      <c r="D221" s="20" t="s">
        <v>7</v>
      </c>
      <c r="E221" s="33">
        <f>VLOOKUP(D221,'Bu Erta'!$C$2:$E$66,3,0)</f>
        <v>1400</v>
      </c>
      <c r="F221" s="20">
        <v>0.9</v>
      </c>
      <c r="G221" s="33">
        <f t="shared" si="8"/>
        <v>1260</v>
      </c>
      <c r="H221" s="3">
        <f>(VLOOKUP(D221,'Bu Erta'!$C$2:$F$66,4,0))*F221</f>
        <v>1440</v>
      </c>
    </row>
    <row r="222" spans="1:8" x14ac:dyDescent="0.35">
      <c r="A222" s="109"/>
      <c r="B222" s="20" t="s">
        <v>106</v>
      </c>
      <c r="C222" s="109"/>
      <c r="D222" s="20" t="s">
        <v>25</v>
      </c>
      <c r="E222" s="33">
        <f>VLOOKUP(D222,'Bu Erta'!$C$2:$E$66,3,0)</f>
        <v>1600</v>
      </c>
      <c r="F222" s="20">
        <v>0.6</v>
      </c>
      <c r="G222" s="33">
        <f t="shared" si="8"/>
        <v>960</v>
      </c>
      <c r="H222" s="3">
        <f>(VLOOKUP(D222,'Bu Erta'!$C$2:$F$66,4,0))*F222</f>
        <v>1020</v>
      </c>
    </row>
    <row r="223" spans="1:8" x14ac:dyDescent="0.35">
      <c r="A223" s="109">
        <v>38</v>
      </c>
      <c r="B223" s="20" t="s">
        <v>144</v>
      </c>
      <c r="C223" s="109">
        <v>4</v>
      </c>
      <c r="D223" s="20" t="s">
        <v>88</v>
      </c>
      <c r="E223" s="33">
        <f>VLOOKUP(D223,'Bu Erta'!$C$2:$E$66,3,0)</f>
        <v>300</v>
      </c>
      <c r="F223" s="20">
        <v>0.35</v>
      </c>
      <c r="G223" s="33">
        <f t="shared" si="8"/>
        <v>105</v>
      </c>
      <c r="H223" s="3">
        <f>(VLOOKUP(D223,'Bu Erta'!$C$2:$F$66,4,0))*F223</f>
        <v>140</v>
      </c>
    </row>
    <row r="224" spans="1:8" x14ac:dyDescent="0.35">
      <c r="A224" s="109"/>
      <c r="B224" s="20" t="s">
        <v>144</v>
      </c>
      <c r="C224" s="109"/>
      <c r="D224" s="20" t="s">
        <v>19</v>
      </c>
      <c r="E224" s="33">
        <f>VLOOKUP(D224,'Bu Erta'!$C$2:$E$66,3,0)</f>
        <v>200</v>
      </c>
      <c r="F224" s="20">
        <v>0.35</v>
      </c>
      <c r="G224" s="33">
        <f t="shared" si="8"/>
        <v>70</v>
      </c>
      <c r="H224" s="3">
        <f>(VLOOKUP(D224,'Bu Erta'!$C$2:$F$66,4,0))*F224</f>
        <v>105</v>
      </c>
    </row>
    <row r="225" spans="1:8" x14ac:dyDescent="0.35">
      <c r="A225" s="48">
        <v>39</v>
      </c>
      <c r="B225" s="20" t="s">
        <v>174</v>
      </c>
      <c r="C225" s="48">
        <v>5</v>
      </c>
      <c r="D225" s="20" t="s">
        <v>56</v>
      </c>
      <c r="E225" s="33">
        <f>VLOOKUP(D225,'Bu Erta'!$C$2:$E$66,3,0)</f>
        <v>4000</v>
      </c>
      <c r="F225" s="20">
        <v>4.55</v>
      </c>
      <c r="G225" s="33">
        <f t="shared" si="8"/>
        <v>18200</v>
      </c>
      <c r="H225" s="3">
        <f>(VLOOKUP(D225,'Bu Erta'!$C$2:$F$66,4,0))*F225</f>
        <v>25025</v>
      </c>
    </row>
    <row r="226" spans="1:8" x14ac:dyDescent="0.35">
      <c r="A226" s="109">
        <v>40</v>
      </c>
      <c r="B226" s="20" t="s">
        <v>98</v>
      </c>
      <c r="C226" s="109">
        <v>2</v>
      </c>
      <c r="D226" s="20" t="s">
        <v>23</v>
      </c>
      <c r="E226" s="33">
        <f>VLOOKUP(D226,'Bu Erta'!$C$2:$E$66,3,0)</f>
        <v>300</v>
      </c>
      <c r="F226" s="20">
        <v>0.55000000000000004</v>
      </c>
      <c r="G226" s="33">
        <f t="shared" si="8"/>
        <v>165</v>
      </c>
      <c r="H226" s="3">
        <f>(VLOOKUP(D226,'Bu Erta'!$C$2:$F$66,4,0))*F226</f>
        <v>220.00000000000003</v>
      </c>
    </row>
    <row r="227" spans="1:8" x14ac:dyDescent="0.35">
      <c r="A227" s="109"/>
      <c r="B227" s="20" t="s">
        <v>98</v>
      </c>
      <c r="C227" s="109"/>
      <c r="D227" s="20" t="s">
        <v>19</v>
      </c>
      <c r="E227" s="33">
        <f>VLOOKUP(D227,'Bu Erta'!$C$2:$E$66,3,0)</f>
        <v>200</v>
      </c>
      <c r="F227" s="20">
        <v>0.25</v>
      </c>
      <c r="G227" s="33">
        <f t="shared" si="8"/>
        <v>50</v>
      </c>
      <c r="H227" s="3">
        <f>(VLOOKUP(D227,'Bu Erta'!$C$2:$F$66,4,0))*F227</f>
        <v>75</v>
      </c>
    </row>
    <row r="228" spans="1:8" x14ac:dyDescent="0.35">
      <c r="A228" s="109">
        <v>41</v>
      </c>
      <c r="B228" s="20" t="s">
        <v>151</v>
      </c>
      <c r="C228" s="109">
        <v>4</v>
      </c>
      <c r="D228" s="20" t="s">
        <v>150</v>
      </c>
      <c r="E228" s="33">
        <f>VLOOKUP(D228,'Bu Erta'!$C$2:$E$66,3,0)</f>
        <v>1400</v>
      </c>
      <c r="F228" s="20">
        <v>1.3</v>
      </c>
      <c r="G228" s="33">
        <f t="shared" si="8"/>
        <v>1820</v>
      </c>
      <c r="H228" s="3">
        <f>(VLOOKUP(D228,'Bu Erta'!$C$2:$F$66,4,0))*F228</f>
        <v>2080</v>
      </c>
    </row>
    <row r="229" spans="1:8" x14ac:dyDescent="0.35">
      <c r="A229" s="109"/>
      <c r="B229" s="20" t="s">
        <v>151</v>
      </c>
      <c r="C229" s="109"/>
      <c r="D229" s="20" t="s">
        <v>6</v>
      </c>
      <c r="E229" s="33">
        <f>VLOOKUP(D229,'Bu Erta'!$C$2:$E$66,3,0)</f>
        <v>2000</v>
      </c>
      <c r="F229" s="20">
        <v>0.25</v>
      </c>
      <c r="G229" s="33">
        <f t="shared" si="8"/>
        <v>500</v>
      </c>
      <c r="H229" s="3">
        <f>(VLOOKUP(D229,'Bu Erta'!$C$2:$F$66,4,0))*F229</f>
        <v>625</v>
      </c>
    </row>
    <row r="230" spans="1:8" x14ac:dyDescent="0.35">
      <c r="A230" s="109"/>
      <c r="B230" s="20" t="s">
        <v>151</v>
      </c>
      <c r="C230" s="109"/>
      <c r="D230" s="20" t="s">
        <v>41</v>
      </c>
      <c r="E230" s="33">
        <f>VLOOKUP(D230,'Bu Erta'!$C$2:$E$66,3,0)</f>
        <v>1500</v>
      </c>
      <c r="F230" s="20">
        <f>0.25+0.75</f>
        <v>1</v>
      </c>
      <c r="G230" s="33">
        <f t="shared" si="8"/>
        <v>1500</v>
      </c>
      <c r="H230" s="3">
        <f>(VLOOKUP(D230,'Bu Erta'!$C$2:$F$66,4,0))*F230</f>
        <v>2000</v>
      </c>
    </row>
    <row r="231" spans="1:8" x14ac:dyDescent="0.35">
      <c r="A231" s="109"/>
      <c r="B231" s="20" t="s">
        <v>151</v>
      </c>
      <c r="C231" s="109"/>
      <c r="D231" s="20" t="s">
        <v>24</v>
      </c>
      <c r="E231" s="33">
        <f>VLOOKUP(D231,'Bu Erta'!$C$2:$E$66,3,0)</f>
        <v>150</v>
      </c>
      <c r="F231" s="20">
        <v>0.7</v>
      </c>
      <c r="G231" s="33">
        <f t="shared" si="8"/>
        <v>105</v>
      </c>
      <c r="H231" s="3">
        <f>(VLOOKUP(D231,'Bu Erta'!$C$2:$F$66,4,0))*F231</f>
        <v>140</v>
      </c>
    </row>
    <row r="232" spans="1:8" x14ac:dyDescent="0.35">
      <c r="A232" s="109"/>
      <c r="B232" s="20" t="s">
        <v>151</v>
      </c>
      <c r="C232" s="109"/>
      <c r="D232" s="20" t="s">
        <v>88</v>
      </c>
      <c r="E232" s="33">
        <f>VLOOKUP(D232,'Bu Erta'!$C$2:$E$66,3,0)</f>
        <v>300</v>
      </c>
      <c r="F232" s="20">
        <v>0.1</v>
      </c>
      <c r="G232" s="33">
        <f t="shared" si="8"/>
        <v>30</v>
      </c>
      <c r="H232" s="3">
        <f>(VLOOKUP(D232,'Bu Erta'!$C$2:$F$66,4,0))*F232</f>
        <v>40</v>
      </c>
    </row>
    <row r="233" spans="1:8" x14ac:dyDescent="0.35">
      <c r="A233" s="109"/>
      <c r="B233" s="20" t="s">
        <v>151</v>
      </c>
      <c r="C233" s="109"/>
      <c r="D233" s="20" t="s">
        <v>7</v>
      </c>
      <c r="E233" s="33">
        <f>VLOOKUP(D233,'Bu Erta'!$C$2:$E$66,3,0)</f>
        <v>1400</v>
      </c>
      <c r="F233" s="20">
        <f>1.8+0.45</f>
        <v>2.25</v>
      </c>
      <c r="G233" s="33">
        <f t="shared" si="8"/>
        <v>3150</v>
      </c>
      <c r="H233" s="3">
        <f>(VLOOKUP(D233,'Bu Erta'!$C$2:$F$66,4,0))*F233</f>
        <v>3600</v>
      </c>
    </row>
    <row r="234" spans="1:8" x14ac:dyDescent="0.35">
      <c r="A234" s="109"/>
      <c r="B234" s="20" t="s">
        <v>151</v>
      </c>
      <c r="C234" s="109"/>
      <c r="D234" s="20" t="s">
        <v>17</v>
      </c>
      <c r="E234" s="33">
        <f>VLOOKUP(D234,'Bu Erta'!$C$2:$E$66,3,0)</f>
        <v>8000</v>
      </c>
      <c r="F234" s="20">
        <v>0.1</v>
      </c>
      <c r="G234" s="33">
        <f t="shared" si="8"/>
        <v>800</v>
      </c>
      <c r="H234" s="3">
        <f>(VLOOKUP(D234,'Bu Erta'!$C$2:$F$66,4,0))*F234</f>
        <v>850</v>
      </c>
    </row>
    <row r="235" spans="1:8" x14ac:dyDescent="0.35">
      <c r="A235" s="109"/>
      <c r="B235" s="20" t="s">
        <v>151</v>
      </c>
      <c r="C235" s="109"/>
      <c r="D235" s="20" t="s">
        <v>45</v>
      </c>
      <c r="E235" s="33">
        <f>VLOOKUP(D235,'Bu Erta'!$C$2:$E$66,3,0)</f>
        <v>700</v>
      </c>
      <c r="F235" s="20">
        <v>0.15</v>
      </c>
      <c r="G235" s="33">
        <f t="shared" si="8"/>
        <v>105</v>
      </c>
      <c r="H235" s="3">
        <f>(VLOOKUP(D235,'Bu Erta'!$C$2:$F$66,4,0))*F235</f>
        <v>120</v>
      </c>
    </row>
    <row r="236" spans="1:8" x14ac:dyDescent="0.35">
      <c r="A236" s="109"/>
      <c r="B236" s="20" t="s">
        <v>151</v>
      </c>
      <c r="C236" s="109"/>
      <c r="D236" s="20" t="s">
        <v>22</v>
      </c>
      <c r="E236" s="33">
        <f>VLOOKUP(D236,'Bu Erta'!$C$2:$E$66,3,0)</f>
        <v>2500</v>
      </c>
      <c r="F236" s="20">
        <v>0.6</v>
      </c>
      <c r="G236" s="33">
        <f t="shared" si="8"/>
        <v>1500</v>
      </c>
      <c r="H236" s="3">
        <f>(VLOOKUP(D236,'Bu Erta'!$C$2:$F$66,4,0))*F236</f>
        <v>1800</v>
      </c>
    </row>
    <row r="237" spans="1:8" x14ac:dyDescent="0.35">
      <c r="A237" s="109"/>
      <c r="B237" s="20" t="s">
        <v>151</v>
      </c>
      <c r="C237" s="109"/>
      <c r="D237" s="20" t="s">
        <v>27</v>
      </c>
      <c r="E237" s="33">
        <f>VLOOKUP(D237,'Bu Erta'!$C$2:$E$66,3,0)</f>
        <v>2800</v>
      </c>
      <c r="F237" s="20">
        <v>0.55000000000000004</v>
      </c>
      <c r="G237" s="33">
        <f t="shared" si="8"/>
        <v>1540.0000000000002</v>
      </c>
      <c r="H237" s="3">
        <f>(VLOOKUP(D237,'Bu Erta'!$C$2:$F$66,4,0))*F237</f>
        <v>1705.0000000000002</v>
      </c>
    </row>
    <row r="238" spans="1:8" x14ac:dyDescent="0.35">
      <c r="A238" s="109"/>
      <c r="B238" s="20" t="s">
        <v>151</v>
      </c>
      <c r="C238" s="109"/>
      <c r="D238" s="20" t="s">
        <v>35</v>
      </c>
      <c r="E238" s="33">
        <f>VLOOKUP(D238,'Bu Erta'!$C$2:$E$66,3,0)</f>
        <v>1800</v>
      </c>
      <c r="F238" s="20">
        <v>4</v>
      </c>
      <c r="G238" s="33">
        <f t="shared" si="8"/>
        <v>7200</v>
      </c>
      <c r="H238" s="3">
        <f>(VLOOKUP(D238,'Bu Erta'!$C$2:$F$66,4,0))*F238</f>
        <v>8000</v>
      </c>
    </row>
    <row r="239" spans="1:8" x14ac:dyDescent="0.35">
      <c r="A239" s="109">
        <v>42</v>
      </c>
      <c r="B239" s="20" t="s">
        <v>95</v>
      </c>
      <c r="C239" s="109">
        <v>5</v>
      </c>
      <c r="D239" s="20" t="s">
        <v>22</v>
      </c>
      <c r="E239" s="33">
        <f>VLOOKUP(D239,'Bu Erta'!$C$2:$E$66,3,0)</f>
        <v>2500</v>
      </c>
      <c r="F239" s="20">
        <v>1.8</v>
      </c>
      <c r="G239" s="33">
        <f t="shared" si="8"/>
        <v>4500</v>
      </c>
      <c r="H239" s="3">
        <f>(VLOOKUP(D239,'Bu Erta'!$C$2:$F$66,4,0))*F239</f>
        <v>5400</v>
      </c>
    </row>
    <row r="240" spans="1:8" x14ac:dyDescent="0.35">
      <c r="A240" s="109"/>
      <c r="B240" s="20" t="s">
        <v>95</v>
      </c>
      <c r="C240" s="109"/>
      <c r="D240" s="20" t="s">
        <v>40</v>
      </c>
      <c r="E240" s="33">
        <f>VLOOKUP(D240,'Bu Erta'!$C$2:$E$66,3,0)</f>
        <v>1800</v>
      </c>
      <c r="F240" s="20">
        <v>0.85</v>
      </c>
      <c r="G240" s="33">
        <f t="shared" si="8"/>
        <v>1530</v>
      </c>
      <c r="H240" s="3">
        <f>(VLOOKUP(D240,'Bu Erta'!$C$2:$F$66,4,0))*F240</f>
        <v>1700</v>
      </c>
    </row>
    <row r="241" spans="1:8" x14ac:dyDescent="0.35">
      <c r="A241" s="109"/>
      <c r="B241" s="20" t="s">
        <v>95</v>
      </c>
      <c r="C241" s="109"/>
      <c r="D241" s="20" t="s">
        <v>23</v>
      </c>
      <c r="E241" s="33">
        <f>VLOOKUP(D241,'Bu Erta'!$C$2:$E$66,3,0)</f>
        <v>300</v>
      </c>
      <c r="F241" s="20">
        <v>0.65</v>
      </c>
      <c r="G241" s="33">
        <f t="shared" si="8"/>
        <v>195</v>
      </c>
      <c r="H241" s="3">
        <f>(VLOOKUP(D241,'Bu Erta'!$C$2:$F$66,4,0))*F241</f>
        <v>260</v>
      </c>
    </row>
    <row r="242" spans="1:8" x14ac:dyDescent="0.35">
      <c r="A242" s="109"/>
      <c r="B242" s="20" t="s">
        <v>95</v>
      </c>
      <c r="C242" s="109"/>
      <c r="D242" s="20" t="s">
        <v>42</v>
      </c>
      <c r="E242" s="33">
        <f>VLOOKUP(D242,'Bu Erta'!$C$2:$E$66,3,0)</f>
        <v>1000</v>
      </c>
      <c r="F242" s="20">
        <v>2.0499999999999998</v>
      </c>
      <c r="G242" s="33">
        <f t="shared" si="8"/>
        <v>2050</v>
      </c>
      <c r="H242" s="3">
        <f>(VLOOKUP(D242,'Bu Erta'!$C$2:$F$66,4,0))*F242</f>
        <v>2460</v>
      </c>
    </row>
    <row r="243" spans="1:8" x14ac:dyDescent="0.35">
      <c r="A243" s="109"/>
      <c r="B243" s="20" t="s">
        <v>95</v>
      </c>
      <c r="C243" s="109"/>
      <c r="D243" s="20" t="s">
        <v>60</v>
      </c>
      <c r="E243" s="33">
        <f>VLOOKUP(D243,'Bu Erta'!$C$2:$E$66,3,0)</f>
        <v>1200</v>
      </c>
      <c r="F243" s="20">
        <v>0.45</v>
      </c>
      <c r="G243" s="33">
        <f t="shared" si="8"/>
        <v>540</v>
      </c>
      <c r="H243" s="3">
        <f>(VLOOKUP(D243,'Bu Erta'!$C$2:$F$66,4,0))*F243</f>
        <v>675</v>
      </c>
    </row>
    <row r="244" spans="1:8" x14ac:dyDescent="0.35">
      <c r="A244" s="109"/>
      <c r="B244" s="20" t="s">
        <v>95</v>
      </c>
      <c r="C244" s="109"/>
      <c r="D244" s="20" t="s">
        <v>19</v>
      </c>
      <c r="E244" s="33">
        <f>VLOOKUP(D244,'Bu Erta'!$C$2:$E$66,3,0)</f>
        <v>200</v>
      </c>
      <c r="F244" s="20">
        <v>0.15</v>
      </c>
      <c r="G244" s="33">
        <f t="shared" si="8"/>
        <v>30</v>
      </c>
      <c r="H244" s="3">
        <f>(VLOOKUP(D244,'Bu Erta'!$C$2:$F$66,4,0))*F244</f>
        <v>45</v>
      </c>
    </row>
    <row r="245" spans="1:8" x14ac:dyDescent="0.35">
      <c r="A245" s="109"/>
      <c r="B245" s="20" t="s">
        <v>95</v>
      </c>
      <c r="C245" s="109"/>
      <c r="D245" s="20" t="s">
        <v>69</v>
      </c>
      <c r="E245" s="33">
        <f>VLOOKUP(D245,'Bu Erta'!$C$2:$E$66,3,0)</f>
        <v>2500</v>
      </c>
      <c r="F245" s="20">
        <v>0.3</v>
      </c>
      <c r="G245" s="33">
        <f t="shared" si="8"/>
        <v>750</v>
      </c>
      <c r="H245" s="3">
        <f>(VLOOKUP(D245,'Bu Erta'!$C$2:$F$66,4,0))*F245</f>
        <v>900</v>
      </c>
    </row>
    <row r="246" spans="1:8" x14ac:dyDescent="0.35">
      <c r="A246" s="109"/>
      <c r="B246" s="20" t="s">
        <v>95</v>
      </c>
      <c r="C246" s="109"/>
      <c r="D246" s="20" t="s">
        <v>7</v>
      </c>
      <c r="E246" s="33">
        <f>VLOOKUP(D246,'Bu Erta'!$C$2:$E$66,3,0)</f>
        <v>1400</v>
      </c>
      <c r="F246" s="20">
        <v>0.2</v>
      </c>
      <c r="G246" s="33">
        <f t="shared" si="8"/>
        <v>280</v>
      </c>
      <c r="H246" s="3">
        <f>(VLOOKUP(D246,'Bu Erta'!$C$2:$F$66,4,0))*F246</f>
        <v>320</v>
      </c>
    </row>
    <row r="247" spans="1:8" x14ac:dyDescent="0.35">
      <c r="A247" s="109"/>
      <c r="B247" s="20" t="s">
        <v>95</v>
      </c>
      <c r="C247" s="109"/>
      <c r="D247" s="20" t="s">
        <v>41</v>
      </c>
      <c r="E247" s="33">
        <f>VLOOKUP(D247,'Bu Erta'!$C$2:$E$66,3,0)</f>
        <v>1500</v>
      </c>
      <c r="F247" s="20">
        <v>0.7</v>
      </c>
      <c r="G247" s="33">
        <f t="shared" si="8"/>
        <v>1050</v>
      </c>
      <c r="H247" s="3">
        <f>(VLOOKUP(D247,'Bu Erta'!$C$2:$F$66,4,0))*F247</f>
        <v>1400</v>
      </c>
    </row>
    <row r="248" spans="1:8" x14ac:dyDescent="0.35">
      <c r="A248" s="109"/>
      <c r="B248" s="20" t="s">
        <v>95</v>
      </c>
      <c r="C248" s="109"/>
      <c r="D248" s="20" t="s">
        <v>31</v>
      </c>
      <c r="E248" s="33">
        <f>VLOOKUP(D248,'Bu Erta'!$C$2:$E$66,3,0)</f>
        <v>1000</v>
      </c>
      <c r="F248" s="20">
        <v>2.65</v>
      </c>
      <c r="G248" s="33">
        <f t="shared" si="8"/>
        <v>2650</v>
      </c>
      <c r="H248" s="3">
        <f>(VLOOKUP(D248,'Bu Erta'!$C$2:$F$66,4,0))*F248</f>
        <v>2915</v>
      </c>
    </row>
    <row r="249" spans="1:8" x14ac:dyDescent="0.35">
      <c r="A249" s="109">
        <v>43</v>
      </c>
      <c r="B249" s="20" t="s">
        <v>152</v>
      </c>
      <c r="C249" s="109">
        <v>4</v>
      </c>
      <c r="D249" s="20" t="s">
        <v>19</v>
      </c>
      <c r="E249" s="33">
        <f>VLOOKUP(D249,'Bu Erta'!$C$2:$E$66,3,0)</f>
        <v>200</v>
      </c>
      <c r="F249" s="20">
        <v>0.1</v>
      </c>
      <c r="G249" s="33">
        <f t="shared" si="8"/>
        <v>20</v>
      </c>
      <c r="H249" s="3">
        <f>(VLOOKUP(D249,'Bu Erta'!$C$2:$F$66,4,0))*F249</f>
        <v>30</v>
      </c>
    </row>
    <row r="250" spans="1:8" x14ac:dyDescent="0.35">
      <c r="A250" s="109"/>
      <c r="B250" s="20" t="s">
        <v>152</v>
      </c>
      <c r="C250" s="109"/>
      <c r="D250" s="20" t="s">
        <v>7</v>
      </c>
      <c r="E250" s="33">
        <f>VLOOKUP(D250,'Bu Erta'!$C$2:$E$66,3,0)</f>
        <v>1400</v>
      </c>
      <c r="F250" s="20">
        <v>1.8</v>
      </c>
      <c r="G250" s="33">
        <f t="shared" si="8"/>
        <v>2520</v>
      </c>
      <c r="H250" s="3">
        <f>(VLOOKUP(D250,'Bu Erta'!$C$2:$F$66,4,0))*F250</f>
        <v>2880</v>
      </c>
    </row>
    <row r="251" spans="1:8" x14ac:dyDescent="0.35">
      <c r="A251" s="109"/>
      <c r="B251" s="20" t="s">
        <v>152</v>
      </c>
      <c r="C251" s="109"/>
      <c r="D251" s="20" t="s">
        <v>42</v>
      </c>
      <c r="E251" s="33">
        <f>VLOOKUP(D251,'Bu Erta'!$C$2:$E$66,3,0)</f>
        <v>1000</v>
      </c>
      <c r="F251" s="20">
        <v>0.45</v>
      </c>
      <c r="G251" s="33">
        <f t="shared" si="8"/>
        <v>450</v>
      </c>
      <c r="H251" s="3">
        <f>(VLOOKUP(D251,'Bu Erta'!$C$2:$F$66,4,0))*F251</f>
        <v>540</v>
      </c>
    </row>
    <row r="252" spans="1:8" x14ac:dyDescent="0.35">
      <c r="A252" s="109"/>
      <c r="B252" s="20" t="s">
        <v>152</v>
      </c>
      <c r="C252" s="109"/>
      <c r="D252" s="20" t="s">
        <v>23</v>
      </c>
      <c r="E252" s="33">
        <f>VLOOKUP(D252,'Bu Erta'!$C$2:$E$66,3,0)</f>
        <v>300</v>
      </c>
      <c r="F252" s="20">
        <v>0.15</v>
      </c>
      <c r="G252" s="33">
        <f t="shared" si="8"/>
        <v>45</v>
      </c>
      <c r="H252" s="3">
        <f>(VLOOKUP(D252,'Bu Erta'!$C$2:$F$66,4,0))*F252</f>
        <v>60</v>
      </c>
    </row>
    <row r="253" spans="1:8" x14ac:dyDescent="0.35">
      <c r="A253" s="48">
        <v>44</v>
      </c>
      <c r="B253" s="20" t="s">
        <v>97</v>
      </c>
      <c r="C253" s="48">
        <v>4</v>
      </c>
      <c r="D253" s="20" t="s">
        <v>24</v>
      </c>
      <c r="E253" s="33">
        <f>VLOOKUP(D253,'Bu Erta'!$C$2:$E$66,3,0)</f>
        <v>150</v>
      </c>
      <c r="F253" s="20">
        <v>3</v>
      </c>
      <c r="G253" s="33">
        <f t="shared" si="8"/>
        <v>450</v>
      </c>
      <c r="H253" s="3">
        <f>(VLOOKUP(D253,'Bu Erta'!$C$2:$F$66,4,0))*F253</f>
        <v>600</v>
      </c>
    </row>
    <row r="254" spans="1:8" x14ac:dyDescent="0.35">
      <c r="A254" s="109">
        <v>45</v>
      </c>
      <c r="B254" s="20" t="s">
        <v>89</v>
      </c>
      <c r="C254" s="109">
        <v>4</v>
      </c>
      <c r="D254" s="20" t="s">
        <v>24</v>
      </c>
      <c r="E254" s="33">
        <f>VLOOKUP(D254,'Bu Erta'!$C$2:$E$66,3,0)</f>
        <v>150</v>
      </c>
      <c r="F254" s="20">
        <v>3.05</v>
      </c>
      <c r="G254" s="33">
        <f t="shared" si="8"/>
        <v>457.5</v>
      </c>
      <c r="H254" s="3">
        <f>(VLOOKUP(D254,'Bu Erta'!$C$2:$F$66,4,0))*F254</f>
        <v>610</v>
      </c>
    </row>
    <row r="255" spans="1:8" x14ac:dyDescent="0.35">
      <c r="A255" s="109"/>
      <c r="B255" s="20" t="s">
        <v>89</v>
      </c>
      <c r="C255" s="109"/>
      <c r="D255" s="20" t="s">
        <v>7</v>
      </c>
      <c r="E255" s="33">
        <f>VLOOKUP(D255,'Bu Erta'!$C$2:$E$66,3,0)</f>
        <v>1400</v>
      </c>
      <c r="F255" s="20">
        <v>0.95</v>
      </c>
      <c r="G255" s="33">
        <f t="shared" si="8"/>
        <v>1330</v>
      </c>
      <c r="H255" s="3">
        <f>(VLOOKUP(D255,'Bu Erta'!$C$2:$F$66,4,0))*F255</f>
        <v>1520</v>
      </c>
    </row>
    <row r="256" spans="1:8" x14ac:dyDescent="0.35">
      <c r="A256" s="109"/>
      <c r="B256" s="20" t="s">
        <v>89</v>
      </c>
      <c r="C256" s="109"/>
      <c r="D256" s="20" t="s">
        <v>19</v>
      </c>
      <c r="E256" s="33">
        <f>VLOOKUP(D256,'Bu Erta'!$C$2:$E$66,3,0)</f>
        <v>200</v>
      </c>
      <c r="F256" s="20">
        <v>0.55000000000000004</v>
      </c>
      <c r="G256" s="33">
        <f t="shared" si="8"/>
        <v>110.00000000000001</v>
      </c>
      <c r="H256" s="3">
        <f>(VLOOKUP(D256,'Bu Erta'!$C$2:$F$66,4,0))*F256</f>
        <v>165</v>
      </c>
    </row>
    <row r="257" spans="1:8" x14ac:dyDescent="0.35">
      <c r="A257" s="109"/>
      <c r="B257" s="20" t="s">
        <v>89</v>
      </c>
      <c r="C257" s="109"/>
      <c r="D257" s="20" t="s">
        <v>27</v>
      </c>
      <c r="E257" s="33">
        <f>VLOOKUP(D257,'Bu Erta'!$C$2:$E$66,3,0)</f>
        <v>2800</v>
      </c>
      <c r="F257" s="20">
        <v>0.45</v>
      </c>
      <c r="G257" s="33">
        <f t="shared" ref="G257:G278" si="9">E257*F257</f>
        <v>1260</v>
      </c>
      <c r="H257" s="3">
        <f>(VLOOKUP(D257,'Bu Erta'!$C$2:$F$66,4,0))*F257</f>
        <v>1395</v>
      </c>
    </row>
    <row r="258" spans="1:8" x14ac:dyDescent="0.35">
      <c r="A258" s="109">
        <v>46</v>
      </c>
      <c r="B258" s="20" t="s">
        <v>105</v>
      </c>
      <c r="C258" s="109">
        <v>4</v>
      </c>
      <c r="D258" s="20" t="s">
        <v>19</v>
      </c>
      <c r="E258" s="33">
        <f>VLOOKUP(D258,'Bu Erta'!$C$2:$E$66,3,0)</f>
        <v>200</v>
      </c>
      <c r="F258" s="20">
        <v>0.2</v>
      </c>
      <c r="G258" s="33">
        <f t="shared" si="9"/>
        <v>40</v>
      </c>
      <c r="H258" s="3">
        <f>(VLOOKUP(D258,'Bu Erta'!$C$2:$F$66,4,0))*F258</f>
        <v>60</v>
      </c>
    </row>
    <row r="259" spans="1:8" x14ac:dyDescent="0.35">
      <c r="A259" s="109"/>
      <c r="B259" s="20" t="s">
        <v>105</v>
      </c>
      <c r="C259" s="109"/>
      <c r="D259" s="20" t="s">
        <v>7</v>
      </c>
      <c r="E259" s="33">
        <f>VLOOKUP(D259,'Bu Erta'!$C$2:$E$66,3,0)</f>
        <v>1400</v>
      </c>
      <c r="F259" s="20">
        <f>1.05+2.4+0.45</f>
        <v>3.9000000000000004</v>
      </c>
      <c r="G259" s="33">
        <f t="shared" si="9"/>
        <v>5460.0000000000009</v>
      </c>
      <c r="H259" s="3">
        <f>(VLOOKUP(D259,'Bu Erta'!$C$2:$F$66,4,0))*F259</f>
        <v>6240.0000000000009</v>
      </c>
    </row>
    <row r="260" spans="1:8" x14ac:dyDescent="0.35">
      <c r="A260" s="109"/>
      <c r="B260" s="20" t="s">
        <v>105</v>
      </c>
      <c r="C260" s="109"/>
      <c r="D260" s="20" t="s">
        <v>27</v>
      </c>
      <c r="E260" s="33">
        <f>VLOOKUP(D260,'Bu Erta'!$C$2:$E$66,3,0)</f>
        <v>2800</v>
      </c>
      <c r="F260" s="20">
        <v>0.1</v>
      </c>
      <c r="G260" s="33">
        <f t="shared" si="9"/>
        <v>280</v>
      </c>
      <c r="H260" s="3">
        <f>(VLOOKUP(D260,'Bu Erta'!$C$2:$F$66,4,0))*F260</f>
        <v>310</v>
      </c>
    </row>
    <row r="261" spans="1:8" x14ac:dyDescent="0.35">
      <c r="A261" s="109"/>
      <c r="B261" s="20" t="s">
        <v>105</v>
      </c>
      <c r="C261" s="109"/>
      <c r="D261" s="20" t="s">
        <v>23</v>
      </c>
      <c r="E261" s="33">
        <f>VLOOKUP(D261,'Bu Erta'!$C$2:$E$66,3,0)</f>
        <v>300</v>
      </c>
      <c r="F261" s="20">
        <v>0.2</v>
      </c>
      <c r="G261" s="33">
        <f t="shared" si="9"/>
        <v>60</v>
      </c>
      <c r="H261" s="3">
        <f>(VLOOKUP(D261,'Bu Erta'!$C$2:$F$66,4,0))*F261</f>
        <v>80</v>
      </c>
    </row>
    <row r="262" spans="1:8" x14ac:dyDescent="0.35">
      <c r="A262" s="109"/>
      <c r="B262" s="20" t="s">
        <v>105</v>
      </c>
      <c r="C262" s="109"/>
      <c r="D262" s="20" t="s">
        <v>42</v>
      </c>
      <c r="E262" s="33">
        <f>VLOOKUP(D262,'Bu Erta'!$C$2:$E$66,3,0)</f>
        <v>1000</v>
      </c>
      <c r="F262" s="20">
        <v>0.35</v>
      </c>
      <c r="G262" s="33">
        <f t="shared" si="9"/>
        <v>350</v>
      </c>
      <c r="H262" s="3">
        <f>(VLOOKUP(D262,'Bu Erta'!$C$2:$F$66,4,0))*F262</f>
        <v>420</v>
      </c>
    </row>
    <row r="263" spans="1:8" x14ac:dyDescent="0.35">
      <c r="A263" s="109"/>
      <c r="B263" s="20" t="s">
        <v>105</v>
      </c>
      <c r="C263" s="109"/>
      <c r="D263" s="20" t="s">
        <v>41</v>
      </c>
      <c r="E263" s="33">
        <f>VLOOKUP(D263,'Bu Erta'!$C$2:$E$66,3,0)</f>
        <v>1500</v>
      </c>
      <c r="F263" s="20">
        <v>0.65</v>
      </c>
      <c r="G263" s="33">
        <f t="shared" si="9"/>
        <v>975</v>
      </c>
      <c r="H263" s="3">
        <f>(VLOOKUP(D263,'Bu Erta'!$C$2:$F$66,4,0))*F263</f>
        <v>1300</v>
      </c>
    </row>
    <row r="264" spans="1:8" x14ac:dyDescent="0.35">
      <c r="A264" s="109"/>
      <c r="B264" s="20" t="s">
        <v>105</v>
      </c>
      <c r="C264" s="109"/>
      <c r="D264" s="20" t="s">
        <v>60</v>
      </c>
      <c r="E264" s="33">
        <f>VLOOKUP(D264,'Bu Erta'!$C$2:$E$66,3,0)</f>
        <v>1200</v>
      </c>
      <c r="F264" s="20">
        <v>0.7</v>
      </c>
      <c r="G264" s="33">
        <f t="shared" si="9"/>
        <v>840</v>
      </c>
      <c r="H264" s="3">
        <f>(VLOOKUP(D264,'Bu Erta'!$C$2:$F$66,4,0))*F264</f>
        <v>1050</v>
      </c>
    </row>
    <row r="265" spans="1:8" x14ac:dyDescent="0.35">
      <c r="A265" s="109"/>
      <c r="B265" s="20" t="s">
        <v>105</v>
      </c>
      <c r="C265" s="109"/>
      <c r="D265" s="20" t="s">
        <v>40</v>
      </c>
      <c r="E265" s="33">
        <f>VLOOKUP(D265,'Bu Erta'!$C$2:$E$66,3,0)</f>
        <v>1800</v>
      </c>
      <c r="F265" s="20">
        <v>1.65</v>
      </c>
      <c r="G265" s="33">
        <f t="shared" si="9"/>
        <v>2970</v>
      </c>
      <c r="H265" s="3">
        <f>(VLOOKUP(D265,'Bu Erta'!$C$2:$F$66,4,0))*F265</f>
        <v>3300</v>
      </c>
    </row>
    <row r="266" spans="1:8" x14ac:dyDescent="0.35">
      <c r="A266" s="109"/>
      <c r="B266" s="20" t="s">
        <v>105</v>
      </c>
      <c r="C266" s="109"/>
      <c r="D266" s="20" t="s">
        <v>63</v>
      </c>
      <c r="E266" s="33">
        <f>VLOOKUP(D266,'Bu Erta'!$C$2:$E$66,3,0)</f>
        <v>800</v>
      </c>
      <c r="F266" s="20">
        <v>3.1</v>
      </c>
      <c r="G266" s="33">
        <f t="shared" si="9"/>
        <v>2480</v>
      </c>
      <c r="H266" s="3">
        <f>(VLOOKUP(D266,'Bu Erta'!$C$2:$F$66,4,0))*F266</f>
        <v>3100</v>
      </c>
    </row>
    <row r="267" spans="1:8" x14ac:dyDescent="0.35">
      <c r="A267" s="109">
        <v>47</v>
      </c>
      <c r="B267" s="20" t="s">
        <v>108</v>
      </c>
      <c r="C267" s="109">
        <v>2</v>
      </c>
      <c r="D267" s="20" t="s">
        <v>19</v>
      </c>
      <c r="E267" s="33">
        <f>VLOOKUP(D267,'Bu Erta'!$C$2:$E$66,3,0)</f>
        <v>200</v>
      </c>
      <c r="F267" s="20">
        <v>0.3</v>
      </c>
      <c r="G267" s="33">
        <f t="shared" si="9"/>
        <v>60</v>
      </c>
      <c r="H267" s="3">
        <f>(VLOOKUP(D267,'Bu Erta'!$C$2:$F$66,4,0))*F267</f>
        <v>90</v>
      </c>
    </row>
    <row r="268" spans="1:8" x14ac:dyDescent="0.35">
      <c r="A268" s="109"/>
      <c r="B268" s="20" t="s">
        <v>108</v>
      </c>
      <c r="C268" s="109"/>
      <c r="D268" s="20" t="s">
        <v>23</v>
      </c>
      <c r="E268" s="33">
        <f>VLOOKUP(D268,'Bu Erta'!$C$2:$E$66,3,0)</f>
        <v>300</v>
      </c>
      <c r="F268" s="20">
        <v>0.25</v>
      </c>
      <c r="G268" s="33">
        <f t="shared" si="9"/>
        <v>75</v>
      </c>
      <c r="H268" s="3">
        <f>(VLOOKUP(D268,'Bu Erta'!$C$2:$F$66,4,0))*F268</f>
        <v>100</v>
      </c>
    </row>
    <row r="269" spans="1:8" x14ac:dyDescent="0.35">
      <c r="A269" s="109"/>
      <c r="B269" s="20" t="s">
        <v>108</v>
      </c>
      <c r="C269" s="109"/>
      <c r="D269" s="20" t="s">
        <v>7</v>
      </c>
      <c r="E269" s="33">
        <f>VLOOKUP(D269,'Bu Erta'!$C$2:$E$66,3,0)</f>
        <v>1400</v>
      </c>
      <c r="F269" s="20">
        <v>2.0499999999999998</v>
      </c>
      <c r="G269" s="33">
        <f t="shared" si="9"/>
        <v>2869.9999999999995</v>
      </c>
      <c r="H269" s="3">
        <f>(VLOOKUP(D269,'Bu Erta'!$C$2:$F$66,4,0))*F269</f>
        <v>3279.9999999999995</v>
      </c>
    </row>
    <row r="270" spans="1:8" x14ac:dyDescent="0.35">
      <c r="A270" s="109"/>
      <c r="B270" s="20" t="s">
        <v>108</v>
      </c>
      <c r="C270" s="109"/>
      <c r="D270" s="20" t="s">
        <v>31</v>
      </c>
      <c r="E270" s="33">
        <f>VLOOKUP(D270,'Bu Erta'!$C$2:$E$66,3,0)</f>
        <v>1000</v>
      </c>
      <c r="F270" s="20">
        <v>0.3</v>
      </c>
      <c r="G270" s="33">
        <f t="shared" si="9"/>
        <v>300</v>
      </c>
      <c r="H270" s="3">
        <f>(VLOOKUP(D270,'Bu Erta'!$C$2:$F$66,4,0))*F270</f>
        <v>330</v>
      </c>
    </row>
    <row r="271" spans="1:8" x14ac:dyDescent="0.35">
      <c r="A271" s="109"/>
      <c r="B271" s="20" t="s">
        <v>108</v>
      </c>
      <c r="C271" s="109"/>
      <c r="D271" s="20" t="s">
        <v>25</v>
      </c>
      <c r="E271" s="33">
        <f>VLOOKUP(D271,'Bu Erta'!$C$2:$E$66,3,0)</f>
        <v>1600</v>
      </c>
      <c r="F271" s="20">
        <v>1.05</v>
      </c>
      <c r="G271" s="33">
        <f t="shared" si="9"/>
        <v>1680</v>
      </c>
      <c r="H271" s="3">
        <f>(VLOOKUP(D271,'Bu Erta'!$C$2:$F$66,4,0))*F271</f>
        <v>1785</v>
      </c>
    </row>
    <row r="272" spans="1:8" x14ac:dyDescent="0.35">
      <c r="A272" s="115"/>
      <c r="B272" s="21" t="s">
        <v>108</v>
      </c>
      <c r="C272" s="115"/>
      <c r="D272" s="21" t="s">
        <v>69</v>
      </c>
      <c r="E272" s="34">
        <f>VLOOKUP(D272,'Bu Erta'!$C$2:$E$66,3,0)</f>
        <v>2500</v>
      </c>
      <c r="F272" s="21">
        <v>0.1</v>
      </c>
      <c r="G272" s="34">
        <f t="shared" si="9"/>
        <v>250</v>
      </c>
      <c r="H272" s="3">
        <f>(VLOOKUP(D272,'Bu Erta'!$C$2:$F$66,4,0))*F272</f>
        <v>300</v>
      </c>
    </row>
    <row r="273" spans="1:10" x14ac:dyDescent="0.35">
      <c r="A273" s="108">
        <v>48</v>
      </c>
      <c r="B273" s="19" t="s">
        <v>102</v>
      </c>
      <c r="C273" s="110">
        <v>4</v>
      </c>
      <c r="D273" s="19" t="s">
        <v>28</v>
      </c>
      <c r="E273" s="32">
        <f>VLOOKUP(D273,'Bu Erta'!$C$2:$E$66,3,0)</f>
        <v>1200</v>
      </c>
      <c r="F273" s="36">
        <f>9.2+2.4</f>
        <v>11.6</v>
      </c>
      <c r="G273" s="32">
        <f t="shared" si="9"/>
        <v>13920</v>
      </c>
      <c r="H273" s="3">
        <f>(VLOOKUP(D273,'Bu Erta'!$C$2:$F$66,4,0))*F273</f>
        <v>15080</v>
      </c>
    </row>
    <row r="274" spans="1:10" x14ac:dyDescent="0.35">
      <c r="A274" s="106"/>
      <c r="B274" s="20" t="s">
        <v>102</v>
      </c>
      <c r="C274" s="111"/>
      <c r="D274" s="20" t="s">
        <v>38</v>
      </c>
      <c r="E274" s="33">
        <f>VLOOKUP(D274,'Bu Erta'!$C$2:$E$66,3,0)</f>
        <v>1400</v>
      </c>
      <c r="F274">
        <v>1.25</v>
      </c>
      <c r="G274" s="33">
        <f t="shared" si="9"/>
        <v>1750</v>
      </c>
      <c r="H274" s="3">
        <f>(VLOOKUP(D274,'Bu Erta'!$C$2:$F$66,4,0))*F274</f>
        <v>2000</v>
      </c>
    </row>
    <row r="275" spans="1:10" x14ac:dyDescent="0.35">
      <c r="A275" s="106"/>
      <c r="B275" s="20" t="s">
        <v>102</v>
      </c>
      <c r="C275" s="111"/>
      <c r="D275" s="20" t="s">
        <v>23</v>
      </c>
      <c r="E275" s="33">
        <f>VLOOKUP(D275,'Bu Erta'!$C$2:$E$66,3,0)</f>
        <v>300</v>
      </c>
      <c r="F275">
        <f>3.45+0.3</f>
        <v>3.75</v>
      </c>
      <c r="G275" s="33">
        <f t="shared" si="9"/>
        <v>1125</v>
      </c>
      <c r="H275" s="3">
        <f>(VLOOKUP(D275,'Bu Erta'!$C$2:$F$66,4,0))*F275</f>
        <v>1500</v>
      </c>
    </row>
    <row r="276" spans="1:10" x14ac:dyDescent="0.35">
      <c r="A276" s="106"/>
      <c r="B276" s="20" t="s">
        <v>102</v>
      </c>
      <c r="C276" s="111"/>
      <c r="D276" s="20" t="s">
        <v>46</v>
      </c>
      <c r="E276" s="33">
        <f>VLOOKUP(D276,'Bu Erta'!$C$2:$E$66,3,0)</f>
        <v>1400</v>
      </c>
      <c r="F276">
        <v>4.5999999999999996</v>
      </c>
      <c r="G276" s="33">
        <f t="shared" si="9"/>
        <v>6439.9999999999991</v>
      </c>
      <c r="H276" s="3">
        <f>(VLOOKUP(D276,'Bu Erta'!$C$2:$F$66,4,0))*F276</f>
        <v>6899.9999999999991</v>
      </c>
    </row>
    <row r="277" spans="1:10" x14ac:dyDescent="0.35">
      <c r="A277" s="106"/>
      <c r="B277" s="20" t="s">
        <v>102</v>
      </c>
      <c r="C277" s="111"/>
      <c r="D277" s="20" t="s">
        <v>7</v>
      </c>
      <c r="E277" s="33">
        <f>VLOOKUP(D277,'Bu Erta'!$C$2:$E$66,3,0)</f>
        <v>1400</v>
      </c>
      <c r="F277">
        <v>0.25</v>
      </c>
      <c r="G277" s="33">
        <f t="shared" si="9"/>
        <v>350</v>
      </c>
      <c r="H277" s="3">
        <f>(VLOOKUP(D277,'Bu Erta'!$C$2:$F$66,4,0))*F277</f>
        <v>400</v>
      </c>
    </row>
    <row r="278" spans="1:10" x14ac:dyDescent="0.35">
      <c r="A278" s="113"/>
      <c r="B278" s="21" t="s">
        <v>102</v>
      </c>
      <c r="C278" s="112"/>
      <c r="D278" s="21" t="s">
        <v>24</v>
      </c>
      <c r="E278" s="34">
        <f>VLOOKUP(D278,'Bu Erta'!$C$2:$E$66,3,0)</f>
        <v>150</v>
      </c>
      <c r="F278" s="39">
        <v>10.8</v>
      </c>
      <c r="G278" s="34">
        <f t="shared" si="9"/>
        <v>1620</v>
      </c>
      <c r="H278" s="3">
        <f>(VLOOKUP(D278,'Bu Erta'!$C$2:$F$66,4,0))*F278</f>
        <v>2160</v>
      </c>
    </row>
    <row r="279" spans="1:10" x14ac:dyDescent="0.35">
      <c r="F279" s="58"/>
      <c r="G279" s="3">
        <f>SUM(G3:G278)</f>
        <v>620721</v>
      </c>
      <c r="H279" s="3">
        <f>SUM(H3:H278)</f>
        <v>727826.5</v>
      </c>
      <c r="I279" s="4">
        <f>H279-G279</f>
        <v>107105.5</v>
      </c>
      <c r="J279" s="4"/>
    </row>
    <row r="280" spans="1:10" x14ac:dyDescent="0.35">
      <c r="G280" s="3">
        <v>620721</v>
      </c>
      <c r="H280" s="3">
        <v>769227</v>
      </c>
      <c r="I280" s="4">
        <f>H280-G280</f>
        <v>148506</v>
      </c>
    </row>
  </sheetData>
  <mergeCells count="85">
    <mergeCell ref="C273:C278"/>
    <mergeCell ref="A273:A278"/>
    <mergeCell ref="N103:O103"/>
    <mergeCell ref="C258:C266"/>
    <mergeCell ref="A258:A266"/>
    <mergeCell ref="C267:C272"/>
    <mergeCell ref="A267:A272"/>
    <mergeCell ref="A239:A248"/>
    <mergeCell ref="C239:C248"/>
    <mergeCell ref="C249:C252"/>
    <mergeCell ref="A249:A252"/>
    <mergeCell ref="A254:A257"/>
    <mergeCell ref="C254:C257"/>
    <mergeCell ref="C223:C224"/>
    <mergeCell ref="A223:A224"/>
    <mergeCell ref="A226:A227"/>
    <mergeCell ref="C226:C227"/>
    <mergeCell ref="A228:A238"/>
    <mergeCell ref="C228:C238"/>
    <mergeCell ref="A207:A210"/>
    <mergeCell ref="C207:C210"/>
    <mergeCell ref="C211:C218"/>
    <mergeCell ref="A211:A218"/>
    <mergeCell ref="A219:A222"/>
    <mergeCell ref="C219:C222"/>
    <mergeCell ref="A191:A196"/>
    <mergeCell ref="C191:C196"/>
    <mergeCell ref="A197:A201"/>
    <mergeCell ref="C197:C201"/>
    <mergeCell ref="C202:C206"/>
    <mergeCell ref="A202:A206"/>
    <mergeCell ref="A177:A178"/>
    <mergeCell ref="C177:C178"/>
    <mergeCell ref="A179:A180"/>
    <mergeCell ref="C179:C180"/>
    <mergeCell ref="C181:C189"/>
    <mergeCell ref="A181:A189"/>
    <mergeCell ref="C154:C162"/>
    <mergeCell ref="A154:A162"/>
    <mergeCell ref="A163:A171"/>
    <mergeCell ref="C163:C171"/>
    <mergeCell ref="C172:C176"/>
    <mergeCell ref="A172:A176"/>
    <mergeCell ref="A132:A137"/>
    <mergeCell ref="C132:C137"/>
    <mergeCell ref="C138:C139"/>
    <mergeCell ref="A138:A139"/>
    <mergeCell ref="A140:A153"/>
    <mergeCell ref="C140:C153"/>
    <mergeCell ref="A109:A114"/>
    <mergeCell ref="C109:C114"/>
    <mergeCell ref="C116:C125"/>
    <mergeCell ref="A116:A125"/>
    <mergeCell ref="A126:A131"/>
    <mergeCell ref="C126:C131"/>
    <mergeCell ref="A85:A94"/>
    <mergeCell ref="C85:C94"/>
    <mergeCell ref="A96:A99"/>
    <mergeCell ref="C96:C99"/>
    <mergeCell ref="C100:C108"/>
    <mergeCell ref="A100:A108"/>
    <mergeCell ref="A72:A74"/>
    <mergeCell ref="C72:C74"/>
    <mergeCell ref="A75:A76"/>
    <mergeCell ref="C75:C76"/>
    <mergeCell ref="C77:C84"/>
    <mergeCell ref="A77:A84"/>
    <mergeCell ref="A54:A59"/>
    <mergeCell ref="C54:C59"/>
    <mergeCell ref="C61:C69"/>
    <mergeCell ref="C70:C71"/>
    <mergeCell ref="A70:A71"/>
    <mergeCell ref="A61:A69"/>
    <mergeCell ref="C32:C34"/>
    <mergeCell ref="A32:A34"/>
    <mergeCell ref="A35:A43"/>
    <mergeCell ref="C35:C43"/>
    <mergeCell ref="C44:C53"/>
    <mergeCell ref="A44:A53"/>
    <mergeCell ref="A3:A13"/>
    <mergeCell ref="C3:C13"/>
    <mergeCell ref="C14:C18"/>
    <mergeCell ref="A14:A18"/>
    <mergeCell ref="A19:A31"/>
    <mergeCell ref="C19:C3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74CF-62E8-40E7-A035-9904EA821FB9}">
  <dimension ref="A2:V242"/>
  <sheetViews>
    <sheetView zoomScale="63" workbookViewId="0">
      <selection activeCell="S41" sqref="A41:XFD41"/>
    </sheetView>
  </sheetViews>
  <sheetFormatPr defaultRowHeight="14.5" x14ac:dyDescent="0.35"/>
  <cols>
    <col min="1" max="1" width="8.90625" style="5"/>
    <col min="2" max="2" width="16.81640625" style="5" customWidth="1"/>
    <col min="3" max="3" width="8.90625" style="5"/>
    <col min="4" max="4" width="27.54296875" customWidth="1"/>
    <col min="5" max="5" width="8.90625" style="3"/>
    <col min="7" max="7" width="11.54296875" style="3" bestFit="1" customWidth="1"/>
    <col min="10" max="10" width="16.1796875" customWidth="1"/>
    <col min="11" max="11" width="12.08984375" bestFit="1" customWidth="1"/>
    <col min="12" max="12" width="17.36328125" customWidth="1"/>
    <col min="13" max="13" width="6.36328125" customWidth="1"/>
    <col min="14" max="14" width="17.36328125" customWidth="1"/>
    <col min="15" max="15" width="8.81640625" customWidth="1"/>
    <col min="16" max="16" width="17.36328125" customWidth="1"/>
    <col min="17" max="17" width="6.6328125" bestFit="1" customWidth="1"/>
    <col min="18" max="18" width="4.6328125" customWidth="1"/>
    <col min="19" max="19" width="23.26953125" bestFit="1" customWidth="1"/>
    <col min="20" max="20" width="12.453125" bestFit="1" customWidth="1"/>
    <col min="21" max="21" width="11.6328125" bestFit="1" customWidth="1"/>
    <col min="22" max="22" width="16.81640625" bestFit="1" customWidth="1"/>
    <col min="23" max="23" width="12.453125" bestFit="1" customWidth="1"/>
    <col min="24" max="24" width="16.81640625" bestFit="1" customWidth="1"/>
    <col min="25" max="25" width="12.453125" bestFit="1" customWidth="1"/>
    <col min="26" max="26" width="11.6328125" bestFit="1" customWidth="1"/>
    <col min="27" max="27" width="16.81640625" bestFit="1" customWidth="1"/>
    <col min="28" max="28" width="12.453125" bestFit="1" customWidth="1"/>
    <col min="29" max="29" width="11.6328125" bestFit="1" customWidth="1"/>
    <col min="30" max="30" width="16.81640625" bestFit="1" customWidth="1"/>
    <col min="31" max="31" width="12.453125" bestFit="1" customWidth="1"/>
    <col min="32" max="32" width="11.6328125" bestFit="1" customWidth="1"/>
    <col min="33" max="33" width="16.81640625" bestFit="1" customWidth="1"/>
    <col min="34" max="34" width="12.453125" bestFit="1" customWidth="1"/>
    <col min="35" max="35" width="11.6328125" bestFit="1" customWidth="1"/>
    <col min="36" max="36" width="16.81640625" bestFit="1" customWidth="1"/>
    <col min="37" max="37" width="12.453125" bestFit="1" customWidth="1"/>
    <col min="38" max="38" width="11.6328125" bestFit="1" customWidth="1"/>
    <col min="39" max="39" width="16.81640625" bestFit="1" customWidth="1"/>
    <col min="40" max="40" width="12.453125" bestFit="1" customWidth="1"/>
    <col min="41" max="41" width="11.6328125" bestFit="1" customWidth="1"/>
    <col min="42" max="42" width="16.81640625" bestFit="1" customWidth="1"/>
    <col min="43" max="43" width="12.453125" bestFit="1" customWidth="1"/>
    <col min="44" max="44" width="11.6328125" bestFit="1" customWidth="1"/>
    <col min="45" max="45" width="16.81640625" bestFit="1" customWidth="1"/>
    <col min="46" max="46" width="12.453125" bestFit="1" customWidth="1"/>
    <col min="47" max="47" width="11.6328125" bestFit="1" customWidth="1"/>
    <col min="48" max="48" width="16.81640625" bestFit="1" customWidth="1"/>
    <col min="49" max="49" width="12.453125" bestFit="1" customWidth="1"/>
    <col min="50" max="50" width="11.6328125" bestFit="1" customWidth="1"/>
    <col min="51" max="51" width="16.81640625" bestFit="1" customWidth="1"/>
    <col min="52" max="52" width="12.453125" bestFit="1" customWidth="1"/>
    <col min="53" max="53" width="11.6328125" bestFit="1" customWidth="1"/>
    <col min="54" max="54" width="16.81640625" bestFit="1" customWidth="1"/>
    <col min="55" max="55" width="12.453125" bestFit="1" customWidth="1"/>
    <col min="56" max="56" width="11.6328125" bestFit="1" customWidth="1"/>
    <col min="57" max="57" width="16.81640625" bestFit="1" customWidth="1"/>
    <col min="58" max="58" width="12.453125" bestFit="1" customWidth="1"/>
    <col min="59" max="59" width="11.6328125" bestFit="1" customWidth="1"/>
    <col min="60" max="60" width="16.81640625" bestFit="1" customWidth="1"/>
    <col min="61" max="61" width="12.453125" bestFit="1" customWidth="1"/>
    <col min="62" max="62" width="11.6328125" bestFit="1" customWidth="1"/>
    <col min="63" max="63" width="16.81640625" bestFit="1" customWidth="1"/>
    <col min="64" max="64" width="12.453125" bestFit="1" customWidth="1"/>
    <col min="65" max="65" width="11.6328125" bestFit="1" customWidth="1"/>
    <col min="66" max="66" width="16.81640625" bestFit="1" customWidth="1"/>
    <col min="67" max="67" width="12.453125" bestFit="1" customWidth="1"/>
    <col min="68" max="68" width="11.6328125" bestFit="1" customWidth="1"/>
    <col min="69" max="69" width="16.81640625" bestFit="1" customWidth="1"/>
    <col min="70" max="70" width="12.453125" bestFit="1" customWidth="1"/>
    <col min="71" max="71" width="11.6328125" bestFit="1" customWidth="1"/>
    <col min="72" max="72" width="16.81640625" bestFit="1" customWidth="1"/>
    <col min="73" max="73" width="12.453125" bestFit="1" customWidth="1"/>
    <col min="74" max="74" width="11.6328125" bestFit="1" customWidth="1"/>
    <col min="75" max="75" width="16.81640625" bestFit="1" customWidth="1"/>
    <col min="76" max="76" width="12.453125" bestFit="1" customWidth="1"/>
    <col min="77" max="77" width="11.6328125" bestFit="1" customWidth="1"/>
    <col min="78" max="78" width="16.81640625" bestFit="1" customWidth="1"/>
    <col min="79" max="79" width="12.453125" bestFit="1" customWidth="1"/>
    <col min="80" max="80" width="11.6328125" bestFit="1" customWidth="1"/>
    <col min="81" max="81" width="16.81640625" bestFit="1" customWidth="1"/>
    <col min="82" max="82" width="12.453125" bestFit="1" customWidth="1"/>
    <col min="83" max="83" width="11.6328125" bestFit="1" customWidth="1"/>
    <col min="84" max="84" width="16.81640625" bestFit="1" customWidth="1"/>
    <col min="85" max="85" width="12.453125" bestFit="1" customWidth="1"/>
    <col min="86" max="86" width="11.6328125" bestFit="1" customWidth="1"/>
    <col min="87" max="87" width="16.81640625" bestFit="1" customWidth="1"/>
    <col min="88" max="88" width="12.453125" bestFit="1" customWidth="1"/>
    <col min="89" max="89" width="11.6328125" bestFit="1" customWidth="1"/>
    <col min="90" max="90" width="16.81640625" bestFit="1" customWidth="1"/>
    <col min="91" max="91" width="12.453125" bestFit="1" customWidth="1"/>
    <col min="92" max="92" width="11.6328125" bestFit="1" customWidth="1"/>
    <col min="93" max="93" width="16.81640625" bestFit="1" customWidth="1"/>
    <col min="94" max="94" width="12.453125" bestFit="1" customWidth="1"/>
    <col min="95" max="95" width="11.6328125" bestFit="1" customWidth="1"/>
    <col min="96" max="96" width="16.81640625" bestFit="1" customWidth="1"/>
    <col min="97" max="97" width="12.453125" bestFit="1" customWidth="1"/>
    <col min="98" max="98" width="11.6328125" bestFit="1" customWidth="1"/>
    <col min="99" max="99" width="16.81640625" bestFit="1" customWidth="1"/>
    <col min="100" max="100" width="12.453125" bestFit="1" customWidth="1"/>
    <col min="101" max="101" width="11.6328125" bestFit="1" customWidth="1"/>
    <col min="102" max="102" width="16.81640625" bestFit="1" customWidth="1"/>
    <col min="103" max="103" width="12.453125" bestFit="1" customWidth="1"/>
    <col min="104" max="104" width="11.6328125" bestFit="1" customWidth="1"/>
    <col min="105" max="105" width="16.81640625" bestFit="1" customWidth="1"/>
    <col min="106" max="106" width="12.453125" bestFit="1" customWidth="1"/>
    <col min="107" max="107" width="11.6328125" bestFit="1" customWidth="1"/>
    <col min="108" max="108" width="16.81640625" bestFit="1" customWidth="1"/>
    <col min="109" max="109" width="12.453125" bestFit="1" customWidth="1"/>
    <col min="110" max="110" width="11.6328125" bestFit="1" customWidth="1"/>
    <col min="111" max="111" width="16.81640625" bestFit="1" customWidth="1"/>
    <col min="112" max="112" width="12.453125" bestFit="1" customWidth="1"/>
    <col min="113" max="113" width="11.6328125" bestFit="1" customWidth="1"/>
    <col min="114" max="114" width="16.81640625" bestFit="1" customWidth="1"/>
    <col min="115" max="115" width="12.453125" bestFit="1" customWidth="1"/>
    <col min="116" max="116" width="11.6328125" bestFit="1" customWidth="1"/>
    <col min="117" max="117" width="16.81640625" bestFit="1" customWidth="1"/>
    <col min="118" max="118" width="12.453125" bestFit="1" customWidth="1"/>
    <col min="119" max="119" width="11.6328125" bestFit="1" customWidth="1"/>
    <col min="120" max="120" width="16.81640625" bestFit="1" customWidth="1"/>
    <col min="121" max="121" width="12.453125" bestFit="1" customWidth="1"/>
    <col min="122" max="122" width="11.6328125" bestFit="1" customWidth="1"/>
    <col min="123" max="123" width="16.81640625" bestFit="1" customWidth="1"/>
    <col min="124" max="124" width="12.453125" bestFit="1" customWidth="1"/>
    <col min="125" max="125" width="11.6328125" bestFit="1" customWidth="1"/>
    <col min="126" max="126" width="16.81640625" bestFit="1" customWidth="1"/>
    <col min="127" max="127" width="12.453125" bestFit="1" customWidth="1"/>
    <col min="128" max="128" width="11.6328125" bestFit="1" customWidth="1"/>
    <col min="129" max="129" width="16.81640625" bestFit="1" customWidth="1"/>
    <col min="130" max="130" width="12.453125" bestFit="1" customWidth="1"/>
    <col min="131" max="131" width="11.6328125" bestFit="1" customWidth="1"/>
    <col min="132" max="132" width="16.81640625" bestFit="1" customWidth="1"/>
    <col min="133" max="133" width="12.453125" bestFit="1" customWidth="1"/>
    <col min="134" max="134" width="11.6328125" bestFit="1" customWidth="1"/>
    <col min="135" max="135" width="16.81640625" bestFit="1" customWidth="1"/>
    <col min="136" max="136" width="12.453125" bestFit="1" customWidth="1"/>
    <col min="137" max="137" width="11.6328125" bestFit="1" customWidth="1"/>
    <col min="138" max="138" width="16.81640625" bestFit="1" customWidth="1"/>
    <col min="139" max="139" width="12.453125" bestFit="1" customWidth="1"/>
    <col min="140" max="140" width="11.6328125" bestFit="1" customWidth="1"/>
    <col min="141" max="141" width="16.81640625" bestFit="1" customWidth="1"/>
    <col min="142" max="142" width="12.453125" bestFit="1" customWidth="1"/>
    <col min="143" max="143" width="11.6328125" bestFit="1" customWidth="1"/>
    <col min="144" max="144" width="16.81640625" bestFit="1" customWidth="1"/>
    <col min="145" max="145" width="12.453125" bestFit="1" customWidth="1"/>
    <col min="146" max="146" width="11.6328125" bestFit="1" customWidth="1"/>
    <col min="147" max="147" width="16.81640625" bestFit="1" customWidth="1"/>
    <col min="148" max="148" width="12.453125" bestFit="1" customWidth="1"/>
    <col min="149" max="149" width="11.6328125" bestFit="1" customWidth="1"/>
    <col min="150" max="150" width="16.81640625" bestFit="1" customWidth="1"/>
    <col min="151" max="151" width="12.453125" bestFit="1" customWidth="1"/>
    <col min="152" max="152" width="11.6328125" bestFit="1" customWidth="1"/>
    <col min="153" max="153" width="16.81640625" bestFit="1" customWidth="1"/>
    <col min="154" max="154" width="12.453125" bestFit="1" customWidth="1"/>
    <col min="155" max="155" width="11.6328125" bestFit="1" customWidth="1"/>
    <col min="156" max="156" width="16.81640625" bestFit="1" customWidth="1"/>
    <col min="157" max="157" width="12.453125" bestFit="1" customWidth="1"/>
    <col min="158" max="158" width="11.6328125" bestFit="1" customWidth="1"/>
    <col min="159" max="159" width="16.81640625" bestFit="1" customWidth="1"/>
    <col min="160" max="160" width="12.453125" bestFit="1" customWidth="1"/>
    <col min="161" max="161" width="11.6328125" bestFit="1" customWidth="1"/>
    <col min="162" max="162" width="16.81640625" bestFit="1" customWidth="1"/>
    <col min="163" max="163" width="12.453125" bestFit="1" customWidth="1"/>
    <col min="164" max="164" width="11.6328125" bestFit="1" customWidth="1"/>
    <col min="165" max="165" width="16.81640625" bestFit="1" customWidth="1"/>
    <col min="166" max="166" width="12.453125" bestFit="1" customWidth="1"/>
    <col min="167" max="167" width="11.6328125" bestFit="1" customWidth="1"/>
    <col min="168" max="168" width="16.81640625" bestFit="1" customWidth="1"/>
    <col min="169" max="169" width="12.453125" bestFit="1" customWidth="1"/>
    <col min="170" max="170" width="11.6328125" bestFit="1" customWidth="1"/>
    <col min="171" max="171" width="16.81640625" bestFit="1" customWidth="1"/>
    <col min="172" max="172" width="17.36328125" bestFit="1" customWidth="1"/>
    <col min="173" max="173" width="16.453125" bestFit="1" customWidth="1"/>
    <col min="174" max="174" width="21.7265625" bestFit="1" customWidth="1"/>
  </cols>
  <sheetData>
    <row r="2" spans="1:22" x14ac:dyDescent="0.35">
      <c r="J2" s="42" t="s">
        <v>2</v>
      </c>
      <c r="K2" s="17" t="s">
        <v>126</v>
      </c>
      <c r="L2" s="17" t="s">
        <v>82</v>
      </c>
      <c r="N2" s="66" t="s">
        <v>2</v>
      </c>
      <c r="O2" s="66" t="s">
        <v>126</v>
      </c>
      <c r="P2" s="66" t="s">
        <v>82</v>
      </c>
      <c r="R2" s="40" t="s">
        <v>131</v>
      </c>
      <c r="V2" t="s">
        <v>129</v>
      </c>
    </row>
    <row r="3" spans="1:22" x14ac:dyDescent="0.35">
      <c r="A3" s="6" t="s">
        <v>8</v>
      </c>
      <c r="B3" s="18" t="s">
        <v>2</v>
      </c>
      <c r="C3" s="18" t="s">
        <v>4</v>
      </c>
      <c r="D3" s="30" t="s">
        <v>128</v>
      </c>
      <c r="E3" s="31" t="s">
        <v>1</v>
      </c>
      <c r="F3" s="30" t="s">
        <v>0</v>
      </c>
      <c r="G3" s="29" t="s">
        <v>3</v>
      </c>
      <c r="J3" s="43" t="s">
        <v>104</v>
      </c>
      <c r="K3" s="44">
        <v>0</v>
      </c>
      <c r="L3" s="45">
        <v>937.5</v>
      </c>
      <c r="M3" s="4"/>
      <c r="N3" s="45" t="s">
        <v>104</v>
      </c>
      <c r="O3" s="45">
        <v>0</v>
      </c>
      <c r="P3" s="45">
        <v>937.5</v>
      </c>
      <c r="R3" s="49" t="s">
        <v>8</v>
      </c>
      <c r="S3" s="50" t="s">
        <v>128</v>
      </c>
      <c r="T3" s="51" t="s">
        <v>1</v>
      </c>
      <c r="U3" s="50" t="s">
        <v>0</v>
      </c>
      <c r="V3" s="51" t="s">
        <v>3</v>
      </c>
    </row>
    <row r="4" spans="1:22" x14ac:dyDescent="0.35">
      <c r="A4" s="118">
        <v>1</v>
      </c>
      <c r="B4" s="25" t="s">
        <v>5</v>
      </c>
      <c r="C4" s="116">
        <v>2</v>
      </c>
      <c r="D4" s="22" t="s">
        <v>42</v>
      </c>
      <c r="E4" s="32">
        <f>VLOOKUP(D4,'Bu Erta'!$C$2:$E$66,3,0)</f>
        <v>1000</v>
      </c>
      <c r="F4" s="22">
        <v>2.4</v>
      </c>
      <c r="G4" s="8">
        <f>E4*F4</f>
        <v>2400</v>
      </c>
      <c r="H4" s="3">
        <f>(VLOOKUP(D4,'Bu Erta'!$C$3:$F$66,4,0))*F4</f>
        <v>2880</v>
      </c>
      <c r="I4" s="3"/>
      <c r="J4" s="43" t="s">
        <v>91</v>
      </c>
      <c r="K4" s="44">
        <v>0</v>
      </c>
      <c r="L4" s="45">
        <v>73350</v>
      </c>
      <c r="M4" s="4"/>
      <c r="N4" s="45" t="s">
        <v>91</v>
      </c>
      <c r="O4" s="45">
        <v>0</v>
      </c>
      <c r="P4" s="45">
        <v>73350</v>
      </c>
      <c r="R4" s="44">
        <v>1</v>
      </c>
      <c r="S4" s="17" t="s">
        <v>13</v>
      </c>
      <c r="T4" s="52">
        <v>1500</v>
      </c>
      <c r="U4" s="53">
        <f t="shared" ref="U4:U35" si="0">SUMIF($D$4:$D$230,S4,$F$4:$F$230)</f>
        <v>0</v>
      </c>
      <c r="V4" s="52">
        <f>T4*U4</f>
        <v>0</v>
      </c>
    </row>
    <row r="5" spans="1:22" x14ac:dyDescent="0.35">
      <c r="A5" s="117"/>
      <c r="B5" s="26" t="s">
        <v>5</v>
      </c>
      <c r="C5" s="109"/>
      <c r="D5" s="23" t="s">
        <v>6</v>
      </c>
      <c r="E5" s="33">
        <f>VLOOKUP(D5,'Bu Erta'!$C$2:$E$66,3,0)</f>
        <v>2000</v>
      </c>
      <c r="F5" s="23">
        <v>0.25</v>
      </c>
      <c r="G5" s="10">
        <f t="shared" ref="G5:G46" si="1">E5*F5</f>
        <v>500</v>
      </c>
      <c r="H5" s="3">
        <f>(VLOOKUP(D5,'Bu Erta'!$C$3:$F$66,4,0))*F5</f>
        <v>625</v>
      </c>
      <c r="I5" s="3"/>
      <c r="J5" s="43" t="s">
        <v>103</v>
      </c>
      <c r="K5" s="44">
        <v>1</v>
      </c>
      <c r="L5" s="45">
        <v>1010</v>
      </c>
      <c r="M5" s="4"/>
      <c r="N5" s="45" t="s">
        <v>103</v>
      </c>
      <c r="O5" s="45">
        <v>1</v>
      </c>
      <c r="P5" s="45">
        <v>1010</v>
      </c>
      <c r="R5" s="44">
        <v>2</v>
      </c>
      <c r="S5" s="17" t="s">
        <v>14</v>
      </c>
      <c r="T5" s="52">
        <v>100000</v>
      </c>
      <c r="U5" s="53">
        <f t="shared" si="0"/>
        <v>0</v>
      </c>
      <c r="V5" s="52">
        <f t="shared" ref="V5:V66" si="2">T5*U5</f>
        <v>0</v>
      </c>
    </row>
    <row r="6" spans="1:22" x14ac:dyDescent="0.35">
      <c r="A6" s="117"/>
      <c r="B6" s="26" t="s">
        <v>5</v>
      </c>
      <c r="C6" s="109"/>
      <c r="D6" s="23" t="s">
        <v>7</v>
      </c>
      <c r="E6" s="33">
        <f>VLOOKUP(D6,'Bu Erta'!$C$2:$E$66,3,0)</f>
        <v>1400</v>
      </c>
      <c r="F6" s="23">
        <v>0.15</v>
      </c>
      <c r="G6" s="10">
        <f t="shared" si="1"/>
        <v>210</v>
      </c>
      <c r="H6" s="3">
        <f>(VLOOKUP(D6,'Bu Erta'!$C$3:$F$66,4,0))*F6</f>
        <v>240</v>
      </c>
      <c r="I6" s="3"/>
      <c r="J6" s="43" t="s">
        <v>296</v>
      </c>
      <c r="K6" s="44">
        <v>1</v>
      </c>
      <c r="L6" s="45">
        <v>28292.5</v>
      </c>
      <c r="M6" s="4"/>
      <c r="N6" s="45" t="s">
        <v>101</v>
      </c>
      <c r="O6" s="45">
        <v>1</v>
      </c>
      <c r="P6" s="45">
        <v>28292.5</v>
      </c>
      <c r="R6" s="44">
        <v>3</v>
      </c>
      <c r="S6" s="17" t="s">
        <v>15</v>
      </c>
      <c r="T6" s="52">
        <v>40000</v>
      </c>
      <c r="U6" s="53">
        <f t="shared" si="0"/>
        <v>0</v>
      </c>
      <c r="V6" s="52">
        <f t="shared" si="2"/>
        <v>0</v>
      </c>
    </row>
    <row r="7" spans="1:22" x14ac:dyDescent="0.35">
      <c r="A7" s="117"/>
      <c r="B7" s="26" t="s">
        <v>5</v>
      </c>
      <c r="C7" s="109"/>
      <c r="D7" s="23" t="s">
        <v>31</v>
      </c>
      <c r="E7" s="33">
        <f>VLOOKUP(D7,'Bu Erta'!$C$2:$E$66,3,0)</f>
        <v>1000</v>
      </c>
      <c r="F7" s="23">
        <v>0.65</v>
      </c>
      <c r="G7" s="10">
        <f t="shared" si="1"/>
        <v>650</v>
      </c>
      <c r="H7" s="3">
        <f>(VLOOKUP(D7,'Bu Erta'!$C$3:$F$66,4,0))*F7</f>
        <v>715</v>
      </c>
      <c r="I7" s="3"/>
      <c r="J7" s="43" t="s">
        <v>83</v>
      </c>
      <c r="K7" s="44">
        <v>1</v>
      </c>
      <c r="L7" s="45">
        <v>16430</v>
      </c>
      <c r="M7" s="4"/>
      <c r="N7" s="45" t="s">
        <v>83</v>
      </c>
      <c r="O7" s="45">
        <v>1</v>
      </c>
      <c r="P7" s="45">
        <v>16430</v>
      </c>
      <c r="R7" s="44">
        <v>4</v>
      </c>
      <c r="S7" s="17" t="s">
        <v>16</v>
      </c>
      <c r="T7" s="52">
        <v>6500</v>
      </c>
      <c r="U7" s="53">
        <f t="shared" si="0"/>
        <v>0</v>
      </c>
      <c r="V7" s="52">
        <f t="shared" si="2"/>
        <v>0</v>
      </c>
    </row>
    <row r="8" spans="1:22" x14ac:dyDescent="0.35">
      <c r="A8" s="119"/>
      <c r="B8" s="27" t="s">
        <v>5</v>
      </c>
      <c r="C8" s="115"/>
      <c r="D8" s="24" t="s">
        <v>27</v>
      </c>
      <c r="E8" s="34">
        <f>VLOOKUP(D8,'Bu Erta'!$C$2:$E$66,3,0)</f>
        <v>2800</v>
      </c>
      <c r="F8" s="24">
        <v>0.3</v>
      </c>
      <c r="G8" s="12">
        <f t="shared" si="1"/>
        <v>840</v>
      </c>
      <c r="H8" s="3">
        <f>(VLOOKUP(D8,'Bu Erta'!$C$3:$F$66,4,0))*F8</f>
        <v>930</v>
      </c>
      <c r="I8" s="3"/>
      <c r="J8" s="43" t="s">
        <v>79</v>
      </c>
      <c r="K8" s="44">
        <v>2</v>
      </c>
      <c r="L8" s="45">
        <v>2100</v>
      </c>
      <c r="M8" s="4"/>
      <c r="N8" s="45" t="s">
        <v>98</v>
      </c>
      <c r="O8" s="45">
        <v>2</v>
      </c>
      <c r="P8" s="45">
        <v>1600</v>
      </c>
      <c r="R8" s="44">
        <v>5</v>
      </c>
      <c r="S8" s="17" t="s">
        <v>17</v>
      </c>
      <c r="T8" s="52">
        <v>8500</v>
      </c>
      <c r="U8" s="53">
        <f t="shared" si="0"/>
        <v>3.1500000000000004</v>
      </c>
      <c r="V8" s="52">
        <f t="shared" si="2"/>
        <v>26775.000000000004</v>
      </c>
    </row>
    <row r="9" spans="1:22" x14ac:dyDescent="0.35">
      <c r="A9" s="116">
        <v>2</v>
      </c>
      <c r="B9" s="25" t="s">
        <v>76</v>
      </c>
      <c r="C9" s="116">
        <v>3</v>
      </c>
      <c r="D9" s="22" t="s">
        <v>65</v>
      </c>
      <c r="E9" s="32">
        <f>VLOOKUP(D9,'Bu Erta'!$C$2:$E$66,3,0)</f>
        <v>150</v>
      </c>
      <c r="F9" s="22">
        <v>0.35</v>
      </c>
      <c r="G9" s="8">
        <f t="shared" si="1"/>
        <v>52.5</v>
      </c>
      <c r="H9" s="3">
        <f>(VLOOKUP(D9,'Bu Erta'!$C$3:$F$66,4,0))*F9</f>
        <v>70</v>
      </c>
      <c r="I9" s="3"/>
      <c r="J9" s="43" t="s">
        <v>98</v>
      </c>
      <c r="K9" s="44">
        <v>2</v>
      </c>
      <c r="L9" s="45">
        <v>1600</v>
      </c>
      <c r="M9" s="4"/>
      <c r="N9" s="45" t="s">
        <v>78</v>
      </c>
      <c r="O9" s="45">
        <v>2</v>
      </c>
      <c r="P9" s="45">
        <v>400</v>
      </c>
      <c r="R9" s="44">
        <v>6</v>
      </c>
      <c r="S9" s="17" t="s">
        <v>18</v>
      </c>
      <c r="T9" s="52">
        <v>4000</v>
      </c>
      <c r="U9" s="53">
        <f t="shared" si="0"/>
        <v>0</v>
      </c>
      <c r="V9" s="52">
        <f t="shared" si="2"/>
        <v>0</v>
      </c>
    </row>
    <row r="10" spans="1:22" x14ac:dyDescent="0.35">
      <c r="A10" s="109"/>
      <c r="B10" s="26" t="s">
        <v>76</v>
      </c>
      <c r="C10" s="109"/>
      <c r="D10" s="23" t="s">
        <v>34</v>
      </c>
      <c r="E10" s="9">
        <f>VLOOKUP(D10,'Bu Erta'!$C$2:$E$66,3,0)</f>
        <v>3500</v>
      </c>
      <c r="F10" s="20">
        <v>0.55000000000000004</v>
      </c>
      <c r="G10" s="10">
        <f t="shared" si="1"/>
        <v>1925.0000000000002</v>
      </c>
      <c r="H10" s="3">
        <f>(VLOOKUP(D10,'Bu Erta'!$C$3:$F$66,4,0))*F10</f>
        <v>1980.0000000000002</v>
      </c>
      <c r="I10" s="3"/>
      <c r="J10" s="43" t="s">
        <v>78</v>
      </c>
      <c r="K10" s="44">
        <v>2</v>
      </c>
      <c r="L10" s="45">
        <v>400</v>
      </c>
      <c r="M10" s="4"/>
      <c r="N10" s="45" t="s">
        <v>108</v>
      </c>
      <c r="O10" s="45">
        <v>2</v>
      </c>
      <c r="P10" s="45">
        <v>63745</v>
      </c>
      <c r="R10" s="44">
        <v>7</v>
      </c>
      <c r="S10" s="17" t="s">
        <v>19</v>
      </c>
      <c r="T10" s="52">
        <v>300</v>
      </c>
      <c r="U10" s="53">
        <f t="shared" si="0"/>
        <v>18.55</v>
      </c>
      <c r="V10" s="52">
        <f t="shared" si="2"/>
        <v>5565</v>
      </c>
    </row>
    <row r="11" spans="1:22" x14ac:dyDescent="0.35">
      <c r="A11" s="109"/>
      <c r="B11" s="26" t="s">
        <v>76</v>
      </c>
      <c r="C11" s="109"/>
      <c r="D11" s="23" t="s">
        <v>27</v>
      </c>
      <c r="E11" s="9">
        <f>VLOOKUP(D11,'Bu Erta'!$C$2:$E$66,3,0)</f>
        <v>2800</v>
      </c>
      <c r="F11" s="20">
        <v>0.5</v>
      </c>
      <c r="G11" s="10">
        <f t="shared" si="1"/>
        <v>1400</v>
      </c>
      <c r="H11" s="3">
        <f>(VLOOKUP(D11,'Bu Erta'!$C$3:$F$66,4,0))*F11</f>
        <v>1550</v>
      </c>
      <c r="I11" s="3"/>
      <c r="J11" s="43" t="s">
        <v>117</v>
      </c>
      <c r="K11" s="44">
        <v>2</v>
      </c>
      <c r="L11" s="45">
        <v>6577.5</v>
      </c>
      <c r="M11" s="4"/>
      <c r="N11" s="45" t="s">
        <v>117</v>
      </c>
      <c r="O11" s="45">
        <v>2</v>
      </c>
      <c r="P11" s="45">
        <v>6577.5</v>
      </c>
      <c r="R11" s="44">
        <v>8</v>
      </c>
      <c r="S11" s="17" t="s">
        <v>20</v>
      </c>
      <c r="T11" s="52">
        <v>8000</v>
      </c>
      <c r="U11" s="53">
        <f t="shared" si="0"/>
        <v>0</v>
      </c>
      <c r="V11" s="52">
        <f t="shared" si="2"/>
        <v>0</v>
      </c>
    </row>
    <row r="12" spans="1:22" x14ac:dyDescent="0.35">
      <c r="A12" s="109"/>
      <c r="B12" s="26" t="s">
        <v>76</v>
      </c>
      <c r="C12" s="109"/>
      <c r="D12" s="23" t="s">
        <v>23</v>
      </c>
      <c r="E12" s="9">
        <f>VLOOKUP(D12,'Bu Erta'!$C$2:$E$66,3,0)</f>
        <v>300</v>
      </c>
      <c r="F12" s="20">
        <v>1.8</v>
      </c>
      <c r="G12" s="10">
        <f t="shared" si="1"/>
        <v>540</v>
      </c>
      <c r="H12" s="3">
        <f>(VLOOKUP(D12,'Bu Erta'!$C$3:$F$66,4,0))*F12</f>
        <v>720</v>
      </c>
      <c r="I12" s="3"/>
      <c r="J12" s="43" t="s">
        <v>96</v>
      </c>
      <c r="K12" s="44">
        <v>2</v>
      </c>
      <c r="L12" s="45">
        <v>17560</v>
      </c>
      <c r="M12" s="4"/>
      <c r="N12" s="45" t="s">
        <v>99</v>
      </c>
      <c r="O12" s="45">
        <v>2</v>
      </c>
      <c r="P12" s="45">
        <v>3235</v>
      </c>
      <c r="R12" s="44">
        <v>9</v>
      </c>
      <c r="S12" s="17" t="s">
        <v>21</v>
      </c>
      <c r="T12" s="52">
        <v>200</v>
      </c>
      <c r="U12" s="53">
        <f t="shared" si="0"/>
        <v>0</v>
      </c>
      <c r="V12" s="52">
        <f t="shared" si="2"/>
        <v>0</v>
      </c>
    </row>
    <row r="13" spans="1:22" x14ac:dyDescent="0.35">
      <c r="A13" s="109"/>
      <c r="B13" s="27" t="s">
        <v>76</v>
      </c>
      <c r="C13" s="117"/>
      <c r="D13" s="37" t="s">
        <v>19</v>
      </c>
      <c r="E13" s="33">
        <f>VLOOKUP(D13,'Bu Erta'!$C$2:$E$66,3,0)</f>
        <v>200</v>
      </c>
      <c r="F13" s="20">
        <f>0.2+0.65</f>
        <v>0.85000000000000009</v>
      </c>
      <c r="G13" s="10">
        <f t="shared" si="1"/>
        <v>170.00000000000003</v>
      </c>
      <c r="H13" s="3">
        <f>(VLOOKUP(D13,'Bu Erta'!$C$3:$F$66,4,0))*F13</f>
        <v>255.00000000000003</v>
      </c>
      <c r="I13" s="3"/>
      <c r="J13" s="43" t="s">
        <v>284</v>
      </c>
      <c r="K13" s="44">
        <v>2</v>
      </c>
      <c r="L13" s="45">
        <v>2157.5</v>
      </c>
      <c r="M13" s="4"/>
      <c r="N13" s="45" t="s">
        <v>115</v>
      </c>
      <c r="O13" s="45">
        <v>2</v>
      </c>
      <c r="P13" s="45">
        <v>2040</v>
      </c>
      <c r="R13" s="44">
        <v>10</v>
      </c>
      <c r="S13" s="17" t="s">
        <v>22</v>
      </c>
      <c r="T13" s="52">
        <v>3000</v>
      </c>
      <c r="U13" s="53">
        <f t="shared" si="0"/>
        <v>6.67</v>
      </c>
      <c r="V13" s="52">
        <f t="shared" si="2"/>
        <v>20010</v>
      </c>
    </row>
    <row r="14" spans="1:22" x14ac:dyDescent="0.35">
      <c r="A14" s="109"/>
      <c r="B14" s="25" t="s">
        <v>76</v>
      </c>
      <c r="C14" s="117"/>
      <c r="D14" s="37" t="s">
        <v>31</v>
      </c>
      <c r="E14" s="33">
        <f>VLOOKUP(D14,'Bu Erta'!$C$2:$E$66,3,0)</f>
        <v>1000</v>
      </c>
      <c r="F14" s="20">
        <f>1.2+0.6</f>
        <v>1.7999999999999998</v>
      </c>
      <c r="G14" s="10">
        <f t="shared" si="1"/>
        <v>1799.9999999999998</v>
      </c>
      <c r="H14" s="3">
        <f>(VLOOKUP(D14,'Bu Erta'!$C$3:$F$66,4,0))*F14</f>
        <v>1979.9999999999998</v>
      </c>
      <c r="I14" s="3"/>
      <c r="J14" s="43" t="s">
        <v>99</v>
      </c>
      <c r="K14" s="44">
        <v>2</v>
      </c>
      <c r="L14" s="45">
        <v>3235</v>
      </c>
      <c r="M14" s="4"/>
      <c r="N14" s="45" t="s">
        <v>96</v>
      </c>
      <c r="O14" s="45">
        <v>2</v>
      </c>
      <c r="P14" s="45">
        <v>17560</v>
      </c>
      <c r="R14" s="44">
        <v>11</v>
      </c>
      <c r="S14" s="17" t="s">
        <v>23</v>
      </c>
      <c r="T14" s="52">
        <v>400</v>
      </c>
      <c r="U14" s="53">
        <f t="shared" si="0"/>
        <v>37.650000000000006</v>
      </c>
      <c r="V14" s="52">
        <f t="shared" si="2"/>
        <v>15060.000000000002</v>
      </c>
    </row>
    <row r="15" spans="1:22" x14ac:dyDescent="0.35">
      <c r="A15" s="109"/>
      <c r="B15" s="26" t="s">
        <v>76</v>
      </c>
      <c r="C15" s="117"/>
      <c r="D15" s="37" t="s">
        <v>24</v>
      </c>
      <c r="E15" s="33">
        <f>VLOOKUP(D15,'Bu Erta'!$C$2:$E$66,3,0)</f>
        <v>150</v>
      </c>
      <c r="F15" s="20">
        <f>5.75+0.05</f>
        <v>5.8</v>
      </c>
      <c r="G15" s="10">
        <f t="shared" si="1"/>
        <v>870</v>
      </c>
      <c r="H15" s="3">
        <f>(VLOOKUP(D15,'Bu Erta'!$C$3:$F$66,4,0))*F15</f>
        <v>1160</v>
      </c>
      <c r="I15" s="3"/>
      <c r="J15" s="43" t="s">
        <v>115</v>
      </c>
      <c r="K15" s="44">
        <v>2</v>
      </c>
      <c r="L15" s="45">
        <v>2040</v>
      </c>
      <c r="M15" s="4"/>
      <c r="N15" s="45" t="s">
        <v>5</v>
      </c>
      <c r="O15" s="45">
        <v>2</v>
      </c>
      <c r="P15" s="45">
        <v>4600</v>
      </c>
      <c r="R15" s="44">
        <v>12</v>
      </c>
      <c r="S15" s="17" t="s">
        <v>25</v>
      </c>
      <c r="T15" s="52">
        <v>1700</v>
      </c>
      <c r="U15" s="53">
        <f t="shared" si="0"/>
        <v>10.100000000000001</v>
      </c>
      <c r="V15" s="52">
        <f t="shared" si="2"/>
        <v>17170.000000000004</v>
      </c>
    </row>
    <row r="16" spans="1:22" x14ac:dyDescent="0.35">
      <c r="A16" s="109"/>
      <c r="B16" s="26" t="s">
        <v>76</v>
      </c>
      <c r="C16" s="109"/>
      <c r="D16" s="20" t="s">
        <v>67</v>
      </c>
      <c r="E16" s="9">
        <f>VLOOKUP(D16,'Bu Erta'!$C$2:$E$66,3,0)</f>
        <v>2700</v>
      </c>
      <c r="F16" s="20">
        <v>0.2</v>
      </c>
      <c r="G16" s="10">
        <f t="shared" si="1"/>
        <v>540</v>
      </c>
      <c r="H16" s="3">
        <f>(VLOOKUP(D16,'Bu Erta'!$C$3:$F$66,4,0))*F16</f>
        <v>600</v>
      </c>
      <c r="I16" s="3"/>
      <c r="J16" s="43" t="s">
        <v>127</v>
      </c>
      <c r="K16" s="44">
        <v>2</v>
      </c>
      <c r="L16" s="45">
        <v>19587.5</v>
      </c>
      <c r="M16" s="4"/>
      <c r="N16" s="45" t="s">
        <v>79</v>
      </c>
      <c r="O16" s="45">
        <v>2</v>
      </c>
      <c r="P16" s="45">
        <v>2100</v>
      </c>
      <c r="R16" s="44">
        <v>13</v>
      </c>
      <c r="S16" s="17" t="s">
        <v>24</v>
      </c>
      <c r="T16" s="52">
        <v>200</v>
      </c>
      <c r="U16" s="53">
        <f t="shared" si="0"/>
        <v>22.049999999999997</v>
      </c>
      <c r="V16" s="52">
        <f t="shared" si="2"/>
        <v>4409.9999999999991</v>
      </c>
    </row>
    <row r="17" spans="1:22" x14ac:dyDescent="0.35">
      <c r="A17" s="109"/>
      <c r="B17" s="26" t="s">
        <v>76</v>
      </c>
      <c r="C17" s="109"/>
      <c r="D17" s="20" t="s">
        <v>88</v>
      </c>
      <c r="E17" s="9">
        <f>VLOOKUP(D17,'Bu Erta'!$C$2:$E$66,3,0)</f>
        <v>300</v>
      </c>
      <c r="F17" s="20">
        <v>0.4</v>
      </c>
      <c r="G17" s="10">
        <f t="shared" si="1"/>
        <v>120</v>
      </c>
      <c r="H17" s="3">
        <f>(VLOOKUP(D17,'Bu Erta'!$C$3:$F$66,4,0))*F17</f>
        <v>160</v>
      </c>
      <c r="I17" s="3"/>
      <c r="J17" s="43" t="s">
        <v>5</v>
      </c>
      <c r="K17" s="44">
        <v>2</v>
      </c>
      <c r="L17" s="45">
        <v>4600</v>
      </c>
      <c r="M17" s="4"/>
      <c r="N17" s="45" t="s">
        <v>116</v>
      </c>
      <c r="O17" s="45">
        <v>2</v>
      </c>
      <c r="P17" s="45">
        <v>40955</v>
      </c>
      <c r="R17" s="44">
        <v>14</v>
      </c>
      <c r="S17" s="17" t="s">
        <v>26</v>
      </c>
      <c r="T17" s="52">
        <v>1000</v>
      </c>
      <c r="U17" s="53">
        <f t="shared" si="0"/>
        <v>0</v>
      </c>
      <c r="V17" s="52">
        <f t="shared" si="2"/>
        <v>0</v>
      </c>
    </row>
    <row r="18" spans="1:22" x14ac:dyDescent="0.35">
      <c r="A18" s="109"/>
      <c r="B18" s="26" t="s">
        <v>76</v>
      </c>
      <c r="C18" s="109"/>
      <c r="D18" s="20" t="s">
        <v>19</v>
      </c>
      <c r="E18" s="9">
        <f>VLOOKUP(D18,'Bu Erta'!$C$2:$E$66,3,0)</f>
        <v>200</v>
      </c>
      <c r="F18" s="20">
        <v>0.4</v>
      </c>
      <c r="G18" s="10">
        <f t="shared" si="1"/>
        <v>80</v>
      </c>
      <c r="H18" s="3">
        <f>(VLOOKUP(D18,'Bu Erta'!$C$3:$F$66,4,0))*F18</f>
        <v>120</v>
      </c>
      <c r="I18" s="3"/>
      <c r="J18" s="43" t="s">
        <v>108</v>
      </c>
      <c r="K18" s="44">
        <v>2</v>
      </c>
      <c r="L18" s="45">
        <v>63745</v>
      </c>
      <c r="M18" s="4"/>
      <c r="N18" s="45" t="s">
        <v>127</v>
      </c>
      <c r="O18" s="45">
        <v>2</v>
      </c>
      <c r="P18" s="45">
        <v>19587.5</v>
      </c>
      <c r="R18" s="44">
        <v>15</v>
      </c>
      <c r="S18" s="17" t="s">
        <v>27</v>
      </c>
      <c r="T18" s="52">
        <v>3100</v>
      </c>
      <c r="U18" s="53">
        <f t="shared" si="0"/>
        <v>7.2500000000000018</v>
      </c>
      <c r="V18" s="52">
        <f t="shared" si="2"/>
        <v>22475.000000000007</v>
      </c>
    </row>
    <row r="19" spans="1:22" x14ac:dyDescent="0.35">
      <c r="A19" s="109"/>
      <c r="B19" s="26" t="s">
        <v>76</v>
      </c>
      <c r="C19" s="109"/>
      <c r="D19" s="20" t="s">
        <v>17</v>
      </c>
      <c r="E19" s="9">
        <f>VLOOKUP(D19,'Bu Erta'!$C$2:$E$66,3,0)</f>
        <v>8000</v>
      </c>
      <c r="F19" s="20">
        <v>0.2</v>
      </c>
      <c r="G19" s="10">
        <f t="shared" si="1"/>
        <v>1600</v>
      </c>
      <c r="H19" s="3">
        <f>(VLOOKUP(D19,'Bu Erta'!$C$3:$F$66,4,0))*F19</f>
        <v>1700</v>
      </c>
      <c r="I19" s="3"/>
      <c r="J19" s="43" t="s">
        <v>116</v>
      </c>
      <c r="K19" s="44">
        <v>2</v>
      </c>
      <c r="L19" s="45">
        <v>40955</v>
      </c>
      <c r="M19" s="4"/>
      <c r="N19" s="45" t="s">
        <v>80</v>
      </c>
      <c r="O19" s="45">
        <v>2</v>
      </c>
      <c r="P19" s="45">
        <v>2157.5</v>
      </c>
      <c r="R19" s="44">
        <v>16</v>
      </c>
      <c r="S19" s="17" t="s">
        <v>28</v>
      </c>
      <c r="T19" s="52">
        <v>1300</v>
      </c>
      <c r="U19" s="53">
        <f t="shared" si="0"/>
        <v>137.25</v>
      </c>
      <c r="V19" s="52">
        <f t="shared" si="2"/>
        <v>178425</v>
      </c>
    </row>
    <row r="20" spans="1:22" x14ac:dyDescent="0.35">
      <c r="A20" s="109"/>
      <c r="B20" s="26" t="s">
        <v>76</v>
      </c>
      <c r="C20" s="109"/>
      <c r="D20" s="20" t="s">
        <v>63</v>
      </c>
      <c r="E20" s="9">
        <f>VLOOKUP(D20,'Bu Erta'!$C$2:$E$66,3,0)</f>
        <v>800</v>
      </c>
      <c r="F20" s="20">
        <v>0.05</v>
      </c>
      <c r="G20" s="10">
        <f t="shared" si="1"/>
        <v>40</v>
      </c>
      <c r="H20" s="3">
        <f>(VLOOKUP(D20,'Bu Erta'!$C$3:$F$66,4,0))*F20</f>
        <v>50</v>
      </c>
      <c r="I20" s="3"/>
      <c r="J20" s="43" t="s">
        <v>76</v>
      </c>
      <c r="K20" s="44">
        <v>3</v>
      </c>
      <c r="L20" s="45">
        <v>14472.5</v>
      </c>
      <c r="M20" s="4"/>
      <c r="N20" s="45" t="s">
        <v>76</v>
      </c>
      <c r="O20" s="45">
        <v>3</v>
      </c>
      <c r="P20" s="45">
        <v>14472.5</v>
      </c>
      <c r="R20" s="44">
        <v>17</v>
      </c>
      <c r="S20" s="17" t="s">
        <v>29</v>
      </c>
      <c r="T20" s="52">
        <v>6000</v>
      </c>
      <c r="U20" s="53">
        <f t="shared" si="0"/>
        <v>0.75</v>
      </c>
      <c r="V20" s="52">
        <f t="shared" si="2"/>
        <v>4500</v>
      </c>
    </row>
    <row r="21" spans="1:22" x14ac:dyDescent="0.35">
      <c r="A21" s="109"/>
      <c r="B21" s="26" t="s">
        <v>76</v>
      </c>
      <c r="C21" s="109"/>
      <c r="D21" s="20" t="s">
        <v>23</v>
      </c>
      <c r="E21" s="9">
        <f>VLOOKUP(D21,'Bu Erta'!$C$2:$E$66,3,0)</f>
        <v>300</v>
      </c>
      <c r="F21" s="20">
        <f>0.05+1.4+1.5</f>
        <v>2.95</v>
      </c>
      <c r="G21" s="10">
        <f t="shared" si="1"/>
        <v>885</v>
      </c>
      <c r="H21" s="3">
        <f>(VLOOKUP(D21,'Bu Erta'!$C$3:$F$66,4,0))*F21</f>
        <v>1180</v>
      </c>
      <c r="I21" s="3"/>
      <c r="J21" s="43" t="s">
        <v>90</v>
      </c>
      <c r="K21" s="44">
        <v>3</v>
      </c>
      <c r="L21" s="45">
        <v>7970</v>
      </c>
      <c r="M21" s="4"/>
      <c r="N21" s="45" t="s">
        <v>90</v>
      </c>
      <c r="O21" s="45">
        <v>3</v>
      </c>
      <c r="P21" s="45">
        <v>7970</v>
      </c>
      <c r="R21" s="44">
        <v>18</v>
      </c>
      <c r="S21" s="17" t="s">
        <v>30</v>
      </c>
      <c r="T21" s="52">
        <v>15000</v>
      </c>
      <c r="U21" s="53">
        <f t="shared" si="0"/>
        <v>0</v>
      </c>
      <c r="V21" s="52">
        <f t="shared" si="2"/>
        <v>0</v>
      </c>
    </row>
    <row r="22" spans="1:22" x14ac:dyDescent="0.35">
      <c r="A22" s="115"/>
      <c r="B22" s="27" t="s">
        <v>76</v>
      </c>
      <c r="C22" s="115"/>
      <c r="D22" s="21" t="s">
        <v>42</v>
      </c>
      <c r="E22" s="11">
        <f>VLOOKUP(D22,'Bu Erta'!$C$2:$E$66,3,0)</f>
        <v>1000</v>
      </c>
      <c r="F22" s="21">
        <v>4.45</v>
      </c>
      <c r="G22" s="12">
        <f t="shared" si="1"/>
        <v>4450</v>
      </c>
      <c r="H22" s="3">
        <f>(VLOOKUP(D22,'Bu Erta'!$C$3:$F$66,4,0))*F22</f>
        <v>5340</v>
      </c>
      <c r="I22" s="3"/>
      <c r="J22" s="43" t="s">
        <v>147</v>
      </c>
      <c r="K22" s="44">
        <v>3</v>
      </c>
      <c r="L22" s="45">
        <v>1920</v>
      </c>
      <c r="M22" s="4"/>
      <c r="N22" s="45" t="s">
        <v>147</v>
      </c>
      <c r="O22" s="45">
        <v>3</v>
      </c>
      <c r="P22" s="45">
        <v>1920</v>
      </c>
      <c r="R22" s="44">
        <v>19</v>
      </c>
      <c r="S22" s="17" t="s">
        <v>7</v>
      </c>
      <c r="T22" s="52">
        <v>1600</v>
      </c>
      <c r="U22" s="53">
        <f t="shared" si="0"/>
        <v>39.399999999999991</v>
      </c>
      <c r="V22" s="52">
        <f t="shared" si="2"/>
        <v>63039.999999999985</v>
      </c>
    </row>
    <row r="23" spans="1:22" x14ac:dyDescent="0.35">
      <c r="A23" s="13">
        <v>3</v>
      </c>
      <c r="B23" s="28" t="s">
        <v>78</v>
      </c>
      <c r="C23" s="14">
        <v>2</v>
      </c>
      <c r="D23" s="17" t="s">
        <v>25</v>
      </c>
      <c r="E23" s="15">
        <f>VLOOKUP(D23,'Bu Erta'!$C$2:$E$66,3,0)</f>
        <v>1600</v>
      </c>
      <c r="F23" s="17">
        <v>0.25</v>
      </c>
      <c r="G23" s="16">
        <f t="shared" si="1"/>
        <v>400</v>
      </c>
      <c r="H23" s="3">
        <f>(VLOOKUP(D23,'Bu Erta'!$C$3:$F$66,4,0))*F23</f>
        <v>425</v>
      </c>
      <c r="I23" s="3"/>
      <c r="J23" s="43" t="s">
        <v>106</v>
      </c>
      <c r="K23" s="44">
        <v>4</v>
      </c>
      <c r="L23" s="45">
        <v>7847.5</v>
      </c>
      <c r="M23" s="4"/>
      <c r="N23" s="45" t="s">
        <v>106</v>
      </c>
      <c r="O23" s="45">
        <v>4</v>
      </c>
      <c r="P23" s="45">
        <v>7847.5</v>
      </c>
      <c r="R23" s="44">
        <v>20</v>
      </c>
      <c r="S23" s="17" t="s">
        <v>31</v>
      </c>
      <c r="T23" s="52">
        <v>1100</v>
      </c>
      <c r="U23" s="53">
        <f t="shared" si="0"/>
        <v>20.75</v>
      </c>
      <c r="V23" s="52">
        <f t="shared" si="2"/>
        <v>22825</v>
      </c>
    </row>
    <row r="24" spans="1:22" x14ac:dyDescent="0.35">
      <c r="A24" s="118">
        <v>4</v>
      </c>
      <c r="B24" s="25" t="s">
        <v>79</v>
      </c>
      <c r="C24" s="108">
        <v>2</v>
      </c>
      <c r="D24" s="19" t="s">
        <v>7</v>
      </c>
      <c r="E24" s="7">
        <f>VLOOKUP(D24,'Bu Erta'!$C$2:$E$66,3,0)</f>
        <v>1400</v>
      </c>
      <c r="F24" s="19">
        <v>1</v>
      </c>
      <c r="G24" s="8">
        <f t="shared" si="1"/>
        <v>1400</v>
      </c>
      <c r="H24" s="3">
        <f>(VLOOKUP(D24,'Bu Erta'!$C$3:$F$66,4,0))*F24</f>
        <v>1600</v>
      </c>
      <c r="I24" s="3"/>
      <c r="J24" s="43" t="s">
        <v>84</v>
      </c>
      <c r="K24" s="44">
        <v>4</v>
      </c>
      <c r="L24" s="45">
        <v>7700</v>
      </c>
      <c r="M24" s="4"/>
      <c r="N24" s="45" t="s">
        <v>100</v>
      </c>
      <c r="O24" s="45">
        <v>4</v>
      </c>
      <c r="P24" s="45">
        <v>24900</v>
      </c>
      <c r="R24" s="44">
        <v>21</v>
      </c>
      <c r="S24" s="17" t="s">
        <v>32</v>
      </c>
      <c r="T24" s="52">
        <v>5000</v>
      </c>
      <c r="U24" s="53">
        <f t="shared" si="0"/>
        <v>1</v>
      </c>
      <c r="V24" s="52">
        <f t="shared" si="2"/>
        <v>5000</v>
      </c>
    </row>
    <row r="25" spans="1:22" x14ac:dyDescent="0.35">
      <c r="A25" s="119"/>
      <c r="B25" s="27" t="s">
        <v>79</v>
      </c>
      <c r="C25" s="113"/>
      <c r="D25" s="21" t="s">
        <v>31</v>
      </c>
      <c r="E25" s="11">
        <f>VLOOKUP(D25,'Bu Erta'!$C$2:$E$66,3,0)</f>
        <v>1000</v>
      </c>
      <c r="F25" s="21">
        <v>0.7</v>
      </c>
      <c r="G25" s="12">
        <f t="shared" si="1"/>
        <v>700</v>
      </c>
      <c r="H25" s="3">
        <f>(VLOOKUP(D25,'Bu Erta'!$C$3:$F$66,4,0))*F25</f>
        <v>770</v>
      </c>
      <c r="I25" s="3"/>
      <c r="J25" s="43" t="s">
        <v>112</v>
      </c>
      <c r="K25" s="44">
        <v>4</v>
      </c>
      <c r="L25" s="45">
        <v>3577.5</v>
      </c>
      <c r="M25" s="4"/>
      <c r="N25" s="45" t="s">
        <v>89</v>
      </c>
      <c r="O25" s="45">
        <v>4</v>
      </c>
      <c r="P25" s="45">
        <v>910.00000000000011</v>
      </c>
      <c r="R25" s="44">
        <v>22</v>
      </c>
      <c r="S25" s="17" t="s">
        <v>33</v>
      </c>
      <c r="T25" s="52">
        <v>1400</v>
      </c>
      <c r="U25" s="53">
        <f t="shared" si="0"/>
        <v>0</v>
      </c>
      <c r="V25" s="52">
        <f t="shared" si="2"/>
        <v>0</v>
      </c>
    </row>
    <row r="26" spans="1:22" x14ac:dyDescent="0.35">
      <c r="A26" s="118">
        <v>5</v>
      </c>
      <c r="B26" s="25" t="s">
        <v>284</v>
      </c>
      <c r="C26" s="108">
        <v>2</v>
      </c>
      <c r="D26" s="19" t="s">
        <v>24</v>
      </c>
      <c r="E26" s="7">
        <f>VLOOKUP(D26,'Bu Erta'!$C$2:$E$66,3,0)</f>
        <v>150</v>
      </c>
      <c r="F26" s="19">
        <v>2.0499999999999998</v>
      </c>
      <c r="G26" s="8">
        <f t="shared" si="1"/>
        <v>307.5</v>
      </c>
      <c r="H26" s="3">
        <f>(VLOOKUP(D26,'Bu Erta'!$C$3:$F$66,4,0))*F26</f>
        <v>409.99999999999994</v>
      </c>
      <c r="I26" s="3"/>
      <c r="J26" s="43" t="s">
        <v>94</v>
      </c>
      <c r="K26" s="44">
        <v>4</v>
      </c>
      <c r="L26" s="45">
        <v>3967.5</v>
      </c>
      <c r="M26" s="4"/>
      <c r="N26" s="45" t="s">
        <v>84</v>
      </c>
      <c r="O26" s="45">
        <v>4</v>
      </c>
      <c r="P26" s="45">
        <v>7700</v>
      </c>
      <c r="R26" s="44">
        <v>23</v>
      </c>
      <c r="S26" s="17" t="s">
        <v>34</v>
      </c>
      <c r="T26" s="52">
        <v>3600</v>
      </c>
      <c r="U26" s="53">
        <f t="shared" si="0"/>
        <v>0.55000000000000004</v>
      </c>
      <c r="V26" s="52">
        <f t="shared" si="2"/>
        <v>1980.0000000000002</v>
      </c>
    </row>
    <row r="27" spans="1:22" x14ac:dyDescent="0.35">
      <c r="A27" s="119"/>
      <c r="B27" s="25" t="s">
        <v>284</v>
      </c>
      <c r="C27" s="113"/>
      <c r="D27" s="21" t="s">
        <v>31</v>
      </c>
      <c r="E27" s="11">
        <f>VLOOKUP(D27,'Bu Erta'!$C$2:$E$66,3,0)</f>
        <v>1000</v>
      </c>
      <c r="F27" s="21">
        <v>1.85</v>
      </c>
      <c r="G27" s="12">
        <f t="shared" si="1"/>
        <v>1850</v>
      </c>
      <c r="H27" s="3">
        <f>(VLOOKUP(D27,'Bu Erta'!$C$3:$F$66,4,0))*F27</f>
        <v>2035</v>
      </c>
      <c r="I27" s="3"/>
      <c r="J27" s="43" t="s">
        <v>118</v>
      </c>
      <c r="K27" s="44">
        <v>4</v>
      </c>
      <c r="L27" s="45">
        <v>2700</v>
      </c>
      <c r="M27" s="4"/>
      <c r="N27" s="45" t="s">
        <v>118</v>
      </c>
      <c r="O27" s="45">
        <v>4</v>
      </c>
      <c r="P27" s="45">
        <v>2700</v>
      </c>
      <c r="R27" s="44">
        <v>24</v>
      </c>
      <c r="S27" s="17" t="s">
        <v>35</v>
      </c>
      <c r="T27" s="52">
        <v>2000</v>
      </c>
      <c r="U27" s="53">
        <f t="shared" si="0"/>
        <v>0</v>
      </c>
      <c r="V27" s="52">
        <f t="shared" si="2"/>
        <v>0</v>
      </c>
    </row>
    <row r="28" spans="1:22" x14ac:dyDescent="0.35">
      <c r="A28" s="118">
        <v>6</v>
      </c>
      <c r="B28" s="25" t="s">
        <v>152</v>
      </c>
      <c r="C28" s="108">
        <v>4</v>
      </c>
      <c r="D28" s="19" t="s">
        <v>7</v>
      </c>
      <c r="E28" s="7">
        <f>VLOOKUP(D28,'Bu Erta'!$C$2:$E$66,3,0)</f>
        <v>1400</v>
      </c>
      <c r="F28" s="19">
        <v>0.85</v>
      </c>
      <c r="G28" s="8">
        <f t="shared" si="1"/>
        <v>1190</v>
      </c>
      <c r="H28" s="3">
        <f>(VLOOKUP(D28,'Bu Erta'!$C$3:$F$66,4,0))*F28</f>
        <v>1360</v>
      </c>
      <c r="I28" s="3"/>
      <c r="J28" s="43" t="s">
        <v>132</v>
      </c>
      <c r="K28" s="44">
        <v>4</v>
      </c>
      <c r="L28" s="45">
        <v>6590</v>
      </c>
      <c r="M28" s="4"/>
      <c r="N28" s="45" t="s">
        <v>94</v>
      </c>
      <c r="O28" s="45">
        <v>4</v>
      </c>
      <c r="P28" s="45">
        <v>3967.5</v>
      </c>
      <c r="R28" s="44">
        <v>25</v>
      </c>
      <c r="S28" s="17" t="s">
        <v>36</v>
      </c>
      <c r="T28" s="52">
        <v>650</v>
      </c>
      <c r="U28" s="53">
        <f t="shared" si="0"/>
        <v>6.15</v>
      </c>
      <c r="V28" s="52">
        <f t="shared" si="2"/>
        <v>3997.5000000000005</v>
      </c>
    </row>
    <row r="29" spans="1:22" x14ac:dyDescent="0.35">
      <c r="A29" s="119"/>
      <c r="B29" s="27" t="s">
        <v>152</v>
      </c>
      <c r="C29" s="113"/>
      <c r="D29" s="21" t="s">
        <v>25</v>
      </c>
      <c r="E29" s="11">
        <f>VLOOKUP(D29,'Bu Erta'!$C$2:$E$66,3,0)</f>
        <v>1600</v>
      </c>
      <c r="F29" s="21">
        <v>0.05</v>
      </c>
      <c r="G29" s="12">
        <f t="shared" si="1"/>
        <v>80</v>
      </c>
      <c r="H29" s="3">
        <f>(VLOOKUP(D29,'Bu Erta'!$C$3:$F$66,4,0))*F29</f>
        <v>85</v>
      </c>
      <c r="I29" s="3"/>
      <c r="J29" s="43" t="s">
        <v>87</v>
      </c>
      <c r="K29" s="44">
        <v>4</v>
      </c>
      <c r="L29" s="45">
        <v>1980</v>
      </c>
      <c r="M29" s="4"/>
      <c r="N29" s="45" t="s">
        <v>112</v>
      </c>
      <c r="O29" s="45">
        <v>4</v>
      </c>
      <c r="P29" s="45">
        <v>3577.5</v>
      </c>
      <c r="R29" s="44">
        <v>26</v>
      </c>
      <c r="S29" s="17" t="s">
        <v>37</v>
      </c>
      <c r="T29" s="52">
        <v>2000</v>
      </c>
      <c r="U29" s="53">
        <f t="shared" si="0"/>
        <v>1.5</v>
      </c>
      <c r="V29" s="52">
        <f t="shared" si="2"/>
        <v>3000</v>
      </c>
    </row>
    <row r="30" spans="1:22" x14ac:dyDescent="0.35">
      <c r="A30" s="118">
        <v>7</v>
      </c>
      <c r="B30" s="25" t="s">
        <v>83</v>
      </c>
      <c r="C30" s="108">
        <v>1</v>
      </c>
      <c r="D30" s="19" t="s">
        <v>42</v>
      </c>
      <c r="E30" s="7">
        <f>VLOOKUP(D30,'Bu Erta'!$C$2:$E$66,3,0)</f>
        <v>1000</v>
      </c>
      <c r="F30" s="19">
        <v>7.55</v>
      </c>
      <c r="G30" s="8">
        <f t="shared" si="1"/>
        <v>7550</v>
      </c>
      <c r="H30" s="3">
        <f>(VLOOKUP(D30,'Bu Erta'!$C$3:$F$66,4,0))*F30</f>
        <v>9060</v>
      </c>
      <c r="I30" s="3"/>
      <c r="J30" s="43" t="s">
        <v>133</v>
      </c>
      <c r="K30" s="44">
        <v>4</v>
      </c>
      <c r="L30" s="45">
        <v>1050</v>
      </c>
      <c r="M30" s="4"/>
      <c r="N30" s="45" t="s">
        <v>105</v>
      </c>
      <c r="O30" s="45">
        <v>4</v>
      </c>
      <c r="P30" s="45">
        <v>3865</v>
      </c>
      <c r="R30" s="44">
        <v>27</v>
      </c>
      <c r="S30" s="17" t="s">
        <v>38</v>
      </c>
      <c r="T30" s="52">
        <v>1600</v>
      </c>
      <c r="U30" s="53">
        <f t="shared" si="0"/>
        <v>2.8</v>
      </c>
      <c r="V30" s="52">
        <f t="shared" si="2"/>
        <v>4480</v>
      </c>
    </row>
    <row r="31" spans="1:22" x14ac:dyDescent="0.35">
      <c r="A31" s="117"/>
      <c r="B31" s="26" t="s">
        <v>83</v>
      </c>
      <c r="C31" s="106"/>
      <c r="D31" s="20" t="s">
        <v>27</v>
      </c>
      <c r="E31" s="9">
        <f>VLOOKUP(D31,'Bu Erta'!$C$2:$E$66,3,0)</f>
        <v>2800</v>
      </c>
      <c r="F31" s="20">
        <v>1.6</v>
      </c>
      <c r="G31" s="10">
        <f t="shared" si="1"/>
        <v>4480</v>
      </c>
      <c r="H31" s="3">
        <f>(VLOOKUP(D31,'Bu Erta'!$C$3:$F$66,4,0))*F31</f>
        <v>4960</v>
      </c>
      <c r="I31" s="3"/>
      <c r="J31" s="43" t="s">
        <v>97</v>
      </c>
      <c r="K31" s="44">
        <v>4</v>
      </c>
      <c r="L31" s="45">
        <v>2085</v>
      </c>
      <c r="M31" s="4"/>
      <c r="N31" s="45" t="s">
        <v>97</v>
      </c>
      <c r="O31" s="45">
        <v>4</v>
      </c>
      <c r="P31" s="45">
        <v>2085</v>
      </c>
      <c r="R31" s="44">
        <v>28</v>
      </c>
      <c r="S31" s="17" t="s">
        <v>39</v>
      </c>
      <c r="T31" s="52">
        <v>200</v>
      </c>
      <c r="U31" s="53">
        <f t="shared" si="0"/>
        <v>0</v>
      </c>
      <c r="V31" s="52">
        <f t="shared" si="2"/>
        <v>0</v>
      </c>
    </row>
    <row r="32" spans="1:22" x14ac:dyDescent="0.35">
      <c r="A32" s="117"/>
      <c r="B32" s="26" t="s">
        <v>83</v>
      </c>
      <c r="C32" s="106"/>
      <c r="D32" s="20" t="s">
        <v>17</v>
      </c>
      <c r="E32" s="9">
        <f>VLOOKUP(D32,'Bu Erta'!$C$2:$E$66,3,0)</f>
        <v>8000</v>
      </c>
      <c r="F32" s="20">
        <v>0.25</v>
      </c>
      <c r="G32" s="10">
        <f t="shared" si="1"/>
        <v>2000</v>
      </c>
      <c r="H32" s="3">
        <f>(VLOOKUP(D32,'Bu Erta'!$C$3:$F$66,4,0))*F32</f>
        <v>2125</v>
      </c>
      <c r="I32" s="3"/>
      <c r="J32" s="43" t="s">
        <v>140</v>
      </c>
      <c r="K32" s="44">
        <v>4</v>
      </c>
      <c r="L32" s="45">
        <v>43195</v>
      </c>
      <c r="M32" s="4"/>
      <c r="N32" s="45" t="s">
        <v>132</v>
      </c>
      <c r="O32" s="45">
        <v>4</v>
      </c>
      <c r="P32" s="45">
        <v>6590</v>
      </c>
      <c r="R32" s="44">
        <v>29</v>
      </c>
      <c r="S32" s="17" t="s">
        <v>77</v>
      </c>
      <c r="T32" s="52">
        <v>800</v>
      </c>
      <c r="U32" s="53">
        <f t="shared" si="0"/>
        <v>0</v>
      </c>
      <c r="V32" s="52">
        <f t="shared" si="2"/>
        <v>0</v>
      </c>
    </row>
    <row r="33" spans="1:22" x14ac:dyDescent="0.35">
      <c r="A33" s="119"/>
      <c r="B33" s="27" t="s">
        <v>83</v>
      </c>
      <c r="C33" s="113"/>
      <c r="D33" s="21" t="s">
        <v>31</v>
      </c>
      <c r="E33" s="11">
        <f>VLOOKUP(D33,'Bu Erta'!$C$2:$E$66,3,0)</f>
        <v>1000</v>
      </c>
      <c r="F33" s="21">
        <v>2.4</v>
      </c>
      <c r="G33" s="12">
        <f t="shared" si="1"/>
        <v>2400</v>
      </c>
      <c r="H33" s="3">
        <f>(VLOOKUP(D33,'Bu Erta'!$C$3:$F$66,4,0))*F33</f>
        <v>2640</v>
      </c>
      <c r="I33" s="3"/>
      <c r="J33" s="43" t="s">
        <v>109</v>
      </c>
      <c r="K33" s="44">
        <v>4</v>
      </c>
      <c r="L33" s="45">
        <v>47137.5</v>
      </c>
      <c r="M33" s="4"/>
      <c r="N33" s="45" t="s">
        <v>85</v>
      </c>
      <c r="O33" s="45">
        <v>4</v>
      </c>
      <c r="P33" s="45">
        <v>1550</v>
      </c>
      <c r="R33" s="44">
        <v>30</v>
      </c>
      <c r="S33" s="17" t="s">
        <v>40</v>
      </c>
      <c r="T33" s="52">
        <v>2000</v>
      </c>
      <c r="U33" s="53">
        <f t="shared" si="0"/>
        <v>11.27</v>
      </c>
      <c r="V33" s="52">
        <f t="shared" si="2"/>
        <v>22540</v>
      </c>
    </row>
    <row r="34" spans="1:22" x14ac:dyDescent="0.35">
      <c r="A34" s="118">
        <v>8</v>
      </c>
      <c r="B34" s="25" t="s">
        <v>84</v>
      </c>
      <c r="C34" s="108">
        <v>4</v>
      </c>
      <c r="D34" s="19" t="s">
        <v>36</v>
      </c>
      <c r="E34" s="7">
        <f>VLOOKUP(D34,'Bu Erta'!$C$2:$E$66,3,0)</f>
        <v>600</v>
      </c>
      <c r="F34" s="19">
        <v>2.35</v>
      </c>
      <c r="G34" s="8">
        <f t="shared" si="1"/>
        <v>1410</v>
      </c>
      <c r="H34" s="3">
        <f>(VLOOKUP(D34,'Bu Erta'!$C$3:$F$66,4,0))*F34</f>
        <v>1527.5</v>
      </c>
      <c r="I34" s="3"/>
      <c r="J34" s="43" t="s">
        <v>144</v>
      </c>
      <c r="K34" s="44">
        <v>4</v>
      </c>
      <c r="L34" s="45">
        <v>4575</v>
      </c>
      <c r="M34" s="4"/>
      <c r="N34" s="45" t="s">
        <v>133</v>
      </c>
      <c r="O34" s="45">
        <v>4</v>
      </c>
      <c r="P34" s="45">
        <v>1050</v>
      </c>
      <c r="R34" s="44">
        <v>31</v>
      </c>
      <c r="S34" s="17" t="s">
        <v>41</v>
      </c>
      <c r="T34" s="52">
        <v>2000</v>
      </c>
      <c r="U34" s="53">
        <f t="shared" si="0"/>
        <v>5.75</v>
      </c>
      <c r="V34" s="52">
        <f t="shared" si="2"/>
        <v>11500</v>
      </c>
    </row>
    <row r="35" spans="1:22" x14ac:dyDescent="0.35">
      <c r="A35" s="117"/>
      <c r="B35" s="26" t="s">
        <v>84</v>
      </c>
      <c r="C35" s="106"/>
      <c r="D35" s="20" t="s">
        <v>31</v>
      </c>
      <c r="E35" s="9">
        <f>VLOOKUP(D35,'Bu Erta'!$C$2:$E$66,3,0)</f>
        <v>1000</v>
      </c>
      <c r="F35" s="20">
        <v>0.85</v>
      </c>
      <c r="G35" s="10">
        <f t="shared" si="1"/>
        <v>850</v>
      </c>
      <c r="H35" s="3">
        <f>(VLOOKUP(D35,'Bu Erta'!$C$3:$F$66,4,0))*F35</f>
        <v>935</v>
      </c>
      <c r="I35" s="3"/>
      <c r="J35" s="43" t="s">
        <v>114</v>
      </c>
      <c r="K35" s="44">
        <v>4</v>
      </c>
      <c r="L35" s="45">
        <v>2580</v>
      </c>
      <c r="M35" s="4"/>
      <c r="N35" s="45" t="s">
        <v>114</v>
      </c>
      <c r="O35" s="45">
        <v>4</v>
      </c>
      <c r="P35" s="45">
        <v>2580</v>
      </c>
      <c r="R35" s="44">
        <v>32</v>
      </c>
      <c r="S35" s="17" t="s">
        <v>42</v>
      </c>
      <c r="T35" s="52">
        <v>1200</v>
      </c>
      <c r="U35" s="53">
        <f t="shared" si="0"/>
        <v>76.199999999999989</v>
      </c>
      <c r="V35" s="52">
        <f t="shared" si="2"/>
        <v>91439.999999999985</v>
      </c>
    </row>
    <row r="36" spans="1:22" x14ac:dyDescent="0.35">
      <c r="A36" s="117"/>
      <c r="B36" s="26" t="s">
        <v>84</v>
      </c>
      <c r="C36" s="106"/>
      <c r="D36" s="20" t="s">
        <v>28</v>
      </c>
      <c r="E36" s="9">
        <f>VLOOKUP(D36,'Bu Erta'!$C$2:$E$66,3,0)</f>
        <v>1200</v>
      </c>
      <c r="F36" s="20">
        <v>2.1</v>
      </c>
      <c r="G36" s="10">
        <f t="shared" si="1"/>
        <v>2520</v>
      </c>
      <c r="H36" s="3">
        <f>(VLOOKUP(D36,'Bu Erta'!$C$3:$F$66,4,0))*F36</f>
        <v>2730</v>
      </c>
      <c r="I36" s="3"/>
      <c r="J36" s="43" t="s">
        <v>152</v>
      </c>
      <c r="K36" s="44">
        <v>4</v>
      </c>
      <c r="L36" s="45">
        <v>1270</v>
      </c>
      <c r="M36" s="4"/>
      <c r="N36" s="45" t="s">
        <v>140</v>
      </c>
      <c r="O36" s="45">
        <v>4</v>
      </c>
      <c r="P36" s="45">
        <v>43195</v>
      </c>
      <c r="R36" s="44">
        <v>33</v>
      </c>
      <c r="S36" s="17" t="s">
        <v>43</v>
      </c>
      <c r="T36" s="52">
        <v>500</v>
      </c>
      <c r="U36" s="53">
        <f t="shared" ref="U36:U66" si="3">SUMIF($D$4:$D$230,S36,$F$4:$F$230)</f>
        <v>0</v>
      </c>
      <c r="V36" s="52">
        <f t="shared" si="2"/>
        <v>0</v>
      </c>
    </row>
    <row r="37" spans="1:22" x14ac:dyDescent="0.35">
      <c r="A37" s="117"/>
      <c r="B37" s="26" t="s">
        <v>84</v>
      </c>
      <c r="C37" s="106"/>
      <c r="D37" s="20" t="s">
        <v>46</v>
      </c>
      <c r="E37" s="9">
        <f>VLOOKUP(D37,'Bu Erta'!$C$2:$E$66,3,0)</f>
        <v>1400</v>
      </c>
      <c r="F37" s="20">
        <v>1.8</v>
      </c>
      <c r="G37" s="10">
        <f t="shared" si="1"/>
        <v>2520</v>
      </c>
      <c r="H37" s="3">
        <f>(VLOOKUP(D37,'Bu Erta'!$C$3:$F$66,4,0))*F37</f>
        <v>2700</v>
      </c>
      <c r="I37" s="3"/>
      <c r="J37" s="43" t="s">
        <v>86</v>
      </c>
      <c r="K37" s="44">
        <v>4</v>
      </c>
      <c r="L37" s="45">
        <v>23745</v>
      </c>
      <c r="M37" s="4"/>
      <c r="N37" s="45" t="s">
        <v>87</v>
      </c>
      <c r="O37" s="45">
        <v>4</v>
      </c>
      <c r="P37" s="45">
        <v>1980</v>
      </c>
      <c r="R37" s="44">
        <v>34</v>
      </c>
      <c r="S37" s="17" t="s">
        <v>44</v>
      </c>
      <c r="T37" s="52">
        <v>500</v>
      </c>
      <c r="U37" s="53">
        <f t="shared" si="3"/>
        <v>0</v>
      </c>
      <c r="V37" s="52">
        <f t="shared" si="2"/>
        <v>0</v>
      </c>
    </row>
    <row r="38" spans="1:22" x14ac:dyDescent="0.35">
      <c r="A38" s="119"/>
      <c r="B38" s="27" t="s">
        <v>84</v>
      </c>
      <c r="C38" s="113"/>
      <c r="D38" s="21" t="s">
        <v>42</v>
      </c>
      <c r="E38" s="11">
        <f>VLOOKUP(D38,'Bu Erta'!$C$2:$E$66,3,0)</f>
        <v>1000</v>
      </c>
      <c r="F38" s="21">
        <v>0.4</v>
      </c>
      <c r="G38" s="12">
        <f t="shared" si="1"/>
        <v>400</v>
      </c>
      <c r="H38" s="3">
        <f>(VLOOKUP(D38,'Bu Erta'!$C$3:$F$66,4,0))*F38</f>
        <v>480</v>
      </c>
      <c r="I38" s="3"/>
      <c r="J38" s="43" t="s">
        <v>180</v>
      </c>
      <c r="K38" s="44">
        <v>4</v>
      </c>
      <c r="L38" s="45">
        <v>4345</v>
      </c>
      <c r="M38" s="4"/>
      <c r="N38" s="45" t="s">
        <v>144</v>
      </c>
      <c r="O38" s="45">
        <v>4</v>
      </c>
      <c r="P38" s="45">
        <v>4575</v>
      </c>
      <c r="R38" s="44">
        <v>35</v>
      </c>
      <c r="S38" s="17" t="s">
        <v>45</v>
      </c>
      <c r="T38" s="52">
        <v>800</v>
      </c>
      <c r="U38" s="53">
        <f t="shared" si="3"/>
        <v>0</v>
      </c>
      <c r="V38" s="52">
        <f t="shared" si="2"/>
        <v>0</v>
      </c>
    </row>
    <row r="39" spans="1:22" x14ac:dyDescent="0.35">
      <c r="A39" s="118">
        <v>9</v>
      </c>
      <c r="B39" s="25" t="s">
        <v>85</v>
      </c>
      <c r="C39" s="108">
        <v>4</v>
      </c>
      <c r="D39" s="19" t="s">
        <v>42</v>
      </c>
      <c r="E39" s="7">
        <f>VLOOKUP(D39,'Bu Erta'!$C$2:$E$66,3,0)</f>
        <v>1000</v>
      </c>
      <c r="F39" s="19">
        <v>1</v>
      </c>
      <c r="G39" s="8">
        <f t="shared" si="1"/>
        <v>1000</v>
      </c>
      <c r="H39" s="3">
        <f>(VLOOKUP(D39,'Bu Erta'!$C$3:$F$66,4,0))*F39</f>
        <v>1200</v>
      </c>
      <c r="I39" s="3"/>
      <c r="J39" s="43" t="s">
        <v>100</v>
      </c>
      <c r="K39" s="44">
        <v>4</v>
      </c>
      <c r="L39" s="45">
        <v>24900</v>
      </c>
      <c r="M39" s="4"/>
      <c r="N39" s="45" t="s">
        <v>109</v>
      </c>
      <c r="O39" s="45">
        <v>4</v>
      </c>
      <c r="P39" s="45">
        <v>47137.5</v>
      </c>
      <c r="R39" s="44">
        <v>36</v>
      </c>
      <c r="S39" s="17" t="s">
        <v>46</v>
      </c>
      <c r="T39" s="52">
        <v>1500</v>
      </c>
      <c r="U39" s="53">
        <f t="shared" si="3"/>
        <v>11.15</v>
      </c>
      <c r="V39" s="52">
        <f t="shared" si="2"/>
        <v>16725</v>
      </c>
    </row>
    <row r="40" spans="1:22" x14ac:dyDescent="0.35">
      <c r="A40" s="119"/>
      <c r="B40" s="27" t="s">
        <v>85</v>
      </c>
      <c r="C40" s="113"/>
      <c r="D40" s="21" t="s">
        <v>31</v>
      </c>
      <c r="E40" s="11">
        <f>VLOOKUP(D40,'Bu Erta'!$C$2:$E$66,3,0)</f>
        <v>1000</v>
      </c>
      <c r="F40" s="21">
        <v>0.55000000000000004</v>
      </c>
      <c r="G40" s="12">
        <f t="shared" si="1"/>
        <v>550</v>
      </c>
      <c r="H40" s="3">
        <f>(VLOOKUP(D40,'Bu Erta'!$C$3:$F$66,4,0))*F40</f>
        <v>605</v>
      </c>
      <c r="I40" s="3"/>
      <c r="J40" s="43" t="s">
        <v>105</v>
      </c>
      <c r="K40" s="44">
        <v>4</v>
      </c>
      <c r="L40" s="45">
        <v>3865</v>
      </c>
      <c r="M40" s="4"/>
      <c r="N40" s="45" t="s">
        <v>152</v>
      </c>
      <c r="O40" s="45">
        <v>4</v>
      </c>
      <c r="P40" s="45">
        <v>1270</v>
      </c>
      <c r="R40" s="44">
        <v>37</v>
      </c>
      <c r="S40" s="17" t="s">
        <v>47</v>
      </c>
      <c r="T40" s="52">
        <v>1500</v>
      </c>
      <c r="U40" s="53">
        <f t="shared" si="3"/>
        <v>0</v>
      </c>
      <c r="V40" s="52">
        <f t="shared" si="2"/>
        <v>0</v>
      </c>
    </row>
    <row r="41" spans="1:22" x14ac:dyDescent="0.35">
      <c r="A41" s="13">
        <v>10</v>
      </c>
      <c r="B41" s="28" t="s">
        <v>133</v>
      </c>
      <c r="C41" s="14">
        <v>4</v>
      </c>
      <c r="D41" s="17" t="s">
        <v>31</v>
      </c>
      <c r="E41" s="15">
        <f>VLOOKUP(D41,'Bu Erta'!$C$2:$E$66,3,0)</f>
        <v>1000</v>
      </c>
      <c r="F41" s="17">
        <v>1.05</v>
      </c>
      <c r="G41" s="16">
        <f t="shared" si="1"/>
        <v>1050</v>
      </c>
      <c r="H41" s="3">
        <f>(VLOOKUP(D41,'Bu Erta'!$C$3:$F$66,4,0))*F41</f>
        <v>1155</v>
      </c>
      <c r="I41" s="3"/>
      <c r="J41" s="43" t="s">
        <v>85</v>
      </c>
      <c r="K41" s="44">
        <v>4</v>
      </c>
      <c r="L41" s="45">
        <v>1550</v>
      </c>
      <c r="M41" s="4"/>
      <c r="N41" s="45" t="s">
        <v>86</v>
      </c>
      <c r="O41" s="45">
        <v>4</v>
      </c>
      <c r="P41" s="45">
        <v>23745</v>
      </c>
      <c r="R41" s="44">
        <v>38</v>
      </c>
      <c r="S41" s="17" t="s">
        <v>48</v>
      </c>
      <c r="T41" s="52">
        <v>15000</v>
      </c>
      <c r="U41" s="53">
        <f t="shared" si="3"/>
        <v>0</v>
      </c>
      <c r="V41" s="52">
        <f t="shared" si="2"/>
        <v>0</v>
      </c>
    </row>
    <row r="42" spans="1:22" x14ac:dyDescent="0.35">
      <c r="A42" s="118">
        <v>11</v>
      </c>
      <c r="B42" s="25" t="s">
        <v>147</v>
      </c>
      <c r="C42" s="108">
        <v>3</v>
      </c>
      <c r="D42" s="19" t="s">
        <v>25</v>
      </c>
      <c r="E42" s="7">
        <f>VLOOKUP(D42,'Bu Erta'!$C$2:$E$66,3,0)</f>
        <v>1600</v>
      </c>
      <c r="F42" s="19">
        <v>0.2</v>
      </c>
      <c r="G42" s="8">
        <f t="shared" si="1"/>
        <v>320</v>
      </c>
      <c r="H42" s="3">
        <f>(VLOOKUP(D42,'Bu Erta'!$C$3:$F$66,4,0))*F42</f>
        <v>340</v>
      </c>
      <c r="I42" s="3"/>
      <c r="J42" s="43" t="s">
        <v>192</v>
      </c>
      <c r="K42" s="44">
        <v>4</v>
      </c>
      <c r="L42" s="45">
        <v>16985</v>
      </c>
      <c r="M42" s="4"/>
      <c r="N42" s="45" t="s">
        <v>180</v>
      </c>
      <c r="O42" s="45">
        <v>4</v>
      </c>
      <c r="P42" s="45">
        <v>4345</v>
      </c>
      <c r="R42" s="44">
        <v>39</v>
      </c>
      <c r="S42" s="17" t="s">
        <v>49</v>
      </c>
      <c r="T42" s="52">
        <v>900</v>
      </c>
      <c r="U42" s="53">
        <f t="shared" si="3"/>
        <v>0</v>
      </c>
      <c r="V42" s="52">
        <f t="shared" si="2"/>
        <v>0</v>
      </c>
    </row>
    <row r="43" spans="1:22" x14ac:dyDescent="0.35">
      <c r="A43" s="117"/>
      <c r="B43" s="26" t="s">
        <v>147</v>
      </c>
      <c r="C43" s="106"/>
      <c r="D43" s="20" t="s">
        <v>31</v>
      </c>
      <c r="E43" s="9">
        <f>VLOOKUP(D43,'Bu Erta'!$C$2:$E$66,3,0)</f>
        <v>1000</v>
      </c>
      <c r="F43" s="20">
        <v>0.2</v>
      </c>
      <c r="G43" s="10">
        <f t="shared" si="1"/>
        <v>200</v>
      </c>
      <c r="H43" s="3">
        <f>(VLOOKUP(D43,'Bu Erta'!$C$3:$F$66,4,0))*F43</f>
        <v>220</v>
      </c>
      <c r="I43" s="3"/>
      <c r="J43" s="43" t="s">
        <v>102</v>
      </c>
      <c r="K43" s="44">
        <v>4</v>
      </c>
      <c r="L43" s="45">
        <v>6425</v>
      </c>
      <c r="M43" s="4"/>
      <c r="N43" s="45" t="s">
        <v>102</v>
      </c>
      <c r="O43" s="45">
        <v>4</v>
      </c>
      <c r="P43" s="45">
        <v>6425</v>
      </c>
      <c r="R43" s="44">
        <v>40</v>
      </c>
      <c r="S43" s="17" t="s">
        <v>50</v>
      </c>
      <c r="T43" s="52">
        <v>45000</v>
      </c>
      <c r="U43" s="53">
        <f t="shared" si="3"/>
        <v>0</v>
      </c>
      <c r="V43" s="52">
        <f t="shared" si="2"/>
        <v>0</v>
      </c>
    </row>
    <row r="44" spans="1:22" x14ac:dyDescent="0.35">
      <c r="A44" s="119"/>
      <c r="B44" s="27" t="s">
        <v>147</v>
      </c>
      <c r="C44" s="113"/>
      <c r="D44" s="21" t="s">
        <v>7</v>
      </c>
      <c r="E44" s="11">
        <f>VLOOKUP(D44,'Bu Erta'!$C$2:$E$66,3,0)</f>
        <v>1400</v>
      </c>
      <c r="F44" s="21">
        <v>1</v>
      </c>
      <c r="G44" s="12">
        <f t="shared" si="1"/>
        <v>1400</v>
      </c>
      <c r="H44" s="3">
        <f>(VLOOKUP(D44,'Bu Erta'!$C$3:$F$66,4,0))*F44</f>
        <v>1600</v>
      </c>
      <c r="I44" s="3"/>
      <c r="J44" s="43" t="s">
        <v>89</v>
      </c>
      <c r="K44" s="44">
        <v>4</v>
      </c>
      <c r="L44" s="45">
        <v>910.00000000000011</v>
      </c>
      <c r="M44" s="4"/>
      <c r="N44" s="45" t="s">
        <v>192</v>
      </c>
      <c r="O44" s="45">
        <v>4</v>
      </c>
      <c r="P44" s="45">
        <v>16985</v>
      </c>
      <c r="R44" s="44">
        <v>41</v>
      </c>
      <c r="S44" s="17" t="s">
        <v>51</v>
      </c>
      <c r="T44" s="52">
        <v>55000</v>
      </c>
      <c r="U44" s="53">
        <f t="shared" si="3"/>
        <v>0</v>
      </c>
      <c r="V44" s="52">
        <f t="shared" si="2"/>
        <v>0</v>
      </c>
    </row>
    <row r="45" spans="1:22" x14ac:dyDescent="0.35">
      <c r="A45" s="118">
        <v>12</v>
      </c>
      <c r="B45" s="25" t="s">
        <v>86</v>
      </c>
      <c r="C45" s="108">
        <v>4</v>
      </c>
      <c r="D45" s="19" t="s">
        <v>25</v>
      </c>
      <c r="E45" s="7">
        <f>VLOOKUP(D45,'Bu Erta'!$C$2:$E$66,3,0)</f>
        <v>1600</v>
      </c>
      <c r="F45" s="19">
        <v>0.7</v>
      </c>
      <c r="G45" s="8">
        <f t="shared" si="1"/>
        <v>1120</v>
      </c>
      <c r="H45" s="3">
        <f>(VLOOKUP(D45,'Bu Erta'!$C$3:$F$66,4,0))*F45</f>
        <v>1190</v>
      </c>
      <c r="I45" s="3"/>
      <c r="J45" s="43" t="s">
        <v>120</v>
      </c>
      <c r="K45" s="44">
        <v>5</v>
      </c>
      <c r="L45" s="45">
        <v>4530</v>
      </c>
      <c r="M45" s="4"/>
      <c r="N45" s="45" t="s">
        <v>120</v>
      </c>
      <c r="O45" s="45">
        <v>5</v>
      </c>
      <c r="P45" s="45">
        <v>4530</v>
      </c>
      <c r="R45" s="44">
        <v>42</v>
      </c>
      <c r="S45" s="17" t="s">
        <v>52</v>
      </c>
      <c r="T45" s="52">
        <v>30000</v>
      </c>
      <c r="U45" s="53">
        <f t="shared" si="3"/>
        <v>0</v>
      </c>
      <c r="V45" s="52">
        <f t="shared" si="2"/>
        <v>0</v>
      </c>
    </row>
    <row r="46" spans="1:22" x14ac:dyDescent="0.35">
      <c r="A46" s="117"/>
      <c r="B46" s="26" t="s">
        <v>86</v>
      </c>
      <c r="C46" s="106"/>
      <c r="D46" s="20" t="s">
        <v>42</v>
      </c>
      <c r="E46" s="9">
        <f>VLOOKUP(D46,'Bu Erta'!$C$2:$E$66,3,0)</f>
        <v>1000</v>
      </c>
      <c r="F46" s="20">
        <v>2.5</v>
      </c>
      <c r="G46" s="10">
        <f t="shared" si="1"/>
        <v>2500</v>
      </c>
      <c r="H46" s="3">
        <f>(VLOOKUP(D46,'Bu Erta'!$C$3:$F$66,4,0))*F46</f>
        <v>3000</v>
      </c>
      <c r="I46" s="3"/>
      <c r="J46" s="43" t="s">
        <v>111</v>
      </c>
      <c r="K46" s="44">
        <v>5</v>
      </c>
      <c r="L46" s="45">
        <v>45685</v>
      </c>
      <c r="M46" s="4"/>
      <c r="N46" s="45" t="s">
        <v>110</v>
      </c>
      <c r="O46" s="45">
        <v>5</v>
      </c>
      <c r="P46" s="45">
        <v>6720</v>
      </c>
      <c r="R46" s="44">
        <v>43</v>
      </c>
      <c r="S46" s="17" t="s">
        <v>53</v>
      </c>
      <c r="T46" s="52">
        <v>12000</v>
      </c>
      <c r="U46" s="53">
        <f t="shared" si="3"/>
        <v>1</v>
      </c>
      <c r="V46" s="52">
        <f t="shared" si="2"/>
        <v>12000</v>
      </c>
    </row>
    <row r="47" spans="1:22" x14ac:dyDescent="0.35">
      <c r="A47" s="117"/>
      <c r="B47" s="26" t="s">
        <v>86</v>
      </c>
      <c r="C47" s="106"/>
      <c r="D47" s="20" t="s">
        <v>19</v>
      </c>
      <c r="E47" s="9">
        <f>VLOOKUP(D47,'Bu Erta'!$C$2:$E$66,3,0)</f>
        <v>200</v>
      </c>
      <c r="F47" s="20">
        <v>0.6</v>
      </c>
      <c r="G47" s="10">
        <f t="shared" ref="G47:G54" si="4">E47*F47</f>
        <v>120</v>
      </c>
      <c r="H47" s="3">
        <f>(VLOOKUP(D47,'Bu Erta'!$C$3:$F$66,4,0))*F47</f>
        <v>180</v>
      </c>
      <c r="I47" s="3"/>
      <c r="J47" s="43" t="s">
        <v>93</v>
      </c>
      <c r="K47" s="44">
        <v>5</v>
      </c>
      <c r="L47" s="45">
        <v>1195</v>
      </c>
      <c r="M47" s="4"/>
      <c r="N47" s="45" t="s">
        <v>93</v>
      </c>
      <c r="O47" s="45">
        <v>5</v>
      </c>
      <c r="P47" s="45">
        <v>1195</v>
      </c>
      <c r="R47" s="44">
        <v>44</v>
      </c>
      <c r="S47" s="17" t="s">
        <v>54</v>
      </c>
      <c r="T47" s="52">
        <v>650</v>
      </c>
      <c r="U47" s="53">
        <f t="shared" si="3"/>
        <v>0</v>
      </c>
      <c r="V47" s="52">
        <f t="shared" si="2"/>
        <v>0</v>
      </c>
    </row>
    <row r="48" spans="1:22" x14ac:dyDescent="0.35">
      <c r="A48" s="117"/>
      <c r="B48" s="26" t="s">
        <v>86</v>
      </c>
      <c r="C48" s="106"/>
      <c r="D48" s="20" t="s">
        <v>40</v>
      </c>
      <c r="E48" s="9">
        <f>VLOOKUP(D48,'Bu Erta'!$C$2:$E$66,3,0)</f>
        <v>1800</v>
      </c>
      <c r="F48" s="20">
        <v>3.25</v>
      </c>
      <c r="G48" s="10">
        <f t="shared" si="4"/>
        <v>5850</v>
      </c>
      <c r="H48" s="3">
        <f>(VLOOKUP(D48,'Bu Erta'!$C$3:$F$66,4,0))*F48</f>
        <v>6500</v>
      </c>
      <c r="I48" s="3"/>
      <c r="J48" s="43" t="s">
        <v>95</v>
      </c>
      <c r="K48" s="44">
        <v>5</v>
      </c>
      <c r="L48" s="45">
        <v>25600</v>
      </c>
      <c r="M48" s="4"/>
      <c r="N48" s="45" t="s">
        <v>107</v>
      </c>
      <c r="O48" s="45">
        <v>5</v>
      </c>
      <c r="P48" s="45">
        <v>5730</v>
      </c>
      <c r="R48" s="44">
        <v>45</v>
      </c>
      <c r="S48" s="17" t="s">
        <v>55</v>
      </c>
      <c r="T48" s="52">
        <v>40000</v>
      </c>
      <c r="U48" s="53">
        <f t="shared" si="3"/>
        <v>0</v>
      </c>
      <c r="V48" s="52">
        <f t="shared" si="2"/>
        <v>0</v>
      </c>
    </row>
    <row r="49" spans="1:22" x14ac:dyDescent="0.35">
      <c r="A49" s="117"/>
      <c r="B49" s="26" t="s">
        <v>86</v>
      </c>
      <c r="C49" s="106"/>
      <c r="D49" s="20" t="s">
        <v>22</v>
      </c>
      <c r="E49" s="9">
        <f>VLOOKUP(D49,'Bu Erta'!$C$2:$E$66,3,0)</f>
        <v>2500</v>
      </c>
      <c r="F49" s="20">
        <f>1.2+0.2+1.85</f>
        <v>3.25</v>
      </c>
      <c r="G49" s="10">
        <f t="shared" si="4"/>
        <v>8125</v>
      </c>
      <c r="H49" s="3">
        <f>(VLOOKUP(D49,'Bu Erta'!$C$3:$F$66,4,0))*F49</f>
        <v>9750</v>
      </c>
      <c r="I49" s="3"/>
      <c r="J49" s="43" t="s">
        <v>110</v>
      </c>
      <c r="K49" s="44">
        <v>5</v>
      </c>
      <c r="L49" s="45">
        <v>6720</v>
      </c>
      <c r="M49" s="4"/>
      <c r="N49" s="45" t="s">
        <v>111</v>
      </c>
      <c r="O49" s="45">
        <v>5</v>
      </c>
      <c r="P49" s="45">
        <v>45685</v>
      </c>
      <c r="R49" s="44">
        <v>46</v>
      </c>
      <c r="S49" s="17" t="s">
        <v>56</v>
      </c>
      <c r="T49" s="52">
        <v>5500</v>
      </c>
      <c r="U49" s="53">
        <f t="shared" si="3"/>
        <v>30.2</v>
      </c>
      <c r="V49" s="52">
        <f t="shared" si="2"/>
        <v>166100</v>
      </c>
    </row>
    <row r="50" spans="1:22" x14ac:dyDescent="0.35">
      <c r="A50" s="117"/>
      <c r="B50" s="26" t="s">
        <v>86</v>
      </c>
      <c r="C50" s="106"/>
      <c r="D50" s="20" t="s">
        <v>63</v>
      </c>
      <c r="E50" s="9">
        <f>VLOOKUP(D50,'Bu Erta'!$C$2:$E$66,3,0)</f>
        <v>800</v>
      </c>
      <c r="F50" s="20">
        <f>0.3+0.1</f>
        <v>0.4</v>
      </c>
      <c r="G50" s="10">
        <f t="shared" si="4"/>
        <v>320</v>
      </c>
      <c r="H50" s="3">
        <f>(VLOOKUP(D50,'Bu Erta'!$C$3:$F$66,4,0))*F50</f>
        <v>400</v>
      </c>
      <c r="I50" s="3"/>
      <c r="J50" s="43" t="s">
        <v>113</v>
      </c>
      <c r="K50" s="44">
        <v>5</v>
      </c>
      <c r="L50" s="45">
        <v>6515</v>
      </c>
      <c r="M50" s="4"/>
      <c r="N50" s="45" t="s">
        <v>119</v>
      </c>
      <c r="O50" s="45">
        <v>5</v>
      </c>
      <c r="P50" s="45">
        <v>9816</v>
      </c>
      <c r="R50" s="44">
        <v>47</v>
      </c>
      <c r="S50" s="17" t="s">
        <v>88</v>
      </c>
      <c r="T50" s="52">
        <v>400</v>
      </c>
      <c r="U50" s="53">
        <f t="shared" si="3"/>
        <v>0.60000000000000009</v>
      </c>
      <c r="V50" s="52">
        <f t="shared" si="2"/>
        <v>240.00000000000003</v>
      </c>
    </row>
    <row r="51" spans="1:22" x14ac:dyDescent="0.35">
      <c r="A51" s="117"/>
      <c r="B51" s="26" t="s">
        <v>86</v>
      </c>
      <c r="C51" s="106"/>
      <c r="D51" s="20" t="s">
        <v>62</v>
      </c>
      <c r="E51" s="9">
        <f>VLOOKUP(D51,'Bu Erta'!$C$2:$E$66,3,0)</f>
        <v>400</v>
      </c>
      <c r="F51" s="20">
        <v>1.5</v>
      </c>
      <c r="G51" s="10">
        <f t="shared" si="4"/>
        <v>600</v>
      </c>
      <c r="H51" s="3">
        <f>(VLOOKUP(D51,'Bu Erta'!$C$3:$F$66,4,0))*F51</f>
        <v>750</v>
      </c>
      <c r="I51" s="3"/>
      <c r="J51" s="43" t="s">
        <v>107</v>
      </c>
      <c r="K51" s="44">
        <v>25</v>
      </c>
      <c r="L51" s="45">
        <v>15546</v>
      </c>
      <c r="M51" s="4"/>
      <c r="N51" s="45" t="s">
        <v>113</v>
      </c>
      <c r="O51" s="45">
        <v>5</v>
      </c>
      <c r="P51" s="45">
        <v>6515</v>
      </c>
      <c r="R51" s="44">
        <v>48</v>
      </c>
      <c r="S51" s="17" t="s">
        <v>57</v>
      </c>
      <c r="T51" s="52">
        <v>10000</v>
      </c>
      <c r="U51" s="53">
        <f t="shared" si="3"/>
        <v>0</v>
      </c>
      <c r="V51" s="52">
        <f t="shared" si="2"/>
        <v>0</v>
      </c>
    </row>
    <row r="52" spans="1:22" x14ac:dyDescent="0.35">
      <c r="A52" s="119"/>
      <c r="B52" s="27" t="s">
        <v>86</v>
      </c>
      <c r="C52" s="113"/>
      <c r="D52" s="21" t="s">
        <v>7</v>
      </c>
      <c r="E52" s="11">
        <f>VLOOKUP(D52,'Bu Erta'!$C$2:$E$66,3,0)</f>
        <v>1400</v>
      </c>
      <c r="F52" s="21">
        <f>3.2+0.45</f>
        <v>3.6500000000000004</v>
      </c>
      <c r="G52" s="12">
        <f t="shared" si="4"/>
        <v>5110.0000000000009</v>
      </c>
      <c r="H52" s="3">
        <f>(VLOOKUP(D52,'Bu Erta'!$C$3:$F$66,4,0))*F52</f>
        <v>5840.0000000000009</v>
      </c>
      <c r="I52" s="3"/>
      <c r="J52" s="43" t="s">
        <v>81</v>
      </c>
      <c r="K52" s="17">
        <v>7.599824371187712E+23</v>
      </c>
      <c r="L52" s="45">
        <v>633711</v>
      </c>
      <c r="M52" s="4"/>
      <c r="N52" s="45" t="s">
        <v>95</v>
      </c>
      <c r="O52" s="45">
        <v>5</v>
      </c>
      <c r="P52" s="45">
        <v>25600</v>
      </c>
      <c r="R52" s="44">
        <v>49</v>
      </c>
      <c r="S52" s="17" t="s">
        <v>58</v>
      </c>
      <c r="T52" s="52">
        <v>15000</v>
      </c>
      <c r="U52" s="53">
        <f t="shared" si="3"/>
        <v>0</v>
      </c>
      <c r="V52" s="52">
        <f t="shared" si="2"/>
        <v>0</v>
      </c>
    </row>
    <row r="53" spans="1:22" x14ac:dyDescent="0.35">
      <c r="A53" s="118">
        <v>13</v>
      </c>
      <c r="B53" s="25" t="s">
        <v>87</v>
      </c>
      <c r="C53" s="108">
        <v>4</v>
      </c>
      <c r="D53" s="19" t="s">
        <v>42</v>
      </c>
      <c r="E53" s="7">
        <f>VLOOKUP(D53,'Bu Erta'!$C$2:$E$66,3,0)</f>
        <v>1000</v>
      </c>
      <c r="F53" s="19">
        <v>0.7</v>
      </c>
      <c r="G53" s="8">
        <f t="shared" si="4"/>
        <v>700</v>
      </c>
      <c r="H53" s="3">
        <f>(VLOOKUP(D53,'Bu Erta'!$C$3:$F$66,4,0))*F53</f>
        <v>840</v>
      </c>
      <c r="I53" s="3"/>
      <c r="M53" s="4"/>
      <c r="N53" s="120" t="s">
        <v>81</v>
      </c>
      <c r="O53" s="121"/>
      <c r="P53" s="67">
        <f>SUM(P3:P52)</f>
        <v>633711</v>
      </c>
      <c r="R53" s="44">
        <v>50</v>
      </c>
      <c r="S53" s="17" t="s">
        <v>6</v>
      </c>
      <c r="T53" s="52">
        <v>2500</v>
      </c>
      <c r="U53" s="53">
        <f t="shared" si="3"/>
        <v>2.8500000000000005</v>
      </c>
      <c r="V53" s="52">
        <f t="shared" si="2"/>
        <v>7125.0000000000009</v>
      </c>
    </row>
    <row r="54" spans="1:22" x14ac:dyDescent="0.35">
      <c r="A54" s="119"/>
      <c r="B54" s="27" t="s">
        <v>87</v>
      </c>
      <c r="C54" s="113"/>
      <c r="D54" s="21" t="s">
        <v>25</v>
      </c>
      <c r="E54" s="11">
        <f>VLOOKUP(D54,'Bu Erta'!$C$2:$E$66,3,0)</f>
        <v>1600</v>
      </c>
      <c r="F54" s="21">
        <v>0.8</v>
      </c>
      <c r="G54" s="12">
        <f t="shared" si="4"/>
        <v>1280</v>
      </c>
      <c r="H54" s="3">
        <f>(VLOOKUP(D54,'Bu Erta'!$C$3:$F$66,4,0))*F54</f>
        <v>1360</v>
      </c>
      <c r="I54" s="3"/>
      <c r="M54" s="4"/>
      <c r="R54" s="44">
        <v>51</v>
      </c>
      <c r="S54" s="17" t="s">
        <v>59</v>
      </c>
      <c r="T54" s="52">
        <v>600</v>
      </c>
      <c r="U54" s="53">
        <f t="shared" si="3"/>
        <v>0</v>
      </c>
      <c r="V54" s="52">
        <f t="shared" si="2"/>
        <v>0</v>
      </c>
    </row>
    <row r="55" spans="1:22" x14ac:dyDescent="0.35">
      <c r="A55" s="116">
        <v>15</v>
      </c>
      <c r="B55" s="25" t="s">
        <v>89</v>
      </c>
      <c r="C55" s="116">
        <v>4</v>
      </c>
      <c r="D55" s="19" t="s">
        <v>25</v>
      </c>
      <c r="E55" s="7">
        <f>VLOOKUP(D55,'Bu Erta'!$C$2:$E$66,3,0)</f>
        <v>1600</v>
      </c>
      <c r="F55" s="19">
        <v>0.55000000000000004</v>
      </c>
      <c r="G55" s="8">
        <f t="shared" ref="G55:G87" si="5">E55*F55</f>
        <v>880.00000000000011</v>
      </c>
      <c r="H55" s="3">
        <f>(VLOOKUP(D55,'Bu Erta'!$C$3:$F$66,4,0))*F55</f>
        <v>935.00000000000011</v>
      </c>
      <c r="I55" s="3"/>
      <c r="R55" s="44">
        <v>52</v>
      </c>
      <c r="S55" s="17" t="s">
        <v>60</v>
      </c>
      <c r="T55" s="52">
        <v>1500</v>
      </c>
      <c r="U55" s="53">
        <f t="shared" si="3"/>
        <v>0</v>
      </c>
      <c r="V55" s="52">
        <f t="shared" si="2"/>
        <v>0</v>
      </c>
    </row>
    <row r="56" spans="1:22" x14ac:dyDescent="0.35">
      <c r="A56" s="115"/>
      <c r="B56" s="27" t="s">
        <v>89</v>
      </c>
      <c r="C56" s="115"/>
      <c r="D56" s="21" t="s">
        <v>19</v>
      </c>
      <c r="E56" s="11">
        <f>VLOOKUP(D56,'Bu Erta'!$C$2:$E$66,3,0)</f>
        <v>200</v>
      </c>
      <c r="F56" s="21">
        <v>0.15</v>
      </c>
      <c r="G56" s="12">
        <f t="shared" si="5"/>
        <v>30</v>
      </c>
      <c r="H56" s="3">
        <f>(VLOOKUP(D56,'Bu Erta'!$C$3:$F$66,4,0))*F56</f>
        <v>45</v>
      </c>
      <c r="I56" s="3"/>
      <c r="R56" s="44">
        <v>53</v>
      </c>
      <c r="S56" s="17" t="s">
        <v>61</v>
      </c>
      <c r="T56" s="52">
        <v>900</v>
      </c>
      <c r="U56" s="53">
        <f t="shared" si="3"/>
        <v>0</v>
      </c>
      <c r="V56" s="52">
        <f t="shared" si="2"/>
        <v>0</v>
      </c>
    </row>
    <row r="57" spans="1:22" x14ac:dyDescent="0.35">
      <c r="A57" s="116">
        <v>16</v>
      </c>
      <c r="B57" s="25" t="s">
        <v>90</v>
      </c>
      <c r="C57" s="116">
        <v>3</v>
      </c>
      <c r="D57" s="19" t="s">
        <v>37</v>
      </c>
      <c r="E57" s="7">
        <f>VLOOKUP(D57,'Bu Erta'!$C$2:$E$66,3,0)</f>
        <v>1600</v>
      </c>
      <c r="F57" s="19">
        <v>0.9</v>
      </c>
      <c r="G57" s="8">
        <f t="shared" si="5"/>
        <v>1440</v>
      </c>
      <c r="H57" s="3">
        <f>(VLOOKUP(D57,'Bu Erta'!$C$3:$F$66,4,0))*F57</f>
        <v>1800</v>
      </c>
      <c r="I57" s="3"/>
      <c r="R57" s="44">
        <v>54</v>
      </c>
      <c r="S57" s="17" t="s">
        <v>62</v>
      </c>
      <c r="T57" s="52">
        <v>500</v>
      </c>
      <c r="U57" s="53">
        <f t="shared" si="3"/>
        <v>1.5</v>
      </c>
      <c r="V57" s="52">
        <f t="shared" si="2"/>
        <v>750</v>
      </c>
    </row>
    <row r="58" spans="1:22" x14ac:dyDescent="0.35">
      <c r="A58" s="109"/>
      <c r="B58" s="26" t="s">
        <v>90</v>
      </c>
      <c r="C58" s="109"/>
      <c r="D58" s="20" t="s">
        <v>7</v>
      </c>
      <c r="E58" s="9">
        <f>VLOOKUP(D58,'Bu Erta'!$C$2:$E$66,3,0)</f>
        <v>1400</v>
      </c>
      <c r="F58" s="20">
        <f>0.95+0.15</f>
        <v>1.0999999999999999</v>
      </c>
      <c r="G58" s="10">
        <f t="shared" si="5"/>
        <v>1539.9999999999998</v>
      </c>
      <c r="H58" s="3">
        <f>(VLOOKUP(D58,'Bu Erta'!$C$3:$F$66,4,0))*F58</f>
        <v>1759.9999999999998</v>
      </c>
      <c r="I58" s="3"/>
      <c r="R58" s="44">
        <v>55</v>
      </c>
      <c r="S58" s="17" t="s">
        <v>63</v>
      </c>
      <c r="T58" s="52">
        <v>1000</v>
      </c>
      <c r="U58" s="53">
        <f t="shared" si="3"/>
        <v>0.45</v>
      </c>
      <c r="V58" s="52">
        <f t="shared" si="2"/>
        <v>450</v>
      </c>
    </row>
    <row r="59" spans="1:22" x14ac:dyDescent="0.35">
      <c r="A59" s="109"/>
      <c r="B59" s="26" t="s">
        <v>90</v>
      </c>
      <c r="C59" s="109"/>
      <c r="D59" s="20" t="s">
        <v>67</v>
      </c>
      <c r="E59" s="9">
        <f>VLOOKUP(D59,'Bu Erta'!$C$2:$E$66,3,0)</f>
        <v>2700</v>
      </c>
      <c r="F59" s="20">
        <v>0.2</v>
      </c>
      <c r="G59" s="10">
        <f t="shared" si="5"/>
        <v>540</v>
      </c>
      <c r="H59" s="3">
        <f>(VLOOKUP(D59,'Bu Erta'!$C$3:$F$66,4,0))*F59</f>
        <v>600</v>
      </c>
      <c r="I59" s="3"/>
      <c r="R59" s="44">
        <v>56</v>
      </c>
      <c r="S59" s="17" t="s">
        <v>64</v>
      </c>
      <c r="T59" s="52">
        <v>900</v>
      </c>
      <c r="U59" s="53">
        <f t="shared" si="3"/>
        <v>0</v>
      </c>
      <c r="V59" s="52">
        <f t="shared" si="2"/>
        <v>0</v>
      </c>
    </row>
    <row r="60" spans="1:22" x14ac:dyDescent="0.35">
      <c r="A60" s="109"/>
      <c r="B60" s="26" t="s">
        <v>90</v>
      </c>
      <c r="C60" s="109"/>
      <c r="D60" s="20" t="s">
        <v>69</v>
      </c>
      <c r="E60" s="9">
        <f>VLOOKUP(D60,'Bu Erta'!$C$2:$E$66,3,0)</f>
        <v>2500</v>
      </c>
      <c r="F60" s="20">
        <f>0.15+0.1</f>
        <v>0.25</v>
      </c>
      <c r="G60" s="10">
        <f t="shared" si="5"/>
        <v>625</v>
      </c>
      <c r="H60" s="3">
        <f>(VLOOKUP(D60,'Bu Erta'!$C$3:$F$66,4,0))*F60</f>
        <v>750</v>
      </c>
      <c r="I60" s="3"/>
      <c r="N60" t="s">
        <v>227</v>
      </c>
      <c r="R60" s="44">
        <v>57</v>
      </c>
      <c r="S60" s="17" t="s">
        <v>65</v>
      </c>
      <c r="T60" s="52">
        <v>200</v>
      </c>
      <c r="U60" s="53">
        <f t="shared" si="3"/>
        <v>0.35</v>
      </c>
      <c r="V60" s="52">
        <f t="shared" si="2"/>
        <v>70</v>
      </c>
    </row>
    <row r="61" spans="1:22" x14ac:dyDescent="0.35">
      <c r="A61" s="109"/>
      <c r="B61" s="26" t="s">
        <v>90</v>
      </c>
      <c r="C61" s="109"/>
      <c r="D61" s="20" t="s">
        <v>27</v>
      </c>
      <c r="E61" s="9">
        <f>VLOOKUP(D61,'Bu Erta'!$C$2:$E$66,3,0)</f>
        <v>2800</v>
      </c>
      <c r="F61" s="20">
        <v>0.85</v>
      </c>
      <c r="G61" s="10">
        <f t="shared" si="5"/>
        <v>2380</v>
      </c>
      <c r="H61" s="3">
        <f>(VLOOKUP(D61,'Bu Erta'!$C$3:$F$66,4,0))*F61</f>
        <v>2635</v>
      </c>
      <c r="I61" s="3"/>
      <c r="N61" s="4">
        <f>V67-GETPIVOTDATA("Sum of Total Harga",$J$2)</f>
        <v>115091.5</v>
      </c>
      <c r="R61" s="44">
        <v>58</v>
      </c>
      <c r="S61" s="17" t="s">
        <v>66</v>
      </c>
      <c r="T61" s="52">
        <v>55000</v>
      </c>
      <c r="U61" s="53">
        <f t="shared" si="3"/>
        <v>0</v>
      </c>
      <c r="V61" s="52">
        <f t="shared" si="2"/>
        <v>0</v>
      </c>
    </row>
    <row r="62" spans="1:22" x14ac:dyDescent="0.35">
      <c r="A62" s="109"/>
      <c r="B62" s="26" t="s">
        <v>90</v>
      </c>
      <c r="C62" s="109"/>
      <c r="D62" s="20" t="s">
        <v>42</v>
      </c>
      <c r="E62" s="9">
        <f>VLOOKUP(D62,'Bu Erta'!$C$2:$E$66,3,0)</f>
        <v>1000</v>
      </c>
      <c r="F62" s="20">
        <v>1.1499999999999999</v>
      </c>
      <c r="G62" s="10">
        <f t="shared" si="5"/>
        <v>1150</v>
      </c>
      <c r="H62" s="3">
        <f>(VLOOKUP(D62,'Bu Erta'!$C$3:$F$66,4,0))*F62</f>
        <v>1380</v>
      </c>
      <c r="I62" s="3"/>
      <c r="R62" s="44">
        <v>59</v>
      </c>
      <c r="S62" s="17" t="s">
        <v>67</v>
      </c>
      <c r="T62" s="52">
        <v>3000</v>
      </c>
      <c r="U62" s="53">
        <f t="shared" si="3"/>
        <v>1.1499999999999999</v>
      </c>
      <c r="V62" s="52">
        <f t="shared" si="2"/>
        <v>3449.9999999999995</v>
      </c>
    </row>
    <row r="63" spans="1:22" x14ac:dyDescent="0.35">
      <c r="A63" s="109"/>
      <c r="B63" s="26" t="s">
        <v>90</v>
      </c>
      <c r="C63" s="109"/>
      <c r="D63" s="20" t="s">
        <v>19</v>
      </c>
      <c r="E63" s="9">
        <f>VLOOKUP(D63,'Bu Erta'!$C$2:$E$66,3,0)</f>
        <v>200</v>
      </c>
      <c r="F63" s="20">
        <v>0.35</v>
      </c>
      <c r="G63" s="10">
        <f t="shared" si="5"/>
        <v>70</v>
      </c>
      <c r="H63" s="3">
        <f>(VLOOKUP(D63,'Bu Erta'!$C$3:$F$66,4,0))*F63</f>
        <v>105</v>
      </c>
      <c r="I63" s="3"/>
      <c r="R63" s="44">
        <v>60</v>
      </c>
      <c r="S63" s="17" t="s">
        <v>68</v>
      </c>
      <c r="T63" s="52">
        <v>200</v>
      </c>
      <c r="U63" s="53">
        <f t="shared" si="3"/>
        <v>0</v>
      </c>
      <c r="V63" s="52">
        <f t="shared" si="2"/>
        <v>0</v>
      </c>
    </row>
    <row r="64" spans="1:22" x14ac:dyDescent="0.35">
      <c r="A64" s="115"/>
      <c r="B64" s="27" t="s">
        <v>90</v>
      </c>
      <c r="C64" s="115"/>
      <c r="D64" s="21" t="s">
        <v>41</v>
      </c>
      <c r="E64" s="11">
        <f>VLOOKUP(D64,'Bu Erta'!$C$2:$E$66,3,0)</f>
        <v>1500</v>
      </c>
      <c r="F64" s="21">
        <v>0.15</v>
      </c>
      <c r="G64" s="12">
        <f t="shared" si="5"/>
        <v>225</v>
      </c>
      <c r="H64" s="3">
        <f>(VLOOKUP(D64,'Bu Erta'!$C$3:$F$66,4,0))*F64</f>
        <v>300</v>
      </c>
      <c r="I64" s="3"/>
      <c r="R64" s="44">
        <v>61</v>
      </c>
      <c r="S64" s="17" t="s">
        <v>69</v>
      </c>
      <c r="T64" s="52">
        <v>3000</v>
      </c>
      <c r="U64" s="53">
        <f t="shared" si="3"/>
        <v>0.9</v>
      </c>
      <c r="V64" s="52">
        <f t="shared" si="2"/>
        <v>2700</v>
      </c>
    </row>
    <row r="65" spans="1:22" x14ac:dyDescent="0.35">
      <c r="A65" s="116">
        <v>17</v>
      </c>
      <c r="B65" s="25" t="s">
        <v>91</v>
      </c>
      <c r="C65" s="116" t="s">
        <v>92</v>
      </c>
      <c r="D65" s="19" t="s">
        <v>56</v>
      </c>
      <c r="E65" s="7">
        <f>VLOOKUP(D65,'Bu Erta'!$C$2:$E$66,3,0)</f>
        <v>4000</v>
      </c>
      <c r="F65" s="19">
        <v>18.25</v>
      </c>
      <c r="G65" s="8">
        <f t="shared" si="5"/>
        <v>73000</v>
      </c>
      <c r="H65" s="3">
        <f>(VLOOKUP(D65,'Bu Erta'!$C$3:$F$66,4,0))*F65</f>
        <v>100375</v>
      </c>
      <c r="I65" s="3"/>
      <c r="R65" s="44">
        <v>63</v>
      </c>
      <c r="S65" s="17" t="s">
        <v>71</v>
      </c>
      <c r="T65" s="52">
        <v>10000</v>
      </c>
      <c r="U65" s="53">
        <f t="shared" si="3"/>
        <v>0</v>
      </c>
      <c r="V65" s="52">
        <f t="shared" si="2"/>
        <v>0</v>
      </c>
    </row>
    <row r="66" spans="1:22" x14ac:dyDescent="0.35">
      <c r="A66" s="115"/>
      <c r="B66" s="27" t="s">
        <v>91</v>
      </c>
      <c r="C66" s="115"/>
      <c r="D66" s="21" t="s">
        <v>42</v>
      </c>
      <c r="E66" s="11">
        <f>VLOOKUP(D66,'Bu Erta'!$C$2:$E$66,3,0)</f>
        <v>1000</v>
      </c>
      <c r="F66" s="21">
        <v>0.35</v>
      </c>
      <c r="G66" s="12">
        <f t="shared" si="5"/>
        <v>350</v>
      </c>
      <c r="H66" s="3">
        <f>(VLOOKUP(D66,'Bu Erta'!$C$3:$F$66,4,0))*F66</f>
        <v>420</v>
      </c>
      <c r="I66" s="3"/>
      <c r="R66" s="44">
        <v>64</v>
      </c>
      <c r="S66" s="17" t="s">
        <v>72</v>
      </c>
      <c r="T66" s="52">
        <v>15000</v>
      </c>
      <c r="U66" s="53">
        <f t="shared" si="3"/>
        <v>1</v>
      </c>
      <c r="V66" s="52">
        <f t="shared" si="2"/>
        <v>15000</v>
      </c>
    </row>
    <row r="67" spans="1:22" x14ac:dyDescent="0.35">
      <c r="A67" s="116">
        <v>18</v>
      </c>
      <c r="B67" s="25" t="s">
        <v>127</v>
      </c>
      <c r="C67" s="116">
        <v>2</v>
      </c>
      <c r="D67" s="19" t="s">
        <v>6</v>
      </c>
      <c r="E67" s="7">
        <f>VLOOKUP(D67,'Bu Erta'!$C$2:$E$66,3,0)</f>
        <v>2000</v>
      </c>
      <c r="F67" s="19">
        <v>1.75</v>
      </c>
      <c r="G67" s="8">
        <f t="shared" si="5"/>
        <v>3500</v>
      </c>
      <c r="H67" s="3">
        <f>(VLOOKUP(D67,'Bu Erta'!$C$3:$F$66,4,0))*F67</f>
        <v>4375</v>
      </c>
      <c r="I67" s="3"/>
      <c r="R67" s="17"/>
      <c r="S67" s="17"/>
      <c r="T67" s="54" t="s">
        <v>130</v>
      </c>
      <c r="U67" s="54">
        <f>SUM(U4:U66)</f>
        <v>459.93999999999994</v>
      </c>
      <c r="V67" s="55">
        <f>SUM(V4:V66)</f>
        <v>748802.5</v>
      </c>
    </row>
    <row r="68" spans="1:22" x14ac:dyDescent="0.35">
      <c r="A68" s="109"/>
      <c r="B68" s="26" t="s">
        <v>127</v>
      </c>
      <c r="C68" s="109"/>
      <c r="D68" s="20" t="s">
        <v>7</v>
      </c>
      <c r="E68" s="9">
        <f>VLOOKUP(D68,'Bu Erta'!$C$2:$E$66,3,0)</f>
        <v>1400</v>
      </c>
      <c r="F68" s="20">
        <f>0.55+0.75+1.95</f>
        <v>3.25</v>
      </c>
      <c r="G68" s="10">
        <f t="shared" si="5"/>
        <v>4550</v>
      </c>
      <c r="H68" s="3">
        <f>(VLOOKUP(D68,'Bu Erta'!$C$3:$F$66,4,0))*F68</f>
        <v>5200</v>
      </c>
      <c r="I68" s="3"/>
    </row>
    <row r="69" spans="1:22" x14ac:dyDescent="0.35">
      <c r="A69" s="109"/>
      <c r="B69" s="26" t="s">
        <v>127</v>
      </c>
      <c r="C69" s="109"/>
      <c r="D69" s="20" t="s">
        <v>41</v>
      </c>
      <c r="E69" s="9">
        <f>VLOOKUP(D69,'Bu Erta'!$C$2:$E$66,3,0)</f>
        <v>1500</v>
      </c>
      <c r="F69" s="20">
        <v>0.4</v>
      </c>
      <c r="G69" s="10">
        <f t="shared" si="5"/>
        <v>600</v>
      </c>
      <c r="H69" s="3">
        <f>(VLOOKUP(D69,'Bu Erta'!$C$3:$F$66,4,0))*F69</f>
        <v>800</v>
      </c>
      <c r="I69" s="3"/>
    </row>
    <row r="70" spans="1:22" x14ac:dyDescent="0.35">
      <c r="A70" s="109"/>
      <c r="B70" s="26" t="s">
        <v>127</v>
      </c>
      <c r="C70" s="109"/>
      <c r="D70" s="20" t="s">
        <v>25</v>
      </c>
      <c r="E70" s="9">
        <f>VLOOKUP(D70,'Bu Erta'!$C$2:$E$66,3,0)</f>
        <v>1600</v>
      </c>
      <c r="F70" s="20">
        <v>0.35</v>
      </c>
      <c r="G70" s="10">
        <f t="shared" si="5"/>
        <v>560</v>
      </c>
      <c r="H70" s="3">
        <f>(VLOOKUP(D70,'Bu Erta'!$C$3:$F$66,4,0))*F70</f>
        <v>595</v>
      </c>
      <c r="I70" s="3"/>
    </row>
    <row r="71" spans="1:22" x14ac:dyDescent="0.35">
      <c r="A71" s="109"/>
      <c r="B71" s="26" t="s">
        <v>127</v>
      </c>
      <c r="C71" s="109"/>
      <c r="D71" s="20" t="s">
        <v>36</v>
      </c>
      <c r="E71" s="9">
        <f>VLOOKUP(D71,'Bu Erta'!$C$2:$E$66,3,0)</f>
        <v>600</v>
      </c>
      <c r="F71" s="20">
        <v>0.6</v>
      </c>
      <c r="G71" s="10">
        <f t="shared" si="5"/>
        <v>360</v>
      </c>
      <c r="H71" s="3">
        <f>(VLOOKUP(D71,'Bu Erta'!$C$3:$F$66,4,0))*F71</f>
        <v>390</v>
      </c>
      <c r="I71" s="3"/>
    </row>
    <row r="72" spans="1:22" x14ac:dyDescent="0.35">
      <c r="A72" s="109"/>
      <c r="B72" s="26" t="s">
        <v>127</v>
      </c>
      <c r="C72" s="109"/>
      <c r="D72" s="20" t="s">
        <v>67</v>
      </c>
      <c r="E72" s="9">
        <f>VLOOKUP(D72,'Bu Erta'!$C$2:$E$66,3,0)</f>
        <v>2700</v>
      </c>
      <c r="F72" s="20">
        <v>0.05</v>
      </c>
      <c r="G72" s="10">
        <f t="shared" si="5"/>
        <v>135</v>
      </c>
      <c r="H72" s="3">
        <f>(VLOOKUP(D72,'Bu Erta'!$C$3:$F$66,4,0))*F72</f>
        <v>150</v>
      </c>
      <c r="I72" s="3"/>
    </row>
    <row r="73" spans="1:22" x14ac:dyDescent="0.35">
      <c r="A73" s="109"/>
      <c r="B73" s="26" t="s">
        <v>127</v>
      </c>
      <c r="C73" s="109"/>
      <c r="D73" s="20" t="s">
        <v>28</v>
      </c>
      <c r="E73" s="9">
        <f>VLOOKUP(D73,'Bu Erta'!$C$2:$E$66,3,0)</f>
        <v>1200</v>
      </c>
      <c r="F73" s="20">
        <v>6.6</v>
      </c>
      <c r="G73" s="10">
        <f t="shared" si="5"/>
        <v>7920</v>
      </c>
      <c r="H73" s="3">
        <f>(VLOOKUP(D73,'Bu Erta'!$C$3:$F$66,4,0))*F73</f>
        <v>8580</v>
      </c>
      <c r="I73" s="3"/>
    </row>
    <row r="74" spans="1:22" x14ac:dyDescent="0.35">
      <c r="A74" s="109"/>
      <c r="B74" s="26" t="s">
        <v>127</v>
      </c>
      <c r="C74" s="109"/>
      <c r="D74" s="20" t="s">
        <v>23</v>
      </c>
      <c r="E74" s="9">
        <f>VLOOKUP(D74,'Bu Erta'!$C$2:$E$66,3,0)</f>
        <v>300</v>
      </c>
      <c r="F74" s="20">
        <v>0.45</v>
      </c>
      <c r="G74" s="10">
        <f t="shared" si="5"/>
        <v>135</v>
      </c>
      <c r="H74" s="3">
        <f>(VLOOKUP(D74,'Bu Erta'!$C$3:$F$66,4,0))*F74</f>
        <v>180</v>
      </c>
      <c r="I74" s="3"/>
    </row>
    <row r="75" spans="1:22" x14ac:dyDescent="0.35">
      <c r="A75" s="109"/>
      <c r="B75" s="26" t="s">
        <v>127</v>
      </c>
      <c r="C75" s="109"/>
      <c r="D75" s="20" t="s">
        <v>42</v>
      </c>
      <c r="E75" s="9">
        <f>VLOOKUP(D75,'Bu Erta'!$C$2:$E$66,3,0)</f>
        <v>1000</v>
      </c>
      <c r="F75" s="20">
        <v>0.95</v>
      </c>
      <c r="G75" s="10">
        <f t="shared" si="5"/>
        <v>950</v>
      </c>
      <c r="H75" s="3">
        <f>(VLOOKUP(D75,'Bu Erta'!$C$3:$F$66,4,0))*F75</f>
        <v>1140</v>
      </c>
      <c r="I75" s="3"/>
    </row>
    <row r="76" spans="1:22" x14ac:dyDescent="0.35">
      <c r="A76" s="109"/>
      <c r="B76" s="26" t="s">
        <v>127</v>
      </c>
      <c r="C76" s="109"/>
      <c r="D76" s="20" t="s">
        <v>69</v>
      </c>
      <c r="E76" s="9">
        <f>VLOOKUP(D76,'Bu Erta'!$C$2:$E$66,3,0)</f>
        <v>2500</v>
      </c>
      <c r="F76" s="20">
        <v>0.15</v>
      </c>
      <c r="G76" s="10">
        <f t="shared" si="5"/>
        <v>375</v>
      </c>
      <c r="H76" s="3">
        <f>(VLOOKUP(D76,'Bu Erta'!$C$3:$F$66,4,0))*F76</f>
        <v>450</v>
      </c>
      <c r="I76" s="3"/>
    </row>
    <row r="77" spans="1:22" x14ac:dyDescent="0.35">
      <c r="A77" s="115"/>
      <c r="B77" s="27" t="s">
        <v>127</v>
      </c>
      <c r="C77" s="115"/>
      <c r="D77" s="21" t="s">
        <v>24</v>
      </c>
      <c r="E77" s="11">
        <f>VLOOKUP(D77,'Bu Erta'!$C$2:$E$66,3,0)</f>
        <v>150</v>
      </c>
      <c r="F77" s="21">
        <v>3.35</v>
      </c>
      <c r="G77" s="12">
        <f t="shared" si="5"/>
        <v>502.5</v>
      </c>
      <c r="H77" s="3">
        <f>(VLOOKUP(D77,'Bu Erta'!$C$3:$F$66,4,0))*F77</f>
        <v>670</v>
      </c>
      <c r="I77" s="3"/>
    </row>
    <row r="78" spans="1:22" x14ac:dyDescent="0.35">
      <c r="A78" s="116">
        <v>19</v>
      </c>
      <c r="B78" s="26" t="s">
        <v>94</v>
      </c>
      <c r="C78" s="116">
        <v>4</v>
      </c>
      <c r="D78" s="19" t="s">
        <v>67</v>
      </c>
      <c r="E78" s="7">
        <f>VLOOKUP(D78,'Bu Erta'!$C$2:$E$66,3,0)</f>
        <v>2700</v>
      </c>
      <c r="F78" s="19">
        <v>0.55000000000000004</v>
      </c>
      <c r="G78" s="8">
        <f t="shared" si="5"/>
        <v>1485.0000000000002</v>
      </c>
      <c r="H78" s="3">
        <f>(VLOOKUP(D78,'Bu Erta'!$C$3:$F$66,4,0))*F78</f>
        <v>1650.0000000000002</v>
      </c>
      <c r="I78" s="3"/>
    </row>
    <row r="79" spans="1:22" x14ac:dyDescent="0.35">
      <c r="A79" s="109"/>
      <c r="B79" s="26" t="s">
        <v>94</v>
      </c>
      <c r="C79" s="109"/>
      <c r="D79" s="20" t="s">
        <v>7</v>
      </c>
      <c r="E79" s="9">
        <f>VLOOKUP(D79,'Bu Erta'!$C$2:$E$66,3,0)</f>
        <v>1400</v>
      </c>
      <c r="F79" s="20">
        <v>0.5</v>
      </c>
      <c r="G79" s="10">
        <f t="shared" si="5"/>
        <v>700</v>
      </c>
      <c r="H79" s="3">
        <f>(VLOOKUP(D79,'Bu Erta'!$C$3:$F$66,4,0))*F79</f>
        <v>800</v>
      </c>
      <c r="I79" s="3"/>
    </row>
    <row r="80" spans="1:22" x14ac:dyDescent="0.35">
      <c r="A80" s="109"/>
      <c r="B80" s="26" t="s">
        <v>94</v>
      </c>
      <c r="C80" s="109"/>
      <c r="D80" s="20" t="s">
        <v>40</v>
      </c>
      <c r="E80" s="9">
        <f>VLOOKUP(D80,'Bu Erta'!$C$2:$E$66,3,0)</f>
        <v>1800</v>
      </c>
      <c r="F80" s="20">
        <v>0.45</v>
      </c>
      <c r="G80" s="10">
        <f t="shared" si="5"/>
        <v>810</v>
      </c>
      <c r="H80" s="3">
        <f>(VLOOKUP(D80,'Bu Erta'!$C$3:$F$66,4,0))*F80</f>
        <v>900</v>
      </c>
      <c r="I80" s="3"/>
    </row>
    <row r="81" spans="1:9" x14ac:dyDescent="0.35">
      <c r="A81" s="109"/>
      <c r="B81" s="26" t="s">
        <v>94</v>
      </c>
      <c r="C81" s="109"/>
      <c r="D81" s="20" t="s">
        <v>24</v>
      </c>
      <c r="E81" s="9">
        <f>VLOOKUP(D81,'Bu Erta'!$C$2:$E$66,3,0)</f>
        <v>150</v>
      </c>
      <c r="F81" s="20">
        <f>0.25</f>
        <v>0.25</v>
      </c>
      <c r="G81" s="10">
        <f t="shared" si="5"/>
        <v>37.5</v>
      </c>
      <c r="H81" s="3">
        <f>(VLOOKUP(D81,'Bu Erta'!$C$3:$F$66,4,0))*F81</f>
        <v>50</v>
      </c>
      <c r="I81" s="3"/>
    </row>
    <row r="82" spans="1:9" x14ac:dyDescent="0.35">
      <c r="A82" s="109"/>
      <c r="B82" s="26" t="s">
        <v>94</v>
      </c>
      <c r="C82" s="109"/>
      <c r="D82" s="20" t="s">
        <v>41</v>
      </c>
      <c r="E82" s="9">
        <f>VLOOKUP(D82,'Bu Erta'!$C$2:$E$66,3,0)</f>
        <v>1500</v>
      </c>
      <c r="F82" s="20">
        <v>0.05</v>
      </c>
      <c r="G82" s="10">
        <f t="shared" si="5"/>
        <v>75</v>
      </c>
      <c r="H82" s="3">
        <f>(VLOOKUP(D82,'Bu Erta'!$C$3:$F$66,4,0))*F82</f>
        <v>100</v>
      </c>
      <c r="I82" s="3"/>
    </row>
    <row r="83" spans="1:9" x14ac:dyDescent="0.35">
      <c r="A83" s="109"/>
      <c r="B83" s="26" t="s">
        <v>94</v>
      </c>
      <c r="C83" s="109"/>
      <c r="D83" s="20" t="s">
        <v>42</v>
      </c>
      <c r="E83" s="9">
        <f>VLOOKUP(D83,'Bu Erta'!$C$2:$E$66,3,0)</f>
        <v>1000</v>
      </c>
      <c r="F83" s="20">
        <v>0.3</v>
      </c>
      <c r="G83" s="10">
        <f t="shared" si="5"/>
        <v>300</v>
      </c>
      <c r="H83" s="3">
        <f>(VLOOKUP(D83,'Bu Erta'!$C$3:$F$66,4,0))*F83</f>
        <v>360</v>
      </c>
      <c r="I83" s="3"/>
    </row>
    <row r="84" spans="1:9" x14ac:dyDescent="0.35">
      <c r="A84" s="115"/>
      <c r="B84" s="27" t="s">
        <v>94</v>
      </c>
      <c r="C84" s="115"/>
      <c r="D84" s="21" t="s">
        <v>25</v>
      </c>
      <c r="E84" s="11">
        <f>VLOOKUP(D84,'Bu Erta'!$C$2:$E$66,3,0)</f>
        <v>1600</v>
      </c>
      <c r="F84" s="21">
        <v>0.35</v>
      </c>
      <c r="G84" s="12">
        <f t="shared" si="5"/>
        <v>560</v>
      </c>
      <c r="H84" s="3">
        <f>(VLOOKUP(D84,'Bu Erta'!$C$3:$F$66,4,0))*F84</f>
        <v>595</v>
      </c>
      <c r="I84" s="3"/>
    </row>
    <row r="85" spans="1:9" x14ac:dyDescent="0.35">
      <c r="A85" s="13">
        <v>20</v>
      </c>
      <c r="B85" s="28" t="s">
        <v>95</v>
      </c>
      <c r="C85" s="14">
        <v>5</v>
      </c>
      <c r="D85" s="17" t="s">
        <v>56</v>
      </c>
      <c r="E85" s="15">
        <f>VLOOKUP(D85,'Bu Erta'!$C$2:$E$66,3,0)</f>
        <v>4000</v>
      </c>
      <c r="F85" s="17">
        <v>6.4</v>
      </c>
      <c r="G85" s="16">
        <f t="shared" si="5"/>
        <v>25600</v>
      </c>
      <c r="H85" s="3">
        <f>(VLOOKUP(D85,'Bu Erta'!$C$3:$F$66,4,0))*F85</f>
        <v>35200</v>
      </c>
      <c r="I85" s="3"/>
    </row>
    <row r="86" spans="1:9" x14ac:dyDescent="0.35">
      <c r="A86" s="116">
        <v>21</v>
      </c>
      <c r="B86" s="25" t="s">
        <v>96</v>
      </c>
      <c r="C86" s="116">
        <v>2</v>
      </c>
      <c r="D86" s="19" t="s">
        <v>28</v>
      </c>
      <c r="E86" s="7">
        <f>VLOOKUP(D86,'Bu Erta'!$C$2:$E$66,3,0)</f>
        <v>1200</v>
      </c>
      <c r="F86" s="19">
        <v>14.4</v>
      </c>
      <c r="G86" s="8">
        <f t="shared" si="5"/>
        <v>17280</v>
      </c>
      <c r="H86" s="3">
        <f>(VLOOKUP(D86,'Bu Erta'!$C$3:$F$66,4,0))*F86</f>
        <v>18720</v>
      </c>
      <c r="I86" s="3"/>
    </row>
    <row r="87" spans="1:9" x14ac:dyDescent="0.35">
      <c r="A87" s="109"/>
      <c r="B87" s="26" t="s">
        <v>96</v>
      </c>
      <c r="C87" s="109"/>
      <c r="D87" s="20" t="s">
        <v>23</v>
      </c>
      <c r="E87" s="9">
        <f>VLOOKUP(D87,'Bu Erta'!$C$2:$E$66,3,0)</f>
        <v>300</v>
      </c>
      <c r="F87" s="20">
        <v>0.5</v>
      </c>
      <c r="G87" s="10">
        <f t="shared" si="5"/>
        <v>150</v>
      </c>
      <c r="H87" s="3">
        <f>(VLOOKUP(D87,'Bu Erta'!$C$3:$F$66,4,0))*F87</f>
        <v>200</v>
      </c>
      <c r="I87" s="3"/>
    </row>
    <row r="88" spans="1:9" x14ac:dyDescent="0.35">
      <c r="A88" s="109"/>
      <c r="B88" s="26" t="s">
        <v>96</v>
      </c>
      <c r="C88" s="109"/>
      <c r="D88" s="20" t="s">
        <v>42</v>
      </c>
      <c r="E88" s="9">
        <f>VLOOKUP(D88,'Bu Erta'!$C$2:$E$66,3,0)</f>
        <v>1000</v>
      </c>
      <c r="F88" s="20">
        <v>0.1</v>
      </c>
      <c r="G88" s="10">
        <f t="shared" ref="G88:G156" si="6">E88*F88</f>
        <v>100</v>
      </c>
      <c r="H88" s="3">
        <f>(VLOOKUP(D88,'Bu Erta'!$C$3:$F$66,4,0))*F88</f>
        <v>120</v>
      </c>
      <c r="I88" s="3"/>
    </row>
    <row r="89" spans="1:9" x14ac:dyDescent="0.35">
      <c r="A89" s="115"/>
      <c r="B89" s="26" t="s">
        <v>96</v>
      </c>
      <c r="C89" s="115"/>
      <c r="D89" s="20" t="s">
        <v>19</v>
      </c>
      <c r="E89" s="9">
        <f>VLOOKUP(D89,'Bu Erta'!$C$2:$E$66,3,0)</f>
        <v>200</v>
      </c>
      <c r="F89" s="20">
        <v>0.15</v>
      </c>
      <c r="G89" s="10">
        <f t="shared" si="6"/>
        <v>30</v>
      </c>
      <c r="H89" s="3">
        <f>(VLOOKUP(D89,'Bu Erta'!$C$3:$F$66,4,0))*F89</f>
        <v>45</v>
      </c>
      <c r="I89" s="3"/>
    </row>
    <row r="90" spans="1:9" x14ac:dyDescent="0.35">
      <c r="A90" s="116">
        <v>22</v>
      </c>
      <c r="B90" s="25" t="s">
        <v>97</v>
      </c>
      <c r="C90" s="116">
        <v>4</v>
      </c>
      <c r="D90" s="35" t="s">
        <v>19</v>
      </c>
      <c r="E90" s="32">
        <f>VLOOKUP(D90,'Bu Erta'!$C$2:$E$66,3,0)</f>
        <v>200</v>
      </c>
      <c r="F90" s="36">
        <v>1.7</v>
      </c>
      <c r="G90" s="32">
        <f t="shared" si="6"/>
        <v>340</v>
      </c>
      <c r="H90" s="3">
        <f>(VLOOKUP(D90,'Bu Erta'!$C$3:$F$66,4,0))*F90</f>
        <v>510</v>
      </c>
      <c r="I90" s="3"/>
    </row>
    <row r="91" spans="1:9" x14ac:dyDescent="0.35">
      <c r="A91" s="109"/>
      <c r="B91" s="26" t="s">
        <v>97</v>
      </c>
      <c r="C91" s="109"/>
      <c r="D91" s="37" t="s">
        <v>23</v>
      </c>
      <c r="E91" s="33">
        <f>VLOOKUP(D91,'Bu Erta'!$C$2:$E$66,3,0)</f>
        <v>300</v>
      </c>
      <c r="F91">
        <v>2.5499999999999998</v>
      </c>
      <c r="G91" s="33">
        <f t="shared" si="6"/>
        <v>765</v>
      </c>
      <c r="H91" s="3">
        <f>(VLOOKUP(D91,'Bu Erta'!$C$3:$F$66,4,0))*F91</f>
        <v>1019.9999999999999</v>
      </c>
      <c r="I91" s="3"/>
    </row>
    <row r="92" spans="1:9" x14ac:dyDescent="0.35">
      <c r="A92" s="115"/>
      <c r="B92" s="27" t="s">
        <v>97</v>
      </c>
      <c r="C92" s="115"/>
      <c r="D92" s="38" t="s">
        <v>7</v>
      </c>
      <c r="E92" s="34">
        <f>VLOOKUP(D92,'Bu Erta'!$C$2:$E$66,3,0)</f>
        <v>1400</v>
      </c>
      <c r="F92" s="39">
        <v>0.7</v>
      </c>
      <c r="G92" s="34">
        <f t="shared" si="6"/>
        <v>979.99999999999989</v>
      </c>
      <c r="H92" s="3">
        <f>(VLOOKUP(D92,'Bu Erta'!$C$3:$F$66,4,0))*F92</f>
        <v>1120</v>
      </c>
      <c r="I92" s="3"/>
    </row>
    <row r="93" spans="1:9" x14ac:dyDescent="0.35">
      <c r="A93" s="13">
        <v>23</v>
      </c>
      <c r="B93" s="27" t="s">
        <v>98</v>
      </c>
      <c r="C93" s="14">
        <v>2</v>
      </c>
      <c r="D93" s="21" t="s">
        <v>25</v>
      </c>
      <c r="E93" s="11">
        <f>VLOOKUP(D93,'Bu Erta'!$C$2:$E$66,3,0)</f>
        <v>1600</v>
      </c>
      <c r="F93" s="21">
        <v>1</v>
      </c>
      <c r="G93" s="12">
        <f t="shared" si="6"/>
        <v>1600</v>
      </c>
      <c r="H93" s="3">
        <f>(VLOOKUP(D93,'Bu Erta'!$C$3:$F$66,4,0))*F93</f>
        <v>1700</v>
      </c>
      <c r="I93" s="3"/>
    </row>
    <row r="94" spans="1:9" x14ac:dyDescent="0.35">
      <c r="A94" s="116">
        <v>24</v>
      </c>
      <c r="B94" s="25" t="s">
        <v>99</v>
      </c>
      <c r="C94" s="116">
        <v>2</v>
      </c>
      <c r="D94" s="19" t="s">
        <v>19</v>
      </c>
      <c r="E94" s="7">
        <f>VLOOKUP(D94,'Bu Erta'!$C$2:$E$66,3,0)</f>
        <v>200</v>
      </c>
      <c r="F94" s="19">
        <f>0.95+2.3+0.1</f>
        <v>3.35</v>
      </c>
      <c r="G94" s="8">
        <f t="shared" si="6"/>
        <v>670</v>
      </c>
      <c r="H94" s="3">
        <f>(VLOOKUP(D94,'Bu Erta'!$C$3:$F$66,4,0))*F94</f>
        <v>1005</v>
      </c>
      <c r="I94" s="3"/>
    </row>
    <row r="95" spans="1:9" x14ac:dyDescent="0.35">
      <c r="A95" s="109"/>
      <c r="B95" s="26" t="s">
        <v>99</v>
      </c>
      <c r="C95" s="109"/>
      <c r="D95" s="20" t="s">
        <v>69</v>
      </c>
      <c r="E95" s="9">
        <f>VLOOKUP(D95,'Bu Erta'!$C$2:$E$66,3,0)</f>
        <v>2500</v>
      </c>
      <c r="F95" s="20">
        <v>0.1</v>
      </c>
      <c r="G95" s="10">
        <f t="shared" si="6"/>
        <v>250</v>
      </c>
      <c r="H95" s="3">
        <f>(VLOOKUP(D95,'Bu Erta'!$C$3:$F$66,4,0))*F95</f>
        <v>300</v>
      </c>
      <c r="I95" s="3"/>
    </row>
    <row r="96" spans="1:9" x14ac:dyDescent="0.35">
      <c r="A96" s="109"/>
      <c r="B96" s="26" t="s">
        <v>99</v>
      </c>
      <c r="C96" s="109"/>
      <c r="D96" s="20" t="s">
        <v>88</v>
      </c>
      <c r="E96" s="9">
        <f>VLOOKUP(D96,'Bu Erta'!$C$2:$E$66,3,0)</f>
        <v>300</v>
      </c>
      <c r="F96" s="20">
        <v>0.2</v>
      </c>
      <c r="G96" s="10">
        <f t="shared" si="6"/>
        <v>60</v>
      </c>
      <c r="H96" s="3">
        <f>(VLOOKUP(D96,'Bu Erta'!$C$3:$F$66,4,0))*F96</f>
        <v>80</v>
      </c>
      <c r="I96" s="3"/>
    </row>
    <row r="97" spans="1:9" x14ac:dyDescent="0.35">
      <c r="A97" s="109"/>
      <c r="B97" s="26" t="s">
        <v>99</v>
      </c>
      <c r="C97" s="109"/>
      <c r="D97" s="20" t="s">
        <v>25</v>
      </c>
      <c r="E97" s="9">
        <f>VLOOKUP(D97,'Bu Erta'!$C$2:$E$66,3,0)</f>
        <v>1600</v>
      </c>
      <c r="F97" s="20">
        <v>0.55000000000000004</v>
      </c>
      <c r="G97" s="10">
        <f t="shared" si="6"/>
        <v>880.00000000000011</v>
      </c>
      <c r="H97" s="3">
        <f>(VLOOKUP(D97,'Bu Erta'!$C$3:$F$66,4,0))*F97</f>
        <v>935.00000000000011</v>
      </c>
      <c r="I97" s="3"/>
    </row>
    <row r="98" spans="1:9" x14ac:dyDescent="0.35">
      <c r="A98" s="109"/>
      <c r="B98" s="26" t="s">
        <v>99</v>
      </c>
      <c r="C98" s="109"/>
      <c r="D98" s="20" t="s">
        <v>23</v>
      </c>
      <c r="E98" s="9">
        <f>VLOOKUP(D98,'Bu Erta'!$C$2:$E$66,3,0)</f>
        <v>300</v>
      </c>
      <c r="F98" s="20">
        <v>2.65</v>
      </c>
      <c r="G98" s="10">
        <f t="shared" si="6"/>
        <v>795</v>
      </c>
      <c r="H98" s="3">
        <f>(VLOOKUP(D98,'Bu Erta'!$C$3:$F$66,4,0))*F98</f>
        <v>1060</v>
      </c>
      <c r="I98" s="3"/>
    </row>
    <row r="99" spans="1:9" x14ac:dyDescent="0.35">
      <c r="A99" s="109"/>
      <c r="B99" s="26" t="s">
        <v>99</v>
      </c>
      <c r="C99" s="109"/>
      <c r="D99" s="20" t="s">
        <v>7</v>
      </c>
      <c r="E99" s="9">
        <f>VLOOKUP(D99,'Bu Erta'!$C$2:$E$66,3,0)</f>
        <v>1400</v>
      </c>
      <c r="F99" s="20">
        <v>0.2</v>
      </c>
      <c r="G99" s="10">
        <f t="shared" si="6"/>
        <v>280</v>
      </c>
      <c r="H99" s="3">
        <f>(VLOOKUP(D99,'Bu Erta'!$C$3:$F$66,4,0))*F99</f>
        <v>320</v>
      </c>
      <c r="I99" s="3"/>
    </row>
    <row r="100" spans="1:9" x14ac:dyDescent="0.35">
      <c r="A100" s="115"/>
      <c r="B100" s="27" t="s">
        <v>99</v>
      </c>
      <c r="C100" s="115"/>
      <c r="D100" s="21" t="s">
        <v>42</v>
      </c>
      <c r="E100" s="11">
        <f>VLOOKUP(D100,'Bu Erta'!$C$2:$E$66,3,0)</f>
        <v>1000</v>
      </c>
      <c r="F100" s="21">
        <v>0.3</v>
      </c>
      <c r="G100" s="12">
        <f t="shared" si="6"/>
        <v>300</v>
      </c>
      <c r="H100" s="3">
        <f>(VLOOKUP(D100,'Bu Erta'!$C$3:$F$66,4,0))*F100</f>
        <v>360</v>
      </c>
      <c r="I100" s="3"/>
    </row>
    <row r="101" spans="1:9" x14ac:dyDescent="0.35">
      <c r="A101" s="116">
        <v>25</v>
      </c>
      <c r="B101" s="25" t="s">
        <v>100</v>
      </c>
      <c r="C101" s="116">
        <v>4</v>
      </c>
      <c r="D101" s="19" t="s">
        <v>42</v>
      </c>
      <c r="E101" s="7">
        <f>VLOOKUP(D101,'Bu Erta'!$C$2:$E$66,3,0)</f>
        <v>1000</v>
      </c>
      <c r="F101" s="19">
        <v>12.35</v>
      </c>
      <c r="G101" s="8">
        <f t="shared" si="6"/>
        <v>12350</v>
      </c>
      <c r="H101" s="3">
        <f>(VLOOKUP(D101,'Bu Erta'!$C$3:$F$66,4,0))*F101</f>
        <v>14820</v>
      </c>
      <c r="I101" s="3"/>
    </row>
    <row r="102" spans="1:9" x14ac:dyDescent="0.35">
      <c r="A102" s="109"/>
      <c r="B102" s="26" t="s">
        <v>100</v>
      </c>
      <c r="C102" s="109"/>
      <c r="D102" s="20" t="s">
        <v>23</v>
      </c>
      <c r="E102" s="9">
        <f>VLOOKUP(D102,'Bu Erta'!$C$2:$E$66,3,0)</f>
        <v>300</v>
      </c>
      <c r="F102" s="20">
        <v>0.1</v>
      </c>
      <c r="G102" s="10">
        <f t="shared" si="6"/>
        <v>30</v>
      </c>
      <c r="H102" s="3">
        <f>(VLOOKUP(D102,'Bu Erta'!$C$3:$F$66,4,0))*F102</f>
        <v>40</v>
      </c>
      <c r="I102" s="3"/>
    </row>
    <row r="103" spans="1:9" x14ac:dyDescent="0.35">
      <c r="A103" s="109"/>
      <c r="B103" s="26" t="s">
        <v>100</v>
      </c>
      <c r="C103" s="109"/>
      <c r="D103" s="20" t="s">
        <v>40</v>
      </c>
      <c r="E103" s="9">
        <f>VLOOKUP(D103,'Bu Erta'!$C$2:$E$66,3,0)</f>
        <v>1800</v>
      </c>
      <c r="F103" s="20">
        <v>1.1499999999999999</v>
      </c>
      <c r="G103" s="10">
        <f t="shared" si="6"/>
        <v>2070</v>
      </c>
      <c r="H103" s="3">
        <f>(VLOOKUP(D103,'Bu Erta'!$C$3:$F$66,4,0))*F103</f>
        <v>2300</v>
      </c>
      <c r="I103" s="3"/>
    </row>
    <row r="104" spans="1:9" x14ac:dyDescent="0.35">
      <c r="A104" s="109"/>
      <c r="B104" s="26" t="s">
        <v>100</v>
      </c>
      <c r="C104" s="109"/>
      <c r="D104" s="20" t="s">
        <v>17</v>
      </c>
      <c r="E104" s="9">
        <f>VLOOKUP(D104,'Bu Erta'!$C$2:$E$66,3,0)</f>
        <v>8000</v>
      </c>
      <c r="F104" s="20">
        <v>0.65</v>
      </c>
      <c r="G104" s="10">
        <f t="shared" si="6"/>
        <v>5200</v>
      </c>
      <c r="H104" s="3">
        <f>(VLOOKUP(D104,'Bu Erta'!$C$3:$F$66,4,0))*F104</f>
        <v>5525</v>
      </c>
      <c r="I104" s="3"/>
    </row>
    <row r="105" spans="1:9" x14ac:dyDescent="0.35">
      <c r="A105" s="115"/>
      <c r="B105" s="27" t="s">
        <v>100</v>
      </c>
      <c r="C105" s="115"/>
      <c r="D105" s="21" t="s">
        <v>7</v>
      </c>
      <c r="E105" s="11">
        <f>VLOOKUP(D105,'Bu Erta'!$C$2:$E$66,3,0)</f>
        <v>1400</v>
      </c>
      <c r="F105" s="21">
        <v>3.75</v>
      </c>
      <c r="G105" s="12">
        <f t="shared" si="6"/>
        <v>5250</v>
      </c>
      <c r="H105" s="3">
        <f>(VLOOKUP(D105,'Bu Erta'!$C$3:$F$66,4,0))*F105</f>
        <v>6000</v>
      </c>
      <c r="I105" s="3"/>
    </row>
    <row r="106" spans="1:9" x14ac:dyDescent="0.35">
      <c r="A106" s="116">
        <v>26</v>
      </c>
      <c r="B106" s="25" t="s">
        <v>296</v>
      </c>
      <c r="C106" s="116">
        <v>1</v>
      </c>
      <c r="D106" s="19" t="s">
        <v>56</v>
      </c>
      <c r="E106" s="7">
        <f>VLOOKUP(D106,'Bu Erta'!$C$2:$E$66,3,0)</f>
        <v>4000</v>
      </c>
      <c r="F106" s="19">
        <v>5.55</v>
      </c>
      <c r="G106" s="8">
        <f t="shared" si="6"/>
        <v>22200</v>
      </c>
      <c r="H106" s="3">
        <f>(VLOOKUP(D106,'Bu Erta'!$C$3:$F$66,4,0))*F106</f>
        <v>30525</v>
      </c>
      <c r="I106" s="3"/>
    </row>
    <row r="107" spans="1:9" x14ac:dyDescent="0.35">
      <c r="A107" s="109"/>
      <c r="B107" s="26" t="s">
        <v>296</v>
      </c>
      <c r="C107" s="109"/>
      <c r="D107" s="20" t="s">
        <v>7</v>
      </c>
      <c r="E107" s="9">
        <f>VLOOKUP(D107,'Bu Erta'!$C$2:$E$66,3,0)</f>
        <v>1400</v>
      </c>
      <c r="F107" s="20">
        <f>1.8+1.9</f>
        <v>3.7</v>
      </c>
      <c r="G107" s="10">
        <f t="shared" si="6"/>
        <v>5180</v>
      </c>
      <c r="H107" s="3">
        <f>(VLOOKUP(D107,'Bu Erta'!$C$3:$F$66,4,0))*F107</f>
        <v>5920</v>
      </c>
      <c r="I107" s="3"/>
    </row>
    <row r="108" spans="1:9" x14ac:dyDescent="0.35">
      <c r="A108" s="109"/>
      <c r="B108" s="26" t="s">
        <v>296</v>
      </c>
      <c r="C108" s="109"/>
      <c r="D108" s="20" t="s">
        <v>42</v>
      </c>
      <c r="E108" s="9">
        <f>VLOOKUP(D108,'Bu Erta'!$C$2:$E$66,3,0)</f>
        <v>1000</v>
      </c>
      <c r="F108" s="20">
        <v>0.65</v>
      </c>
      <c r="G108" s="10">
        <f t="shared" si="6"/>
        <v>650</v>
      </c>
      <c r="H108" s="3">
        <f>(VLOOKUP(D108,'Bu Erta'!$C$3:$F$66,4,0))*F108</f>
        <v>780</v>
      </c>
      <c r="I108" s="3"/>
    </row>
    <row r="109" spans="1:9" x14ac:dyDescent="0.35">
      <c r="A109" s="115"/>
      <c r="B109" s="27" t="s">
        <v>296</v>
      </c>
      <c r="C109" s="115"/>
      <c r="D109" s="21" t="s">
        <v>24</v>
      </c>
      <c r="E109" s="11">
        <f>VLOOKUP(D109,'Bu Erta'!$C$2:$E$66,3,0)</f>
        <v>150</v>
      </c>
      <c r="F109" s="21">
        <v>1.75</v>
      </c>
      <c r="G109" s="12">
        <f t="shared" si="6"/>
        <v>262.5</v>
      </c>
      <c r="H109" s="3">
        <f>(VLOOKUP(D109,'Bu Erta'!$C$3:$F$66,4,0))*F109</f>
        <v>350</v>
      </c>
      <c r="I109" s="3"/>
    </row>
    <row r="110" spans="1:9" x14ac:dyDescent="0.35">
      <c r="A110" s="116">
        <v>27</v>
      </c>
      <c r="B110" s="25" t="s">
        <v>102</v>
      </c>
      <c r="C110" s="116">
        <v>4</v>
      </c>
      <c r="D110" s="19" t="s">
        <v>41</v>
      </c>
      <c r="E110" s="7">
        <f>VLOOKUP(D110,'Bu Erta'!$C$2:$E$66,3,0)</f>
        <v>1500</v>
      </c>
      <c r="F110" s="19">
        <v>0.4</v>
      </c>
      <c r="G110" s="8">
        <f t="shared" si="6"/>
        <v>600</v>
      </c>
      <c r="H110" s="3">
        <f>(VLOOKUP(D110,'Bu Erta'!$C$3:$F$66,4,0))*F110</f>
        <v>800</v>
      </c>
      <c r="I110" s="3"/>
    </row>
    <row r="111" spans="1:9" x14ac:dyDescent="0.35">
      <c r="A111" s="109"/>
      <c r="B111" s="26" t="s">
        <v>102</v>
      </c>
      <c r="C111" s="109"/>
      <c r="D111" s="20" t="s">
        <v>17</v>
      </c>
      <c r="E111" s="9">
        <f>VLOOKUP(D111,'Bu Erta'!$C$2:$E$66,3,0)</f>
        <v>8000</v>
      </c>
      <c r="F111" s="20">
        <v>0.1</v>
      </c>
      <c r="G111" s="10">
        <f t="shared" si="6"/>
        <v>800</v>
      </c>
      <c r="H111" s="3">
        <f>(VLOOKUP(D111,'Bu Erta'!$C$3:$F$66,4,0))*F111</f>
        <v>850</v>
      </c>
      <c r="I111" s="3"/>
    </row>
    <row r="112" spans="1:9" x14ac:dyDescent="0.35">
      <c r="A112" s="109"/>
      <c r="B112" s="26" t="s">
        <v>102</v>
      </c>
      <c r="C112" s="109"/>
      <c r="D112" s="20" t="s">
        <v>40</v>
      </c>
      <c r="E112" s="9">
        <f>VLOOKUP(D112,'Bu Erta'!$C$2:$E$66,3,0)</f>
        <v>1800</v>
      </c>
      <c r="F112" s="20">
        <v>0.1</v>
      </c>
      <c r="G112" s="10">
        <f t="shared" si="6"/>
        <v>180</v>
      </c>
      <c r="H112" s="3">
        <f>(VLOOKUP(D112,'Bu Erta'!$C$3:$F$66,4,0))*F112</f>
        <v>200</v>
      </c>
      <c r="I112" s="3"/>
    </row>
    <row r="113" spans="1:9" x14ac:dyDescent="0.35">
      <c r="A113" s="109"/>
      <c r="B113" s="26" t="s">
        <v>102</v>
      </c>
      <c r="C113" s="109"/>
      <c r="D113" s="20" t="s">
        <v>24</v>
      </c>
      <c r="E113" s="9">
        <f>VLOOKUP(D113,'Bu Erta'!$C$2:$E$66,3,0)</f>
        <v>150</v>
      </c>
      <c r="F113" s="20">
        <v>1.9</v>
      </c>
      <c r="G113" s="10">
        <f t="shared" si="6"/>
        <v>285</v>
      </c>
      <c r="H113" s="3">
        <f>(VLOOKUP(D113,'Bu Erta'!$C$3:$F$66,4,0))*F113</f>
        <v>380</v>
      </c>
      <c r="I113" s="3"/>
    </row>
    <row r="114" spans="1:9" x14ac:dyDescent="0.35">
      <c r="A114" s="109"/>
      <c r="B114" s="26" t="s">
        <v>102</v>
      </c>
      <c r="C114" s="109"/>
      <c r="D114" s="20" t="s">
        <v>7</v>
      </c>
      <c r="E114" s="9">
        <f>VLOOKUP(D114,'Bu Erta'!$C$2:$E$66,3,0)</f>
        <v>1400</v>
      </c>
      <c r="F114" s="20">
        <v>2.1</v>
      </c>
      <c r="G114" s="10">
        <f t="shared" si="6"/>
        <v>2940</v>
      </c>
      <c r="H114" s="3">
        <f>(VLOOKUP(D114,'Bu Erta'!$C$3:$F$66,4,0))*F114</f>
        <v>3360</v>
      </c>
      <c r="I114" s="3"/>
    </row>
    <row r="115" spans="1:9" x14ac:dyDescent="0.35">
      <c r="A115" s="109"/>
      <c r="B115" s="26" t="s">
        <v>102</v>
      </c>
      <c r="C115" s="109"/>
      <c r="D115" s="20" t="s">
        <v>6</v>
      </c>
      <c r="E115" s="9">
        <f>VLOOKUP(D115,'Bu Erta'!$C$2:$E$66,3,0)</f>
        <v>2000</v>
      </c>
      <c r="F115" s="20">
        <v>0.45</v>
      </c>
      <c r="G115" s="10">
        <f t="shared" si="6"/>
        <v>900</v>
      </c>
      <c r="H115" s="3">
        <f>(VLOOKUP(D115,'Bu Erta'!$C$3:$F$66,4,0))*F115</f>
        <v>1125</v>
      </c>
      <c r="I115" s="3"/>
    </row>
    <row r="116" spans="1:9" x14ac:dyDescent="0.35">
      <c r="A116" s="115"/>
      <c r="B116" s="27" t="s">
        <v>102</v>
      </c>
      <c r="C116" s="115"/>
      <c r="D116" s="21" t="s">
        <v>25</v>
      </c>
      <c r="E116" s="11">
        <f>VLOOKUP(D116,'Bu Erta'!$C$2:$E$66,3,0)</f>
        <v>1600</v>
      </c>
      <c r="F116" s="21">
        <v>0.45</v>
      </c>
      <c r="G116" s="12">
        <f t="shared" si="6"/>
        <v>720</v>
      </c>
      <c r="H116" s="3">
        <f>(VLOOKUP(D116,'Bu Erta'!$C$3:$F$66,4,0))*F116</f>
        <v>765</v>
      </c>
      <c r="I116" s="3"/>
    </row>
    <row r="117" spans="1:9" x14ac:dyDescent="0.35">
      <c r="A117" s="116">
        <v>28</v>
      </c>
      <c r="B117" s="25" t="s">
        <v>103</v>
      </c>
      <c r="C117" s="116">
        <v>1</v>
      </c>
      <c r="D117" s="19" t="s">
        <v>41</v>
      </c>
      <c r="E117" s="7">
        <f>VLOOKUP(D117,'Bu Erta'!$C$2:$E$66,3,0)</f>
        <v>1500</v>
      </c>
      <c r="F117" s="19">
        <v>0.3</v>
      </c>
      <c r="G117" s="8">
        <f t="shared" si="6"/>
        <v>450</v>
      </c>
      <c r="H117" s="3">
        <f>(VLOOKUP(D117,'Bu Erta'!$C$3:$F$66,4,0))*F117</f>
        <v>600</v>
      </c>
      <c r="I117" s="3"/>
    </row>
    <row r="118" spans="1:9" x14ac:dyDescent="0.35">
      <c r="A118" s="115"/>
      <c r="B118" s="27" t="s">
        <v>103</v>
      </c>
      <c r="C118" s="115"/>
      <c r="D118" s="21" t="s">
        <v>7</v>
      </c>
      <c r="E118" s="11">
        <f>VLOOKUP(D118,'Bu Erta'!$C$2:$E$66,3,0)</f>
        <v>1400</v>
      </c>
      <c r="F118" s="21">
        <v>0.4</v>
      </c>
      <c r="G118" s="12">
        <f t="shared" si="6"/>
        <v>560</v>
      </c>
      <c r="H118" s="3">
        <f>(VLOOKUP(D118,'Bu Erta'!$C$3:$F$66,4,0))*F118</f>
        <v>640</v>
      </c>
      <c r="I118" s="3"/>
    </row>
    <row r="119" spans="1:9" x14ac:dyDescent="0.35">
      <c r="A119" s="116">
        <v>29</v>
      </c>
      <c r="B119" s="25" t="s">
        <v>104</v>
      </c>
      <c r="C119" s="116" t="s">
        <v>92</v>
      </c>
      <c r="D119" s="19" t="s">
        <v>36</v>
      </c>
      <c r="E119" s="7">
        <f>VLOOKUP(D119,'Bu Erta'!$C$2:$E$66,3,0)</f>
        <v>600</v>
      </c>
      <c r="F119" s="19">
        <v>1.35</v>
      </c>
      <c r="G119" s="8">
        <f t="shared" si="6"/>
        <v>810</v>
      </c>
      <c r="H119" s="3">
        <f>(VLOOKUP(D119,'Bu Erta'!$C$3:$F$66,4,0))*F119</f>
        <v>877.50000000000011</v>
      </c>
      <c r="I119" s="3"/>
    </row>
    <row r="120" spans="1:9" x14ac:dyDescent="0.35">
      <c r="A120" s="115"/>
      <c r="B120" s="27" t="s">
        <v>104</v>
      </c>
      <c r="C120" s="115"/>
      <c r="D120" s="21" t="s">
        <v>24</v>
      </c>
      <c r="E120" s="11">
        <f>VLOOKUP(D120,'Bu Erta'!$C$2:$E$66,3,0)</f>
        <v>150</v>
      </c>
      <c r="F120" s="21">
        <v>0.85</v>
      </c>
      <c r="G120" s="12">
        <f t="shared" si="6"/>
        <v>127.5</v>
      </c>
      <c r="H120" s="3">
        <f>(VLOOKUP(D120,'Bu Erta'!$C$3:$F$66,4,0))*F120</f>
        <v>170</v>
      </c>
      <c r="I120" s="3"/>
    </row>
    <row r="121" spans="1:9" x14ac:dyDescent="0.35">
      <c r="A121" s="116">
        <v>30</v>
      </c>
      <c r="B121" s="25" t="s">
        <v>105</v>
      </c>
      <c r="C121" s="116">
        <v>4</v>
      </c>
      <c r="D121" s="19" t="s">
        <v>7</v>
      </c>
      <c r="E121" s="7">
        <f>VLOOKUP(D121,'Bu Erta'!$C$2:$E$66,3,0)</f>
        <v>1400</v>
      </c>
      <c r="F121" s="19">
        <v>0.4</v>
      </c>
      <c r="G121" s="8">
        <f t="shared" si="6"/>
        <v>560</v>
      </c>
      <c r="H121" s="3">
        <f>(VLOOKUP(D121,'Bu Erta'!$C$3:$F$66,4,0))*F121</f>
        <v>640</v>
      </c>
      <c r="I121" s="3"/>
    </row>
    <row r="122" spans="1:9" x14ac:dyDescent="0.35">
      <c r="A122" s="109"/>
      <c r="B122" s="26" t="s">
        <v>105</v>
      </c>
      <c r="C122" s="109"/>
      <c r="D122" s="20" t="s">
        <v>27</v>
      </c>
      <c r="E122" s="9">
        <f>VLOOKUP(D122,'Bu Erta'!$C$2:$E$66,3,0)</f>
        <v>2800</v>
      </c>
      <c r="F122" s="20">
        <v>0.65</v>
      </c>
      <c r="G122" s="10">
        <f t="shared" si="6"/>
        <v>1820</v>
      </c>
      <c r="H122" s="3">
        <f>(VLOOKUP(D122,'Bu Erta'!$C$3:$F$66,4,0))*F122</f>
        <v>2015</v>
      </c>
      <c r="I122" s="3"/>
    </row>
    <row r="123" spans="1:9" x14ac:dyDescent="0.35">
      <c r="A123" s="109"/>
      <c r="B123" s="26" t="s">
        <v>105</v>
      </c>
      <c r="C123" s="109"/>
      <c r="D123" s="20" t="s">
        <v>42</v>
      </c>
      <c r="E123" s="9">
        <f>VLOOKUP(D123,'Bu Erta'!$C$2:$E$66,3,0)</f>
        <v>1000</v>
      </c>
      <c r="F123" s="20">
        <v>0.9</v>
      </c>
      <c r="G123" s="10">
        <f t="shared" si="6"/>
        <v>900</v>
      </c>
      <c r="H123" s="3">
        <f>(VLOOKUP(D123,'Bu Erta'!$C$3:$F$66,4,0))*F123</f>
        <v>1080</v>
      </c>
      <c r="I123" s="3"/>
    </row>
    <row r="124" spans="1:9" x14ac:dyDescent="0.35">
      <c r="A124" s="109"/>
      <c r="B124" s="26" t="s">
        <v>105</v>
      </c>
      <c r="C124" s="109"/>
      <c r="D124" s="20" t="s">
        <v>23</v>
      </c>
      <c r="E124" s="9">
        <f>VLOOKUP(D124,'Bu Erta'!$C$2:$E$66,3,0)</f>
        <v>300</v>
      </c>
      <c r="F124" s="20">
        <v>1.65</v>
      </c>
      <c r="G124" s="10">
        <f t="shared" si="6"/>
        <v>495</v>
      </c>
      <c r="H124" s="3">
        <f>(VLOOKUP(D124,'Bu Erta'!$C$3:$F$66,4,0))*F124</f>
        <v>660</v>
      </c>
      <c r="I124" s="3"/>
    </row>
    <row r="125" spans="1:9" x14ac:dyDescent="0.35">
      <c r="A125" s="115"/>
      <c r="B125" s="27" t="s">
        <v>105</v>
      </c>
      <c r="C125" s="115"/>
      <c r="D125" s="21" t="s">
        <v>19</v>
      </c>
      <c r="E125" s="11">
        <f>VLOOKUP(D125,'Bu Erta'!$C$2:$E$66,3,0)</f>
        <v>200</v>
      </c>
      <c r="F125" s="21">
        <v>0.45</v>
      </c>
      <c r="G125" s="12">
        <f t="shared" si="6"/>
        <v>90</v>
      </c>
      <c r="H125" s="3">
        <f>(VLOOKUP(D125,'Bu Erta'!$C$3:$F$66,4,0))*F125</f>
        <v>135</v>
      </c>
      <c r="I125" s="3"/>
    </row>
    <row r="126" spans="1:9" x14ac:dyDescent="0.35">
      <c r="A126" s="116">
        <v>31</v>
      </c>
      <c r="B126" s="25" t="s">
        <v>106</v>
      </c>
      <c r="C126" s="116">
        <v>4</v>
      </c>
      <c r="D126" s="19" t="s">
        <v>32</v>
      </c>
      <c r="E126" s="7">
        <f>VLOOKUP(D126,'Bu Erta'!$C$2:$E$66,3,0)</f>
        <v>4000</v>
      </c>
      <c r="F126" s="19">
        <v>1</v>
      </c>
      <c r="G126" s="8">
        <f t="shared" si="6"/>
        <v>4000</v>
      </c>
      <c r="H126" s="3">
        <f>(VLOOKUP(D126,'Bu Erta'!$C$3:$F$66,4,0))*F126</f>
        <v>5000</v>
      </c>
      <c r="I126" s="3"/>
    </row>
    <row r="127" spans="1:9" x14ac:dyDescent="0.35">
      <c r="A127" s="109"/>
      <c r="B127" s="26" t="s">
        <v>106</v>
      </c>
      <c r="C127" s="109"/>
      <c r="D127" s="20" t="s">
        <v>42</v>
      </c>
      <c r="E127" s="9">
        <f>VLOOKUP(D127,'Bu Erta'!$C$2:$E$66,3,0)</f>
        <v>1000</v>
      </c>
      <c r="F127" s="20">
        <v>2.5499999999999998</v>
      </c>
      <c r="G127" s="10">
        <f t="shared" si="6"/>
        <v>2550</v>
      </c>
      <c r="H127" s="3">
        <f>(VLOOKUP(D127,'Bu Erta'!$C$3:$F$66,4,0))*F127</f>
        <v>3060</v>
      </c>
      <c r="I127" s="3"/>
    </row>
    <row r="128" spans="1:9" x14ac:dyDescent="0.35">
      <c r="A128" s="109"/>
      <c r="B128" s="26" t="s">
        <v>106</v>
      </c>
      <c r="C128" s="109"/>
      <c r="D128" s="20" t="s">
        <v>23</v>
      </c>
      <c r="E128" s="9">
        <f>VLOOKUP(D128,'Bu Erta'!$C$2:$E$66,3,0)</f>
        <v>300</v>
      </c>
      <c r="F128" s="20">
        <v>0.45</v>
      </c>
      <c r="G128" s="10">
        <f t="shared" si="6"/>
        <v>135</v>
      </c>
      <c r="H128" s="3">
        <f>(VLOOKUP(D128,'Bu Erta'!$C$3:$F$66,4,0))*F128</f>
        <v>180</v>
      </c>
      <c r="I128" s="3"/>
    </row>
    <row r="129" spans="1:9" x14ac:dyDescent="0.35">
      <c r="A129" s="109"/>
      <c r="B129" s="26" t="s">
        <v>106</v>
      </c>
      <c r="C129" s="109"/>
      <c r="D129" s="20" t="s">
        <v>24</v>
      </c>
      <c r="E129" s="9">
        <f>VLOOKUP(D129,'Bu Erta'!$C$2:$E$66,3,0)</f>
        <v>150</v>
      </c>
      <c r="F129" s="20">
        <v>0.95</v>
      </c>
      <c r="G129" s="10">
        <f t="shared" si="6"/>
        <v>142.5</v>
      </c>
      <c r="H129" s="3">
        <f>(VLOOKUP(D129,'Bu Erta'!$C$3:$F$66,4,0))*F129</f>
        <v>190</v>
      </c>
      <c r="I129" s="3"/>
    </row>
    <row r="130" spans="1:9" x14ac:dyDescent="0.35">
      <c r="A130" s="109"/>
      <c r="B130" s="26" t="s">
        <v>106</v>
      </c>
      <c r="C130" s="109"/>
      <c r="D130" s="20" t="s">
        <v>31</v>
      </c>
      <c r="E130" s="9">
        <f>VLOOKUP(D130,'Bu Erta'!$C$2:$E$66,3,0)</f>
        <v>1000</v>
      </c>
      <c r="F130" s="20">
        <v>1</v>
      </c>
      <c r="G130" s="10">
        <f t="shared" si="6"/>
        <v>1000</v>
      </c>
      <c r="H130" s="3">
        <f>(VLOOKUP(D130,'Bu Erta'!$C$3:$F$66,4,0))*F130</f>
        <v>1100</v>
      </c>
      <c r="I130" s="3"/>
    </row>
    <row r="131" spans="1:9" x14ac:dyDescent="0.35">
      <c r="A131" s="115"/>
      <c r="B131" s="27" t="s">
        <v>106</v>
      </c>
      <c r="C131" s="115"/>
      <c r="D131" s="21" t="s">
        <v>19</v>
      </c>
      <c r="E131" s="11">
        <f>VLOOKUP(D131,'Bu Erta'!$C$2:$E$66,3,0)</f>
        <v>200</v>
      </c>
      <c r="F131" s="21">
        <v>0.1</v>
      </c>
      <c r="G131" s="12">
        <f t="shared" si="6"/>
        <v>20</v>
      </c>
      <c r="H131" s="3">
        <f>(VLOOKUP(D131,'Bu Erta'!$C$3:$F$66,4,0))*F131</f>
        <v>30</v>
      </c>
      <c r="I131" s="3"/>
    </row>
    <row r="132" spans="1:9" x14ac:dyDescent="0.35">
      <c r="A132" s="116">
        <v>32</v>
      </c>
      <c r="B132" s="25" t="s">
        <v>107</v>
      </c>
      <c r="C132" s="116">
        <v>5</v>
      </c>
      <c r="D132" s="19" t="s">
        <v>42</v>
      </c>
      <c r="E132" s="7">
        <f>VLOOKUP(D132,'Bu Erta'!$C$2:$E$66,3,0)</f>
        <v>1000</v>
      </c>
      <c r="F132" s="19">
        <v>3.65</v>
      </c>
      <c r="G132" s="8">
        <f t="shared" si="6"/>
        <v>3650</v>
      </c>
      <c r="H132" s="3">
        <f>(VLOOKUP(D132,'Bu Erta'!$C$3:$F$66,4,0))*F132</f>
        <v>4380</v>
      </c>
      <c r="I132" s="3"/>
    </row>
    <row r="133" spans="1:9" x14ac:dyDescent="0.35">
      <c r="A133" s="115"/>
      <c r="B133" s="27" t="s">
        <v>107</v>
      </c>
      <c r="C133" s="115"/>
      <c r="D133" s="21" t="s">
        <v>25</v>
      </c>
      <c r="E133" s="11">
        <f>VLOOKUP(D133,'Bu Erta'!$C$2:$E$66,3,0)</f>
        <v>1600</v>
      </c>
      <c r="F133" s="21">
        <v>1.3</v>
      </c>
      <c r="G133" s="12">
        <f t="shared" si="6"/>
        <v>2080</v>
      </c>
      <c r="H133" s="3">
        <f>(VLOOKUP(D133,'Bu Erta'!$C$3:$F$66,4,0))*F133</f>
        <v>2210</v>
      </c>
      <c r="I133" s="3"/>
    </row>
    <row r="134" spans="1:9" x14ac:dyDescent="0.35">
      <c r="A134" s="116">
        <v>33</v>
      </c>
      <c r="B134" s="25" t="s">
        <v>108</v>
      </c>
      <c r="C134" s="116">
        <v>2</v>
      </c>
      <c r="D134" s="19" t="s">
        <v>25</v>
      </c>
      <c r="E134" s="7">
        <f>VLOOKUP(D134,'Bu Erta'!$C$2:$E$66,3,0)</f>
        <v>1600</v>
      </c>
      <c r="F134" s="19">
        <v>1.2</v>
      </c>
      <c r="G134" s="8">
        <f t="shared" si="6"/>
        <v>1920</v>
      </c>
      <c r="H134" s="3">
        <f>(VLOOKUP(D134,'Bu Erta'!$C$3:$F$66,4,0))*F134</f>
        <v>2040</v>
      </c>
      <c r="I134" s="3"/>
    </row>
    <row r="135" spans="1:9" x14ac:dyDescent="0.35">
      <c r="A135" s="109"/>
      <c r="B135" s="26" t="s">
        <v>108</v>
      </c>
      <c r="C135" s="109"/>
      <c r="D135" s="20" t="s">
        <v>19</v>
      </c>
      <c r="E135" s="9">
        <f>VLOOKUP(D135,'Bu Erta'!$C$2:$E$66,3,0)</f>
        <v>200</v>
      </c>
      <c r="F135" s="20">
        <v>0.3</v>
      </c>
      <c r="G135" s="10">
        <f t="shared" si="6"/>
        <v>60</v>
      </c>
      <c r="H135" s="3">
        <f>(VLOOKUP(D135,'Bu Erta'!$C$3:$F$66,4,0))*F135</f>
        <v>90</v>
      </c>
      <c r="I135" s="3"/>
    </row>
    <row r="136" spans="1:9" x14ac:dyDescent="0.35">
      <c r="A136" s="109"/>
      <c r="B136" s="26" t="s">
        <v>108</v>
      </c>
      <c r="C136" s="109"/>
      <c r="D136" s="20" t="s">
        <v>23</v>
      </c>
      <c r="E136" s="9">
        <f>VLOOKUP(D136,'Bu Erta'!$C$2:$E$66,3,0)</f>
        <v>300</v>
      </c>
      <c r="F136" s="20">
        <f>0.25+0.15+0.15</f>
        <v>0.55000000000000004</v>
      </c>
      <c r="G136" s="10">
        <f t="shared" si="6"/>
        <v>165</v>
      </c>
      <c r="H136" s="3">
        <f>(VLOOKUP(D136,'Bu Erta'!$C$3:$F$66,4,0))*F136</f>
        <v>220.00000000000003</v>
      </c>
      <c r="I136" s="3"/>
    </row>
    <row r="137" spans="1:9" x14ac:dyDescent="0.35">
      <c r="A137" s="109"/>
      <c r="B137" s="26" t="s">
        <v>108</v>
      </c>
      <c r="C137" s="109"/>
      <c r="D137" s="20" t="s">
        <v>41</v>
      </c>
      <c r="E137" s="9">
        <f>VLOOKUP(D137,'Bu Erta'!$C$2:$E$66,3,0)</f>
        <v>1500</v>
      </c>
      <c r="F137" s="20">
        <v>0.95</v>
      </c>
      <c r="G137" s="10">
        <f t="shared" si="6"/>
        <v>1425</v>
      </c>
      <c r="H137" s="3">
        <f>(VLOOKUP(D137,'Bu Erta'!$C$3:$F$66,4,0))*F137</f>
        <v>1900</v>
      </c>
      <c r="I137" s="3"/>
    </row>
    <row r="138" spans="1:9" x14ac:dyDescent="0.35">
      <c r="A138" s="109"/>
      <c r="B138" s="26" t="s">
        <v>108</v>
      </c>
      <c r="C138" s="109"/>
      <c r="D138" s="20" t="s">
        <v>7</v>
      </c>
      <c r="E138" s="9">
        <f>VLOOKUP(D138,'Bu Erta'!$C$2:$E$66,3,0)</f>
        <v>1400</v>
      </c>
      <c r="F138" s="20">
        <f>1.5+1.15</f>
        <v>2.65</v>
      </c>
      <c r="G138" s="10">
        <f t="shared" si="6"/>
        <v>3710</v>
      </c>
      <c r="H138" s="3">
        <f>(VLOOKUP(D138,'Bu Erta'!$C$3:$F$66,4,0))*F138</f>
        <v>4240</v>
      </c>
      <c r="I138" s="3"/>
    </row>
    <row r="139" spans="1:9" x14ac:dyDescent="0.35">
      <c r="A139" s="109"/>
      <c r="B139" s="26" t="s">
        <v>108</v>
      </c>
      <c r="C139" s="109"/>
      <c r="D139" s="20" t="s">
        <v>29</v>
      </c>
      <c r="E139" s="9">
        <f>VLOOKUP(D139,'Bu Erta'!$C$2:$E$66,3,0)</f>
        <v>5000</v>
      </c>
      <c r="F139" s="20">
        <v>0.45</v>
      </c>
      <c r="G139" s="10">
        <f t="shared" si="6"/>
        <v>2250</v>
      </c>
      <c r="H139" s="3">
        <f>(VLOOKUP(D139,'Bu Erta'!$C$3:$F$66,4,0))*F139</f>
        <v>2700</v>
      </c>
      <c r="I139" s="3"/>
    </row>
    <row r="140" spans="1:9" x14ac:dyDescent="0.35">
      <c r="A140" s="109"/>
      <c r="B140" s="26" t="s">
        <v>108</v>
      </c>
      <c r="C140" s="109"/>
      <c r="D140" s="20" t="s">
        <v>69</v>
      </c>
      <c r="E140" s="9">
        <f>VLOOKUP(D140,'Bu Erta'!$C$2:$E$66,3,0)</f>
        <v>2500</v>
      </c>
      <c r="F140" s="20">
        <v>0.15</v>
      </c>
      <c r="G140" s="10">
        <f t="shared" si="6"/>
        <v>375</v>
      </c>
      <c r="H140" s="3">
        <f>(VLOOKUP(D140,'Bu Erta'!$C$3:$F$66,4,0))*F140</f>
        <v>450</v>
      </c>
      <c r="I140" s="3"/>
    </row>
    <row r="141" spans="1:9" x14ac:dyDescent="0.35">
      <c r="A141" s="109"/>
      <c r="B141" s="26" t="s">
        <v>108</v>
      </c>
      <c r="C141" s="109"/>
      <c r="D141" s="20" t="s">
        <v>42</v>
      </c>
      <c r="E141" s="9">
        <f>VLOOKUP(D141,'Bu Erta'!$C$2:$E$66,3,0)</f>
        <v>1000</v>
      </c>
      <c r="F141" s="20">
        <f>0.9+0.25+4.45</f>
        <v>5.6</v>
      </c>
      <c r="G141" s="10">
        <f t="shared" si="6"/>
        <v>5600</v>
      </c>
      <c r="H141" s="3">
        <f>(VLOOKUP(D141,'Bu Erta'!$C$3:$F$66,4,0))*F141</f>
        <v>6720</v>
      </c>
      <c r="I141" s="3"/>
    </row>
    <row r="142" spans="1:9" x14ac:dyDescent="0.35">
      <c r="A142" s="109"/>
      <c r="B142" s="26" t="s">
        <v>108</v>
      </c>
      <c r="C142" s="109"/>
      <c r="D142" s="20" t="s">
        <v>28</v>
      </c>
      <c r="E142" s="9">
        <f>VLOOKUP(D142,'Bu Erta'!$C$2:$E$66,3,0)</f>
        <v>1200</v>
      </c>
      <c r="F142" s="20">
        <f>9.95+14.15+1</f>
        <v>25.1</v>
      </c>
      <c r="G142" s="10">
        <f t="shared" si="6"/>
        <v>30120</v>
      </c>
      <c r="H142" s="3">
        <f>(VLOOKUP(D142,'Bu Erta'!$C$3:$F$66,4,0))*F142</f>
        <v>32630.000000000004</v>
      </c>
      <c r="I142" s="3"/>
    </row>
    <row r="143" spans="1:9" x14ac:dyDescent="0.35">
      <c r="A143" s="109"/>
      <c r="B143" s="26" t="s">
        <v>108</v>
      </c>
      <c r="C143" s="109"/>
      <c r="D143" s="20" t="s">
        <v>40</v>
      </c>
      <c r="E143" s="9">
        <f>VLOOKUP(D143,'Bu Erta'!$C$2:$E$66,3,0)</f>
        <v>1800</v>
      </c>
      <c r="F143" s="20">
        <v>1.4</v>
      </c>
      <c r="G143" s="10">
        <f t="shared" si="6"/>
        <v>2520</v>
      </c>
      <c r="H143" s="3">
        <f>(VLOOKUP(D143,'Bu Erta'!$C$3:$F$66,4,0))*F143</f>
        <v>2800</v>
      </c>
      <c r="I143" s="3"/>
    </row>
    <row r="144" spans="1:9" x14ac:dyDescent="0.35">
      <c r="A144" s="115"/>
      <c r="B144" s="27" t="s">
        <v>108</v>
      </c>
      <c r="C144" s="115"/>
      <c r="D144" s="21" t="s">
        <v>17</v>
      </c>
      <c r="E144" s="11">
        <f>VLOOKUP(D144,'Bu Erta'!$C$2:$E$66,3,0)</f>
        <v>8000</v>
      </c>
      <c r="F144" s="21">
        <v>1.95</v>
      </c>
      <c r="G144" s="12">
        <f t="shared" si="6"/>
        <v>15600</v>
      </c>
      <c r="H144" s="3">
        <f>(VLOOKUP(D144,'Bu Erta'!$C$3:$F$66,4,0))*F144</f>
        <v>16575</v>
      </c>
      <c r="I144" s="3"/>
    </row>
    <row r="145" spans="1:9" x14ac:dyDescent="0.35">
      <c r="A145" s="116">
        <v>34</v>
      </c>
      <c r="B145" s="25" t="s">
        <v>109</v>
      </c>
      <c r="C145" s="116">
        <v>4</v>
      </c>
      <c r="D145" s="19" t="s">
        <v>27</v>
      </c>
      <c r="E145" s="7">
        <f>VLOOKUP(D145,'Bu Erta'!$C$2:$E$66,3,0)</f>
        <v>2800</v>
      </c>
      <c r="F145" s="19">
        <v>0.7</v>
      </c>
      <c r="G145" s="8">
        <f t="shared" si="6"/>
        <v>1959.9999999999998</v>
      </c>
      <c r="H145" s="3">
        <f>(VLOOKUP(D145,'Bu Erta'!$C$3:$F$66,4,0))*F145</f>
        <v>2170</v>
      </c>
      <c r="I145" s="3"/>
    </row>
    <row r="146" spans="1:9" x14ac:dyDescent="0.35">
      <c r="A146" s="109"/>
      <c r="B146" s="26" t="s">
        <v>109</v>
      </c>
      <c r="C146" s="109"/>
      <c r="D146" s="20" t="s">
        <v>69</v>
      </c>
      <c r="E146" s="9">
        <f>VLOOKUP(D146,'Bu Erta'!$C$2:$E$66,3,0)</f>
        <v>2500</v>
      </c>
      <c r="F146" s="20">
        <v>0.15</v>
      </c>
      <c r="G146" s="10">
        <f t="shared" si="6"/>
        <v>375</v>
      </c>
      <c r="H146" s="3">
        <f>(VLOOKUP(D146,'Bu Erta'!$C$3:$F$66,4,0))*F146</f>
        <v>450</v>
      </c>
      <c r="I146" s="3"/>
    </row>
    <row r="147" spans="1:9" x14ac:dyDescent="0.35">
      <c r="A147" s="109"/>
      <c r="B147" s="26" t="s">
        <v>109</v>
      </c>
      <c r="C147" s="109"/>
      <c r="D147" s="20" t="s">
        <v>7</v>
      </c>
      <c r="E147" s="9">
        <f>VLOOKUP(D147,'Bu Erta'!$C$2:$E$66,3,0)</f>
        <v>1400</v>
      </c>
      <c r="F147" s="20">
        <f>0.15+1.5</f>
        <v>1.65</v>
      </c>
      <c r="G147" s="10">
        <f t="shared" si="6"/>
        <v>2310</v>
      </c>
      <c r="H147" s="3">
        <f>(VLOOKUP(D147,'Bu Erta'!$C$3:$F$66,4,0))*F147</f>
        <v>2640</v>
      </c>
      <c r="I147" s="3"/>
    </row>
    <row r="148" spans="1:9" x14ac:dyDescent="0.35">
      <c r="A148" s="109"/>
      <c r="B148" s="26" t="s">
        <v>109</v>
      </c>
      <c r="C148" s="109"/>
      <c r="D148" s="20" t="s">
        <v>24</v>
      </c>
      <c r="E148" s="9">
        <f>VLOOKUP(D148,'Bu Erta'!$C$2:$E$66,3,0)</f>
        <v>150</v>
      </c>
      <c r="F148" s="20">
        <v>1.45</v>
      </c>
      <c r="G148" s="10">
        <f t="shared" si="6"/>
        <v>217.5</v>
      </c>
      <c r="H148" s="3">
        <f>(VLOOKUP(D148,'Bu Erta'!$C$3:$F$66,4,0))*F148</f>
        <v>290</v>
      </c>
      <c r="I148" s="3"/>
    </row>
    <row r="149" spans="1:9" x14ac:dyDescent="0.35">
      <c r="A149" s="109"/>
      <c r="B149" s="26" t="s">
        <v>109</v>
      </c>
      <c r="C149" s="109"/>
      <c r="D149" s="20" t="s">
        <v>28</v>
      </c>
      <c r="E149" s="9">
        <f>VLOOKUP(D149,'Bu Erta'!$C$2:$E$66,3,0)</f>
        <v>1200</v>
      </c>
      <c r="F149" s="20">
        <f>17.3+12.2</f>
        <v>29.5</v>
      </c>
      <c r="G149" s="10">
        <f t="shared" si="6"/>
        <v>35400</v>
      </c>
      <c r="H149" s="3">
        <f>(VLOOKUP(D149,'Bu Erta'!$C$3:$F$66,4,0))*F149</f>
        <v>38350</v>
      </c>
      <c r="I149" s="3"/>
    </row>
    <row r="150" spans="1:9" x14ac:dyDescent="0.35">
      <c r="A150" s="109"/>
      <c r="B150" s="26" t="s">
        <v>109</v>
      </c>
      <c r="C150" s="109"/>
      <c r="D150" s="20" t="s">
        <v>42</v>
      </c>
      <c r="E150" s="9">
        <f>VLOOKUP(D150,'Bu Erta'!$C$2:$E$66,3,0)</f>
        <v>1000</v>
      </c>
      <c r="F150" s="20">
        <f>1+0.65</f>
        <v>1.65</v>
      </c>
      <c r="G150" s="10">
        <f t="shared" si="6"/>
        <v>1650</v>
      </c>
      <c r="H150" s="3">
        <f>(VLOOKUP(D150,'Bu Erta'!$C$3:$F$66,4,0))*F150</f>
        <v>1980</v>
      </c>
      <c r="I150" s="3"/>
    </row>
    <row r="151" spans="1:9" x14ac:dyDescent="0.35">
      <c r="A151" s="109"/>
      <c r="B151" s="26" t="s">
        <v>109</v>
      </c>
      <c r="C151" s="109"/>
      <c r="D151" s="20" t="s">
        <v>22</v>
      </c>
      <c r="E151" s="9">
        <f>VLOOKUP(D151,'Bu Erta'!$C$2:$E$66,3,0)</f>
        <v>2500</v>
      </c>
      <c r="F151" s="20">
        <v>1.2</v>
      </c>
      <c r="G151" s="10">
        <f t="shared" si="6"/>
        <v>3000</v>
      </c>
      <c r="H151" s="3">
        <f>(VLOOKUP(D151,'Bu Erta'!$C$3:$F$66,4,0))*F151</f>
        <v>3600</v>
      </c>
      <c r="I151" s="3"/>
    </row>
    <row r="152" spans="1:9" x14ac:dyDescent="0.35">
      <c r="A152" s="109"/>
      <c r="B152" s="26" t="s">
        <v>109</v>
      </c>
      <c r="C152" s="109"/>
      <c r="D152" s="20" t="s">
        <v>23</v>
      </c>
      <c r="E152" s="9">
        <f>VLOOKUP(D152,'Bu Erta'!$C$2:$E$66,3,0)</f>
        <v>300</v>
      </c>
      <c r="F152" s="20">
        <v>0.65</v>
      </c>
      <c r="G152" s="10">
        <f t="shared" si="6"/>
        <v>195</v>
      </c>
      <c r="H152" s="3">
        <f>(VLOOKUP(D152,'Bu Erta'!$C$3:$F$66,4,0))*F152</f>
        <v>260</v>
      </c>
      <c r="I152" s="3"/>
    </row>
    <row r="153" spans="1:9" x14ac:dyDescent="0.35">
      <c r="A153" s="109"/>
      <c r="B153" s="26" t="s">
        <v>109</v>
      </c>
      <c r="C153" s="109"/>
      <c r="D153" s="20" t="s">
        <v>37</v>
      </c>
      <c r="E153" s="9">
        <f>VLOOKUP(D153,'Bu Erta'!$C$2:$E$66,3,0)</f>
        <v>1600</v>
      </c>
      <c r="F153" s="20">
        <v>0.3</v>
      </c>
      <c r="G153" s="10">
        <f t="shared" si="6"/>
        <v>480</v>
      </c>
      <c r="H153" s="3">
        <f>(VLOOKUP(D153,'Bu Erta'!$C$3:$F$66,4,0))*F153</f>
        <v>600</v>
      </c>
      <c r="I153" s="3"/>
    </row>
    <row r="154" spans="1:9" x14ac:dyDescent="0.35">
      <c r="A154" s="109"/>
      <c r="B154" s="26" t="s">
        <v>109</v>
      </c>
      <c r="C154" s="109"/>
      <c r="D154" s="20" t="s">
        <v>19</v>
      </c>
      <c r="E154" s="9">
        <f>VLOOKUP(D154,'Bu Erta'!$C$2:$E$66,3,0)</f>
        <v>200</v>
      </c>
      <c r="F154" s="20">
        <v>0.25</v>
      </c>
      <c r="G154" s="10">
        <f t="shared" si="6"/>
        <v>50</v>
      </c>
      <c r="H154" s="3">
        <f>(VLOOKUP(D154,'Bu Erta'!$C$3:$F$66,4,0))*F154</f>
        <v>75</v>
      </c>
      <c r="I154" s="3"/>
    </row>
    <row r="155" spans="1:9" x14ac:dyDescent="0.35">
      <c r="A155" s="115"/>
      <c r="B155" s="27" t="s">
        <v>109</v>
      </c>
      <c r="C155" s="115"/>
      <c r="D155" s="21" t="s">
        <v>29</v>
      </c>
      <c r="E155" s="11">
        <f>VLOOKUP(D155,'Bu Erta'!$C$2:$E$66,3,0)</f>
        <v>5000</v>
      </c>
      <c r="F155" s="21">
        <v>0.3</v>
      </c>
      <c r="G155" s="12">
        <f t="shared" si="6"/>
        <v>1500</v>
      </c>
      <c r="H155" s="3">
        <f>(VLOOKUP(D155,'Bu Erta'!$C$3:$F$66,4,0))*F155</f>
        <v>1800</v>
      </c>
      <c r="I155" s="3"/>
    </row>
    <row r="156" spans="1:9" x14ac:dyDescent="0.35">
      <c r="A156" s="116">
        <v>35</v>
      </c>
      <c r="B156" s="25" t="s">
        <v>110</v>
      </c>
      <c r="C156" s="116">
        <v>5</v>
      </c>
      <c r="D156" s="19" t="s">
        <v>27</v>
      </c>
      <c r="E156" s="7">
        <f>VLOOKUP(D156,'Bu Erta'!$C$2:$E$66,3,0)</f>
        <v>2800</v>
      </c>
      <c r="F156" s="19">
        <v>1</v>
      </c>
      <c r="G156" s="8">
        <f t="shared" si="6"/>
        <v>2800</v>
      </c>
      <c r="H156" s="3">
        <f>(VLOOKUP(D156,'Bu Erta'!$C$3:$F$66,4,0))*F156</f>
        <v>3100</v>
      </c>
      <c r="I156" s="3"/>
    </row>
    <row r="157" spans="1:9" x14ac:dyDescent="0.35">
      <c r="A157" s="109"/>
      <c r="B157" s="26" t="s">
        <v>110</v>
      </c>
      <c r="C157" s="109"/>
      <c r="D157" s="20" t="s">
        <v>19</v>
      </c>
      <c r="E157" s="9">
        <f>VLOOKUP(D157,'Bu Erta'!$C$2:$E$66,3,0)</f>
        <v>200</v>
      </c>
      <c r="F157" s="20">
        <v>1.3</v>
      </c>
      <c r="G157" s="10">
        <f t="shared" ref="G157:G190" si="7">E157*F157</f>
        <v>260</v>
      </c>
      <c r="H157" s="3">
        <f>(VLOOKUP(D157,'Bu Erta'!$C$3:$F$66,4,0))*F157</f>
        <v>390</v>
      </c>
      <c r="I157" s="3"/>
    </row>
    <row r="158" spans="1:9" x14ac:dyDescent="0.35">
      <c r="A158" s="109"/>
      <c r="B158" s="26" t="s">
        <v>110</v>
      </c>
      <c r="C158" s="109"/>
      <c r="D158" s="20" t="s">
        <v>7</v>
      </c>
      <c r="E158" s="9">
        <f>VLOOKUP(D158,'Bu Erta'!$C$2:$E$66,3,0)</f>
        <v>1400</v>
      </c>
      <c r="F158" s="20">
        <v>1.45</v>
      </c>
      <c r="G158" s="10">
        <f t="shared" si="7"/>
        <v>2030</v>
      </c>
      <c r="H158" s="3">
        <f>(VLOOKUP(D158,'Bu Erta'!$C$3:$F$66,4,0))*F158</f>
        <v>2320</v>
      </c>
      <c r="I158" s="3"/>
    </row>
    <row r="159" spans="1:9" x14ac:dyDescent="0.35">
      <c r="A159" s="109"/>
      <c r="B159" s="26" t="s">
        <v>110</v>
      </c>
      <c r="C159" s="109"/>
      <c r="D159" s="20" t="s">
        <v>23</v>
      </c>
      <c r="E159" s="9">
        <f>VLOOKUP(D159,'Bu Erta'!$C$2:$E$66,3,0)</f>
        <v>300</v>
      </c>
      <c r="F159" s="20">
        <v>2.1</v>
      </c>
      <c r="G159" s="10">
        <f t="shared" si="7"/>
        <v>630</v>
      </c>
      <c r="H159" s="3">
        <f>(VLOOKUP(D159,'Bu Erta'!$C$3:$F$66,4,0))*F159</f>
        <v>840</v>
      </c>
      <c r="I159" s="3"/>
    </row>
    <row r="160" spans="1:9" x14ac:dyDescent="0.35">
      <c r="A160" s="115"/>
      <c r="B160" s="27" t="s">
        <v>110</v>
      </c>
      <c r="C160" s="115"/>
      <c r="D160" s="21" t="s">
        <v>42</v>
      </c>
      <c r="E160" s="11">
        <f>VLOOKUP(D160,'Bu Erta'!$C$2:$E$66,3,0)</f>
        <v>1000</v>
      </c>
      <c r="F160" s="21">
        <v>1</v>
      </c>
      <c r="G160" s="12">
        <f t="shared" si="7"/>
        <v>1000</v>
      </c>
      <c r="H160" s="3">
        <f>(VLOOKUP(D160,'Bu Erta'!$C$3:$F$66,4,0))*F160</f>
        <v>1200</v>
      </c>
      <c r="I160" s="3"/>
    </row>
    <row r="161" spans="1:9" x14ac:dyDescent="0.35">
      <c r="A161" s="116">
        <v>36</v>
      </c>
      <c r="B161" s="25" t="s">
        <v>111</v>
      </c>
      <c r="C161" s="116">
        <v>5</v>
      </c>
      <c r="D161" s="19" t="s">
        <v>28</v>
      </c>
      <c r="E161" s="7">
        <f>VLOOKUP(D161,'Bu Erta'!$C$2:$E$66,3,0)</f>
        <v>1200</v>
      </c>
      <c r="F161" s="19">
        <v>15.45</v>
      </c>
      <c r="G161" s="8">
        <f>E161*F161</f>
        <v>18540</v>
      </c>
      <c r="H161" s="3">
        <f>(VLOOKUP(D161,'Bu Erta'!$C$3:$F$66,4,0))*F161</f>
        <v>20085</v>
      </c>
      <c r="I161" s="3"/>
    </row>
    <row r="162" spans="1:9" x14ac:dyDescent="0.35">
      <c r="A162" s="109"/>
      <c r="B162" s="25" t="s">
        <v>111</v>
      </c>
      <c r="C162" s="109"/>
      <c r="D162" s="37" t="s">
        <v>23</v>
      </c>
      <c r="E162" s="33">
        <f>VLOOKUP(D162,'Bu Erta'!$C$2:$E$66,3,0)</f>
        <v>300</v>
      </c>
      <c r="F162" s="20">
        <v>1.7</v>
      </c>
      <c r="G162" s="10">
        <f t="shared" si="7"/>
        <v>510</v>
      </c>
      <c r="H162" s="3">
        <f>(VLOOKUP(D162,'Bu Erta'!$C$3:$F$66,4,0))*F162</f>
        <v>680</v>
      </c>
      <c r="I162" s="3"/>
    </row>
    <row r="163" spans="1:9" x14ac:dyDescent="0.35">
      <c r="A163" s="109"/>
      <c r="B163" s="26" t="s">
        <v>111</v>
      </c>
      <c r="C163" s="109"/>
      <c r="D163" s="20" t="s">
        <v>19</v>
      </c>
      <c r="E163" s="9">
        <f>VLOOKUP(D163,'Bu Erta'!$C$2:$E$66,3,0)</f>
        <v>200</v>
      </c>
      <c r="F163" s="20">
        <v>1.25</v>
      </c>
      <c r="G163" s="10">
        <f t="shared" si="7"/>
        <v>250</v>
      </c>
      <c r="H163" s="3">
        <f>(VLOOKUP(D163,'Bu Erta'!$C$3:$F$66,4,0))*F163</f>
        <v>375</v>
      </c>
      <c r="I163" s="3"/>
    </row>
    <row r="164" spans="1:9" x14ac:dyDescent="0.35">
      <c r="A164" s="109"/>
      <c r="B164" s="26" t="s">
        <v>111</v>
      </c>
      <c r="C164" s="109"/>
      <c r="D164" s="20" t="s">
        <v>41</v>
      </c>
      <c r="E164" s="9">
        <f>VLOOKUP(D164,'Bu Erta'!$C$2:$E$66,3,0)</f>
        <v>1500</v>
      </c>
      <c r="F164" s="20">
        <v>0.35</v>
      </c>
      <c r="G164" s="10">
        <f t="shared" si="7"/>
        <v>525</v>
      </c>
      <c r="H164" s="3">
        <f>(VLOOKUP(D164,'Bu Erta'!$C$3:$F$66,4,0))*F164</f>
        <v>700</v>
      </c>
      <c r="I164" s="3"/>
    </row>
    <row r="165" spans="1:9" x14ac:dyDescent="0.35">
      <c r="A165" s="109"/>
      <c r="B165" s="26" t="s">
        <v>111</v>
      </c>
      <c r="C165" s="109"/>
      <c r="D165" s="20" t="s">
        <v>24</v>
      </c>
      <c r="E165" s="9">
        <f>VLOOKUP(D165,'Bu Erta'!$C$2:$E$66,3,0)</f>
        <v>150</v>
      </c>
      <c r="F165" s="20">
        <v>0.2</v>
      </c>
      <c r="G165" s="10">
        <f t="shared" si="7"/>
        <v>30</v>
      </c>
      <c r="H165" s="3">
        <f>(VLOOKUP(D165,'Bu Erta'!$C$3:$F$66,4,0))*F165</f>
        <v>40</v>
      </c>
      <c r="I165" s="3"/>
    </row>
    <row r="166" spans="1:9" x14ac:dyDescent="0.35">
      <c r="A166" s="109"/>
      <c r="B166" s="26" t="s">
        <v>111</v>
      </c>
      <c r="C166" s="109"/>
      <c r="D166" s="20" t="s">
        <v>42</v>
      </c>
      <c r="E166" s="9">
        <f>VLOOKUP(D166,'Bu Erta'!$C$2:$E$66,3,0)</f>
        <v>1000</v>
      </c>
      <c r="F166" s="20">
        <v>9.75</v>
      </c>
      <c r="G166" s="10">
        <f t="shared" si="7"/>
        <v>9750</v>
      </c>
      <c r="H166" s="3">
        <f>(VLOOKUP(D166,'Bu Erta'!$C$3:$F$66,4,0))*F166</f>
        <v>11700</v>
      </c>
      <c r="I166" s="3"/>
    </row>
    <row r="167" spans="1:9" x14ac:dyDescent="0.35">
      <c r="A167" s="109"/>
      <c r="B167" s="26" t="s">
        <v>111</v>
      </c>
      <c r="C167" s="109"/>
      <c r="D167" s="20" t="s">
        <v>72</v>
      </c>
      <c r="E167" s="9">
        <f>VLOOKUP(D167,'Bu Erta'!$C$2:$E$66,3,0)</f>
        <v>13000</v>
      </c>
      <c r="F167" s="20">
        <v>1</v>
      </c>
      <c r="G167" s="10">
        <f t="shared" si="7"/>
        <v>13000</v>
      </c>
      <c r="H167" s="3">
        <f>(VLOOKUP(D167,'Bu Erta'!$C$3:$F$66,4,0))*F167</f>
        <v>15000</v>
      </c>
      <c r="I167" s="3"/>
    </row>
    <row r="168" spans="1:9" x14ac:dyDescent="0.35">
      <c r="A168" s="115"/>
      <c r="B168" s="27" t="s">
        <v>111</v>
      </c>
      <c r="C168" s="115"/>
      <c r="D168" s="21" t="s">
        <v>27</v>
      </c>
      <c r="E168" s="11">
        <f>VLOOKUP(D168,'Bu Erta'!$C$2:$E$66,3,0)</f>
        <v>2800</v>
      </c>
      <c r="F168" s="21">
        <v>1.1000000000000001</v>
      </c>
      <c r="G168" s="12">
        <f t="shared" si="7"/>
        <v>3080.0000000000005</v>
      </c>
      <c r="H168" s="3">
        <f>(VLOOKUP(D168,'Bu Erta'!$C$3:$F$66,4,0))*F168</f>
        <v>3410.0000000000005</v>
      </c>
      <c r="I168" s="3"/>
    </row>
    <row r="169" spans="1:9" x14ac:dyDescent="0.35">
      <c r="A169" s="116">
        <v>37</v>
      </c>
      <c r="B169" s="25" t="s">
        <v>93</v>
      </c>
      <c r="C169" s="116">
        <v>5</v>
      </c>
      <c r="D169" s="19" t="s">
        <v>27</v>
      </c>
      <c r="E169" s="7">
        <f>VLOOKUP(D169,'Bu Erta'!$C$2:$E$66,3,0)</f>
        <v>2800</v>
      </c>
      <c r="F169" s="19">
        <v>0.15</v>
      </c>
      <c r="G169" s="8">
        <f t="shared" si="7"/>
        <v>420</v>
      </c>
      <c r="H169" s="3">
        <f>(VLOOKUP(D169,'Bu Erta'!$C$3:$F$66,4,0))*F169</f>
        <v>465</v>
      </c>
      <c r="I169" s="3"/>
    </row>
    <row r="170" spans="1:9" x14ac:dyDescent="0.35">
      <c r="A170" s="109"/>
      <c r="B170" s="26" t="s">
        <v>93</v>
      </c>
      <c r="C170" s="109"/>
      <c r="D170" s="20" t="s">
        <v>6</v>
      </c>
      <c r="E170" s="9">
        <f>VLOOKUP(D170,'Bu Erta'!$C$2:$E$66,3,0)</f>
        <v>2000</v>
      </c>
      <c r="F170" s="20">
        <v>0.2</v>
      </c>
      <c r="G170" s="10">
        <f t="shared" si="7"/>
        <v>400</v>
      </c>
      <c r="H170" s="3">
        <f>(VLOOKUP(D170,'Bu Erta'!$C$3:$F$66,4,0))*F170</f>
        <v>500</v>
      </c>
      <c r="I170" s="3"/>
    </row>
    <row r="171" spans="1:9" x14ac:dyDescent="0.35">
      <c r="A171" s="115"/>
      <c r="B171" s="27" t="s">
        <v>93</v>
      </c>
      <c r="C171" s="115"/>
      <c r="D171" s="21" t="s">
        <v>23</v>
      </c>
      <c r="E171" s="11">
        <f>VLOOKUP(D171,'Bu Erta'!$C$2:$E$66,3,0)</f>
        <v>300</v>
      </c>
      <c r="F171" s="21">
        <v>1.25</v>
      </c>
      <c r="G171" s="12">
        <f t="shared" si="7"/>
        <v>375</v>
      </c>
      <c r="H171" s="3">
        <f>(VLOOKUP(D171,'Bu Erta'!$C$3:$F$66,4,0))*F171</f>
        <v>500</v>
      </c>
      <c r="I171" s="3"/>
    </row>
    <row r="172" spans="1:9" x14ac:dyDescent="0.35">
      <c r="A172" s="116">
        <v>38</v>
      </c>
      <c r="B172" s="25" t="s">
        <v>180</v>
      </c>
      <c r="C172" s="116">
        <v>4</v>
      </c>
      <c r="D172" s="19" t="s">
        <v>42</v>
      </c>
      <c r="E172" s="7">
        <f>VLOOKUP(D172,'Bu Erta'!$C$2:$E$66,3,0)</f>
        <v>1000</v>
      </c>
      <c r="F172" s="19">
        <v>2</v>
      </c>
      <c r="G172" s="8">
        <f t="shared" si="7"/>
        <v>2000</v>
      </c>
      <c r="H172" s="3">
        <f>(VLOOKUP(D172,'Bu Erta'!$C$3:$F$66,4,0))*F172</f>
        <v>2400</v>
      </c>
      <c r="I172" s="3"/>
    </row>
    <row r="173" spans="1:9" x14ac:dyDescent="0.35">
      <c r="A173" s="109"/>
      <c r="B173" s="26" t="s">
        <v>180</v>
      </c>
      <c r="C173" s="109"/>
      <c r="D173" s="20" t="s">
        <v>23</v>
      </c>
      <c r="E173" s="9">
        <f>VLOOKUP(D173,'Bu Erta'!$C$2:$E$66,3,0)</f>
        <v>300</v>
      </c>
      <c r="F173" s="20">
        <v>1.3</v>
      </c>
      <c r="G173" s="10">
        <f t="shared" si="7"/>
        <v>390</v>
      </c>
      <c r="H173" s="3">
        <f>(VLOOKUP(D173,'Bu Erta'!$C$3:$F$66,4,0))*F173</f>
        <v>520</v>
      </c>
      <c r="I173" s="3"/>
    </row>
    <row r="174" spans="1:9" x14ac:dyDescent="0.35">
      <c r="A174" s="109"/>
      <c r="B174" s="26" t="s">
        <v>180</v>
      </c>
      <c r="C174" s="109"/>
      <c r="D174" s="20" t="s">
        <v>7</v>
      </c>
      <c r="E174" s="9">
        <f>VLOOKUP(D174,'Bu Erta'!$C$2:$E$66,3,0)</f>
        <v>1400</v>
      </c>
      <c r="F174" s="20">
        <v>0.4</v>
      </c>
      <c r="G174" s="10">
        <f t="shared" si="7"/>
        <v>560</v>
      </c>
      <c r="H174" s="3">
        <f>(VLOOKUP(D174,'Bu Erta'!$C$3:$F$66,4,0))*F174</f>
        <v>640</v>
      </c>
      <c r="I174" s="3"/>
    </row>
    <row r="175" spans="1:9" x14ac:dyDescent="0.35">
      <c r="A175" s="109"/>
      <c r="B175" s="26" t="s">
        <v>180</v>
      </c>
      <c r="C175" s="109"/>
      <c r="D175" s="20" t="s">
        <v>41</v>
      </c>
      <c r="E175" s="9">
        <f>VLOOKUP(D175,'Bu Erta'!$C$2:$E$66,3,0)</f>
        <v>1500</v>
      </c>
      <c r="F175" s="20">
        <v>0.15</v>
      </c>
      <c r="G175" s="10">
        <f t="shared" si="7"/>
        <v>225</v>
      </c>
      <c r="H175" s="3">
        <f>(VLOOKUP(D175,'Bu Erta'!$C$3:$F$66,4,0))*F175</f>
        <v>300</v>
      </c>
      <c r="I175" s="3"/>
    </row>
    <row r="176" spans="1:9" x14ac:dyDescent="0.35">
      <c r="A176" s="115"/>
      <c r="B176" s="27" t="s">
        <v>180</v>
      </c>
      <c r="C176" s="115"/>
      <c r="D176" s="21" t="s">
        <v>40</v>
      </c>
      <c r="E176" s="11">
        <f>VLOOKUP(D176,'Bu Erta'!$C$2:$E$66,3,0)</f>
        <v>1800</v>
      </c>
      <c r="F176" s="21">
        <v>0.65</v>
      </c>
      <c r="G176" s="12">
        <f t="shared" si="7"/>
        <v>1170</v>
      </c>
      <c r="H176" s="3">
        <f>(VLOOKUP(D176,'Bu Erta'!$C$3:$F$66,4,0))*F176</f>
        <v>1300</v>
      </c>
      <c r="I176" s="3"/>
    </row>
    <row r="177" spans="1:9" x14ac:dyDescent="0.35">
      <c r="A177" s="116">
        <v>39</v>
      </c>
      <c r="B177" s="25" t="s">
        <v>112</v>
      </c>
      <c r="C177" s="116">
        <v>4</v>
      </c>
      <c r="D177" s="19" t="s">
        <v>25</v>
      </c>
      <c r="E177" s="7">
        <f>VLOOKUP(D177,'Bu Erta'!$C$2:$E$66,3,0)</f>
        <v>1600</v>
      </c>
      <c r="F177" s="19">
        <v>0.6</v>
      </c>
      <c r="G177" s="8">
        <f t="shared" si="7"/>
        <v>960</v>
      </c>
      <c r="H177" s="3">
        <f>(VLOOKUP(D177,'Bu Erta'!$C$3:$F$66,4,0))*F177</f>
        <v>1020</v>
      </c>
      <c r="I177" s="3"/>
    </row>
    <row r="178" spans="1:9" x14ac:dyDescent="0.35">
      <c r="A178" s="109"/>
      <c r="B178" s="26" t="s">
        <v>112</v>
      </c>
      <c r="C178" s="109"/>
      <c r="D178" s="20" t="s">
        <v>42</v>
      </c>
      <c r="E178" s="9">
        <f>VLOOKUP(D178,'Bu Erta'!$C$2:$E$66,3,0)</f>
        <v>1000</v>
      </c>
      <c r="F178" s="20">
        <v>0.3</v>
      </c>
      <c r="G178" s="10">
        <f t="shared" si="7"/>
        <v>300</v>
      </c>
      <c r="H178" s="3">
        <f>(VLOOKUP(D178,'Bu Erta'!$C$3:$F$66,4,0))*F178</f>
        <v>360</v>
      </c>
      <c r="I178" s="3"/>
    </row>
    <row r="179" spans="1:9" x14ac:dyDescent="0.35">
      <c r="A179" s="109"/>
      <c r="B179" s="26" t="s">
        <v>112</v>
      </c>
      <c r="C179" s="109"/>
      <c r="D179" s="20" t="s">
        <v>46</v>
      </c>
      <c r="E179" s="9">
        <f>VLOOKUP(D179,'Bu Erta'!$C$2:$E$66,3,0)</f>
        <v>1400</v>
      </c>
      <c r="F179" s="20">
        <v>0.55000000000000004</v>
      </c>
      <c r="G179" s="10">
        <f t="shared" si="7"/>
        <v>770.00000000000011</v>
      </c>
      <c r="H179" s="3">
        <f>(VLOOKUP(D179,'Bu Erta'!$C$3:$F$66,4,0))*F179</f>
        <v>825.00000000000011</v>
      </c>
      <c r="I179" s="3"/>
    </row>
    <row r="180" spans="1:9" x14ac:dyDescent="0.35">
      <c r="A180" s="109"/>
      <c r="B180" s="26" t="s">
        <v>112</v>
      </c>
      <c r="C180" s="109"/>
      <c r="D180" s="20" t="s">
        <v>7</v>
      </c>
      <c r="E180" s="9">
        <f>VLOOKUP(D180,'Bu Erta'!$C$2:$E$66,3,0)</f>
        <v>1400</v>
      </c>
      <c r="F180" s="20">
        <v>0.2</v>
      </c>
      <c r="G180" s="10">
        <f t="shared" si="7"/>
        <v>280</v>
      </c>
      <c r="H180" s="3">
        <f>(VLOOKUP(D180,'Bu Erta'!$C$3:$F$66,4,0))*F180</f>
        <v>320</v>
      </c>
      <c r="I180" s="3"/>
    </row>
    <row r="181" spans="1:9" x14ac:dyDescent="0.35">
      <c r="A181" s="109"/>
      <c r="B181" s="26" t="s">
        <v>112</v>
      </c>
      <c r="C181" s="109"/>
      <c r="D181" s="20" t="s">
        <v>23</v>
      </c>
      <c r="E181" s="9">
        <f>VLOOKUP(D181,'Bu Erta'!$C$2:$E$66,3,0)</f>
        <v>300</v>
      </c>
      <c r="F181" s="20">
        <v>0.35</v>
      </c>
      <c r="G181" s="10">
        <f t="shared" si="7"/>
        <v>105</v>
      </c>
      <c r="H181" s="3">
        <f>(VLOOKUP(D181,'Bu Erta'!$C$3:$F$66,4,0))*F181</f>
        <v>140</v>
      </c>
      <c r="I181" s="3"/>
    </row>
    <row r="182" spans="1:9" x14ac:dyDescent="0.35">
      <c r="A182" s="109"/>
      <c r="B182" s="26" t="s">
        <v>112</v>
      </c>
      <c r="C182" s="109"/>
      <c r="D182" s="20" t="s">
        <v>24</v>
      </c>
      <c r="E182" s="9">
        <f>VLOOKUP(D182,'Bu Erta'!$C$2:$E$66,3,0)</f>
        <v>150</v>
      </c>
      <c r="F182" s="20">
        <v>0.35</v>
      </c>
      <c r="G182" s="10">
        <f t="shared" si="7"/>
        <v>52.5</v>
      </c>
      <c r="H182" s="3">
        <f>(VLOOKUP(D182,'Bu Erta'!$C$3:$F$66,4,0))*F182</f>
        <v>70</v>
      </c>
      <c r="I182" s="3"/>
    </row>
    <row r="183" spans="1:9" x14ac:dyDescent="0.35">
      <c r="A183" s="115"/>
      <c r="B183" s="27" t="s">
        <v>112</v>
      </c>
      <c r="C183" s="115"/>
      <c r="D183" s="21" t="s">
        <v>36</v>
      </c>
      <c r="E183" s="11">
        <f>VLOOKUP(D183,'Bu Erta'!$C$2:$E$66,3,0)</f>
        <v>600</v>
      </c>
      <c r="F183" s="21">
        <v>1.85</v>
      </c>
      <c r="G183" s="12">
        <f t="shared" si="7"/>
        <v>1110</v>
      </c>
      <c r="H183" s="3">
        <f>(VLOOKUP(D183,'Bu Erta'!$C$3:$F$66,4,0))*F183</f>
        <v>1202.5</v>
      </c>
      <c r="I183" s="3"/>
    </row>
    <row r="184" spans="1:9" x14ac:dyDescent="0.35">
      <c r="A184" s="116">
        <v>40</v>
      </c>
      <c r="B184" s="25" t="s">
        <v>113</v>
      </c>
      <c r="C184" s="116">
        <v>5</v>
      </c>
      <c r="D184" s="19" t="s">
        <v>24</v>
      </c>
      <c r="E184" s="7">
        <f>VLOOKUP(D184,'Bu Erta'!$C$2:$E$66,3,0)</f>
        <v>150</v>
      </c>
      <c r="F184" s="19">
        <v>1.4</v>
      </c>
      <c r="G184" s="8">
        <f t="shared" si="7"/>
        <v>210</v>
      </c>
      <c r="H184" s="3">
        <f>(VLOOKUP(D184,'Bu Erta'!$C$3:$F$66,4,0))*F184</f>
        <v>280</v>
      </c>
      <c r="I184" s="3"/>
    </row>
    <row r="185" spans="1:9" x14ac:dyDescent="0.35">
      <c r="A185" s="109"/>
      <c r="B185" s="26" t="s">
        <v>113</v>
      </c>
      <c r="C185" s="109"/>
      <c r="D185" s="20" t="s">
        <v>27</v>
      </c>
      <c r="E185" s="9">
        <f>VLOOKUP(D185,'Bu Erta'!$C$2:$E$66,3,0)</f>
        <v>2800</v>
      </c>
      <c r="F185" s="20">
        <v>0.4</v>
      </c>
      <c r="G185" s="10">
        <f t="shared" si="7"/>
        <v>1120</v>
      </c>
      <c r="H185" s="3">
        <f>(VLOOKUP(D185,'Bu Erta'!$C$3:$F$66,4,0))*F185</f>
        <v>1240</v>
      </c>
      <c r="I185" s="3"/>
    </row>
    <row r="186" spans="1:9" x14ac:dyDescent="0.35">
      <c r="A186" s="109"/>
      <c r="B186" s="26" t="s">
        <v>113</v>
      </c>
      <c r="C186" s="109"/>
      <c r="D186" s="20" t="s">
        <v>7</v>
      </c>
      <c r="E186" s="9">
        <f>VLOOKUP(D186,'Bu Erta'!$C$2:$E$66,3,0)</f>
        <v>1400</v>
      </c>
      <c r="F186" s="20">
        <v>0.4</v>
      </c>
      <c r="G186" s="10">
        <f t="shared" si="7"/>
        <v>560</v>
      </c>
      <c r="H186" s="3">
        <f>(VLOOKUP(D186,'Bu Erta'!$C$3:$F$66,4,0))*F186</f>
        <v>640</v>
      </c>
      <c r="I186" s="3"/>
    </row>
    <row r="187" spans="1:9" x14ac:dyDescent="0.35">
      <c r="A187" s="109"/>
      <c r="B187" s="26" t="s">
        <v>113</v>
      </c>
      <c r="C187" s="109"/>
      <c r="D187" s="20" t="s">
        <v>69</v>
      </c>
      <c r="E187" s="9">
        <f>VLOOKUP(D187,'Bu Erta'!$C$2:$E$66,3,0)</f>
        <v>2500</v>
      </c>
      <c r="F187" s="20">
        <v>0.1</v>
      </c>
      <c r="G187" s="10">
        <f t="shared" si="7"/>
        <v>250</v>
      </c>
      <c r="H187" s="3">
        <f>(VLOOKUP(D187,'Bu Erta'!$C$3:$F$66,4,0))*F187</f>
        <v>300</v>
      </c>
      <c r="I187" s="3"/>
    </row>
    <row r="188" spans="1:9" x14ac:dyDescent="0.35">
      <c r="A188" s="109"/>
      <c r="B188" s="26" t="s">
        <v>113</v>
      </c>
      <c r="C188" s="109"/>
      <c r="D188" s="20" t="s">
        <v>19</v>
      </c>
      <c r="E188" s="9">
        <f>VLOOKUP(D188,'Bu Erta'!$C$2:$E$66,3,0)</f>
        <v>200</v>
      </c>
      <c r="F188" s="20">
        <v>0.85</v>
      </c>
      <c r="G188" s="10">
        <f t="shared" si="7"/>
        <v>170</v>
      </c>
      <c r="H188" s="3">
        <f>(VLOOKUP(D188,'Bu Erta'!$C$3:$F$66,4,0))*F188</f>
        <v>255</v>
      </c>
      <c r="I188" s="3"/>
    </row>
    <row r="189" spans="1:9" x14ac:dyDescent="0.35">
      <c r="A189" s="109"/>
      <c r="B189" s="26" t="s">
        <v>113</v>
      </c>
      <c r="C189" s="109"/>
      <c r="D189" s="20" t="s">
        <v>23</v>
      </c>
      <c r="E189" s="9">
        <f>VLOOKUP(D189,'Bu Erta'!$C$2:$E$66,3,0)</f>
        <v>300</v>
      </c>
      <c r="F189" s="20">
        <v>1.35</v>
      </c>
      <c r="G189" s="10">
        <f t="shared" si="7"/>
        <v>405</v>
      </c>
      <c r="H189" s="3">
        <f>(VLOOKUP(D189,'Bu Erta'!$C$3:$F$66,4,0))*F189</f>
        <v>540</v>
      </c>
      <c r="I189" s="3"/>
    </row>
    <row r="190" spans="1:9" x14ac:dyDescent="0.35">
      <c r="A190" s="115"/>
      <c r="B190" s="27" t="s">
        <v>113</v>
      </c>
      <c r="C190" s="115"/>
      <c r="D190" s="21" t="s">
        <v>42</v>
      </c>
      <c r="E190" s="11">
        <f>VLOOKUP(D190,'Bu Erta'!$C$2:$E$66,3,0)</f>
        <v>1000</v>
      </c>
      <c r="F190" s="21">
        <v>3.8</v>
      </c>
      <c r="G190" s="12">
        <f t="shared" si="7"/>
        <v>3800</v>
      </c>
      <c r="H190" s="3">
        <f>(VLOOKUP(D190,'Bu Erta'!$C$3:$F$66,4,0))*F190</f>
        <v>4560</v>
      </c>
      <c r="I190" s="3"/>
    </row>
    <row r="191" spans="1:9" x14ac:dyDescent="0.35">
      <c r="A191" s="116">
        <v>41</v>
      </c>
      <c r="B191" s="25" t="s">
        <v>114</v>
      </c>
      <c r="C191" s="116">
        <v>4</v>
      </c>
      <c r="D191" s="19" t="s">
        <v>19</v>
      </c>
      <c r="E191" s="7">
        <f>VLOOKUP(D191,'Bu Erta'!$C$2:$E$66,3,0)</f>
        <v>200</v>
      </c>
      <c r="F191" s="19">
        <f>3.3+2.45</f>
        <v>5.75</v>
      </c>
      <c r="G191" s="8">
        <f t="shared" ref="G191:G230" si="8">E191*F191</f>
        <v>1150</v>
      </c>
      <c r="H191" s="3">
        <f>(VLOOKUP(D191,'Bu Erta'!$C$3:$F$66,4,0))*F191</f>
        <v>1725</v>
      </c>
      <c r="I191" s="3"/>
    </row>
    <row r="192" spans="1:9" x14ac:dyDescent="0.35">
      <c r="A192" s="109"/>
      <c r="B192" s="26" t="s">
        <v>114</v>
      </c>
      <c r="C192" s="109"/>
      <c r="D192" s="20" t="s">
        <v>24</v>
      </c>
      <c r="E192" s="9">
        <f>VLOOKUP(D192,'Bu Erta'!$C$2:$E$66,3,0)</f>
        <v>150</v>
      </c>
      <c r="F192" s="20">
        <v>1</v>
      </c>
      <c r="G192" s="10">
        <f t="shared" si="8"/>
        <v>150</v>
      </c>
      <c r="H192" s="3">
        <f>(VLOOKUP(D192,'Bu Erta'!$C$3:$F$66,4,0))*F192</f>
        <v>200</v>
      </c>
      <c r="I192" s="3"/>
    </row>
    <row r="193" spans="1:9" x14ac:dyDescent="0.35">
      <c r="A193" s="115"/>
      <c r="B193" s="27" t="s">
        <v>114</v>
      </c>
      <c r="C193" s="115"/>
      <c r="D193" s="21" t="s">
        <v>25</v>
      </c>
      <c r="E193" s="11">
        <f>VLOOKUP(D193,'Bu Erta'!$C$2:$E$66,3,0)</f>
        <v>1600</v>
      </c>
      <c r="F193" s="21">
        <v>0.8</v>
      </c>
      <c r="G193" s="12">
        <f t="shared" si="8"/>
        <v>1280</v>
      </c>
      <c r="H193" s="3">
        <f>(VLOOKUP(D193,'Bu Erta'!$C$3:$F$66,4,0))*F193</f>
        <v>1360</v>
      </c>
      <c r="I193" s="3"/>
    </row>
    <row r="194" spans="1:9" x14ac:dyDescent="0.35">
      <c r="A194" s="116">
        <v>42</v>
      </c>
      <c r="B194" s="25" t="s">
        <v>115</v>
      </c>
      <c r="C194" s="116">
        <v>2</v>
      </c>
      <c r="D194" s="19" t="s">
        <v>7</v>
      </c>
      <c r="E194" s="7">
        <f>VLOOKUP(D194,'Bu Erta'!$C$2:$E$66,3,0)</f>
        <v>1400</v>
      </c>
      <c r="F194" s="19">
        <v>0.35</v>
      </c>
      <c r="G194" s="8">
        <f t="shared" si="8"/>
        <v>489.99999999999994</v>
      </c>
      <c r="H194" s="3">
        <f>(VLOOKUP(D194,'Bu Erta'!$C$3:$F$66,4,0))*F194</f>
        <v>560</v>
      </c>
      <c r="I194" s="3"/>
    </row>
    <row r="195" spans="1:9" x14ac:dyDescent="0.35">
      <c r="A195" s="115"/>
      <c r="B195" s="27" t="s">
        <v>115</v>
      </c>
      <c r="C195" s="115"/>
      <c r="D195" s="21" t="s">
        <v>42</v>
      </c>
      <c r="E195" s="11">
        <f>VLOOKUP(D195,'Bu Erta'!$C$2:$E$66,3,0)</f>
        <v>1000</v>
      </c>
      <c r="F195" s="21">
        <v>1.55</v>
      </c>
      <c r="G195" s="12">
        <f t="shared" si="8"/>
        <v>1550</v>
      </c>
      <c r="H195" s="3">
        <f>(VLOOKUP(D195,'Bu Erta'!$C$3:$F$66,4,0))*F195</f>
        <v>1860</v>
      </c>
      <c r="I195" s="3"/>
    </row>
    <row r="196" spans="1:9" x14ac:dyDescent="0.35">
      <c r="A196" s="116">
        <v>43</v>
      </c>
      <c r="B196" s="25" t="s">
        <v>116</v>
      </c>
      <c r="C196" s="116">
        <v>2</v>
      </c>
      <c r="D196" s="19" t="s">
        <v>37</v>
      </c>
      <c r="E196" s="7">
        <f>VLOOKUP(D196,'Bu Erta'!$C$2:$E$66,3,0)</f>
        <v>1600</v>
      </c>
      <c r="F196" s="19">
        <v>0.3</v>
      </c>
      <c r="G196" s="8">
        <f t="shared" si="8"/>
        <v>480</v>
      </c>
      <c r="H196" s="3">
        <f>(VLOOKUP(D196,'Bu Erta'!$C$3:$F$66,4,0))*F196</f>
        <v>600</v>
      </c>
      <c r="I196" s="3"/>
    </row>
    <row r="197" spans="1:9" x14ac:dyDescent="0.35">
      <c r="A197" s="109"/>
      <c r="B197" s="26" t="s">
        <v>116</v>
      </c>
      <c r="C197" s="109"/>
      <c r="D197" s="20" t="s">
        <v>7</v>
      </c>
      <c r="E197" s="9">
        <f>VLOOKUP(D197,'Bu Erta'!$C$2:$E$66,3,0)</f>
        <v>1400</v>
      </c>
      <c r="F197" s="20">
        <v>0.25</v>
      </c>
      <c r="G197" s="10">
        <f t="shared" si="8"/>
        <v>350</v>
      </c>
      <c r="H197" s="3">
        <f>(VLOOKUP(D197,'Bu Erta'!$C$3:$F$66,4,0))*F197</f>
        <v>400</v>
      </c>
      <c r="I197" s="3"/>
    </row>
    <row r="198" spans="1:9" x14ac:dyDescent="0.35">
      <c r="A198" s="109"/>
      <c r="B198" s="26" t="s">
        <v>116</v>
      </c>
      <c r="C198" s="109"/>
      <c r="D198" s="20" t="s">
        <v>67</v>
      </c>
      <c r="E198" s="9">
        <f>VLOOKUP(D198,'Bu Erta'!$C$2:$E$66,3,0)</f>
        <v>2700</v>
      </c>
      <c r="F198" s="20">
        <v>0.15</v>
      </c>
      <c r="G198" s="10">
        <f t="shared" si="8"/>
        <v>405</v>
      </c>
      <c r="H198" s="3">
        <f>(VLOOKUP(D198,'Bu Erta'!$C$3:$F$66,4,0))*F198</f>
        <v>450</v>
      </c>
      <c r="I198" s="3"/>
    </row>
    <row r="199" spans="1:9" x14ac:dyDescent="0.35">
      <c r="A199" s="109"/>
      <c r="B199" s="26" t="s">
        <v>116</v>
      </c>
      <c r="C199" s="109"/>
      <c r="D199" s="20" t="s">
        <v>28</v>
      </c>
      <c r="E199" s="9">
        <f>VLOOKUP(D199,'Bu Erta'!$C$2:$E$66,3,0)</f>
        <v>1200</v>
      </c>
      <c r="F199" s="20">
        <f>13.9+19.05</f>
        <v>32.950000000000003</v>
      </c>
      <c r="G199" s="10">
        <f t="shared" si="8"/>
        <v>39540</v>
      </c>
      <c r="H199" s="3">
        <f>(VLOOKUP(D199,'Bu Erta'!$C$3:$F$66,4,0))*F199</f>
        <v>42835.000000000007</v>
      </c>
      <c r="I199" s="3"/>
    </row>
    <row r="200" spans="1:9" x14ac:dyDescent="0.35">
      <c r="A200" s="109"/>
      <c r="B200" s="26" t="s">
        <v>116</v>
      </c>
      <c r="C200" s="109"/>
      <c r="D200" s="20" t="s">
        <v>42</v>
      </c>
      <c r="E200" s="9">
        <f>VLOOKUP(D200,'Bu Erta'!$C$2:$E$66,3,0)</f>
        <v>1000</v>
      </c>
      <c r="F200" s="20">
        <v>0.15</v>
      </c>
      <c r="G200" s="10">
        <f t="shared" si="8"/>
        <v>150</v>
      </c>
      <c r="H200" s="3">
        <f>(VLOOKUP(D200,'Bu Erta'!$C$3:$F$66,4,0))*F200</f>
        <v>180</v>
      </c>
      <c r="I200" s="3"/>
    </row>
    <row r="201" spans="1:9" x14ac:dyDescent="0.35">
      <c r="A201" s="115"/>
      <c r="B201" s="27" t="s">
        <v>116</v>
      </c>
      <c r="C201" s="115"/>
      <c r="D201" s="21" t="s">
        <v>23</v>
      </c>
      <c r="E201" s="11">
        <f>VLOOKUP(D201,'Bu Erta'!$C$2:$E$66,3,0)</f>
        <v>300</v>
      </c>
      <c r="F201" s="21">
        <v>0.1</v>
      </c>
      <c r="G201" s="12">
        <f t="shared" si="8"/>
        <v>30</v>
      </c>
      <c r="H201" s="3">
        <f>(VLOOKUP(D201,'Bu Erta'!$C$3:$F$66,4,0))*F201</f>
        <v>40</v>
      </c>
      <c r="I201" s="3"/>
    </row>
    <row r="202" spans="1:9" x14ac:dyDescent="0.35">
      <c r="A202" s="116">
        <v>44</v>
      </c>
      <c r="B202" s="25" t="s">
        <v>117</v>
      </c>
      <c r="C202" s="116">
        <v>2</v>
      </c>
      <c r="D202" s="19" t="s">
        <v>42</v>
      </c>
      <c r="E202" s="7">
        <f>VLOOKUP(D202,'Bu Erta'!$C$2:$E$66,3,0)</f>
        <v>1000</v>
      </c>
      <c r="F202" s="19">
        <v>0.8</v>
      </c>
      <c r="G202" s="8">
        <f t="shared" si="8"/>
        <v>800</v>
      </c>
      <c r="H202" s="3">
        <f>(VLOOKUP(D202,'Bu Erta'!$C$3:$F$66,4,0))*F202</f>
        <v>960</v>
      </c>
      <c r="I202" s="3"/>
    </row>
    <row r="203" spans="1:9" x14ac:dyDescent="0.35">
      <c r="A203" s="109"/>
      <c r="B203" s="26" t="s">
        <v>117</v>
      </c>
      <c r="C203" s="109"/>
      <c r="D203" s="20" t="s">
        <v>41</v>
      </c>
      <c r="E203" s="9">
        <f>VLOOKUP(D203,'Bu Erta'!$C$2:$E$66,3,0)</f>
        <v>1500</v>
      </c>
      <c r="F203" s="20">
        <v>0.75</v>
      </c>
      <c r="G203" s="10">
        <f t="shared" si="8"/>
        <v>1125</v>
      </c>
      <c r="H203" s="3">
        <f>(VLOOKUP(D203,'Bu Erta'!$C$3:$F$66,4,0))*F203</f>
        <v>1500</v>
      </c>
      <c r="I203" s="3"/>
    </row>
    <row r="204" spans="1:9" x14ac:dyDescent="0.35">
      <c r="A204" s="109"/>
      <c r="B204" s="26" t="s">
        <v>117</v>
      </c>
      <c r="C204" s="109"/>
      <c r="D204" s="20" t="s">
        <v>24</v>
      </c>
      <c r="E204" s="9">
        <f>VLOOKUP(D204,'Bu Erta'!$C$2:$E$66,3,0)</f>
        <v>150</v>
      </c>
      <c r="F204" s="20">
        <v>0.75</v>
      </c>
      <c r="G204" s="10">
        <f t="shared" si="8"/>
        <v>112.5</v>
      </c>
      <c r="H204" s="3">
        <f>(VLOOKUP(D204,'Bu Erta'!$C$3:$F$66,4,0))*F204</f>
        <v>150</v>
      </c>
      <c r="I204" s="3"/>
    </row>
    <row r="205" spans="1:9" x14ac:dyDescent="0.35">
      <c r="A205" s="109"/>
      <c r="B205" s="26" t="s">
        <v>117</v>
      </c>
      <c r="C205" s="109"/>
      <c r="D205" s="20" t="s">
        <v>40</v>
      </c>
      <c r="E205" s="9">
        <f>VLOOKUP(D205,'Bu Erta'!$C$2:$E$66,3,0)</f>
        <v>1800</v>
      </c>
      <c r="F205" s="20">
        <v>1.9</v>
      </c>
      <c r="G205" s="10">
        <f t="shared" si="8"/>
        <v>3420</v>
      </c>
      <c r="H205" s="3">
        <f>(VLOOKUP(D205,'Bu Erta'!$C$3:$F$66,4,0))*F205</f>
        <v>3800</v>
      </c>
      <c r="I205" s="3"/>
    </row>
    <row r="206" spans="1:9" x14ac:dyDescent="0.35">
      <c r="A206" s="115"/>
      <c r="B206" s="27" t="s">
        <v>117</v>
      </c>
      <c r="C206" s="115"/>
      <c r="D206" s="21" t="s">
        <v>7</v>
      </c>
      <c r="E206" s="11">
        <f>VLOOKUP(D206,'Bu Erta'!$C$2:$E$66,3,0)</f>
        <v>1400</v>
      </c>
      <c r="F206" s="21">
        <v>0.8</v>
      </c>
      <c r="G206" s="12">
        <f t="shared" si="8"/>
        <v>1120</v>
      </c>
      <c r="H206" s="3">
        <f>(VLOOKUP(D206,'Bu Erta'!$C$3:$F$66,4,0))*F206</f>
        <v>1280</v>
      </c>
      <c r="I206" s="3"/>
    </row>
    <row r="207" spans="1:9" x14ac:dyDescent="0.35">
      <c r="A207" s="116">
        <v>45</v>
      </c>
      <c r="B207" s="25" t="s">
        <v>118</v>
      </c>
      <c r="C207" s="116">
        <v>4</v>
      </c>
      <c r="D207" s="19" t="s">
        <v>7</v>
      </c>
      <c r="E207" s="7">
        <f>VLOOKUP(D207,'Bu Erta'!$C$2:$E$66,3,0)</f>
        <v>1400</v>
      </c>
      <c r="F207" s="19">
        <f>1.25+0.25</f>
        <v>1.5</v>
      </c>
      <c r="G207" s="8">
        <f t="shared" si="8"/>
        <v>2100</v>
      </c>
      <c r="H207" s="3">
        <f>(VLOOKUP(D207,'Bu Erta'!$C$3:$F$66,4,0))*F207</f>
        <v>2400</v>
      </c>
      <c r="I207" s="3"/>
    </row>
    <row r="208" spans="1:9" x14ac:dyDescent="0.35">
      <c r="A208" s="109"/>
      <c r="B208" s="26" t="s">
        <v>118</v>
      </c>
      <c r="C208" s="109"/>
      <c r="D208" s="20" t="s">
        <v>19</v>
      </c>
      <c r="E208" s="9">
        <f>VLOOKUP(D208,'Bu Erta'!$C$2:$E$66,3,0)</f>
        <v>200</v>
      </c>
      <c r="F208" s="20">
        <v>0.6</v>
      </c>
      <c r="G208" s="10">
        <f t="shared" si="8"/>
        <v>120</v>
      </c>
      <c r="H208" s="3">
        <f>(VLOOKUP(D208,'Bu Erta'!$C$3:$F$66,4,0))*F208</f>
        <v>180</v>
      </c>
      <c r="I208" s="3"/>
    </row>
    <row r="209" spans="1:22" x14ac:dyDescent="0.35">
      <c r="A209" s="115"/>
      <c r="B209" s="27" t="s">
        <v>118</v>
      </c>
      <c r="C209" s="115"/>
      <c r="D209" s="21" t="s">
        <v>25</v>
      </c>
      <c r="E209" s="11">
        <f>VLOOKUP(D209,'Bu Erta'!$C$2:$E$66,3,0)</f>
        <v>1600</v>
      </c>
      <c r="F209" s="21">
        <v>0.3</v>
      </c>
      <c r="G209" s="12">
        <f t="shared" si="8"/>
        <v>480</v>
      </c>
      <c r="H209" s="3">
        <f>(VLOOKUP(D209,'Bu Erta'!$C$3:$F$66,4,0))*F209</f>
        <v>510</v>
      </c>
      <c r="I209" s="3"/>
    </row>
    <row r="210" spans="1:22" x14ac:dyDescent="0.35">
      <c r="A210" s="116">
        <v>46</v>
      </c>
      <c r="B210" s="25" t="s">
        <v>140</v>
      </c>
      <c r="C210" s="116">
        <v>4</v>
      </c>
      <c r="D210" s="19" t="s">
        <v>7</v>
      </c>
      <c r="E210" s="7">
        <f>VLOOKUP(D210,'Bu Erta'!$C$2:$E$66,3,0)</f>
        <v>1400</v>
      </c>
      <c r="F210" s="19">
        <f>1.3+2.8</f>
        <v>4.0999999999999996</v>
      </c>
      <c r="G210" s="8">
        <f t="shared" si="8"/>
        <v>5739.9999999999991</v>
      </c>
      <c r="H210" s="3">
        <f>(VLOOKUP(D210,'Bu Erta'!$C$3:$F$66,4,0))*F210</f>
        <v>6559.9999999999991</v>
      </c>
      <c r="I210" s="3"/>
    </row>
    <row r="211" spans="1:22" x14ac:dyDescent="0.35">
      <c r="A211" s="109"/>
      <c r="B211" s="26" t="s">
        <v>140</v>
      </c>
      <c r="C211" s="109"/>
      <c r="D211" s="20" t="s">
        <v>28</v>
      </c>
      <c r="E211" s="9">
        <f>VLOOKUP(D211,'Bu Erta'!$C$2:$E$66,3,0)</f>
        <v>1200</v>
      </c>
      <c r="F211" s="20">
        <v>11.15</v>
      </c>
      <c r="G211" s="10">
        <f t="shared" si="8"/>
        <v>13380</v>
      </c>
      <c r="H211" s="3">
        <f>(VLOOKUP(D211,'Bu Erta'!$C$3:$F$66,4,0))*F211</f>
        <v>14495</v>
      </c>
      <c r="I211" s="3"/>
    </row>
    <row r="212" spans="1:22" x14ac:dyDescent="0.35">
      <c r="A212" s="109"/>
      <c r="B212" s="26" t="s">
        <v>140</v>
      </c>
      <c r="C212" s="109"/>
      <c r="D212" s="20" t="s">
        <v>38</v>
      </c>
      <c r="E212" s="9">
        <f>VLOOKUP(D212,'Bu Erta'!$C$2:$E$66,3,0)</f>
        <v>1400</v>
      </c>
      <c r="F212" s="20">
        <v>1.05</v>
      </c>
      <c r="G212" s="10">
        <f t="shared" si="8"/>
        <v>1470</v>
      </c>
      <c r="H212" s="3">
        <f>(VLOOKUP(D212,'Bu Erta'!$C$3:$F$66,4,0))*F212</f>
        <v>1680</v>
      </c>
      <c r="I212" s="3"/>
    </row>
    <row r="213" spans="1:22" x14ac:dyDescent="0.35">
      <c r="A213" s="109"/>
      <c r="B213" s="26" t="s">
        <v>140</v>
      </c>
      <c r="C213" s="109"/>
      <c r="D213" s="20" t="s">
        <v>46</v>
      </c>
      <c r="E213" s="9">
        <f>VLOOKUP(D213,'Bu Erta'!$C$2:$E$66,3,0)</f>
        <v>1400</v>
      </c>
      <c r="F213" s="20">
        <v>8.8000000000000007</v>
      </c>
      <c r="G213" s="10">
        <f t="shared" si="8"/>
        <v>12320.000000000002</v>
      </c>
      <c r="H213" s="3">
        <f>(VLOOKUP(D213,'Bu Erta'!$C$3:$F$66,4,0))*F213</f>
        <v>13200.000000000002</v>
      </c>
      <c r="I213" s="3"/>
      <c r="R213" s="44">
        <v>62</v>
      </c>
      <c r="S213" s="17" t="s">
        <v>70</v>
      </c>
      <c r="T213" s="52">
        <v>4000</v>
      </c>
      <c r="U213" s="53">
        <f>SUMIF($D$4:$D$230,S213,$F$4:$F$230)</f>
        <v>0</v>
      </c>
      <c r="V213" s="52">
        <f>T213*U213</f>
        <v>0</v>
      </c>
    </row>
    <row r="214" spans="1:22" x14ac:dyDescent="0.35">
      <c r="A214" s="109"/>
      <c r="B214" s="26" t="s">
        <v>140</v>
      </c>
      <c r="C214" s="109"/>
      <c r="D214" s="20" t="s">
        <v>23</v>
      </c>
      <c r="E214" s="9">
        <f>VLOOKUP(D214,'Bu Erta'!$C$2:$E$66,3,0)</f>
        <v>300</v>
      </c>
      <c r="F214" s="20">
        <v>11.45</v>
      </c>
      <c r="G214" s="10">
        <f t="shared" si="8"/>
        <v>3435</v>
      </c>
      <c r="H214" s="3">
        <f>(VLOOKUP(D214,'Bu Erta'!$C$3:$F$66,4,0))*F214</f>
        <v>4580</v>
      </c>
      <c r="I214" s="3"/>
    </row>
    <row r="215" spans="1:22" x14ac:dyDescent="0.35">
      <c r="A215" s="109"/>
      <c r="B215" s="26" t="s">
        <v>140</v>
      </c>
      <c r="C215" s="109"/>
      <c r="D215" s="20" t="s">
        <v>31</v>
      </c>
      <c r="E215" s="9">
        <f>VLOOKUP(D215,'Bu Erta'!$C$2:$E$66,3,0)</f>
        <v>1000</v>
      </c>
      <c r="F215" s="20">
        <f>1.35+3.05</f>
        <v>4.4000000000000004</v>
      </c>
      <c r="G215" s="10">
        <f t="shared" si="8"/>
        <v>4400</v>
      </c>
      <c r="H215" s="3">
        <f>(VLOOKUP(D215,'Bu Erta'!$C$3:$F$66,4,0))*F215</f>
        <v>4840</v>
      </c>
      <c r="I215" s="3"/>
    </row>
    <row r="216" spans="1:22" x14ac:dyDescent="0.35">
      <c r="A216" s="115"/>
      <c r="B216" s="27" t="s">
        <v>140</v>
      </c>
      <c r="C216" s="115"/>
      <c r="D216" s="21" t="s">
        <v>38</v>
      </c>
      <c r="E216" s="11">
        <f>VLOOKUP(D216,'Bu Erta'!$C$2:$E$66,3,0)</f>
        <v>1400</v>
      </c>
      <c r="F216" s="21">
        <v>1.75</v>
      </c>
      <c r="G216" s="12">
        <f t="shared" si="8"/>
        <v>2450</v>
      </c>
      <c r="H216" s="3">
        <f>(VLOOKUP(D216,'Bu Erta'!$C$3:$F$66,4,0))*F216</f>
        <v>2800</v>
      </c>
      <c r="I216" s="3"/>
    </row>
    <row r="217" spans="1:22" x14ac:dyDescent="0.35">
      <c r="A217" s="116">
        <v>47</v>
      </c>
      <c r="B217" s="25" t="s">
        <v>144</v>
      </c>
      <c r="C217" s="116">
        <v>4</v>
      </c>
      <c r="D217" s="19" t="s">
        <v>31</v>
      </c>
      <c r="E217" s="7">
        <f>VLOOKUP(D217,'Bu Erta'!$C$2:$E$66,3,0)</f>
        <v>1000</v>
      </c>
      <c r="F217" s="19">
        <v>2.1</v>
      </c>
      <c r="G217" s="8">
        <f t="shared" si="8"/>
        <v>2100</v>
      </c>
      <c r="H217" s="3">
        <f>(VLOOKUP(D217,'Bu Erta'!$C$3:$F$66,4,0))*F217</f>
        <v>2310</v>
      </c>
      <c r="I217" s="3"/>
    </row>
    <row r="218" spans="1:22" x14ac:dyDescent="0.35">
      <c r="A218" s="115"/>
      <c r="B218" s="26" t="s">
        <v>144</v>
      </c>
      <c r="C218" s="115"/>
      <c r="D218" s="21" t="s">
        <v>41</v>
      </c>
      <c r="E218" s="11">
        <f>VLOOKUP(D218,'Bu Erta'!$C$2:$E$66,3,0)</f>
        <v>1500</v>
      </c>
      <c r="F218" s="21">
        <v>1.65</v>
      </c>
      <c r="G218" s="12">
        <f t="shared" si="8"/>
        <v>2475</v>
      </c>
      <c r="H218" s="3">
        <f>(VLOOKUP(D218,'Bu Erta'!$C$3:$F$66,4,0))*F218</f>
        <v>3300</v>
      </c>
      <c r="I218" s="3"/>
    </row>
    <row r="219" spans="1:22" x14ac:dyDescent="0.35">
      <c r="A219" s="116">
        <v>48</v>
      </c>
      <c r="B219" s="25" t="s">
        <v>192</v>
      </c>
      <c r="C219" s="116">
        <v>4</v>
      </c>
      <c r="D219" s="19" t="s">
        <v>7</v>
      </c>
      <c r="E219" s="7">
        <f>VLOOKUP(D219,'Bu Erta'!$C$2:$E$66,3,0)</f>
        <v>1400</v>
      </c>
      <c r="F219" s="19">
        <f>1.6+1.3</f>
        <v>2.9000000000000004</v>
      </c>
      <c r="G219" s="8">
        <f t="shared" si="8"/>
        <v>4060.0000000000005</v>
      </c>
      <c r="H219" s="3">
        <f>(VLOOKUP(D219,'Bu Erta'!$C$3:$F$66,4,0))*F219</f>
        <v>4640.0000000000009</v>
      </c>
      <c r="I219" s="3"/>
    </row>
    <row r="220" spans="1:22" x14ac:dyDescent="0.35">
      <c r="A220" s="109"/>
      <c r="B220" s="26" t="s">
        <v>192</v>
      </c>
      <c r="C220" s="109"/>
      <c r="D220" s="20" t="s">
        <v>53</v>
      </c>
      <c r="E220" s="9">
        <f>VLOOKUP(D220,'Bu Erta'!$C$2:$E$66,3,0)</f>
        <v>10000</v>
      </c>
      <c r="F220" s="20">
        <v>1</v>
      </c>
      <c r="G220" s="10">
        <f t="shared" si="8"/>
        <v>10000</v>
      </c>
      <c r="H220" s="3">
        <f>(VLOOKUP(D220,'Bu Erta'!$C$3:$F$66,4,0))*F220</f>
        <v>12000</v>
      </c>
      <c r="I220" s="3"/>
    </row>
    <row r="221" spans="1:22" x14ac:dyDescent="0.35">
      <c r="A221" s="109"/>
      <c r="B221" s="26" t="s">
        <v>192</v>
      </c>
      <c r="C221" s="109"/>
      <c r="D221" s="20" t="s">
        <v>42</v>
      </c>
      <c r="E221" s="9">
        <f>VLOOKUP(D221,'Bu Erta'!$C$2:$E$66,3,0)</f>
        <v>1000</v>
      </c>
      <c r="F221" s="20">
        <f>0.55+1.25</f>
        <v>1.8</v>
      </c>
      <c r="G221" s="10">
        <f t="shared" si="8"/>
        <v>1800</v>
      </c>
      <c r="H221" s="3">
        <f>(VLOOKUP(D221,'Bu Erta'!$C$3:$F$66,4,0))*F221</f>
        <v>2160</v>
      </c>
      <c r="I221" s="3"/>
    </row>
    <row r="222" spans="1:22" x14ac:dyDescent="0.35">
      <c r="A222" s="115"/>
      <c r="B222" s="26" t="s">
        <v>192</v>
      </c>
      <c r="C222" s="115"/>
      <c r="D222" s="21" t="s">
        <v>23</v>
      </c>
      <c r="E222" s="11">
        <f>VLOOKUP(D222,'Bu Erta'!$C$2:$E$66,3,0)</f>
        <v>300</v>
      </c>
      <c r="F222" s="21">
        <f>2.5+1.25</f>
        <v>3.75</v>
      </c>
      <c r="G222" s="12">
        <f t="shared" si="8"/>
        <v>1125</v>
      </c>
      <c r="H222" s="3">
        <f>(VLOOKUP(D222,'Bu Erta'!$C$3:$F$66,4,0))*F222</f>
        <v>1500</v>
      </c>
      <c r="I222" s="4"/>
      <c r="J222" s="40"/>
      <c r="K222" s="40"/>
      <c r="L222" s="40"/>
      <c r="M222" s="40"/>
      <c r="N222" s="40"/>
      <c r="O222" s="40"/>
      <c r="P222" s="40"/>
      <c r="Q222" s="40"/>
    </row>
    <row r="223" spans="1:22" x14ac:dyDescent="0.35">
      <c r="A223" s="118">
        <v>49</v>
      </c>
      <c r="B223" s="25" t="s">
        <v>107</v>
      </c>
      <c r="C223" s="108">
        <v>5</v>
      </c>
      <c r="D223" s="19" t="s">
        <v>22</v>
      </c>
      <c r="E223" s="7">
        <f>VLOOKUP(D223,'Bu Erta'!$C$2:$E$66,3,0)</f>
        <v>2500</v>
      </c>
      <c r="F223" s="19">
        <v>2.2200000000000002</v>
      </c>
      <c r="G223" s="8">
        <f t="shared" si="8"/>
        <v>5550.0000000000009</v>
      </c>
      <c r="H223" s="3">
        <f>(VLOOKUP(D223,'Bu Erta'!$C$3:$F$66,4,0))*F223</f>
        <v>6660.0000000000009</v>
      </c>
    </row>
    <row r="224" spans="1:22" x14ac:dyDescent="0.35">
      <c r="A224" s="119"/>
      <c r="B224" s="25" t="s">
        <v>107</v>
      </c>
      <c r="C224" s="113"/>
      <c r="D224" s="21" t="s">
        <v>40</v>
      </c>
      <c r="E224" s="11">
        <f>VLOOKUP(D224,'Bu Erta'!$C$2:$E$66,3,0)</f>
        <v>1800</v>
      </c>
      <c r="F224" s="21">
        <v>2.37</v>
      </c>
      <c r="G224" s="12">
        <f t="shared" si="8"/>
        <v>4266</v>
      </c>
      <c r="H224" s="3">
        <f>(VLOOKUP(D224,'Bu Erta'!$C$3:$F$66,4,0))*F224</f>
        <v>4740</v>
      </c>
    </row>
    <row r="225" spans="1:8" x14ac:dyDescent="0.35">
      <c r="A225" s="118">
        <v>50</v>
      </c>
      <c r="B225" s="25" t="s">
        <v>132</v>
      </c>
      <c r="C225" s="108">
        <v>4</v>
      </c>
      <c r="D225" s="19" t="s">
        <v>25</v>
      </c>
      <c r="E225" s="7">
        <f>VLOOKUP(D225,'Bu Erta'!$C$2:$E$66,3,0)</f>
        <v>1600</v>
      </c>
      <c r="F225" s="19">
        <v>0.65</v>
      </c>
      <c r="G225" s="8">
        <f t="shared" si="8"/>
        <v>1040</v>
      </c>
      <c r="H225" s="3">
        <f>(VLOOKUP(D225,'Bu Erta'!$C$3:$F$66,4,0))*F225</f>
        <v>1105</v>
      </c>
    </row>
    <row r="226" spans="1:8" x14ac:dyDescent="0.35">
      <c r="A226" s="119"/>
      <c r="B226" s="27" t="s">
        <v>132</v>
      </c>
      <c r="C226" s="113"/>
      <c r="D226" s="21" t="s">
        <v>42</v>
      </c>
      <c r="E226" s="11">
        <f>VLOOKUP(D226,'Bu Erta'!$C$2:$E$66,3,0)</f>
        <v>1000</v>
      </c>
      <c r="F226" s="21">
        <v>5.55</v>
      </c>
      <c r="G226" s="12">
        <f t="shared" si="8"/>
        <v>5550</v>
      </c>
      <c r="H226" s="3">
        <f>(VLOOKUP(D226,'Bu Erta'!$C$3:$F$66,4,0))*F226</f>
        <v>6660</v>
      </c>
    </row>
    <row r="227" spans="1:8" x14ac:dyDescent="0.35">
      <c r="A227" s="118">
        <v>51</v>
      </c>
      <c r="B227" s="26" t="s">
        <v>120</v>
      </c>
      <c r="C227" s="108">
        <v>5</v>
      </c>
      <c r="D227" s="19" t="s">
        <v>41</v>
      </c>
      <c r="E227" s="7">
        <f>VLOOKUP(D227,'Bu Erta'!$C$2:$E$66,3,0)</f>
        <v>1500</v>
      </c>
      <c r="F227" s="19">
        <v>0.6</v>
      </c>
      <c r="G227" s="8">
        <f t="shared" si="8"/>
        <v>900</v>
      </c>
      <c r="H227" s="3">
        <f>(VLOOKUP(D227,'Bu Erta'!$C$3:$F$66,4,0))*F227</f>
        <v>1200</v>
      </c>
    </row>
    <row r="228" spans="1:8" x14ac:dyDescent="0.35">
      <c r="A228" s="117"/>
      <c r="B228" s="26" t="s">
        <v>120</v>
      </c>
      <c r="C228" s="106"/>
      <c r="D228" s="20" t="s">
        <v>6</v>
      </c>
      <c r="E228" s="9">
        <f>VLOOKUP(D228,'Bu Erta'!$C$2:$E$66,3,0)</f>
        <v>2000</v>
      </c>
      <c r="F228" s="20">
        <v>0.2</v>
      </c>
      <c r="G228" s="10">
        <f t="shared" si="8"/>
        <v>400</v>
      </c>
      <c r="H228" s="3">
        <f>(VLOOKUP(D228,'Bu Erta'!$C$3:$F$66,4,0))*F228</f>
        <v>500</v>
      </c>
    </row>
    <row r="229" spans="1:8" x14ac:dyDescent="0.35">
      <c r="A229" s="117"/>
      <c r="B229" s="26" t="s">
        <v>120</v>
      </c>
      <c r="C229" s="106"/>
      <c r="D229" s="20" t="s">
        <v>19</v>
      </c>
      <c r="E229" s="9">
        <f>VLOOKUP(D229,'Bu Erta'!$C$2:$E$66,3,0)</f>
        <v>200</v>
      </c>
      <c r="F229" s="20">
        <v>0.15</v>
      </c>
      <c r="G229" s="10">
        <f t="shared" si="8"/>
        <v>30</v>
      </c>
      <c r="H229" s="3">
        <f>(VLOOKUP(D229,'Bu Erta'!$C$3:$F$66,4,0))*F229</f>
        <v>45</v>
      </c>
    </row>
    <row r="230" spans="1:8" x14ac:dyDescent="0.35">
      <c r="A230" s="119"/>
      <c r="B230" s="27" t="s">
        <v>120</v>
      </c>
      <c r="C230" s="113"/>
      <c r="D230" s="21" t="s">
        <v>31</v>
      </c>
      <c r="E230" s="11">
        <f>VLOOKUP(D230,'Bu Erta'!$C$2:$E$66,3,0)</f>
        <v>1000</v>
      </c>
      <c r="F230" s="21">
        <v>3.2</v>
      </c>
      <c r="G230" s="12">
        <f t="shared" si="8"/>
        <v>3200</v>
      </c>
      <c r="H230" s="3">
        <f>(VLOOKUP(D230,'Bu Erta'!$C$3:$F$66,4,0))*F230</f>
        <v>3520</v>
      </c>
    </row>
    <row r="231" spans="1:8" x14ac:dyDescent="0.35">
      <c r="A231"/>
      <c r="B231"/>
      <c r="C231"/>
      <c r="G231" s="46">
        <f>SUM(G4:G230)</f>
        <v>633711</v>
      </c>
      <c r="H231" s="46">
        <f>SUM(H4:H230)</f>
        <v>748802.5</v>
      </c>
    </row>
    <row r="232" spans="1:8" x14ac:dyDescent="0.35">
      <c r="A232"/>
      <c r="B232"/>
      <c r="C232"/>
    </row>
    <row r="233" spans="1:8" x14ac:dyDescent="0.35">
      <c r="A233"/>
      <c r="B233"/>
      <c r="C233"/>
    </row>
    <row r="234" spans="1:8" x14ac:dyDescent="0.35">
      <c r="A234"/>
      <c r="B234"/>
      <c r="C234"/>
    </row>
    <row r="235" spans="1:8" x14ac:dyDescent="0.35">
      <c r="A235"/>
      <c r="B235"/>
      <c r="C235"/>
    </row>
    <row r="236" spans="1:8" x14ac:dyDescent="0.35">
      <c r="A236"/>
      <c r="B236"/>
      <c r="C236"/>
    </row>
    <row r="237" spans="1:8" x14ac:dyDescent="0.35">
      <c r="A237"/>
      <c r="B237"/>
      <c r="C237"/>
    </row>
    <row r="238" spans="1:8" x14ac:dyDescent="0.35">
      <c r="A238"/>
      <c r="B238"/>
      <c r="C238"/>
    </row>
    <row r="239" spans="1:8" x14ac:dyDescent="0.35">
      <c r="A239"/>
      <c r="B239"/>
      <c r="C239"/>
    </row>
    <row r="240" spans="1:8" x14ac:dyDescent="0.35">
      <c r="A240"/>
      <c r="B240"/>
      <c r="C240"/>
    </row>
    <row r="241" spans="1:3" x14ac:dyDescent="0.35">
      <c r="A241"/>
      <c r="B241"/>
      <c r="C241"/>
    </row>
    <row r="242" spans="1:3" x14ac:dyDescent="0.35">
      <c r="A242"/>
      <c r="B242"/>
      <c r="C242"/>
    </row>
  </sheetData>
  <autoFilter ref="A3:G231" xr:uid="{35A174CF-62E8-40E7-A035-9904EA821FB9}"/>
  <mergeCells count="93">
    <mergeCell ref="A223:A224"/>
    <mergeCell ref="C223:C224"/>
    <mergeCell ref="C225:C226"/>
    <mergeCell ref="C227:C230"/>
    <mergeCell ref="A227:A230"/>
    <mergeCell ref="A225:A226"/>
    <mergeCell ref="C191:C193"/>
    <mergeCell ref="A191:A193"/>
    <mergeCell ref="C219:C222"/>
    <mergeCell ref="A219:A222"/>
    <mergeCell ref="A217:A218"/>
    <mergeCell ref="A194:A195"/>
    <mergeCell ref="C194:C195"/>
    <mergeCell ref="C196:C201"/>
    <mergeCell ref="A196:A201"/>
    <mergeCell ref="A202:A206"/>
    <mergeCell ref="C202:C206"/>
    <mergeCell ref="C207:C209"/>
    <mergeCell ref="A207:A209"/>
    <mergeCell ref="A210:A216"/>
    <mergeCell ref="C210:C216"/>
    <mergeCell ref="C217:C218"/>
    <mergeCell ref="A172:A176"/>
    <mergeCell ref="C172:C176"/>
    <mergeCell ref="C177:C183"/>
    <mergeCell ref="A177:A183"/>
    <mergeCell ref="A184:A190"/>
    <mergeCell ref="C184:C190"/>
    <mergeCell ref="A156:A160"/>
    <mergeCell ref="A134:A144"/>
    <mergeCell ref="C169:C171"/>
    <mergeCell ref="A169:A171"/>
    <mergeCell ref="C156:C160"/>
    <mergeCell ref="C161:C168"/>
    <mergeCell ref="A161:A168"/>
    <mergeCell ref="A94:A100"/>
    <mergeCell ref="A101:A105"/>
    <mergeCell ref="A106:A109"/>
    <mergeCell ref="A110:A116"/>
    <mergeCell ref="A117:A118"/>
    <mergeCell ref="A119:A120"/>
    <mergeCell ref="C121:C125"/>
    <mergeCell ref="C126:C131"/>
    <mergeCell ref="C132:C133"/>
    <mergeCell ref="C145:C155"/>
    <mergeCell ref="A121:A125"/>
    <mergeCell ref="A126:A131"/>
    <mergeCell ref="A132:A133"/>
    <mergeCell ref="A145:A155"/>
    <mergeCell ref="C134:C144"/>
    <mergeCell ref="C119:C120"/>
    <mergeCell ref="C94:C100"/>
    <mergeCell ref="C101:C105"/>
    <mergeCell ref="C106:C109"/>
    <mergeCell ref="C110:C116"/>
    <mergeCell ref="C117:C118"/>
    <mergeCell ref="C78:C84"/>
    <mergeCell ref="C86:C89"/>
    <mergeCell ref="A67:A77"/>
    <mergeCell ref="A78:A84"/>
    <mergeCell ref="A86:A89"/>
    <mergeCell ref="N53:O53"/>
    <mergeCell ref="A4:A8"/>
    <mergeCell ref="C4:C8"/>
    <mergeCell ref="C24:C25"/>
    <mergeCell ref="C26:C27"/>
    <mergeCell ref="A24:A25"/>
    <mergeCell ref="A26:A27"/>
    <mergeCell ref="A28:A29"/>
    <mergeCell ref="C30:C33"/>
    <mergeCell ref="C28:C29"/>
    <mergeCell ref="C34:C38"/>
    <mergeCell ref="C39:C40"/>
    <mergeCell ref="C42:C44"/>
    <mergeCell ref="C45:C52"/>
    <mergeCell ref="A30:A33"/>
    <mergeCell ref="A34:A38"/>
    <mergeCell ref="C90:C92"/>
    <mergeCell ref="A90:A92"/>
    <mergeCell ref="C9:C22"/>
    <mergeCell ref="A9:A22"/>
    <mergeCell ref="A65:A66"/>
    <mergeCell ref="A57:A64"/>
    <mergeCell ref="A55:A56"/>
    <mergeCell ref="C65:C66"/>
    <mergeCell ref="C57:C64"/>
    <mergeCell ref="C55:C56"/>
    <mergeCell ref="A39:A40"/>
    <mergeCell ref="A42:A44"/>
    <mergeCell ref="A45:A52"/>
    <mergeCell ref="C53:C54"/>
    <mergeCell ref="A53:A54"/>
    <mergeCell ref="C67:C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Cashflow</vt:lpstr>
      <vt:lpstr>Sheet1</vt:lpstr>
      <vt:lpstr>Pak Surat</vt:lpstr>
      <vt:lpstr>Kas</vt:lpstr>
      <vt:lpstr>Tabungan</vt:lpstr>
      <vt:lpstr>Bu Erta</vt:lpstr>
      <vt:lpstr>KamiBox</vt:lpstr>
      <vt:lpstr>Sheet2</vt:lpstr>
      <vt:lpstr>Tabungan Nasabah</vt:lpstr>
      <vt:lpstr>15-02-26</vt:lpstr>
      <vt:lpstr>31-1-26</vt:lpstr>
      <vt:lpstr>3-1-26</vt:lpstr>
      <vt:lpstr>13-12-25</vt:lpstr>
      <vt:lpstr>15-11-25</vt:lpstr>
      <vt:lpstr>1-11-25</vt:lpstr>
      <vt:lpstr>19-10-25</vt:lpstr>
      <vt:lpstr>21-9-2025</vt:lpstr>
      <vt:lpstr>7-9-2025</vt:lpstr>
      <vt:lpstr>23-8-2025</vt:lpstr>
      <vt:lpstr>9-8-2025</vt:lpstr>
      <vt:lpstr>26-7-2025</vt:lpstr>
      <vt:lpstr>12-7-2025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Luthfi Lailatul</dc:creator>
  <cp:lastModifiedBy>Deddy Kristanto</cp:lastModifiedBy>
  <cp:lastPrinted>2026-01-31T01:02:20Z</cp:lastPrinted>
  <dcterms:created xsi:type="dcterms:W3CDTF">2025-07-12T00:59:27Z</dcterms:created>
  <dcterms:modified xsi:type="dcterms:W3CDTF">2026-04-08T19:06:40Z</dcterms:modified>
</cp:coreProperties>
</file>