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Luthfi\00\"/>
    </mc:Choice>
  </mc:AlternateContent>
  <xr:revisionPtr revIDLastSave="0" documentId="13_ncr:1_{D8F85D10-7412-4796-809C-D7ED30B7FED8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PINJAMAN" sheetId="8" r:id="rId1"/>
    <sheet name="11-07-26 (2)" sheetId="13" r:id="rId2"/>
    <sheet name="21-6-26 (2)" sheetId="12" r:id="rId3"/>
    <sheet name="KamiBox" sheetId="2" r:id="rId4"/>
    <sheet name="Kas Baru" sheetId="3" r:id="rId5"/>
    <sheet name="Tabungan Nasabah" sheetId="5" r:id="rId6"/>
    <sheet name="12-9-26" sheetId="16" r:id="rId7"/>
    <sheet name="22-8-26" sheetId="15" r:id="rId8"/>
    <sheet name="1-8-26" sheetId="14" r:id="rId9"/>
    <sheet name="11-07-26" sheetId="11" r:id="rId10"/>
    <sheet name="21-6-26" sheetId="10" r:id="rId11"/>
    <sheet name="30-5-26" sheetId="6" r:id="rId12"/>
    <sheet name="9-5-26" sheetId="4" r:id="rId13"/>
    <sheet name="30-5-26 Sent" sheetId="7" state="hidden" r:id="rId14"/>
  </sheets>
  <externalReferences>
    <externalReference r:id="rId15"/>
  </externalReferences>
  <definedNames>
    <definedName name="_xlnm._FilterDatabase" localSheetId="10" hidden="1">'21-6-26'!$A$2:$E$2</definedName>
    <definedName name="_xlnm._FilterDatabase" localSheetId="2" hidden="1">'21-6-26 (2)'!$A$2:$E$2</definedName>
    <definedName name="_xlnm._FilterDatabase" localSheetId="11" hidden="1">'30-5-26'!$A$2:$G$2</definedName>
    <definedName name="_xlnm._FilterDatabase" localSheetId="13" hidden="1">'30-5-26 Sent'!$A$2:$G$2</definedName>
    <definedName name="_xlnm._FilterDatabase" localSheetId="3" hidden="1">KamiBox!$B$2:$H$2</definedName>
    <definedName name="_xlnm._FilterDatabase" localSheetId="5" hidden="1">'Tabungan Nasabah'!$C$2:$AF$148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3" l="1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55" i="3"/>
  <c r="E56" i="3" s="1"/>
  <c r="E57" i="3" s="1"/>
  <c r="E58" i="3" s="1"/>
  <c r="E59" i="3" s="1"/>
  <c r="E60" i="3" s="1"/>
  <c r="E54" i="3"/>
  <c r="E53" i="3"/>
  <c r="AD126" i="5"/>
  <c r="AD58" i="5"/>
  <c r="AD82" i="5"/>
  <c r="AD77" i="5"/>
  <c r="AD101" i="5"/>
  <c r="Z136" i="5"/>
  <c r="Z135" i="5"/>
  <c r="Z121" i="5"/>
  <c r="Z118" i="5"/>
  <c r="Z101" i="5"/>
  <c r="Z99" i="5"/>
  <c r="Z97" i="5"/>
  <c r="Z95" i="5"/>
  <c r="Z93" i="5"/>
  <c r="Z90" i="5"/>
  <c r="Z88" i="5"/>
  <c r="Z87" i="5"/>
  <c r="Z86" i="5"/>
  <c r="Z83" i="5"/>
  <c r="Z82" i="5"/>
  <c r="Z81" i="5"/>
  <c r="Z80" i="5"/>
  <c r="Z79" i="5"/>
  <c r="Z77" i="5"/>
  <c r="Z76" i="5"/>
  <c r="Z74" i="5"/>
  <c r="Z73" i="5"/>
  <c r="Z71" i="5"/>
  <c r="Z70" i="5"/>
  <c r="Z69" i="5"/>
  <c r="Z67" i="5"/>
  <c r="Z65" i="5"/>
  <c r="Z64" i="5"/>
  <c r="Z63" i="5"/>
  <c r="Z62" i="5"/>
  <c r="Z60" i="5"/>
  <c r="Z59" i="5"/>
  <c r="Z53" i="5"/>
  <c r="Z52" i="5"/>
  <c r="Z48" i="5"/>
  <c r="Z46" i="5"/>
  <c r="Z45" i="5"/>
  <c r="Z44" i="5"/>
  <c r="Z43" i="5"/>
  <c r="Z39" i="5"/>
  <c r="Z36" i="5"/>
  <c r="Z35" i="5"/>
  <c r="Z32" i="5"/>
  <c r="Z31" i="5"/>
  <c r="Z22" i="5"/>
  <c r="Z18" i="5"/>
  <c r="Z14" i="5"/>
  <c r="Z12" i="5"/>
  <c r="Z8" i="5"/>
  <c r="Z7" i="5"/>
  <c r="Z4" i="5"/>
  <c r="Z3" i="5"/>
  <c r="Z147" i="5" s="1"/>
  <c r="D58" i="3" l="1"/>
  <c r="D55" i="3"/>
  <c r="E358" i="16"/>
  <c r="Q39" i="16"/>
  <c r="Q46" i="16"/>
  <c r="Q34" i="16"/>
  <c r="Q16" i="16"/>
  <c r="Q28" i="16"/>
  <c r="W6" i="16"/>
  <c r="X6" i="16" s="1"/>
  <c r="W5" i="16"/>
  <c r="X5" i="16" s="1"/>
  <c r="W4" i="16"/>
  <c r="Q59" i="16"/>
  <c r="Q58" i="16"/>
  <c r="Q57" i="16"/>
  <c r="Q56" i="16"/>
  <c r="Q55" i="16"/>
  <c r="Q54" i="16"/>
  <c r="Q53" i="16"/>
  <c r="Q52" i="16"/>
  <c r="Q51" i="16"/>
  <c r="Q50" i="16"/>
  <c r="Q49" i="16"/>
  <c r="Q45" i="16"/>
  <c r="Q44" i="16"/>
  <c r="Q43" i="16"/>
  <c r="Q42" i="16"/>
  <c r="Q41" i="16"/>
  <c r="Q40" i="16"/>
  <c r="Q38" i="16"/>
  <c r="Q37" i="16"/>
  <c r="Q36" i="16"/>
  <c r="R36" i="16" s="1"/>
  <c r="Q35" i="16"/>
  <c r="Q33" i="16"/>
  <c r="Q32" i="16"/>
  <c r="Q31" i="16"/>
  <c r="R28" i="16"/>
  <c r="Q27" i="16"/>
  <c r="Q26" i="16"/>
  <c r="Q25" i="16"/>
  <c r="Q24" i="16"/>
  <c r="Q22" i="16"/>
  <c r="Q21" i="16"/>
  <c r="Q20" i="16"/>
  <c r="Q19" i="16"/>
  <c r="Q18" i="16"/>
  <c r="Q17" i="16"/>
  <c r="Q15" i="16"/>
  <c r="Q14" i="16"/>
  <c r="Q13" i="16"/>
  <c r="Q12" i="16"/>
  <c r="Q11" i="16"/>
  <c r="Q10" i="16"/>
  <c r="Q8" i="16"/>
  <c r="Q6" i="16"/>
  <c r="Q5" i="16"/>
  <c r="Q4" i="16"/>
  <c r="E357" i="16"/>
  <c r="E356" i="16"/>
  <c r="E355" i="16"/>
  <c r="E354" i="16"/>
  <c r="E353" i="16"/>
  <c r="E352" i="16"/>
  <c r="E351" i="16"/>
  <c r="E350" i="16"/>
  <c r="E349" i="16"/>
  <c r="E348" i="16"/>
  <c r="E347" i="16"/>
  <c r="E346" i="16"/>
  <c r="E345" i="16"/>
  <c r="E344" i="16"/>
  <c r="E343" i="16"/>
  <c r="E342" i="16"/>
  <c r="E341" i="16"/>
  <c r="E340" i="16"/>
  <c r="E339" i="16"/>
  <c r="E338" i="16"/>
  <c r="E337" i="16"/>
  <c r="E336" i="16"/>
  <c r="E335" i="16"/>
  <c r="E334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298" i="16"/>
  <c r="E297" i="16"/>
  <c r="E296" i="16"/>
  <c r="E295" i="16"/>
  <c r="E294" i="16"/>
  <c r="E293" i="16"/>
  <c r="E292" i="16"/>
  <c r="E291" i="16"/>
  <c r="E290" i="16"/>
  <c r="E289" i="16"/>
  <c r="E288" i="16"/>
  <c r="E287" i="16"/>
  <c r="E286" i="16"/>
  <c r="E285" i="16"/>
  <c r="E284" i="16"/>
  <c r="E283" i="16"/>
  <c r="E282" i="16"/>
  <c r="E281" i="16"/>
  <c r="E280" i="16"/>
  <c r="E279" i="16"/>
  <c r="E278" i="16"/>
  <c r="E277" i="16"/>
  <c r="E276" i="16"/>
  <c r="E275" i="16"/>
  <c r="E274" i="16"/>
  <c r="E273" i="16"/>
  <c r="E272" i="16"/>
  <c r="E271" i="16"/>
  <c r="E270" i="16"/>
  <c r="E269" i="16"/>
  <c r="E268" i="16"/>
  <c r="E267" i="16"/>
  <c r="E266" i="16"/>
  <c r="E265" i="16"/>
  <c r="E264" i="16"/>
  <c r="E263" i="16"/>
  <c r="E262" i="16"/>
  <c r="E261" i="16"/>
  <c r="E260" i="16"/>
  <c r="E259" i="16"/>
  <c r="E258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P59" i="16"/>
  <c r="P58" i="16"/>
  <c r="R58" i="16" s="1"/>
  <c r="P57" i="16"/>
  <c r="R57" i="16" s="1"/>
  <c r="P56" i="16"/>
  <c r="R55" i="16"/>
  <c r="P55" i="16"/>
  <c r="P54" i="16"/>
  <c r="P53" i="16"/>
  <c r="P52" i="16"/>
  <c r="R52" i="16" s="1"/>
  <c r="P51" i="16"/>
  <c r="P50" i="16"/>
  <c r="P49" i="16"/>
  <c r="R48" i="16"/>
  <c r="R47" i="16"/>
  <c r="P46" i="16"/>
  <c r="R45" i="16"/>
  <c r="P44" i="16"/>
  <c r="R43" i="16"/>
  <c r="P42" i="16"/>
  <c r="R42" i="16" s="1"/>
  <c r="R41" i="16"/>
  <c r="P41" i="16"/>
  <c r="P40" i="16"/>
  <c r="P39" i="16"/>
  <c r="P38" i="16"/>
  <c r="R38" i="16" s="1"/>
  <c r="P37" i="16"/>
  <c r="R37" i="16" s="1"/>
  <c r="P35" i="16"/>
  <c r="P34" i="16"/>
  <c r="R34" i="16" s="1"/>
  <c r="P33" i="16"/>
  <c r="P32" i="16"/>
  <c r="P31" i="16"/>
  <c r="P30" i="16"/>
  <c r="P29" i="16"/>
  <c r="P27" i="16"/>
  <c r="P26" i="16"/>
  <c r="P25" i="16"/>
  <c r="P24" i="16"/>
  <c r="P23" i="16"/>
  <c r="P22" i="16"/>
  <c r="P21" i="16"/>
  <c r="P20" i="16"/>
  <c r="P19" i="16"/>
  <c r="P18" i="16"/>
  <c r="R18" i="16" s="1"/>
  <c r="P17" i="16"/>
  <c r="P16" i="16"/>
  <c r="P15" i="16"/>
  <c r="P14" i="16"/>
  <c r="P13" i="16"/>
  <c r="P12" i="16"/>
  <c r="P11" i="16"/>
  <c r="P10" i="16"/>
  <c r="R9" i="16"/>
  <c r="P8" i="16"/>
  <c r="P7" i="16"/>
  <c r="P6" i="16"/>
  <c r="R5" i="16"/>
  <c r="P5" i="16"/>
  <c r="V4" i="16"/>
  <c r="P4" i="16"/>
  <c r="C296" i="16"/>
  <c r="C127" i="16"/>
  <c r="C133" i="16"/>
  <c r="C28" i="16"/>
  <c r="R21" i="16" s="1"/>
  <c r="C333" i="15"/>
  <c r="Y4" i="5"/>
  <c r="Y8" i="5"/>
  <c r="Y9" i="5"/>
  <c r="Y10" i="5"/>
  <c r="Y12" i="5"/>
  <c r="Y14" i="5"/>
  <c r="Y16" i="5"/>
  <c r="Y18" i="5"/>
  <c r="Y30" i="5"/>
  <c r="Y32" i="5"/>
  <c r="Y38" i="5"/>
  <c r="Y3" i="5"/>
  <c r="Y8" i="15"/>
  <c r="X141" i="5"/>
  <c r="Y93" i="5"/>
  <c r="Y84" i="5"/>
  <c r="Y60" i="5"/>
  <c r="Y55" i="5"/>
  <c r="Y88" i="5"/>
  <c r="Y78" i="5"/>
  <c r="Y82" i="5"/>
  <c r="Y52" i="5"/>
  <c r="Y135" i="5"/>
  <c r="Y101" i="5"/>
  <c r="Y102" i="5"/>
  <c r="Y70" i="5"/>
  <c r="Y67" i="5"/>
  <c r="Y19" i="5"/>
  <c r="Y79" i="5"/>
  <c r="Y83" i="5"/>
  <c r="Y99" i="5"/>
  <c r="Y64" i="5"/>
  <c r="Y22" i="5"/>
  <c r="Y48" i="5"/>
  <c r="Y118" i="5"/>
  <c r="Y120" i="5"/>
  <c r="Y95" i="5"/>
  <c r="Y63" i="5"/>
  <c r="Y76" i="5"/>
  <c r="Y80" i="5"/>
  <c r="Y61" i="5"/>
  <c r="Y136" i="5"/>
  <c r="Y43" i="5"/>
  <c r="Y44" i="5"/>
  <c r="Y41" i="5"/>
  <c r="Y97" i="5"/>
  <c r="Y86" i="5"/>
  <c r="Y139" i="5"/>
  <c r="Y92" i="5"/>
  <c r="K33" i="16"/>
  <c r="Q23" i="16"/>
  <c r="Q29" i="16"/>
  <c r="Q30" i="16"/>
  <c r="C54" i="3" l="1"/>
  <c r="R7" i="16"/>
  <c r="R23" i="16"/>
  <c r="R30" i="16"/>
  <c r="R56" i="16"/>
  <c r="R32" i="16"/>
  <c r="R40" i="16"/>
  <c r="R6" i="16"/>
  <c r="R20" i="16"/>
  <c r="R10" i="16"/>
  <c r="R27" i="16"/>
  <c r="R16" i="16"/>
  <c r="R24" i="16"/>
  <c r="R26" i="16"/>
  <c r="R31" i="16"/>
  <c r="R33" i="16"/>
  <c r="R49" i="16"/>
  <c r="R51" i="16"/>
  <c r="R11" i="16"/>
  <c r="R13" i="16"/>
  <c r="R15" i="16"/>
  <c r="R17" i="16"/>
  <c r="R19" i="16"/>
  <c r="R22" i="16"/>
  <c r="R44" i="16"/>
  <c r="R54" i="16"/>
  <c r="R4" i="16"/>
  <c r="R8" i="16"/>
  <c r="R29" i="16"/>
  <c r="R46" i="16"/>
  <c r="R53" i="16"/>
  <c r="R59" i="16"/>
  <c r="C358" i="16"/>
  <c r="X4" i="16"/>
  <c r="X7" i="16" s="1"/>
  <c r="R12" i="16"/>
  <c r="R14" i="16"/>
  <c r="R25" i="16"/>
  <c r="R35" i="16"/>
  <c r="R39" i="16"/>
  <c r="R50" i="16"/>
  <c r="W7" i="16"/>
  <c r="Y147" i="5"/>
  <c r="X6" i="15"/>
  <c r="Y6" i="15" s="1"/>
  <c r="X5" i="15"/>
  <c r="Y5" i="15" s="1"/>
  <c r="X4" i="15"/>
  <c r="W4" i="15"/>
  <c r="Y4" i="15" s="1"/>
  <c r="R16" i="15"/>
  <c r="R21" i="15"/>
  <c r="R28" i="15"/>
  <c r="S28" i="15" s="1"/>
  <c r="E323" i="15"/>
  <c r="E322" i="15"/>
  <c r="Q59" i="15"/>
  <c r="Q58" i="15"/>
  <c r="Q57" i="15"/>
  <c r="S57" i="15" s="1"/>
  <c r="Q56" i="15"/>
  <c r="Q55" i="15"/>
  <c r="Q54" i="15"/>
  <c r="Q53" i="15"/>
  <c r="Q52" i="15"/>
  <c r="Q51" i="15"/>
  <c r="Q50" i="15"/>
  <c r="Q49" i="15"/>
  <c r="Q46" i="15"/>
  <c r="Q44" i="15"/>
  <c r="Q42" i="15"/>
  <c r="Q41" i="15"/>
  <c r="Q40" i="15"/>
  <c r="Q39" i="15"/>
  <c r="Q38" i="15"/>
  <c r="Q37" i="15"/>
  <c r="Q35" i="15"/>
  <c r="Q34" i="15"/>
  <c r="Q33" i="15"/>
  <c r="Q32" i="15"/>
  <c r="Q31" i="15"/>
  <c r="Q30" i="15"/>
  <c r="Q29" i="15"/>
  <c r="Q27" i="15"/>
  <c r="Q26" i="15"/>
  <c r="Q25" i="15"/>
  <c r="Q24" i="15"/>
  <c r="Q23" i="15"/>
  <c r="S23" i="15" s="1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8" i="15"/>
  <c r="Q7" i="15"/>
  <c r="Q6" i="15"/>
  <c r="Q5" i="15"/>
  <c r="Q4" i="15"/>
  <c r="C47" i="3"/>
  <c r="X134" i="5"/>
  <c r="X132" i="5"/>
  <c r="X131" i="5"/>
  <c r="X130" i="5"/>
  <c r="X121" i="5"/>
  <c r="X118" i="5"/>
  <c r="X102" i="5"/>
  <c r="X101" i="5"/>
  <c r="X97" i="5"/>
  <c r="X93" i="5"/>
  <c r="X88" i="5"/>
  <c r="X87" i="5"/>
  <c r="X83" i="5"/>
  <c r="X81" i="5"/>
  <c r="X80" i="5"/>
  <c r="X79" i="5"/>
  <c r="X76" i="5"/>
  <c r="X74" i="5"/>
  <c r="X70" i="5"/>
  <c r="X68" i="5"/>
  <c r="X67" i="5"/>
  <c r="X65" i="5"/>
  <c r="X64" i="5"/>
  <c r="X63" i="5"/>
  <c r="X62" i="5"/>
  <c r="X60" i="5"/>
  <c r="X59" i="5"/>
  <c r="X55" i="5"/>
  <c r="X53" i="5"/>
  <c r="X52" i="5"/>
  <c r="X48" i="5"/>
  <c r="X45" i="5"/>
  <c r="X44" i="5"/>
  <c r="X43" i="5"/>
  <c r="X39" i="5"/>
  <c r="X35" i="5"/>
  <c r="X32" i="5"/>
  <c r="X28" i="5"/>
  <c r="X22" i="5"/>
  <c r="X14" i="5"/>
  <c r="X13" i="5"/>
  <c r="X12" i="5"/>
  <c r="X9" i="5"/>
  <c r="X7" i="5"/>
  <c r="X4" i="5"/>
  <c r="X3" i="5"/>
  <c r="R60" i="16" l="1"/>
  <c r="Q60" i="16"/>
  <c r="X7" i="15"/>
  <c r="Y7" i="15"/>
  <c r="R4" i="15"/>
  <c r="R13" i="15"/>
  <c r="S13" i="15" s="1"/>
  <c r="R22" i="15"/>
  <c r="S22" i="15" s="1"/>
  <c r="R27" i="15"/>
  <c r="S27" i="15" s="1"/>
  <c r="R33" i="15"/>
  <c r="R37" i="15"/>
  <c r="S37" i="15" s="1"/>
  <c r="R41" i="15"/>
  <c r="S41" i="15" s="1"/>
  <c r="R45" i="15"/>
  <c r="S45" i="15" s="1"/>
  <c r="R49" i="15"/>
  <c r="R53" i="15"/>
  <c r="R58" i="15"/>
  <c r="S58" i="15" s="1"/>
  <c r="R5" i="15"/>
  <c r="S5" i="15" s="1"/>
  <c r="R10" i="15"/>
  <c r="R14" i="15"/>
  <c r="S14" i="15" s="1"/>
  <c r="R18" i="15"/>
  <c r="S18" i="15" s="1"/>
  <c r="R24" i="15"/>
  <c r="S24" i="15" s="1"/>
  <c r="R29" i="15"/>
  <c r="S29" i="15" s="1"/>
  <c r="R34" i="15"/>
  <c r="S34" i="15" s="1"/>
  <c r="R38" i="15"/>
  <c r="S38" i="15" s="1"/>
  <c r="R42" i="15"/>
  <c r="S42" i="15" s="1"/>
  <c r="R46" i="15"/>
  <c r="S46" i="15" s="1"/>
  <c r="R50" i="15"/>
  <c r="S50" i="15" s="1"/>
  <c r="R54" i="15"/>
  <c r="S54" i="15" s="1"/>
  <c r="R59" i="15"/>
  <c r="S59" i="15" s="1"/>
  <c r="R20" i="15"/>
  <c r="S9" i="15"/>
  <c r="R17" i="15"/>
  <c r="S17" i="15" s="1"/>
  <c r="R6" i="15"/>
  <c r="S6" i="15" s="1"/>
  <c r="R11" i="15"/>
  <c r="S11" i="15" s="1"/>
  <c r="R15" i="15"/>
  <c r="S15" i="15" s="1"/>
  <c r="R19" i="15"/>
  <c r="S19" i="15" s="1"/>
  <c r="R25" i="15"/>
  <c r="S25" i="15" s="1"/>
  <c r="R31" i="15"/>
  <c r="S31" i="15" s="1"/>
  <c r="R35" i="15"/>
  <c r="S35" i="15" s="1"/>
  <c r="R39" i="15"/>
  <c r="S39" i="15" s="1"/>
  <c r="R43" i="15"/>
  <c r="S43" i="15" s="1"/>
  <c r="S47" i="15"/>
  <c r="R51" i="15"/>
  <c r="S51" i="15" s="1"/>
  <c r="R55" i="15"/>
  <c r="S55" i="15" s="1"/>
  <c r="R8" i="15"/>
  <c r="S8" i="15" s="1"/>
  <c r="R12" i="15"/>
  <c r="S12" i="15" s="1"/>
  <c r="S16" i="15"/>
  <c r="S21" i="15"/>
  <c r="R26" i="15"/>
  <c r="S26" i="15" s="1"/>
  <c r="R32" i="15"/>
  <c r="S32" i="15" s="1"/>
  <c r="R36" i="15"/>
  <c r="S36" i="15" s="1"/>
  <c r="R40" i="15"/>
  <c r="R44" i="15"/>
  <c r="S44" i="15" s="1"/>
  <c r="S48" i="15"/>
  <c r="R52" i="15"/>
  <c r="S52" i="15" s="1"/>
  <c r="R56" i="15"/>
  <c r="S56" i="15" s="1"/>
  <c r="S10" i="15"/>
  <c r="S20" i="15"/>
  <c r="S49" i="15"/>
  <c r="S30" i="15"/>
  <c r="S33" i="15"/>
  <c r="S53" i="15"/>
  <c r="S40" i="15"/>
  <c r="S7" i="15"/>
  <c r="S4" i="15"/>
  <c r="X147" i="5"/>
  <c r="C30" i="3"/>
  <c r="S46" i="14"/>
  <c r="W6" i="14"/>
  <c r="X6" i="14" s="1"/>
  <c r="W5" i="14"/>
  <c r="X5" i="14" s="1"/>
  <c r="W4" i="14"/>
  <c r="X4" i="14" s="1"/>
  <c r="X7" i="14" s="1"/>
  <c r="V4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60" i="15" l="1"/>
  <c r="S60" i="15"/>
  <c r="W7" i="14"/>
  <c r="K32" i="15"/>
  <c r="C48" i="3" l="1"/>
  <c r="Q36" i="14"/>
  <c r="Q59" i="14"/>
  <c r="Q58" i="14"/>
  <c r="Q57" i="14"/>
  <c r="Q56" i="14"/>
  <c r="Q55" i="14"/>
  <c r="Q54" i="14"/>
  <c r="Q53" i="14"/>
  <c r="Q52" i="14"/>
  <c r="Q51" i="14"/>
  <c r="Q50" i="14"/>
  <c r="Q49" i="14"/>
  <c r="Q45" i="14"/>
  <c r="Q44" i="14"/>
  <c r="Q43" i="14"/>
  <c r="Q42" i="14"/>
  <c r="Q41" i="14"/>
  <c r="Q40" i="14"/>
  <c r="Q39" i="14"/>
  <c r="Q38" i="14"/>
  <c r="Q37" i="14"/>
  <c r="Q35" i="14"/>
  <c r="Q34" i="14"/>
  <c r="Q33" i="14"/>
  <c r="Q32" i="14"/>
  <c r="Q31" i="14"/>
  <c r="Q27" i="14"/>
  <c r="Q26" i="14"/>
  <c r="Q25" i="14"/>
  <c r="Q24" i="14"/>
  <c r="Q22" i="14"/>
  <c r="Q21" i="14"/>
  <c r="Q20" i="14"/>
  <c r="Q19" i="14"/>
  <c r="Q18" i="14"/>
  <c r="Q17" i="14"/>
  <c r="Q15" i="14"/>
  <c r="Q14" i="14"/>
  <c r="Q13" i="14"/>
  <c r="Q12" i="14"/>
  <c r="Q11" i="14"/>
  <c r="Q10" i="14"/>
  <c r="Q8" i="14"/>
  <c r="Q6" i="14"/>
  <c r="Q5" i="14"/>
  <c r="Q4" i="14"/>
  <c r="P59" i="14"/>
  <c r="P58" i="14"/>
  <c r="P57" i="14"/>
  <c r="P56" i="14"/>
  <c r="P55" i="14"/>
  <c r="P54" i="14"/>
  <c r="P53" i="14"/>
  <c r="P52" i="14"/>
  <c r="P51" i="14"/>
  <c r="P50" i="14"/>
  <c r="P49" i="14"/>
  <c r="P46" i="14"/>
  <c r="P44" i="14"/>
  <c r="P42" i="14"/>
  <c r="P41" i="14"/>
  <c r="P40" i="14"/>
  <c r="P39" i="14"/>
  <c r="P38" i="14"/>
  <c r="P37" i="14"/>
  <c r="P35" i="14"/>
  <c r="P34" i="14"/>
  <c r="P33" i="14"/>
  <c r="P32" i="14"/>
  <c r="P31" i="14"/>
  <c r="P30" i="14"/>
  <c r="P29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8" i="14"/>
  <c r="P7" i="14"/>
  <c r="P6" i="14"/>
  <c r="P5" i="14"/>
  <c r="P4" i="14"/>
  <c r="R4" i="14" s="1"/>
  <c r="E337" i="14"/>
  <c r="C336" i="14"/>
  <c r="E336" i="14" s="1"/>
  <c r="C335" i="14"/>
  <c r="E335" i="14" s="1"/>
  <c r="E334" i="14"/>
  <c r="E333" i="14"/>
  <c r="C333" i="14"/>
  <c r="D40" i="3"/>
  <c r="Q60" i="14" l="1"/>
  <c r="P4" i="11"/>
  <c r="P5" i="11"/>
  <c r="P6" i="11"/>
  <c r="P7" i="11"/>
  <c r="P8" i="11"/>
  <c r="P10" i="11"/>
  <c r="P11" i="11"/>
  <c r="R11" i="11" s="1"/>
  <c r="P12" i="11"/>
  <c r="P13" i="11"/>
  <c r="P14" i="11"/>
  <c r="P15" i="11"/>
  <c r="R15" i="11" s="1"/>
  <c r="P16" i="11"/>
  <c r="P17" i="11"/>
  <c r="P18" i="11"/>
  <c r="P19" i="11"/>
  <c r="P20" i="11"/>
  <c r="P21" i="11"/>
  <c r="P22" i="11"/>
  <c r="P23" i="11"/>
  <c r="P24" i="11"/>
  <c r="P25" i="11"/>
  <c r="P26" i="11"/>
  <c r="P27" i="11"/>
  <c r="P29" i="11"/>
  <c r="P30" i="11"/>
  <c r="P31" i="11"/>
  <c r="P32" i="11"/>
  <c r="P33" i="11"/>
  <c r="P34" i="11"/>
  <c r="P35" i="11"/>
  <c r="R35" i="11" s="1"/>
  <c r="P36" i="11"/>
  <c r="P37" i="11"/>
  <c r="P38" i="11"/>
  <c r="P39" i="11"/>
  <c r="P40" i="11"/>
  <c r="P41" i="11"/>
  <c r="P43" i="11"/>
  <c r="P45" i="11"/>
  <c r="P48" i="11"/>
  <c r="P49" i="11"/>
  <c r="P50" i="11"/>
  <c r="P51" i="11"/>
  <c r="P52" i="11"/>
  <c r="P53" i="11"/>
  <c r="P54" i="11"/>
  <c r="P55" i="11"/>
  <c r="P56" i="11"/>
  <c r="P57" i="11"/>
  <c r="P58" i="11"/>
  <c r="AC111" i="5"/>
  <c r="AC144" i="5"/>
  <c r="AD144" i="5" s="1"/>
  <c r="AC143" i="5"/>
  <c r="AD143" i="5" s="1"/>
  <c r="AC142" i="5"/>
  <c r="AD142" i="5" s="1"/>
  <c r="AC141" i="5"/>
  <c r="AD141" i="5" s="1"/>
  <c r="AC140" i="5"/>
  <c r="AD140" i="5" s="1"/>
  <c r="AC139" i="5"/>
  <c r="AD139" i="5" s="1"/>
  <c r="W147" i="5"/>
  <c r="AD11" i="13"/>
  <c r="AC11" i="13"/>
  <c r="X28" i="12"/>
  <c r="E351" i="13"/>
  <c r="D351" i="13"/>
  <c r="E352" i="13" s="1"/>
  <c r="E346" i="13"/>
  <c r="C346" i="13"/>
  <c r="E345" i="13"/>
  <c r="E344" i="13"/>
  <c r="E343" i="13"/>
  <c r="E342" i="13"/>
  <c r="E341" i="13"/>
  <c r="C341" i="13"/>
  <c r="E340" i="13"/>
  <c r="Q59" i="13"/>
  <c r="P59" i="13"/>
  <c r="R59" i="13" s="1"/>
  <c r="Q58" i="13"/>
  <c r="P58" i="13"/>
  <c r="R58" i="13" s="1"/>
  <c r="Q57" i="13"/>
  <c r="P57" i="13"/>
  <c r="R57" i="13" s="1"/>
  <c r="Q56" i="13"/>
  <c r="P56" i="13"/>
  <c r="R56" i="13" s="1"/>
  <c r="P55" i="13"/>
  <c r="R55" i="13" s="1"/>
  <c r="P54" i="13"/>
  <c r="R54" i="13" s="1"/>
  <c r="Q53" i="13"/>
  <c r="P53" i="13"/>
  <c r="Q52" i="13"/>
  <c r="P52" i="13"/>
  <c r="R52" i="13" s="1"/>
  <c r="Q51" i="13"/>
  <c r="P51" i="13"/>
  <c r="R51" i="13" s="1"/>
  <c r="Q50" i="13"/>
  <c r="P50" i="13"/>
  <c r="R50" i="13" s="1"/>
  <c r="Q49" i="13"/>
  <c r="P49" i="13"/>
  <c r="Q48" i="13"/>
  <c r="P48" i="13"/>
  <c r="R48" i="13" s="1"/>
  <c r="R47" i="13"/>
  <c r="R46" i="13"/>
  <c r="P45" i="13"/>
  <c r="R45" i="13" s="1"/>
  <c r="Q44" i="13"/>
  <c r="R44" i="13" s="1"/>
  <c r="Q43" i="13"/>
  <c r="P43" i="13"/>
  <c r="Q42" i="13"/>
  <c r="R42" i="13" s="1"/>
  <c r="Q41" i="13"/>
  <c r="P41" i="13"/>
  <c r="R41" i="13" s="1"/>
  <c r="Q40" i="13"/>
  <c r="P40" i="13"/>
  <c r="Q39" i="13"/>
  <c r="P39" i="13"/>
  <c r="R39" i="13" s="1"/>
  <c r="Q38" i="13"/>
  <c r="P38" i="13"/>
  <c r="R38" i="13" s="1"/>
  <c r="Q37" i="13"/>
  <c r="P37" i="13"/>
  <c r="R37" i="13" s="1"/>
  <c r="Q36" i="13"/>
  <c r="P36" i="13"/>
  <c r="R36" i="13" s="1"/>
  <c r="Q35" i="13"/>
  <c r="P35" i="13"/>
  <c r="R35" i="13" s="1"/>
  <c r="Q34" i="13"/>
  <c r="P34" i="13"/>
  <c r="Q33" i="13"/>
  <c r="P33" i="13"/>
  <c r="R33" i="13" s="1"/>
  <c r="Q32" i="13"/>
  <c r="P32" i="13"/>
  <c r="R32" i="13" s="1"/>
  <c r="Q31" i="13"/>
  <c r="P31" i="13"/>
  <c r="R31" i="13" s="1"/>
  <c r="M31" i="13"/>
  <c r="P30" i="13"/>
  <c r="P29" i="13"/>
  <c r="Q27" i="13"/>
  <c r="P27" i="13"/>
  <c r="R27" i="13" s="1"/>
  <c r="Q26" i="13"/>
  <c r="P26" i="13"/>
  <c r="R26" i="13" s="1"/>
  <c r="Q25" i="13"/>
  <c r="P25" i="13"/>
  <c r="R25" i="13" s="1"/>
  <c r="Q24" i="13"/>
  <c r="P24" i="13"/>
  <c r="M24" i="13"/>
  <c r="P23" i="13"/>
  <c r="Q22" i="13"/>
  <c r="P22" i="13"/>
  <c r="R22" i="13" s="1"/>
  <c r="Q21" i="13"/>
  <c r="P21" i="13"/>
  <c r="R21" i="13" s="1"/>
  <c r="Q20" i="13"/>
  <c r="P20" i="13"/>
  <c r="R20" i="13" s="1"/>
  <c r="Q19" i="13"/>
  <c r="P19" i="13"/>
  <c r="Q18" i="13"/>
  <c r="P18" i="13"/>
  <c r="R18" i="13" s="1"/>
  <c r="Q17" i="13"/>
  <c r="P17" i="13"/>
  <c r="R17" i="13" s="1"/>
  <c r="P16" i="13"/>
  <c r="R16" i="13" s="1"/>
  <c r="Q15" i="13"/>
  <c r="P15" i="13"/>
  <c r="Q14" i="13"/>
  <c r="P14" i="13"/>
  <c r="R14" i="13" s="1"/>
  <c r="Q13" i="13"/>
  <c r="P13" i="13"/>
  <c r="R13" i="13" s="1"/>
  <c r="Q12" i="13"/>
  <c r="P12" i="13"/>
  <c r="R12" i="13" s="1"/>
  <c r="Q11" i="13"/>
  <c r="P11" i="13"/>
  <c r="Q10" i="13"/>
  <c r="P10" i="13"/>
  <c r="R10" i="13" s="1"/>
  <c r="R9" i="13"/>
  <c r="M9" i="13"/>
  <c r="Q8" i="13"/>
  <c r="P8" i="13"/>
  <c r="P7" i="13"/>
  <c r="W6" i="13"/>
  <c r="W7" i="13" s="1"/>
  <c r="Q6" i="13"/>
  <c r="P6" i="13"/>
  <c r="R6" i="13" s="1"/>
  <c r="X5" i="13"/>
  <c r="W5" i="13"/>
  <c r="Q5" i="13"/>
  <c r="P5" i="13"/>
  <c r="R5" i="13" s="1"/>
  <c r="M5" i="13"/>
  <c r="AF4" i="13"/>
  <c r="AC4" i="13"/>
  <c r="W4" i="13"/>
  <c r="V4" i="13"/>
  <c r="X4" i="13" s="1"/>
  <c r="Q4" i="13"/>
  <c r="P4" i="13"/>
  <c r="E4" i="13"/>
  <c r="E3" i="13"/>
  <c r="C395" i="12"/>
  <c r="E384" i="12"/>
  <c r="E383" i="12"/>
  <c r="E382" i="12"/>
  <c r="E381" i="12"/>
  <c r="E395" i="12" s="1"/>
  <c r="W58" i="12"/>
  <c r="V57" i="12"/>
  <c r="X57" i="12" s="1"/>
  <c r="Q57" i="12"/>
  <c r="P57" i="12"/>
  <c r="R57" i="12" s="1"/>
  <c r="V56" i="12"/>
  <c r="X56" i="12" s="1"/>
  <c r="Q56" i="12"/>
  <c r="P56" i="12"/>
  <c r="R56" i="12" s="1"/>
  <c r="V55" i="12"/>
  <c r="X55" i="12" s="1"/>
  <c r="Q55" i="12"/>
  <c r="P55" i="12"/>
  <c r="V54" i="12"/>
  <c r="X54" i="12" s="1"/>
  <c r="Q54" i="12"/>
  <c r="P54" i="12"/>
  <c r="R54" i="12" s="1"/>
  <c r="V53" i="12"/>
  <c r="X53" i="12" s="1"/>
  <c r="Q53" i="12"/>
  <c r="P53" i="12"/>
  <c r="R53" i="12" s="1"/>
  <c r="V52" i="12"/>
  <c r="X52" i="12" s="1"/>
  <c r="Q52" i="12"/>
  <c r="P52" i="12"/>
  <c r="R52" i="12" s="1"/>
  <c r="V51" i="12"/>
  <c r="X51" i="12" s="1"/>
  <c r="Q51" i="12"/>
  <c r="P51" i="12"/>
  <c r="V50" i="12"/>
  <c r="X50" i="12" s="1"/>
  <c r="Q50" i="12"/>
  <c r="P50" i="12"/>
  <c r="R50" i="12" s="1"/>
  <c r="V49" i="12"/>
  <c r="X49" i="12" s="1"/>
  <c r="Q49" i="12"/>
  <c r="P49" i="12"/>
  <c r="R49" i="12" s="1"/>
  <c r="V48" i="12"/>
  <c r="X48" i="12" s="1"/>
  <c r="Q48" i="12"/>
  <c r="P48" i="12"/>
  <c r="R48" i="12" s="1"/>
  <c r="V47" i="12"/>
  <c r="Q47" i="12"/>
  <c r="R47" i="12" s="1"/>
  <c r="V46" i="12"/>
  <c r="X46" i="12" s="1"/>
  <c r="Q46" i="12"/>
  <c r="R46" i="12" s="1"/>
  <c r="V45" i="12"/>
  <c r="P45" i="12"/>
  <c r="R45" i="12" s="1"/>
  <c r="X44" i="12"/>
  <c r="R44" i="12"/>
  <c r="Q44" i="12"/>
  <c r="V43" i="12"/>
  <c r="X43" i="12" s="1"/>
  <c r="Q43" i="12"/>
  <c r="P43" i="12"/>
  <c r="R43" i="12" s="1"/>
  <c r="X42" i="12"/>
  <c r="R42" i="12"/>
  <c r="Q42" i="12"/>
  <c r="V41" i="12"/>
  <c r="X41" i="12" s="1"/>
  <c r="Q41" i="12"/>
  <c r="P41" i="12"/>
  <c r="R41" i="12" s="1"/>
  <c r="V40" i="12"/>
  <c r="X40" i="12" s="1"/>
  <c r="Q40" i="12"/>
  <c r="P40" i="12"/>
  <c r="R40" i="12" s="1"/>
  <c r="V39" i="12"/>
  <c r="X39" i="12" s="1"/>
  <c r="Q39" i="12"/>
  <c r="P39" i="12"/>
  <c r="R39" i="12" s="1"/>
  <c r="V38" i="12"/>
  <c r="X38" i="12" s="1"/>
  <c r="Q38" i="12"/>
  <c r="P38" i="12"/>
  <c r="V37" i="12"/>
  <c r="X37" i="12" s="1"/>
  <c r="Q37" i="12"/>
  <c r="P37" i="12"/>
  <c r="R37" i="12" s="1"/>
  <c r="V36" i="12"/>
  <c r="X36" i="12" s="1"/>
  <c r="Q36" i="12"/>
  <c r="P36" i="12"/>
  <c r="R36" i="12" s="1"/>
  <c r="V35" i="12"/>
  <c r="X35" i="12" s="1"/>
  <c r="Q35" i="12"/>
  <c r="P35" i="12"/>
  <c r="V34" i="12"/>
  <c r="X34" i="12" s="1"/>
  <c r="Q34" i="12"/>
  <c r="P34" i="12"/>
  <c r="R34" i="12" s="1"/>
  <c r="V33" i="12"/>
  <c r="X33" i="12" s="1"/>
  <c r="Q33" i="12"/>
  <c r="P33" i="12"/>
  <c r="R33" i="12" s="1"/>
  <c r="V32" i="12"/>
  <c r="X32" i="12" s="1"/>
  <c r="Q32" i="12"/>
  <c r="P32" i="12"/>
  <c r="R32" i="12" s="1"/>
  <c r="V31" i="12"/>
  <c r="X31" i="12" s="1"/>
  <c r="Q31" i="12"/>
  <c r="P31" i="12"/>
  <c r="V30" i="12"/>
  <c r="X30" i="12" s="1"/>
  <c r="P30" i="12"/>
  <c r="R30" i="12" s="1"/>
  <c r="V29" i="12"/>
  <c r="X29" i="12" s="1"/>
  <c r="P29" i="12"/>
  <c r="R29" i="12" s="1"/>
  <c r="W28" i="12"/>
  <c r="P28" i="12"/>
  <c r="R28" i="12" s="1"/>
  <c r="V27" i="12"/>
  <c r="X27" i="12" s="1"/>
  <c r="Q27" i="12"/>
  <c r="P27" i="12"/>
  <c r="R27" i="12" s="1"/>
  <c r="V26" i="12"/>
  <c r="X26" i="12" s="1"/>
  <c r="Q26" i="12"/>
  <c r="P26" i="12"/>
  <c r="R26" i="12" s="1"/>
  <c r="V25" i="12"/>
  <c r="X25" i="12" s="1"/>
  <c r="Q25" i="12"/>
  <c r="P25" i="12"/>
  <c r="R25" i="12" s="1"/>
  <c r="V24" i="12"/>
  <c r="X24" i="12" s="1"/>
  <c r="Q24" i="12"/>
  <c r="P24" i="12"/>
  <c r="V23" i="12"/>
  <c r="X23" i="12" s="1"/>
  <c r="P23" i="12"/>
  <c r="R23" i="12" s="1"/>
  <c r="V22" i="12"/>
  <c r="X22" i="12" s="1"/>
  <c r="Q22" i="12"/>
  <c r="P22" i="12"/>
  <c r="R22" i="12" s="1"/>
  <c r="V21" i="12"/>
  <c r="X21" i="12" s="1"/>
  <c r="P21" i="12"/>
  <c r="R21" i="12" s="1"/>
  <c r="V20" i="12"/>
  <c r="X20" i="12" s="1"/>
  <c r="Q20" i="12"/>
  <c r="P20" i="12"/>
  <c r="R20" i="12" s="1"/>
  <c r="V19" i="12"/>
  <c r="X19" i="12" s="1"/>
  <c r="Q19" i="12"/>
  <c r="P19" i="12"/>
  <c r="R19" i="12" s="1"/>
  <c r="V18" i="12"/>
  <c r="X18" i="12" s="1"/>
  <c r="Q18" i="12"/>
  <c r="P18" i="12"/>
  <c r="R18" i="12" s="1"/>
  <c r="V17" i="12"/>
  <c r="X17" i="12" s="1"/>
  <c r="Q17" i="12"/>
  <c r="P17" i="12"/>
  <c r="R17" i="12" s="1"/>
  <c r="M17" i="12"/>
  <c r="P16" i="12"/>
  <c r="R16" i="12" s="1"/>
  <c r="V15" i="12"/>
  <c r="X15" i="12" s="1"/>
  <c r="Q15" i="12"/>
  <c r="P15" i="12"/>
  <c r="R15" i="12" s="1"/>
  <c r="V14" i="12"/>
  <c r="X14" i="12" s="1"/>
  <c r="Q14" i="12"/>
  <c r="P14" i="12"/>
  <c r="V13" i="12"/>
  <c r="X13" i="12" s="1"/>
  <c r="Q13" i="12"/>
  <c r="P13" i="12"/>
  <c r="R13" i="12" s="1"/>
  <c r="V12" i="12"/>
  <c r="X12" i="12" s="1"/>
  <c r="Q12" i="12"/>
  <c r="P12" i="12"/>
  <c r="R12" i="12" s="1"/>
  <c r="V11" i="12"/>
  <c r="X11" i="12" s="1"/>
  <c r="Q11" i="12"/>
  <c r="P11" i="12"/>
  <c r="R11" i="12" s="1"/>
  <c r="V10" i="12"/>
  <c r="X10" i="12" s="1"/>
  <c r="Q10" i="12"/>
  <c r="P10" i="12"/>
  <c r="R10" i="12" s="1"/>
  <c r="V9" i="12"/>
  <c r="S9" i="12"/>
  <c r="S10" i="12" s="1"/>
  <c r="R9" i="12"/>
  <c r="V8" i="12"/>
  <c r="X8" i="12" s="1"/>
  <c r="Q8" i="12"/>
  <c r="P8" i="12"/>
  <c r="R8" i="12" s="1"/>
  <c r="V7" i="12"/>
  <c r="X7" i="12" s="1"/>
  <c r="P7" i="12"/>
  <c r="R7" i="12" s="1"/>
  <c r="V6" i="12"/>
  <c r="X6" i="12" s="1"/>
  <c r="Q6" i="12"/>
  <c r="P6" i="12"/>
  <c r="R6" i="12" s="1"/>
  <c r="V5" i="12"/>
  <c r="X5" i="12" s="1"/>
  <c r="Q5" i="12"/>
  <c r="P5" i="12"/>
  <c r="R5" i="12" s="1"/>
  <c r="V4" i="12"/>
  <c r="X4" i="12" s="1"/>
  <c r="Q4" i="12"/>
  <c r="Q58" i="12" s="1"/>
  <c r="P4" i="12"/>
  <c r="V28" i="10"/>
  <c r="AF4" i="11"/>
  <c r="AC4" i="11"/>
  <c r="D351" i="11"/>
  <c r="E352" i="11" s="1"/>
  <c r="E351" i="11"/>
  <c r="M19" i="10"/>
  <c r="M17" i="10"/>
  <c r="W6" i="11"/>
  <c r="X6" i="11" s="1"/>
  <c r="V4" i="11"/>
  <c r="R9" i="11"/>
  <c r="W5" i="11"/>
  <c r="X5" i="11" s="1"/>
  <c r="W4" i="11"/>
  <c r="Q49" i="11"/>
  <c r="Q50" i="11"/>
  <c r="Q51" i="11"/>
  <c r="Q52" i="11"/>
  <c r="Q55" i="11"/>
  <c r="Q56" i="11"/>
  <c r="Q57" i="11"/>
  <c r="Q58" i="11"/>
  <c r="Q5" i="11"/>
  <c r="Q6" i="11"/>
  <c r="Q8" i="11"/>
  <c r="Q10" i="11"/>
  <c r="Q11" i="11"/>
  <c r="Q12" i="11"/>
  <c r="Q13" i="11"/>
  <c r="Q14" i="11"/>
  <c r="Q15" i="11"/>
  <c r="Q18" i="11"/>
  <c r="Q19" i="11"/>
  <c r="Q20" i="11"/>
  <c r="Q21" i="11"/>
  <c r="Q22" i="11"/>
  <c r="Q24" i="11"/>
  <c r="Q25" i="11"/>
  <c r="Q26" i="11"/>
  <c r="Q27" i="11"/>
  <c r="Q31" i="11"/>
  <c r="Q32" i="11"/>
  <c r="Q33" i="11"/>
  <c r="Q34" i="11"/>
  <c r="R34" i="11" s="1"/>
  <c r="Q35" i="11"/>
  <c r="Q36" i="11"/>
  <c r="Q37" i="11"/>
  <c r="Q38" i="11"/>
  <c r="Q39" i="11"/>
  <c r="R39" i="11" s="1"/>
  <c r="Q40" i="11"/>
  <c r="Q41" i="11"/>
  <c r="Q42" i="11"/>
  <c r="R42" i="11" s="1"/>
  <c r="Q43" i="11"/>
  <c r="R43" i="11" s="1"/>
  <c r="Q44" i="11"/>
  <c r="R44" i="11" s="1"/>
  <c r="Q48" i="11"/>
  <c r="Q4" i="11"/>
  <c r="M5" i="11"/>
  <c r="M24" i="11"/>
  <c r="M31" i="11"/>
  <c r="M9" i="11"/>
  <c r="R47" i="11"/>
  <c r="R46" i="11"/>
  <c r="E3" i="11"/>
  <c r="E345" i="11"/>
  <c r="E344" i="11"/>
  <c r="E343" i="11"/>
  <c r="E342" i="11"/>
  <c r="E340" i="11"/>
  <c r="C346" i="11"/>
  <c r="E346" i="11" s="1"/>
  <c r="C341" i="11"/>
  <c r="E341" i="11" s="1"/>
  <c r="E4" i="11"/>
  <c r="M18" i="12"/>
  <c r="M18" i="10"/>
  <c r="Q7" i="13"/>
  <c r="Q23" i="13"/>
  <c r="M18" i="13"/>
  <c r="Q29" i="13"/>
  <c r="Q30" i="13"/>
  <c r="Q29" i="11"/>
  <c r="M18" i="11"/>
  <c r="Q23" i="11"/>
  <c r="Q7" i="11"/>
  <c r="Q30" i="11"/>
  <c r="R19" i="11" l="1"/>
  <c r="R6" i="11"/>
  <c r="R60" i="14"/>
  <c r="R33" i="11"/>
  <c r="R41" i="11"/>
  <c r="R25" i="11"/>
  <c r="R38" i="11"/>
  <c r="R14" i="11"/>
  <c r="R18" i="11"/>
  <c r="R22" i="11"/>
  <c r="W7" i="11"/>
  <c r="R14" i="12"/>
  <c r="R8" i="13"/>
  <c r="R31" i="12"/>
  <c r="R35" i="12"/>
  <c r="R43" i="13"/>
  <c r="R49" i="13"/>
  <c r="R38" i="12"/>
  <c r="R51" i="12"/>
  <c r="R11" i="13"/>
  <c r="R40" i="13"/>
  <c r="R55" i="12"/>
  <c r="R24" i="13"/>
  <c r="R24" i="12"/>
  <c r="R15" i="13"/>
  <c r="R19" i="13"/>
  <c r="R34" i="13"/>
  <c r="R53" i="13"/>
  <c r="R23" i="13"/>
  <c r="R29" i="13"/>
  <c r="R7" i="13"/>
  <c r="R30" i="13"/>
  <c r="Q60" i="13"/>
  <c r="R4" i="13"/>
  <c r="X6" i="13"/>
  <c r="X7" i="13" s="1"/>
  <c r="M19" i="12"/>
  <c r="X58" i="12"/>
  <c r="R4" i="12"/>
  <c r="R56" i="11"/>
  <c r="R49" i="11"/>
  <c r="R48" i="11"/>
  <c r="R53" i="11"/>
  <c r="Q17" i="11"/>
  <c r="Q59" i="11" s="1"/>
  <c r="R12" i="11"/>
  <c r="R37" i="11"/>
  <c r="R57" i="11"/>
  <c r="R52" i="11"/>
  <c r="R5" i="11"/>
  <c r="R20" i="11"/>
  <c r="R26" i="11"/>
  <c r="R31" i="11"/>
  <c r="R58" i="11"/>
  <c r="R55" i="11"/>
  <c r="R21" i="11"/>
  <c r="R16" i="11"/>
  <c r="R50" i="11"/>
  <c r="R10" i="11"/>
  <c r="R27" i="11"/>
  <c r="R13" i="11"/>
  <c r="R24" i="11"/>
  <c r="R54" i="11"/>
  <c r="R51" i="11"/>
  <c r="X4" i="11"/>
  <c r="X7" i="11" s="1"/>
  <c r="R45" i="11"/>
  <c r="R29" i="11"/>
  <c r="R23" i="11"/>
  <c r="R7" i="11"/>
  <c r="R30" i="11"/>
  <c r="R40" i="11"/>
  <c r="R8" i="11"/>
  <c r="R32" i="11"/>
  <c r="R36" i="11"/>
  <c r="R4" i="11"/>
  <c r="G56" i="14"/>
  <c r="C42" i="3" l="1"/>
  <c r="R60" i="13"/>
  <c r="K38" i="13" s="1"/>
  <c r="R58" i="12"/>
  <c r="R17" i="11"/>
  <c r="R59" i="11" s="1"/>
  <c r="K38" i="11" s="1"/>
  <c r="K43" i="13"/>
  <c r="K36" i="12"/>
  <c r="K39" i="13"/>
  <c r="K39" i="11"/>
  <c r="C29" i="3" l="1"/>
  <c r="D32" i="3"/>
  <c r="D31" i="3"/>
  <c r="AC138" i="5"/>
  <c r="AD138" i="5" s="1"/>
  <c r="AC137" i="5"/>
  <c r="AD137" i="5" s="1"/>
  <c r="AC136" i="5"/>
  <c r="AD136" i="5" s="1"/>
  <c r="AC135" i="5"/>
  <c r="AD135" i="5" s="1"/>
  <c r="R42" i="10" l="1"/>
  <c r="R44" i="10"/>
  <c r="P4" i="10"/>
  <c r="R4" i="10" s="1"/>
  <c r="P5" i="10"/>
  <c r="R5" i="10" s="1"/>
  <c r="P6" i="10"/>
  <c r="R6" i="10" s="1"/>
  <c r="P7" i="10"/>
  <c r="R7" i="10" s="1"/>
  <c r="P8" i="10"/>
  <c r="R8" i="10" s="1"/>
  <c r="R9" i="10"/>
  <c r="P10" i="10"/>
  <c r="R10" i="10" s="1"/>
  <c r="P11" i="10"/>
  <c r="R11" i="10" s="1"/>
  <c r="P12" i="10"/>
  <c r="R12" i="10" s="1"/>
  <c r="P13" i="10"/>
  <c r="R13" i="10" s="1"/>
  <c r="P14" i="10"/>
  <c r="R14" i="10" s="1"/>
  <c r="P15" i="10"/>
  <c r="R15" i="10" s="1"/>
  <c r="P16" i="10"/>
  <c r="R16" i="10" s="1"/>
  <c r="P17" i="10"/>
  <c r="R17" i="10" s="1"/>
  <c r="P18" i="10"/>
  <c r="R18" i="10" s="1"/>
  <c r="P19" i="10"/>
  <c r="R19" i="10" s="1"/>
  <c r="P20" i="10"/>
  <c r="R20" i="10" s="1"/>
  <c r="P21" i="10"/>
  <c r="R21" i="10" s="1"/>
  <c r="P22" i="10"/>
  <c r="R22" i="10" s="1"/>
  <c r="P23" i="10"/>
  <c r="R23" i="10" s="1"/>
  <c r="P24" i="10"/>
  <c r="R24" i="10" s="1"/>
  <c r="P25" i="10"/>
  <c r="R25" i="10" s="1"/>
  <c r="P26" i="10"/>
  <c r="R26" i="10" s="1"/>
  <c r="P27" i="10"/>
  <c r="R27" i="10" s="1"/>
  <c r="P28" i="10"/>
  <c r="R28" i="10" s="1"/>
  <c r="P29" i="10"/>
  <c r="R29" i="10" s="1"/>
  <c r="P30" i="10"/>
  <c r="R30" i="10" s="1"/>
  <c r="P31" i="10"/>
  <c r="R31" i="10" s="1"/>
  <c r="P32" i="10"/>
  <c r="R32" i="10" s="1"/>
  <c r="P33" i="10"/>
  <c r="R33" i="10" s="1"/>
  <c r="P34" i="10"/>
  <c r="R34" i="10" s="1"/>
  <c r="P35" i="10"/>
  <c r="R35" i="10" s="1"/>
  <c r="P36" i="10"/>
  <c r="R36" i="10" s="1"/>
  <c r="P37" i="10"/>
  <c r="R37" i="10" s="1"/>
  <c r="P38" i="10"/>
  <c r="R38" i="10" s="1"/>
  <c r="P39" i="10"/>
  <c r="R39" i="10" s="1"/>
  <c r="P40" i="10"/>
  <c r="R40" i="10" s="1"/>
  <c r="P41" i="10"/>
  <c r="R41" i="10" s="1"/>
  <c r="P43" i="10"/>
  <c r="R43" i="10" s="1"/>
  <c r="P45" i="10"/>
  <c r="R45" i="10" s="1"/>
  <c r="R46" i="10"/>
  <c r="R47" i="10"/>
  <c r="P48" i="10"/>
  <c r="R48" i="10" s="1"/>
  <c r="P49" i="10"/>
  <c r="R49" i="10" s="1"/>
  <c r="P50" i="10"/>
  <c r="R50" i="10" s="1"/>
  <c r="P51" i="10"/>
  <c r="R51" i="10" s="1"/>
  <c r="P52" i="10"/>
  <c r="R52" i="10" s="1"/>
  <c r="P53" i="10"/>
  <c r="R53" i="10" s="1"/>
  <c r="P54" i="10"/>
  <c r="R54" i="10" s="1"/>
  <c r="P55" i="10"/>
  <c r="R55" i="10" s="1"/>
  <c r="P56" i="10"/>
  <c r="R56" i="10" s="1"/>
  <c r="P57" i="10"/>
  <c r="R57" i="10" s="1"/>
  <c r="E384" i="10"/>
  <c r="E383" i="10"/>
  <c r="E382" i="10"/>
  <c r="E381" i="10"/>
  <c r="S9" i="10"/>
  <c r="S10" i="10" s="1"/>
  <c r="W28" i="10"/>
  <c r="W58" i="10" s="1"/>
  <c r="C20" i="3"/>
  <c r="V57" i="10"/>
  <c r="X57" i="10" s="1"/>
  <c r="V56" i="10"/>
  <c r="X56" i="10" s="1"/>
  <c r="V55" i="10"/>
  <c r="X55" i="10" s="1"/>
  <c r="V54" i="10"/>
  <c r="X54" i="10" s="1"/>
  <c r="V53" i="10"/>
  <c r="X53" i="10" s="1"/>
  <c r="V52" i="10"/>
  <c r="X52" i="10" s="1"/>
  <c r="V51" i="10"/>
  <c r="X51" i="10" s="1"/>
  <c r="V50" i="10"/>
  <c r="X50" i="10" s="1"/>
  <c r="V49" i="10"/>
  <c r="X49" i="10" s="1"/>
  <c r="V48" i="10"/>
  <c r="X48" i="10" s="1"/>
  <c r="V47" i="10"/>
  <c r="V46" i="10"/>
  <c r="X46" i="10" s="1"/>
  <c r="V45" i="10"/>
  <c r="X44" i="10"/>
  <c r="V43" i="10"/>
  <c r="X43" i="10" s="1"/>
  <c r="X42" i="10"/>
  <c r="V41" i="10"/>
  <c r="X41" i="10" s="1"/>
  <c r="V40" i="10"/>
  <c r="X40" i="10" s="1"/>
  <c r="V39" i="10"/>
  <c r="X39" i="10" s="1"/>
  <c r="V38" i="10"/>
  <c r="X38" i="10" s="1"/>
  <c r="V37" i="10"/>
  <c r="X37" i="10" s="1"/>
  <c r="V36" i="10"/>
  <c r="X36" i="10" s="1"/>
  <c r="V35" i="10"/>
  <c r="X35" i="10" s="1"/>
  <c r="V34" i="10"/>
  <c r="X34" i="10" s="1"/>
  <c r="V33" i="10"/>
  <c r="X33" i="10" s="1"/>
  <c r="V32" i="10"/>
  <c r="X32" i="10" s="1"/>
  <c r="V31" i="10"/>
  <c r="X31" i="10" s="1"/>
  <c r="V30" i="10"/>
  <c r="X30" i="10" s="1"/>
  <c r="V29" i="10"/>
  <c r="X29" i="10" s="1"/>
  <c r="V27" i="10"/>
  <c r="X27" i="10" s="1"/>
  <c r="V26" i="10"/>
  <c r="X26" i="10" s="1"/>
  <c r="V25" i="10"/>
  <c r="X25" i="10" s="1"/>
  <c r="V24" i="10"/>
  <c r="X24" i="10" s="1"/>
  <c r="V23" i="10"/>
  <c r="X23" i="10" s="1"/>
  <c r="V22" i="10"/>
  <c r="X22" i="10" s="1"/>
  <c r="V21" i="10"/>
  <c r="X21" i="10" s="1"/>
  <c r="V20" i="10"/>
  <c r="X20" i="10" s="1"/>
  <c r="V19" i="10"/>
  <c r="X19" i="10" s="1"/>
  <c r="V18" i="10"/>
  <c r="X18" i="10" s="1"/>
  <c r="V17" i="10"/>
  <c r="X17" i="10" s="1"/>
  <c r="V15" i="10"/>
  <c r="X15" i="10" s="1"/>
  <c r="V14" i="10"/>
  <c r="X14" i="10" s="1"/>
  <c r="V13" i="10"/>
  <c r="X13" i="10" s="1"/>
  <c r="V12" i="10"/>
  <c r="X12" i="10" s="1"/>
  <c r="V11" i="10"/>
  <c r="X11" i="10" s="1"/>
  <c r="V10" i="10"/>
  <c r="X10" i="10" s="1"/>
  <c r="V9" i="10"/>
  <c r="V8" i="10"/>
  <c r="X8" i="10" s="1"/>
  <c r="V7" i="10"/>
  <c r="X7" i="10" s="1"/>
  <c r="V6" i="10"/>
  <c r="X6" i="10" s="1"/>
  <c r="V5" i="10"/>
  <c r="X5" i="10" s="1"/>
  <c r="V4" i="10"/>
  <c r="X4" i="10" s="1"/>
  <c r="Q47" i="10"/>
  <c r="Q57" i="10"/>
  <c r="Q56" i="10"/>
  <c r="Q55" i="10"/>
  <c r="Q54" i="10"/>
  <c r="Q53" i="10"/>
  <c r="Q52" i="10"/>
  <c r="Q51" i="10"/>
  <c r="Q50" i="10"/>
  <c r="Q49" i="10"/>
  <c r="Q48" i="10"/>
  <c r="Q46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27" i="10"/>
  <c r="Q26" i="10"/>
  <c r="Q25" i="10"/>
  <c r="Q24" i="10"/>
  <c r="Q22" i="10"/>
  <c r="Q20" i="10"/>
  <c r="Q19" i="10"/>
  <c r="Q18" i="10"/>
  <c r="Q17" i="10"/>
  <c r="Q15" i="10"/>
  <c r="Q14" i="10"/>
  <c r="Q13" i="10"/>
  <c r="Q12" i="10"/>
  <c r="Q11" i="10"/>
  <c r="Q10" i="10"/>
  <c r="Q8" i="10"/>
  <c r="Q6" i="10"/>
  <c r="Q5" i="10"/>
  <c r="Q4" i="10"/>
  <c r="C395" i="10"/>
  <c r="E395" i="10"/>
  <c r="X58" i="10" l="1"/>
  <c r="Q58" i="10"/>
  <c r="C11" i="3"/>
  <c r="E19" i="8"/>
  <c r="E18" i="8"/>
  <c r="E17" i="8"/>
  <c r="E16" i="8"/>
  <c r="E4" i="8"/>
  <c r="E5" i="8" s="1"/>
  <c r="E6" i="8" s="1"/>
  <c r="E7" i="8" s="1"/>
  <c r="E8" i="8" s="1"/>
  <c r="E9" i="8" s="1"/>
  <c r="E10" i="8" s="1"/>
  <c r="E11" i="8" s="1"/>
  <c r="E12" i="8" s="1"/>
  <c r="E13" i="8" s="1"/>
  <c r="E14" i="8" s="1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219" i="7"/>
  <c r="G220" i="7"/>
  <c r="G221" i="7"/>
  <c r="G222" i="7"/>
  <c r="G223" i="7"/>
  <c r="G224" i="7"/>
  <c r="G217" i="7"/>
  <c r="G218" i="7"/>
  <c r="S8" i="7"/>
  <c r="S11" i="7"/>
  <c r="T11" i="7" s="1"/>
  <c r="S12" i="7"/>
  <c r="S13" i="7"/>
  <c r="T13" i="7" s="1"/>
  <c r="S14" i="7"/>
  <c r="S15" i="7"/>
  <c r="T15" i="7" s="1"/>
  <c r="S17" i="7"/>
  <c r="T17" i="7" s="1"/>
  <c r="S18" i="7"/>
  <c r="T18" i="7" s="1"/>
  <c r="S19" i="7"/>
  <c r="T19" i="7" s="1"/>
  <c r="S22" i="7"/>
  <c r="S23" i="7"/>
  <c r="T23" i="7" s="1"/>
  <c r="S24" i="7"/>
  <c r="T24" i="7" s="1"/>
  <c r="S25" i="7"/>
  <c r="T25" i="7" s="1"/>
  <c r="S26" i="7"/>
  <c r="T26" i="7" s="1"/>
  <c r="S27" i="7"/>
  <c r="T27" i="7" s="1"/>
  <c r="S28" i="7"/>
  <c r="S29" i="7"/>
  <c r="T29" i="7" s="1"/>
  <c r="S31" i="7"/>
  <c r="S33" i="7"/>
  <c r="T33" i="7" s="1"/>
  <c r="S35" i="7"/>
  <c r="T35" i="7" s="1"/>
  <c r="S36" i="7"/>
  <c r="T36" i="7" s="1"/>
  <c r="S37" i="7"/>
  <c r="S38" i="7"/>
  <c r="T38" i="7" s="1"/>
  <c r="S39" i="7"/>
  <c r="T39" i="7" s="1"/>
  <c r="S40" i="7"/>
  <c r="T40" i="7" s="1"/>
  <c r="S41" i="7"/>
  <c r="S42" i="7"/>
  <c r="T42" i="7" s="1"/>
  <c r="S44" i="7"/>
  <c r="T44" i="7" s="1"/>
  <c r="S46" i="7"/>
  <c r="T46" i="7" s="1"/>
  <c r="S47" i="7"/>
  <c r="T47" i="7" s="1"/>
  <c r="S48" i="7"/>
  <c r="T48" i="7" s="1"/>
  <c r="S49" i="7"/>
  <c r="T49" i="7" s="1"/>
  <c r="S50" i="7"/>
  <c r="T50" i="7" s="1"/>
  <c r="S51" i="7"/>
  <c r="T51" i="7" s="1"/>
  <c r="S52" i="7"/>
  <c r="T52" i="7" s="1"/>
  <c r="S53" i="7"/>
  <c r="T53" i="7" s="1"/>
  <c r="S54" i="7"/>
  <c r="T54" i="7" s="1"/>
  <c r="S55" i="7"/>
  <c r="T55" i="7" s="1"/>
  <c r="S56" i="7"/>
  <c r="T56" i="7" s="1"/>
  <c r="S57" i="7"/>
  <c r="T57" i="7" s="1"/>
  <c r="R5" i="6"/>
  <c r="R6" i="6"/>
  <c r="R7" i="6"/>
  <c r="R8" i="6"/>
  <c r="R9" i="6"/>
  <c r="R10" i="6"/>
  <c r="T10" i="6" s="1"/>
  <c r="R11" i="6"/>
  <c r="R12" i="6"/>
  <c r="R13" i="6"/>
  <c r="R14" i="6"/>
  <c r="R15" i="6"/>
  <c r="R16" i="6"/>
  <c r="R17" i="6"/>
  <c r="R18" i="6"/>
  <c r="T18" i="6" s="1"/>
  <c r="R19" i="6"/>
  <c r="R20" i="6"/>
  <c r="R21" i="6"/>
  <c r="R22" i="6"/>
  <c r="R23" i="6"/>
  <c r="R24" i="6"/>
  <c r="R25" i="6"/>
  <c r="R26" i="6"/>
  <c r="R27" i="6"/>
  <c r="R28" i="6"/>
  <c r="R29" i="6"/>
  <c r="R30" i="6"/>
  <c r="T30" i="6" s="1"/>
  <c r="R31" i="6"/>
  <c r="R32" i="6"/>
  <c r="R33" i="6"/>
  <c r="R34" i="6"/>
  <c r="R35" i="6"/>
  <c r="R36" i="6"/>
  <c r="R37" i="6"/>
  <c r="R38" i="6"/>
  <c r="R39" i="6"/>
  <c r="R40" i="6"/>
  <c r="R41" i="6"/>
  <c r="R43" i="6"/>
  <c r="R45" i="6"/>
  <c r="R46" i="6"/>
  <c r="T46" i="6" s="1"/>
  <c r="R47" i="6"/>
  <c r="T47" i="6" s="1"/>
  <c r="R48" i="6"/>
  <c r="R49" i="6"/>
  <c r="R50" i="6"/>
  <c r="R51" i="6"/>
  <c r="R52" i="6"/>
  <c r="R53" i="6"/>
  <c r="R54" i="6"/>
  <c r="R55" i="6"/>
  <c r="R56" i="6"/>
  <c r="R57" i="6"/>
  <c r="R4" i="6"/>
  <c r="F370" i="7"/>
  <c r="F311" i="7"/>
  <c r="F310" i="7"/>
  <c r="F235" i="7"/>
  <c r="F234" i="7"/>
  <c r="F231" i="7"/>
  <c r="F230" i="7"/>
  <c r="F229" i="7"/>
  <c r="F221" i="7"/>
  <c r="F219" i="7"/>
  <c r="G216" i="7"/>
  <c r="G215" i="7"/>
  <c r="G214" i="7"/>
  <c r="G213" i="7"/>
  <c r="G212" i="7"/>
  <c r="F211" i="7"/>
  <c r="G211" i="7" s="1"/>
  <c r="G210" i="7"/>
  <c r="F209" i="7"/>
  <c r="G209" i="7" s="1"/>
  <c r="F208" i="7"/>
  <c r="G208" i="7" s="1"/>
  <c r="F207" i="7"/>
  <c r="G207" i="7" s="1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F54" i="7"/>
  <c r="G54" i="7" s="1"/>
  <c r="G53" i="7"/>
  <c r="G52" i="7"/>
  <c r="G51" i="7"/>
  <c r="G50" i="7"/>
  <c r="G49" i="7"/>
  <c r="G48" i="7"/>
  <c r="G47" i="7"/>
  <c r="G46" i="7"/>
  <c r="G45" i="7"/>
  <c r="G44" i="7"/>
  <c r="G43" i="7"/>
  <c r="G42" i="7"/>
  <c r="T41" i="7"/>
  <c r="G41" i="7"/>
  <c r="G40" i="7"/>
  <c r="G39" i="7"/>
  <c r="G38" i="7"/>
  <c r="T37" i="7"/>
  <c r="G37" i="7"/>
  <c r="G36" i="7"/>
  <c r="F35" i="7"/>
  <c r="G34" i="7"/>
  <c r="F33" i="7"/>
  <c r="G33" i="7" s="1"/>
  <c r="G32" i="7"/>
  <c r="T31" i="7"/>
  <c r="G31" i="7"/>
  <c r="T30" i="7"/>
  <c r="F30" i="7"/>
  <c r="G30" i="7" s="1"/>
  <c r="F29" i="7"/>
  <c r="G29" i="7" s="1"/>
  <c r="T28" i="7"/>
  <c r="G28" i="7"/>
  <c r="G27" i="7"/>
  <c r="G26" i="7"/>
  <c r="G25" i="7"/>
  <c r="G24" i="7"/>
  <c r="G23" i="7"/>
  <c r="T22" i="7"/>
  <c r="F22" i="7"/>
  <c r="G22" i="7" s="1"/>
  <c r="G21" i="7"/>
  <c r="G20" i="7"/>
  <c r="F19" i="7"/>
  <c r="F18" i="7"/>
  <c r="G18" i="7" s="1"/>
  <c r="G17" i="7"/>
  <c r="G16" i="7"/>
  <c r="G15" i="7"/>
  <c r="T14" i="7"/>
  <c r="G14" i="7"/>
  <c r="G13" i="7"/>
  <c r="T12" i="7"/>
  <c r="G12" i="7"/>
  <c r="G11" i="7"/>
  <c r="F10" i="7"/>
  <c r="G10" i="7" s="1"/>
  <c r="G9" i="7"/>
  <c r="T8" i="7"/>
  <c r="G8" i="7"/>
  <c r="S7" i="7"/>
  <c r="T7" i="7" s="1"/>
  <c r="F7" i="7"/>
  <c r="G7" i="7" s="1"/>
  <c r="S6" i="7"/>
  <c r="T6" i="7" s="1"/>
  <c r="G6" i="7"/>
  <c r="S5" i="7"/>
  <c r="T5" i="7" s="1"/>
  <c r="G5" i="7"/>
  <c r="S4" i="7"/>
  <c r="T4" i="7" s="1"/>
  <c r="G4" i="7"/>
  <c r="G3" i="7"/>
  <c r="AC146" i="5"/>
  <c r="AD146" i="5" s="1"/>
  <c r="AC145" i="5"/>
  <c r="AD145" i="5" s="1"/>
  <c r="AB147" i="5"/>
  <c r="V147" i="5"/>
  <c r="AC133" i="5"/>
  <c r="AD133" i="5" s="1"/>
  <c r="AC132" i="5"/>
  <c r="AD132" i="5" s="1"/>
  <c r="AC131" i="5"/>
  <c r="AD131" i="5" s="1"/>
  <c r="AC130" i="5"/>
  <c r="AD130" i="5" s="1"/>
  <c r="AC129" i="5"/>
  <c r="AD129" i="5" s="1"/>
  <c r="AC128" i="5"/>
  <c r="AD128" i="5" s="1"/>
  <c r="AC134" i="5"/>
  <c r="AD134" i="5" s="1"/>
  <c r="AC127" i="5"/>
  <c r="AD127" i="5" s="1"/>
  <c r="S23" i="6"/>
  <c r="S24" i="6"/>
  <c r="S17" i="6"/>
  <c r="S18" i="6"/>
  <c r="G376" i="6"/>
  <c r="X57" i="6"/>
  <c r="Z57" i="6" s="1"/>
  <c r="X56" i="6"/>
  <c r="Z56" i="6" s="1"/>
  <c r="X55" i="6"/>
  <c r="Z55" i="6" s="1"/>
  <c r="X54" i="6"/>
  <c r="Z54" i="6" s="1"/>
  <c r="X53" i="6"/>
  <c r="Z53" i="6" s="1"/>
  <c r="X52" i="6"/>
  <c r="Z52" i="6" s="1"/>
  <c r="X51" i="6"/>
  <c r="Z51" i="6" s="1"/>
  <c r="X50" i="6"/>
  <c r="Z50" i="6" s="1"/>
  <c r="X49" i="6"/>
  <c r="Z49" i="6" s="1"/>
  <c r="X48" i="6"/>
  <c r="Z48" i="6" s="1"/>
  <c r="X47" i="6"/>
  <c r="Z47" i="6" s="1"/>
  <c r="X46" i="6"/>
  <c r="Z46" i="6" s="1"/>
  <c r="X45" i="6"/>
  <c r="Z45" i="6" s="1"/>
  <c r="Z44" i="6"/>
  <c r="X43" i="6"/>
  <c r="Z43" i="6" s="1"/>
  <c r="Z42" i="6"/>
  <c r="X41" i="6"/>
  <c r="Z41" i="6" s="1"/>
  <c r="X40" i="6"/>
  <c r="Z40" i="6" s="1"/>
  <c r="X39" i="6"/>
  <c r="Z39" i="6" s="1"/>
  <c r="X38" i="6"/>
  <c r="Z38" i="6" s="1"/>
  <c r="X37" i="6"/>
  <c r="Z37" i="6" s="1"/>
  <c r="X36" i="6"/>
  <c r="Z36" i="6" s="1"/>
  <c r="X35" i="6"/>
  <c r="Z35" i="6" s="1"/>
  <c r="X34" i="6"/>
  <c r="Z34" i="6" s="1"/>
  <c r="X33" i="6"/>
  <c r="Z33" i="6" s="1"/>
  <c r="X32" i="6"/>
  <c r="Z32" i="6" s="1"/>
  <c r="X31" i="6"/>
  <c r="Z31" i="6" s="1"/>
  <c r="X30" i="6"/>
  <c r="Z30" i="6" s="1"/>
  <c r="X29" i="6"/>
  <c r="Z29" i="6" s="1"/>
  <c r="X28" i="6"/>
  <c r="Z28" i="6" s="1"/>
  <c r="X27" i="6"/>
  <c r="Z27" i="6" s="1"/>
  <c r="X26" i="6"/>
  <c r="Z26" i="6" s="1"/>
  <c r="X25" i="6"/>
  <c r="Z25" i="6" s="1"/>
  <c r="X24" i="6"/>
  <c r="Z24" i="6" s="1"/>
  <c r="X23" i="6"/>
  <c r="Z23" i="6" s="1"/>
  <c r="X22" i="6"/>
  <c r="Z22" i="6" s="1"/>
  <c r="X21" i="6"/>
  <c r="Z21" i="6" s="1"/>
  <c r="X20" i="6"/>
  <c r="Z20" i="6" s="1"/>
  <c r="X19" i="6"/>
  <c r="Z19" i="6" s="1"/>
  <c r="X18" i="6"/>
  <c r="Z18" i="6" s="1"/>
  <c r="X17" i="6"/>
  <c r="Z17" i="6" s="1"/>
  <c r="X16" i="6"/>
  <c r="Z16" i="6" s="1"/>
  <c r="X15" i="6"/>
  <c r="Z15" i="6" s="1"/>
  <c r="X14" i="6"/>
  <c r="Z14" i="6" s="1"/>
  <c r="X13" i="6"/>
  <c r="Z13" i="6" s="1"/>
  <c r="X12" i="6"/>
  <c r="Z12" i="6" s="1"/>
  <c r="X11" i="6"/>
  <c r="Z11" i="6" s="1"/>
  <c r="X10" i="6"/>
  <c r="X9" i="6"/>
  <c r="Z9" i="6" s="1"/>
  <c r="X8" i="6"/>
  <c r="Z8" i="6" s="1"/>
  <c r="X7" i="6"/>
  <c r="Z7" i="6" s="1"/>
  <c r="X6" i="6"/>
  <c r="Z6" i="6" s="1"/>
  <c r="X5" i="6"/>
  <c r="Z5" i="6" s="1"/>
  <c r="X4" i="6"/>
  <c r="Z4" i="6" s="1"/>
  <c r="S57" i="6"/>
  <c r="S56" i="6"/>
  <c r="S55" i="6"/>
  <c r="S54" i="6"/>
  <c r="S53" i="6"/>
  <c r="S52" i="6"/>
  <c r="S51" i="6"/>
  <c r="S50" i="6"/>
  <c r="S49" i="6"/>
  <c r="S48" i="6"/>
  <c r="S44" i="6"/>
  <c r="S42" i="6"/>
  <c r="T42" i="6" s="1"/>
  <c r="S41" i="6"/>
  <c r="S40" i="6"/>
  <c r="S39" i="6"/>
  <c r="S38" i="6"/>
  <c r="S37" i="6"/>
  <c r="S36" i="6"/>
  <c r="S35" i="6"/>
  <c r="S33" i="6"/>
  <c r="S31" i="6"/>
  <c r="S29" i="6"/>
  <c r="S28" i="6"/>
  <c r="S27" i="6"/>
  <c r="S26" i="6"/>
  <c r="S25" i="6"/>
  <c r="S22" i="6"/>
  <c r="S19" i="6"/>
  <c r="S15" i="6"/>
  <c r="S14" i="6"/>
  <c r="S13" i="6"/>
  <c r="S12" i="6"/>
  <c r="S11" i="6"/>
  <c r="S8" i="6"/>
  <c r="S7" i="6"/>
  <c r="S6" i="6"/>
  <c r="S5" i="6"/>
  <c r="S4" i="6"/>
  <c r="G382" i="6"/>
  <c r="G381" i="6"/>
  <c r="G380" i="6"/>
  <c r="G379" i="6"/>
  <c r="G378" i="6"/>
  <c r="G377" i="6"/>
  <c r="G375" i="6"/>
  <c r="G374" i="6"/>
  <c r="G373" i="6"/>
  <c r="G372" i="6"/>
  <c r="G371" i="6"/>
  <c r="F370" i="6"/>
  <c r="G370" i="6" s="1"/>
  <c r="F310" i="6"/>
  <c r="G310" i="6" s="1"/>
  <c r="F311" i="6"/>
  <c r="G311" i="6" s="1"/>
  <c r="F229" i="6"/>
  <c r="G229" i="6" s="1"/>
  <c r="F230" i="6"/>
  <c r="G230" i="6" s="1"/>
  <c r="F231" i="6"/>
  <c r="G231" i="6" s="1"/>
  <c r="F234" i="6"/>
  <c r="G234" i="6" s="1"/>
  <c r="F235" i="6"/>
  <c r="G235" i="6" s="1"/>
  <c r="F221" i="6"/>
  <c r="F219" i="6"/>
  <c r="G218" i="6"/>
  <c r="G217" i="6"/>
  <c r="G216" i="6"/>
  <c r="G215" i="6"/>
  <c r="F209" i="6"/>
  <c r="G209" i="6" s="1"/>
  <c r="F211" i="6"/>
  <c r="G211" i="6" s="1"/>
  <c r="F207" i="6"/>
  <c r="G207" i="6" s="1"/>
  <c r="F208" i="6"/>
  <c r="G208" i="6" s="1"/>
  <c r="G204" i="6"/>
  <c r="G52" i="6"/>
  <c r="G51" i="6"/>
  <c r="G50" i="6"/>
  <c r="G49" i="6"/>
  <c r="G48" i="6"/>
  <c r="F54" i="6"/>
  <c r="G103" i="6"/>
  <c r="G39" i="6"/>
  <c r="G38" i="6"/>
  <c r="G37" i="6"/>
  <c r="G36" i="6"/>
  <c r="G34" i="6"/>
  <c r="G32" i="6"/>
  <c r="G31" i="6"/>
  <c r="F35" i="6"/>
  <c r="G35" i="6" s="1"/>
  <c r="F33" i="6"/>
  <c r="G33" i="6" s="1"/>
  <c r="F30" i="6"/>
  <c r="G30" i="6" s="1"/>
  <c r="F29" i="6"/>
  <c r="G29" i="6" s="1"/>
  <c r="G28" i="6"/>
  <c r="G27" i="6"/>
  <c r="G26" i="6"/>
  <c r="G25" i="6"/>
  <c r="G24" i="6"/>
  <c r="G23" i="6"/>
  <c r="G21" i="6"/>
  <c r="G20" i="6"/>
  <c r="F22" i="6"/>
  <c r="G22" i="6" s="1"/>
  <c r="F19" i="6"/>
  <c r="G19" i="6" s="1"/>
  <c r="F18" i="6"/>
  <c r="G18" i="6" s="1"/>
  <c r="G11" i="6"/>
  <c r="G9" i="6"/>
  <c r="G8" i="6"/>
  <c r="G6" i="6"/>
  <c r="G5" i="6"/>
  <c r="G4" i="6"/>
  <c r="G3" i="6"/>
  <c r="F10" i="6"/>
  <c r="G10" i="6" s="1"/>
  <c r="F7" i="6"/>
  <c r="G7" i="6" s="1"/>
  <c r="G107" i="6"/>
  <c r="G108" i="6"/>
  <c r="G105" i="6"/>
  <c r="G104" i="6"/>
  <c r="G109" i="6"/>
  <c r="G17" i="6"/>
  <c r="G16" i="6"/>
  <c r="G15" i="6"/>
  <c r="G46" i="6"/>
  <c r="G45" i="6"/>
  <c r="G44" i="6"/>
  <c r="G43" i="6"/>
  <c r="G42" i="6"/>
  <c r="G56" i="6"/>
  <c r="G55" i="6"/>
  <c r="G54" i="6"/>
  <c r="G53" i="6"/>
  <c r="G47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80" i="6"/>
  <c r="G79" i="6"/>
  <c r="G78" i="6"/>
  <c r="G77" i="6"/>
  <c r="G76" i="6"/>
  <c r="G75" i="6"/>
  <c r="G74" i="6"/>
  <c r="G73" i="6"/>
  <c r="G72" i="6"/>
  <c r="G71" i="6"/>
  <c r="G70" i="6"/>
  <c r="G87" i="6"/>
  <c r="G86" i="6"/>
  <c r="G85" i="6"/>
  <c r="G84" i="6"/>
  <c r="G83" i="6"/>
  <c r="G82" i="6"/>
  <c r="G81" i="6"/>
  <c r="G98" i="6"/>
  <c r="G97" i="6"/>
  <c r="G96" i="6"/>
  <c r="G95" i="6"/>
  <c r="G94" i="6"/>
  <c r="G93" i="6"/>
  <c r="G92" i="6"/>
  <c r="G91" i="6"/>
  <c r="G90" i="6"/>
  <c r="G89" i="6"/>
  <c r="G88" i="6"/>
  <c r="G102" i="6"/>
  <c r="G101" i="6"/>
  <c r="G100" i="6"/>
  <c r="G99" i="6"/>
  <c r="G112" i="6"/>
  <c r="G111" i="6"/>
  <c r="G110" i="6"/>
  <c r="G106" i="6"/>
  <c r="G119" i="6"/>
  <c r="G118" i="6"/>
  <c r="G117" i="6"/>
  <c r="G116" i="6"/>
  <c r="G115" i="6"/>
  <c r="G114" i="6"/>
  <c r="G113" i="6"/>
  <c r="G135" i="6"/>
  <c r="G134" i="6"/>
  <c r="G133" i="6"/>
  <c r="G132" i="6"/>
  <c r="G131" i="6"/>
  <c r="G140" i="6"/>
  <c r="G139" i="6"/>
  <c r="G138" i="6"/>
  <c r="G137" i="6"/>
  <c r="G126" i="6"/>
  <c r="G125" i="6"/>
  <c r="G124" i="6"/>
  <c r="G123" i="6"/>
  <c r="G122" i="6"/>
  <c r="G121" i="6"/>
  <c r="G120" i="6"/>
  <c r="G130" i="6"/>
  <c r="G129" i="6"/>
  <c r="G128" i="6"/>
  <c r="G127" i="6"/>
  <c r="G160" i="6"/>
  <c r="G159" i="6"/>
  <c r="G158" i="6"/>
  <c r="G157" i="6"/>
  <c r="G156" i="6"/>
  <c r="G155" i="6"/>
  <c r="G154" i="6"/>
  <c r="G153" i="6"/>
  <c r="G152" i="6"/>
  <c r="G164" i="6"/>
  <c r="G163" i="6"/>
  <c r="G162" i="6"/>
  <c r="G161" i="6"/>
  <c r="G175" i="6"/>
  <c r="G174" i="6"/>
  <c r="G173" i="6"/>
  <c r="G172" i="6"/>
  <c r="G171" i="6"/>
  <c r="G170" i="6"/>
  <c r="G169" i="6"/>
  <c r="G168" i="6"/>
  <c r="G167" i="6"/>
  <c r="G166" i="6"/>
  <c r="G165" i="6"/>
  <c r="G186" i="6"/>
  <c r="G185" i="6"/>
  <c r="G184" i="6"/>
  <c r="G183" i="6"/>
  <c r="G182" i="6"/>
  <c r="G181" i="6"/>
  <c r="G180" i="6"/>
  <c r="G179" i="6"/>
  <c r="G178" i="6"/>
  <c r="G177" i="6"/>
  <c r="G176" i="6"/>
  <c r="G194" i="6"/>
  <c r="G193" i="6"/>
  <c r="G192" i="6"/>
  <c r="G191" i="6"/>
  <c r="G190" i="6"/>
  <c r="G189" i="6"/>
  <c r="G188" i="6"/>
  <c r="G187" i="6"/>
  <c r="G206" i="6"/>
  <c r="G205" i="6"/>
  <c r="G203" i="6"/>
  <c r="G202" i="6"/>
  <c r="G201" i="6"/>
  <c r="G200" i="6"/>
  <c r="G199" i="6"/>
  <c r="G198" i="6"/>
  <c r="G197" i="6"/>
  <c r="G196" i="6"/>
  <c r="G195" i="6"/>
  <c r="G151" i="6"/>
  <c r="G150" i="6"/>
  <c r="G149" i="6"/>
  <c r="G148" i="6"/>
  <c r="G147" i="6"/>
  <c r="G146" i="6"/>
  <c r="G145" i="6"/>
  <c r="G144" i="6"/>
  <c r="G143" i="6"/>
  <c r="G142" i="6"/>
  <c r="G141" i="6"/>
  <c r="G214" i="6"/>
  <c r="G213" i="6"/>
  <c r="G212" i="6"/>
  <c r="G233" i="6"/>
  <c r="G232" i="6"/>
  <c r="G273" i="6"/>
  <c r="G272" i="6"/>
  <c r="G271" i="6"/>
  <c r="G270" i="6"/>
  <c r="G269" i="6"/>
  <c r="G268" i="6"/>
  <c r="G267" i="6"/>
  <c r="G266" i="6"/>
  <c r="G265" i="6"/>
  <c r="G264" i="6"/>
  <c r="G263" i="6"/>
  <c r="G210" i="6"/>
  <c r="G250" i="6"/>
  <c r="G249" i="6"/>
  <c r="G248" i="6"/>
  <c r="G247" i="6"/>
  <c r="G246" i="6"/>
  <c r="G245" i="6"/>
  <c r="G277" i="6"/>
  <c r="G276" i="6"/>
  <c r="G275" i="6"/>
  <c r="G274" i="6"/>
  <c r="G279" i="6"/>
  <c r="G278" i="6"/>
  <c r="G290" i="6"/>
  <c r="G289" i="6"/>
  <c r="G288" i="6"/>
  <c r="G287" i="6"/>
  <c r="G286" i="6"/>
  <c r="G285" i="6"/>
  <c r="G284" i="6"/>
  <c r="G283" i="6"/>
  <c r="G282" i="6"/>
  <c r="G281" i="6"/>
  <c r="G280" i="6"/>
  <c r="G297" i="6"/>
  <c r="G296" i="6"/>
  <c r="G295" i="6"/>
  <c r="G294" i="6"/>
  <c r="G293" i="6"/>
  <c r="G292" i="6"/>
  <c r="G291" i="6"/>
  <c r="G304" i="6"/>
  <c r="G303" i="6"/>
  <c r="G302" i="6"/>
  <c r="G301" i="6"/>
  <c r="G300" i="6"/>
  <c r="G299" i="6"/>
  <c r="G298" i="6"/>
  <c r="G309" i="6"/>
  <c r="G308" i="6"/>
  <c r="G307" i="6"/>
  <c r="G306" i="6"/>
  <c r="G305" i="6"/>
  <c r="G228" i="6"/>
  <c r="G227" i="6"/>
  <c r="G226" i="6"/>
  <c r="G244" i="6"/>
  <c r="G243" i="6"/>
  <c r="G242" i="6"/>
  <c r="G241" i="6"/>
  <c r="G240" i="6"/>
  <c r="G239" i="6"/>
  <c r="G314" i="6"/>
  <c r="G313" i="6"/>
  <c r="G312" i="6"/>
  <c r="G321" i="6"/>
  <c r="G320" i="6"/>
  <c r="G319" i="6"/>
  <c r="G318" i="6"/>
  <c r="G317" i="6"/>
  <c r="G316" i="6"/>
  <c r="G315" i="6"/>
  <c r="G225" i="6"/>
  <c r="G327" i="6"/>
  <c r="G326" i="6"/>
  <c r="G325" i="6"/>
  <c r="G324" i="6"/>
  <c r="G323" i="6"/>
  <c r="G322" i="6"/>
  <c r="G333" i="6"/>
  <c r="G332" i="6"/>
  <c r="G331" i="6"/>
  <c r="G330" i="6"/>
  <c r="G329" i="6"/>
  <c r="G328" i="6"/>
  <c r="G262" i="6"/>
  <c r="G261" i="6"/>
  <c r="G260" i="6"/>
  <c r="G259" i="6"/>
  <c r="G258" i="6"/>
  <c r="G257" i="6"/>
  <c r="G256" i="6"/>
  <c r="G255" i="6"/>
  <c r="G254" i="6"/>
  <c r="G342" i="6"/>
  <c r="G341" i="6"/>
  <c r="G340" i="6"/>
  <c r="G339" i="6"/>
  <c r="G338" i="6"/>
  <c r="G337" i="6"/>
  <c r="G336" i="6"/>
  <c r="G335" i="6"/>
  <c r="G334" i="6"/>
  <c r="G350" i="6"/>
  <c r="G349" i="6"/>
  <c r="G348" i="6"/>
  <c r="G347" i="6"/>
  <c r="G346" i="6"/>
  <c r="G345" i="6"/>
  <c r="G344" i="6"/>
  <c r="G343" i="6"/>
  <c r="G253" i="6"/>
  <c r="G252" i="6"/>
  <c r="G251" i="6"/>
  <c r="G355" i="6"/>
  <c r="G354" i="6"/>
  <c r="G353" i="6"/>
  <c r="G352" i="6"/>
  <c r="G361" i="6"/>
  <c r="G360" i="6"/>
  <c r="G359" i="6"/>
  <c r="G358" i="6"/>
  <c r="G357" i="6"/>
  <c r="G356" i="6"/>
  <c r="G351" i="6"/>
  <c r="G369" i="6"/>
  <c r="G368" i="6"/>
  <c r="G367" i="6"/>
  <c r="G366" i="6"/>
  <c r="G365" i="6"/>
  <c r="G364" i="6"/>
  <c r="G363" i="6"/>
  <c r="G362" i="6"/>
  <c r="G41" i="6"/>
  <c r="G40" i="6"/>
  <c r="G14" i="6"/>
  <c r="G13" i="6"/>
  <c r="G12" i="6"/>
  <c r="G238" i="6"/>
  <c r="G237" i="6"/>
  <c r="G236" i="6"/>
  <c r="G136" i="6"/>
  <c r="R58" i="10" l="1"/>
  <c r="E15" i="8"/>
  <c r="S16" i="7"/>
  <c r="T16" i="7" s="1"/>
  <c r="S32" i="7"/>
  <c r="T32" i="7" s="1"/>
  <c r="F383" i="7"/>
  <c r="G35" i="7"/>
  <c r="S34" i="7"/>
  <c r="T34" i="7" s="1"/>
  <c r="S9" i="7"/>
  <c r="T9" i="7" s="1"/>
  <c r="G19" i="7"/>
  <c r="S45" i="7"/>
  <c r="T45" i="7" s="1"/>
  <c r="S20" i="7"/>
  <c r="T20" i="7" s="1"/>
  <c r="S21" i="7"/>
  <c r="T21" i="7" s="1"/>
  <c r="S43" i="7"/>
  <c r="T43" i="7" s="1"/>
  <c r="S10" i="7"/>
  <c r="T10" i="7" s="1"/>
  <c r="T44" i="6"/>
  <c r="U147" i="5"/>
  <c r="S16" i="6"/>
  <c r="T57" i="6"/>
  <c r="T51" i="6"/>
  <c r="T16" i="6"/>
  <c r="T38" i="6"/>
  <c r="T41" i="6"/>
  <c r="S45" i="6"/>
  <c r="T45" i="6" s="1"/>
  <c r="G383" i="6"/>
  <c r="T14" i="6"/>
  <c r="T22" i="6"/>
  <c r="T26" i="6"/>
  <c r="T24" i="6"/>
  <c r="S21" i="6"/>
  <c r="T21" i="6" s="1"/>
  <c r="S34" i="6"/>
  <c r="T34" i="6" s="1"/>
  <c r="T48" i="6"/>
  <c r="T52" i="6"/>
  <c r="T56" i="6"/>
  <c r="Y10" i="6"/>
  <c r="Y58" i="6" s="1"/>
  <c r="T35" i="6"/>
  <c r="T39" i="6"/>
  <c r="S43" i="6"/>
  <c r="T43" i="6" s="1"/>
  <c r="S20" i="6"/>
  <c r="T20" i="6" s="1"/>
  <c r="T55" i="6"/>
  <c r="T15" i="6"/>
  <c r="T23" i="6"/>
  <c r="T27" i="6"/>
  <c r="S32" i="6"/>
  <c r="T32" i="6" s="1"/>
  <c r="F383" i="6"/>
  <c r="Z58" i="6"/>
  <c r="T40" i="6"/>
  <c r="T8" i="6"/>
  <c r="T12" i="6"/>
  <c r="T28" i="6"/>
  <c r="T36" i="6"/>
  <c r="T9" i="6"/>
  <c r="T49" i="6"/>
  <c r="T53" i="6"/>
  <c r="T54" i="6"/>
  <c r="T6" i="6"/>
  <c r="T4" i="6"/>
  <c r="T7" i="6"/>
  <c r="T5" i="6"/>
  <c r="T13" i="6"/>
  <c r="T17" i="6"/>
  <c r="T25" i="6"/>
  <c r="T29" i="6"/>
  <c r="T33" i="6"/>
  <c r="T37" i="6"/>
  <c r="T19" i="6"/>
  <c r="T50" i="6"/>
  <c r="T11" i="6"/>
  <c r="T31" i="6"/>
  <c r="K36" i="10"/>
  <c r="C25" i="3" l="1"/>
  <c r="G383" i="7"/>
  <c r="T58" i="7"/>
  <c r="S58" i="7"/>
  <c r="S58" i="6"/>
  <c r="T58" i="6"/>
  <c r="I66" i="6"/>
  <c r="C17" i="3" l="1"/>
  <c r="P56" i="4"/>
  <c r="P55" i="4"/>
  <c r="P54" i="4"/>
  <c r="P53" i="4"/>
  <c r="P52" i="4"/>
  <c r="P51" i="4"/>
  <c r="P50" i="4"/>
  <c r="P49" i="4"/>
  <c r="P48" i="4"/>
  <c r="P47" i="4"/>
  <c r="P46" i="4"/>
  <c r="P45" i="4"/>
  <c r="P43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AC126" i="5"/>
  <c r="AC125" i="5"/>
  <c r="AD125" i="5" s="1"/>
  <c r="AC124" i="5"/>
  <c r="AD124" i="5" s="1"/>
  <c r="AC123" i="5"/>
  <c r="AD123" i="5" s="1"/>
  <c r="AC122" i="5"/>
  <c r="AD122" i="5" s="1"/>
  <c r="AC120" i="5"/>
  <c r="AD120" i="5" s="1"/>
  <c r="AC119" i="5"/>
  <c r="AD119" i="5" s="1"/>
  <c r="AC116" i="5"/>
  <c r="AD116" i="5" s="1"/>
  <c r="AC112" i="5"/>
  <c r="AD112" i="5" s="1"/>
  <c r="AC110" i="5"/>
  <c r="AD110" i="5" s="1"/>
  <c r="AC107" i="5"/>
  <c r="AD107" i="5" s="1"/>
  <c r="AC98" i="5"/>
  <c r="AD98" i="5" s="1"/>
  <c r="AC89" i="5"/>
  <c r="AD89" i="5" s="1"/>
  <c r="AC33" i="5"/>
  <c r="AD33" i="5" s="1"/>
  <c r="AC27" i="5"/>
  <c r="AD27" i="5" s="1"/>
  <c r="AC25" i="5"/>
  <c r="AD25" i="5" s="1"/>
  <c r="AC23" i="5"/>
  <c r="AD23" i="5" s="1"/>
  <c r="AC17" i="5"/>
  <c r="AD17" i="5" s="1"/>
  <c r="AC15" i="5"/>
  <c r="AD15" i="5" s="1"/>
  <c r="AC154" i="5"/>
  <c r="AC121" i="5" l="1"/>
  <c r="AD121" i="5" s="1"/>
  <c r="AC5" i="5"/>
  <c r="AD5" i="5" s="1"/>
  <c r="AC84" i="5"/>
  <c r="AD84" i="5" s="1"/>
  <c r="AD111" i="5"/>
  <c r="AC16" i="5"/>
  <c r="AD16" i="5" s="1"/>
  <c r="T147" i="5"/>
  <c r="AC20" i="5"/>
  <c r="AD20" i="5" s="1"/>
  <c r="AC42" i="5"/>
  <c r="AD42" i="5" s="1"/>
  <c r="AC48" i="5"/>
  <c r="AD48" i="5" s="1"/>
  <c r="AC52" i="5"/>
  <c r="AD52" i="5" s="1"/>
  <c r="AC54" i="5"/>
  <c r="AD54" i="5" s="1"/>
  <c r="AC62" i="5"/>
  <c r="AD62" i="5" s="1"/>
  <c r="AC64" i="5"/>
  <c r="AD64" i="5" s="1"/>
  <c r="AC70" i="5"/>
  <c r="AD70" i="5" s="1"/>
  <c r="AC76" i="5"/>
  <c r="AD76" i="5" s="1"/>
  <c r="AC77" i="5"/>
  <c r="AC80" i="5"/>
  <c r="AD80" i="5" s="1"/>
  <c r="AC82" i="5"/>
  <c r="AC86" i="5"/>
  <c r="AD86" i="5" s="1"/>
  <c r="AC88" i="5"/>
  <c r="AD88" i="5" s="1"/>
  <c r="AC94" i="5"/>
  <c r="AD94" i="5" s="1"/>
  <c r="AC26" i="5"/>
  <c r="AD26" i="5" s="1"/>
  <c r="AC31" i="5"/>
  <c r="AD31" i="5" s="1"/>
  <c r="AC38" i="5"/>
  <c r="AD38" i="5" s="1"/>
  <c r="AC103" i="5"/>
  <c r="AD103" i="5" s="1"/>
  <c r="AC29" i="5"/>
  <c r="AD29" i="5" s="1"/>
  <c r="AC113" i="5"/>
  <c r="AD113" i="5" s="1"/>
  <c r="G147" i="5"/>
  <c r="AC24" i="5"/>
  <c r="AD24" i="5" s="1"/>
  <c r="AC30" i="5"/>
  <c r="AD30" i="5" s="1"/>
  <c r="AC37" i="5"/>
  <c r="AD37" i="5" s="1"/>
  <c r="AC40" i="5"/>
  <c r="AD40" i="5" s="1"/>
  <c r="AC44" i="5"/>
  <c r="AD44" i="5" s="1"/>
  <c r="AC50" i="5"/>
  <c r="AD50" i="5" s="1"/>
  <c r="AC51" i="5"/>
  <c r="AD51" i="5" s="1"/>
  <c r="AC58" i="5"/>
  <c r="AC60" i="5"/>
  <c r="AD60" i="5" s="1"/>
  <c r="AC72" i="5"/>
  <c r="AD72" i="5" s="1"/>
  <c r="AC74" i="5"/>
  <c r="AD74" i="5" s="1"/>
  <c r="AC75" i="5"/>
  <c r="AD75" i="5" s="1"/>
  <c r="AC78" i="5"/>
  <c r="AD78" i="5" s="1"/>
  <c r="AC90" i="5"/>
  <c r="AD90" i="5" s="1"/>
  <c r="AC92" i="5"/>
  <c r="AD92" i="5" s="1"/>
  <c r="AC117" i="5"/>
  <c r="AD117" i="5" s="1"/>
  <c r="AC12" i="5"/>
  <c r="AD12" i="5" s="1"/>
  <c r="AC14" i="5"/>
  <c r="AD14" i="5" s="1"/>
  <c r="AC18" i="5"/>
  <c r="AD18" i="5" s="1"/>
  <c r="P147" i="5"/>
  <c r="AC45" i="5"/>
  <c r="AD45" i="5" s="1"/>
  <c r="AC47" i="5"/>
  <c r="AD47" i="5" s="1"/>
  <c r="AC59" i="5"/>
  <c r="AD59" i="5" s="1"/>
  <c r="AC66" i="5"/>
  <c r="AD66" i="5" s="1"/>
  <c r="AC79" i="5"/>
  <c r="AD79" i="5" s="1"/>
  <c r="AC87" i="5"/>
  <c r="AD87" i="5" s="1"/>
  <c r="AC95" i="5"/>
  <c r="AD95" i="5" s="1"/>
  <c r="AC96" i="5"/>
  <c r="AD96" i="5" s="1"/>
  <c r="S147" i="5"/>
  <c r="AC8" i="5"/>
  <c r="AD8" i="5" s="1"/>
  <c r="AC3" i="5"/>
  <c r="AD3" i="5" s="1"/>
  <c r="AC19" i="5"/>
  <c r="AD19" i="5" s="1"/>
  <c r="AC21" i="5"/>
  <c r="AD21" i="5" s="1"/>
  <c r="AC7" i="5"/>
  <c r="AD7" i="5" s="1"/>
  <c r="L147" i="5"/>
  <c r="AC10" i="5"/>
  <c r="AD10" i="5" s="1"/>
  <c r="AC11" i="5"/>
  <c r="AD11" i="5" s="1"/>
  <c r="AC28" i="5"/>
  <c r="AD28" i="5" s="1"/>
  <c r="AC34" i="5"/>
  <c r="AD34" i="5" s="1"/>
  <c r="AC36" i="5"/>
  <c r="AD36" i="5" s="1"/>
  <c r="AC43" i="5"/>
  <c r="AD43" i="5" s="1"/>
  <c r="AC55" i="5"/>
  <c r="AD55" i="5" s="1"/>
  <c r="AC71" i="5"/>
  <c r="AD71" i="5" s="1"/>
  <c r="AC83" i="5"/>
  <c r="AD83" i="5" s="1"/>
  <c r="AC93" i="5"/>
  <c r="AD93" i="5" s="1"/>
  <c r="AC100" i="5"/>
  <c r="AD100" i="5" s="1"/>
  <c r="AC102" i="5"/>
  <c r="AD102" i="5" s="1"/>
  <c r="AC104" i="5"/>
  <c r="AD104" i="5" s="1"/>
  <c r="AC106" i="5"/>
  <c r="AD106" i="5" s="1"/>
  <c r="AC114" i="5"/>
  <c r="AD114" i="5" s="1"/>
  <c r="AC13" i="5"/>
  <c r="AD13" i="5" s="1"/>
  <c r="AC41" i="5"/>
  <c r="AD41" i="5" s="1"/>
  <c r="AC53" i="5"/>
  <c r="AD53" i="5" s="1"/>
  <c r="AC57" i="5"/>
  <c r="AD57" i="5" s="1"/>
  <c r="AC65" i="5"/>
  <c r="AD65" i="5" s="1"/>
  <c r="AC69" i="5"/>
  <c r="AD69" i="5" s="1"/>
  <c r="AC73" i="5"/>
  <c r="AD73" i="5" s="1"/>
  <c r="AC97" i="5"/>
  <c r="AD97" i="5" s="1"/>
  <c r="AC85" i="5"/>
  <c r="AD85" i="5" s="1"/>
  <c r="AC101" i="5"/>
  <c r="AC105" i="5"/>
  <c r="AD105" i="5" s="1"/>
  <c r="AC109" i="5"/>
  <c r="AD109" i="5" s="1"/>
  <c r="N147" i="5"/>
  <c r="J147" i="5"/>
  <c r="O147" i="5"/>
  <c r="AC68" i="5"/>
  <c r="AD68" i="5" s="1"/>
  <c r="E147" i="5"/>
  <c r="I147" i="5"/>
  <c r="Q147" i="5"/>
  <c r="AC6" i="5"/>
  <c r="AD6" i="5" s="1"/>
  <c r="M147" i="5"/>
  <c r="AC9" i="5"/>
  <c r="AD9" i="5" s="1"/>
  <c r="AC22" i="5"/>
  <c r="AD22" i="5" s="1"/>
  <c r="AC32" i="5"/>
  <c r="AD32" i="5" s="1"/>
  <c r="AC39" i="5"/>
  <c r="AD39" i="5" s="1"/>
  <c r="AC49" i="5"/>
  <c r="AD49" i="5" s="1"/>
  <c r="AC56" i="5"/>
  <c r="AD56" i="5" s="1"/>
  <c r="AC61" i="5"/>
  <c r="AD61" i="5" s="1"/>
  <c r="AC67" i="5"/>
  <c r="AD67" i="5" s="1"/>
  <c r="AC81" i="5"/>
  <c r="AD81" i="5" s="1"/>
  <c r="AC91" i="5"/>
  <c r="AD91" i="5" s="1"/>
  <c r="AC99" i="5"/>
  <c r="AD99" i="5" s="1"/>
  <c r="AC108" i="5"/>
  <c r="AD108" i="5" s="1"/>
  <c r="AC118" i="5"/>
  <c r="AD118" i="5" s="1"/>
  <c r="H147" i="5"/>
  <c r="AC4" i="5"/>
  <c r="AD4" i="5" s="1"/>
  <c r="F147" i="5"/>
  <c r="K147" i="5"/>
  <c r="R147" i="5"/>
  <c r="AC35" i="5"/>
  <c r="AD35" i="5" s="1"/>
  <c r="AC46" i="5"/>
  <c r="AD46" i="5" s="1"/>
  <c r="AC63" i="5"/>
  <c r="AD63" i="5" s="1"/>
  <c r="AC115" i="5"/>
  <c r="AD115" i="5" s="1"/>
  <c r="AD147" i="5" l="1"/>
  <c r="AC147" i="5"/>
  <c r="AD148" i="5" l="1"/>
  <c r="AD157" i="5"/>
  <c r="AD151" i="5"/>
  <c r="AD152" i="5" s="1"/>
  <c r="E233" i="4" l="1"/>
  <c r="V56" i="4"/>
  <c r="V55" i="4"/>
  <c r="V54" i="4"/>
  <c r="V53" i="4"/>
  <c r="V52" i="4"/>
  <c r="V51" i="4"/>
  <c r="V50" i="4"/>
  <c r="V49" i="4"/>
  <c r="V48" i="4"/>
  <c r="V47" i="4"/>
  <c r="V46" i="4"/>
  <c r="V45" i="4"/>
  <c r="X44" i="4"/>
  <c r="V43" i="4"/>
  <c r="X42" i="4"/>
  <c r="V41" i="4"/>
  <c r="V40" i="4"/>
  <c r="V39" i="4"/>
  <c r="V38" i="4"/>
  <c r="V37" i="4"/>
  <c r="V36" i="4"/>
  <c r="V35" i="4"/>
  <c r="V34" i="4"/>
  <c r="V33" i="4"/>
  <c r="V32" i="4"/>
  <c r="V31" i="4"/>
  <c r="V30" i="4"/>
  <c r="X30" i="4" s="1"/>
  <c r="V29" i="4"/>
  <c r="V28" i="4"/>
  <c r="V27" i="4"/>
  <c r="X27" i="4" s="1"/>
  <c r="V26" i="4"/>
  <c r="X26" i="4" s="1"/>
  <c r="V25" i="4"/>
  <c r="V24" i="4"/>
  <c r="V23" i="4"/>
  <c r="X23" i="4" s="1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W9" i="4"/>
  <c r="X9" i="4" s="1"/>
  <c r="V8" i="4"/>
  <c r="V7" i="4"/>
  <c r="X7" i="4" s="1"/>
  <c r="V6" i="4"/>
  <c r="V5" i="4"/>
  <c r="V4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R44" i="4" s="1"/>
  <c r="Q43" i="4"/>
  <c r="Q42" i="4"/>
  <c r="R42" i="4" s="1"/>
  <c r="Q41" i="4"/>
  <c r="Q40" i="4"/>
  <c r="Q39" i="4"/>
  <c r="Q38" i="4"/>
  <c r="Q37" i="4"/>
  <c r="Q36" i="4"/>
  <c r="Q35" i="4"/>
  <c r="Q34" i="4"/>
  <c r="Q33" i="4"/>
  <c r="Q32" i="4"/>
  <c r="Q31" i="4"/>
  <c r="Q29" i="4"/>
  <c r="Q28" i="4"/>
  <c r="Q25" i="4"/>
  <c r="Q24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R9" i="4"/>
  <c r="Q8" i="4"/>
  <c r="Q6" i="4"/>
  <c r="Q5" i="4"/>
  <c r="Q4" i="4"/>
  <c r="C233" i="4"/>
  <c r="D7" i="3"/>
  <c r="E56" i="2"/>
  <c r="E55" i="2"/>
  <c r="E53" i="2"/>
  <c r="E44" i="2"/>
  <c r="E43" i="2"/>
  <c r="E42" i="2"/>
  <c r="E32" i="2"/>
  <c r="E30" i="2"/>
  <c r="E29" i="2"/>
  <c r="E27" i="2"/>
  <c r="E25" i="2"/>
  <c r="E10" i="2"/>
  <c r="E6" i="2"/>
  <c r="E4" i="2"/>
  <c r="X5" i="4" l="1"/>
  <c r="X53" i="4"/>
  <c r="X55" i="4"/>
  <c r="X49" i="4"/>
  <c r="R47" i="4"/>
  <c r="R51" i="4"/>
  <c r="R52" i="4"/>
  <c r="X13" i="4"/>
  <c r="X15" i="4"/>
  <c r="X17" i="4"/>
  <c r="X19" i="4"/>
  <c r="X33" i="4"/>
  <c r="X35" i="4"/>
  <c r="X37" i="4"/>
  <c r="X39" i="4"/>
  <c r="X46" i="4"/>
  <c r="X11" i="4"/>
  <c r="X31" i="4"/>
  <c r="X4" i="4"/>
  <c r="X8" i="4"/>
  <c r="X10" i="4"/>
  <c r="X20" i="4"/>
  <c r="X22" i="4"/>
  <c r="X50" i="4"/>
  <c r="R43" i="4"/>
  <c r="R16" i="4"/>
  <c r="R20" i="4"/>
  <c r="R32" i="4"/>
  <c r="R36" i="4"/>
  <c r="R40" i="4"/>
  <c r="X25" i="4"/>
  <c r="X28" i="4"/>
  <c r="X40" i="4"/>
  <c r="X45" i="4"/>
  <c r="W57" i="4"/>
  <c r="X29" i="4"/>
  <c r="X48" i="4"/>
  <c r="R8" i="4"/>
  <c r="X6" i="4"/>
  <c r="X12" i="4"/>
  <c r="X14" i="4"/>
  <c r="X21" i="4"/>
  <c r="X32" i="4"/>
  <c r="X34" i="4"/>
  <c r="X41" i="4"/>
  <c r="X43" i="4"/>
  <c r="X47" i="4"/>
  <c r="X52" i="4"/>
  <c r="X54" i="4"/>
  <c r="X56" i="4"/>
  <c r="X16" i="4"/>
  <c r="X18" i="4"/>
  <c r="X24" i="4"/>
  <c r="X36" i="4"/>
  <c r="X38" i="4"/>
  <c r="X51" i="4"/>
  <c r="R10" i="4"/>
  <c r="R14" i="4"/>
  <c r="R18" i="4"/>
  <c r="R11" i="4"/>
  <c r="R15" i="4"/>
  <c r="R29" i="4"/>
  <c r="R25" i="4"/>
  <c r="R21" i="4"/>
  <c r="R22" i="4"/>
  <c r="R6" i="4"/>
  <c r="R26" i="4"/>
  <c r="R30" i="4"/>
  <c r="R34" i="4"/>
  <c r="R41" i="4"/>
  <c r="R46" i="4"/>
  <c r="R50" i="4"/>
  <c r="R54" i="4"/>
  <c r="R38" i="4"/>
  <c r="R28" i="4"/>
  <c r="R35" i="4"/>
  <c r="R17" i="4"/>
  <c r="R37" i="4"/>
  <c r="R24" i="4"/>
  <c r="R5" i="4"/>
  <c r="R33" i="4"/>
  <c r="R12" i="4"/>
  <c r="R48" i="4"/>
  <c r="R56" i="4"/>
  <c r="R39" i="4"/>
  <c r="R55" i="4"/>
  <c r="R31" i="4"/>
  <c r="R19" i="4"/>
  <c r="R27" i="4"/>
  <c r="R49" i="4"/>
  <c r="R7" i="4"/>
  <c r="R13" i="4"/>
  <c r="R23" i="4"/>
  <c r="R45" i="4"/>
  <c r="R53" i="4"/>
  <c r="Q57" i="4"/>
  <c r="R4" i="4"/>
  <c r="R57" i="4" l="1"/>
  <c r="X57" i="4"/>
  <c r="G46" i="4"/>
  <c r="C4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</calcChain>
</file>

<file path=xl/sharedStrings.xml><?xml version="1.0" encoding="utf-8"?>
<sst xmlns="http://schemas.openxmlformats.org/spreadsheetml/2006/main" count="9296" uniqueCount="435">
  <si>
    <t>No</t>
  </si>
  <si>
    <t>Jenis Barang</t>
  </si>
  <si>
    <t>Jumlah</t>
  </si>
  <si>
    <t>Harga Nasabah</t>
  </si>
  <si>
    <t>Harga Lapak</t>
  </si>
  <si>
    <t>Satuan</t>
  </si>
  <si>
    <t>Total</t>
  </si>
  <si>
    <t>AC</t>
  </si>
  <si>
    <t>set</t>
  </si>
  <si>
    <t>Aki</t>
  </si>
  <si>
    <t>Akrilik Putih</t>
  </si>
  <si>
    <t>Alumunium</t>
  </si>
  <si>
    <t>Arsip</t>
  </si>
  <si>
    <t>Asoy</t>
  </si>
  <si>
    <t>Tidak Terima</t>
  </si>
  <si>
    <t>Besi</t>
  </si>
  <si>
    <t>Boncos Kotor</t>
  </si>
  <si>
    <t>Botol Kaca Hijau</t>
  </si>
  <si>
    <t>Botol Kaca Bening/Putih</t>
  </si>
  <si>
    <t>Botol Kaca Campur</t>
  </si>
  <si>
    <t>Botol Kaca Coklat/Merah</t>
  </si>
  <si>
    <t>Botol PET Bersih</t>
  </si>
  <si>
    <t>Botol PET Kotor</t>
  </si>
  <si>
    <t>Botol Plastik Kemasan Campur</t>
  </si>
  <si>
    <t>Buku, Majalah, Brosur, Koran</t>
  </si>
  <si>
    <t>Emberan</t>
  </si>
  <si>
    <t>Gabrukan</t>
  </si>
  <si>
    <t>Galon PC</t>
  </si>
  <si>
    <t>Gelas PP Bersih</t>
  </si>
  <si>
    <t>Gelas PP Warna</t>
  </si>
  <si>
    <t>Handphone</t>
  </si>
  <si>
    <t>pcs</t>
  </si>
  <si>
    <t>HVS</t>
  </si>
  <si>
    <t>Impact</t>
  </si>
  <si>
    <t>Jelantah</t>
  </si>
  <si>
    <t>Kabel</t>
  </si>
  <si>
    <t>kg</t>
  </si>
  <si>
    <t>Kabin</t>
  </si>
  <si>
    <t>Kaca</t>
  </si>
  <si>
    <t>Kaleng</t>
  </si>
  <si>
    <t>Kantung Semen</t>
  </si>
  <si>
    <t>Kardus</t>
  </si>
  <si>
    <t>Kaset CD</t>
  </si>
  <si>
    <t>Komputer</t>
  </si>
  <si>
    <t>Kones</t>
  </si>
  <si>
    <t>Karung Beras</t>
  </si>
  <si>
    <t>Kristal Putih</t>
  </si>
  <si>
    <t>Kulkas</t>
  </si>
  <si>
    <t>Kuningan</t>
  </si>
  <si>
    <t>Mesin Cuci</t>
  </si>
  <si>
    <t>Mika</t>
  </si>
  <si>
    <t>MIX A/Boncos</t>
  </si>
  <si>
    <t>Plastik Minyak goreng</t>
  </si>
  <si>
    <t>Plastik Multilayer</t>
  </si>
  <si>
    <t>Plastik PE</t>
  </si>
  <si>
    <t>PVC</t>
  </si>
  <si>
    <t>Seng/Kawat</t>
  </si>
  <si>
    <t>Styrofoam</t>
  </si>
  <si>
    <t>Tembaga</t>
  </si>
  <si>
    <t>Tetrapak/UBC</t>
  </si>
  <si>
    <t>Tutup Botol</t>
  </si>
  <si>
    <t>Tutup Galon</t>
  </si>
  <si>
    <t>TV</t>
  </si>
  <si>
    <t>Yakult</t>
  </si>
  <si>
    <t>Jenis Sampah</t>
  </si>
  <si>
    <t>Berat</t>
  </si>
  <si>
    <t>Harga</t>
  </si>
  <si>
    <t>Tanggal</t>
  </si>
  <si>
    <t>Deskripsi</t>
  </si>
  <si>
    <t>Masuk</t>
  </si>
  <si>
    <t>Keluar</t>
  </si>
  <si>
    <t>Keterangan</t>
  </si>
  <si>
    <t>Saldo</t>
  </si>
  <si>
    <t>Keuntungan Penjualan</t>
  </si>
  <si>
    <t>Konsumsi Anggota</t>
  </si>
  <si>
    <t>Bubur Kacang Ijo</t>
  </si>
  <si>
    <t>Handsaplast</t>
  </si>
  <si>
    <t>P3K</t>
  </si>
  <si>
    <t>Es Kelapa</t>
  </si>
  <si>
    <t>Sarung Tangan Plastik</t>
  </si>
  <si>
    <t>Kertas Nasi</t>
  </si>
  <si>
    <t>Tip Supir</t>
  </si>
  <si>
    <t>Nasabah</t>
  </si>
  <si>
    <t>Material</t>
  </si>
  <si>
    <t>Bu Hadiyana</t>
  </si>
  <si>
    <t>Row Labels</t>
  </si>
  <si>
    <t>Bu Ani</t>
  </si>
  <si>
    <t>Bu Anwar</t>
  </si>
  <si>
    <t>Bu Betria</t>
  </si>
  <si>
    <t>Bu Ecin Dwi</t>
  </si>
  <si>
    <t>Bu Eva</t>
  </si>
  <si>
    <t>Bu Fatimah</t>
  </si>
  <si>
    <t>Bu Febri</t>
  </si>
  <si>
    <t>Bu Fisca</t>
  </si>
  <si>
    <t>Botol PET bersih</t>
  </si>
  <si>
    <t>Bu Halimah</t>
  </si>
  <si>
    <t>Syifa Kamila</t>
  </si>
  <si>
    <t>Impact/Kerasan</t>
  </si>
  <si>
    <t>Bu Ida Amanah</t>
  </si>
  <si>
    <t>Bu Irma</t>
  </si>
  <si>
    <t>HVS/Putihan</t>
  </si>
  <si>
    <t>Bu Kamiem</t>
  </si>
  <si>
    <t>Bu Mimin</t>
  </si>
  <si>
    <t>Bu Nita</t>
  </si>
  <si>
    <t>Bu Mutia</t>
  </si>
  <si>
    <t>Bu Nurlayli</t>
  </si>
  <si>
    <t>Bu Purwani</t>
  </si>
  <si>
    <t>Bu Ratu Tuti</t>
  </si>
  <si>
    <t>Bu Rina</t>
  </si>
  <si>
    <t>Bu Sandra</t>
  </si>
  <si>
    <t>Bu Sariyanti</t>
  </si>
  <si>
    <t>Mama Zura</t>
  </si>
  <si>
    <t>Bu Satini</t>
  </si>
  <si>
    <t>Bu Suci</t>
  </si>
  <si>
    <t>Bu Sukayah</t>
  </si>
  <si>
    <t>Bu Sunarti</t>
  </si>
  <si>
    <t>Bu Wiwin</t>
  </si>
  <si>
    <t>Bu Tunut</t>
  </si>
  <si>
    <t>Bu Yenvitriati</t>
  </si>
  <si>
    <t>Mama Adam</t>
  </si>
  <si>
    <t>Pak Suprayitno</t>
  </si>
  <si>
    <t>Pak Wawan</t>
  </si>
  <si>
    <t>Selly</t>
  </si>
  <si>
    <t>Vena</t>
  </si>
  <si>
    <t>Grand Total</t>
  </si>
  <si>
    <t>Buku, majalah, brosur, koran</t>
  </si>
  <si>
    <t>STAL/Kabin/Enamel</t>
  </si>
  <si>
    <t>Aluminium Rongsok</t>
  </si>
  <si>
    <t>Gelas PP Bersih (bening)</t>
  </si>
  <si>
    <t>Sum of Total</t>
  </si>
  <si>
    <t>Bu Sinta UE</t>
  </si>
  <si>
    <t>Joel RT 6</t>
  </si>
  <si>
    <t>Timbangan Kami Box</t>
  </si>
  <si>
    <t xml:space="preserve">Harga </t>
  </si>
  <si>
    <t>Total Harga</t>
  </si>
  <si>
    <t>TOTAL</t>
  </si>
  <si>
    <t>Sabtu, 8 Mei 2026</t>
  </si>
  <si>
    <t>Sum of Berat</t>
  </si>
  <si>
    <t>Kas Bank Sampah</t>
  </si>
  <si>
    <t>Nama</t>
  </si>
  <si>
    <t>No. RT</t>
  </si>
  <si>
    <t>12 Juli</t>
  </si>
  <si>
    <t>26 Juli</t>
  </si>
  <si>
    <t>9 Agustus</t>
  </si>
  <si>
    <t>23 Agustus</t>
  </si>
  <si>
    <t>7 September</t>
  </si>
  <si>
    <t>21 September</t>
  </si>
  <si>
    <t>19 Oktober</t>
  </si>
  <si>
    <t>1 November</t>
  </si>
  <si>
    <t>15 November</t>
  </si>
  <si>
    <t>13 Desember</t>
  </si>
  <si>
    <t>3 Januari</t>
  </si>
  <si>
    <t>31 Januari</t>
  </si>
  <si>
    <t>15 Februari</t>
  </si>
  <si>
    <t>5 April</t>
  </si>
  <si>
    <t>26 April</t>
  </si>
  <si>
    <t>Sisa Saldo</t>
  </si>
  <si>
    <t>Tanggal Ambil</t>
  </si>
  <si>
    <t>Bu Admini</t>
  </si>
  <si>
    <t>Bu Mala</t>
  </si>
  <si>
    <t>Bu Maryani</t>
  </si>
  <si>
    <t>Cash</t>
  </si>
  <si>
    <t>Bu Nurjanah</t>
  </si>
  <si>
    <t>Bu Tetty Hamdi</t>
  </si>
  <si>
    <t>Bu Wulandari</t>
  </si>
  <si>
    <t>Pak Danny</t>
  </si>
  <si>
    <t>Mama Wahyu</t>
  </si>
  <si>
    <t>Okta</t>
  </si>
  <si>
    <t>Bu Suhermiati</t>
  </si>
  <si>
    <t>Bu Susi</t>
  </si>
  <si>
    <t>Bu Termin</t>
  </si>
  <si>
    <t>Akhsan</t>
  </si>
  <si>
    <t>Bela</t>
  </si>
  <si>
    <t>Bu Alim</t>
  </si>
  <si>
    <t>23 Oktober</t>
  </si>
  <si>
    <t>TF</t>
  </si>
  <si>
    <t>Bu Angga</t>
  </si>
  <si>
    <t>Bu Fardani</t>
  </si>
  <si>
    <t>2 Agustus</t>
  </si>
  <si>
    <t>Bu Hartinah</t>
  </si>
  <si>
    <t>Bu Lia RT 2</t>
  </si>
  <si>
    <t>1 Oktober</t>
  </si>
  <si>
    <t>Bu Martinah</t>
  </si>
  <si>
    <t>Bu Nurhidayah</t>
  </si>
  <si>
    <t>Bu Rustinah</t>
  </si>
  <si>
    <t>Bu Widodo</t>
  </si>
  <si>
    <t>Mbak Nurhayati</t>
  </si>
  <si>
    <t>Transfer</t>
  </si>
  <si>
    <t>Mbak Sari</t>
  </si>
  <si>
    <t>Mama Demas</t>
  </si>
  <si>
    <t>Novem</t>
  </si>
  <si>
    <t>Sela</t>
  </si>
  <si>
    <t>Bu Indrayani</t>
  </si>
  <si>
    <t>Bu Lidia</t>
  </si>
  <si>
    <t>Bu Maria Miski</t>
  </si>
  <si>
    <t>Bu Minah</t>
  </si>
  <si>
    <t>Bu Rumiyati</t>
  </si>
  <si>
    <t>Bu Yayuk</t>
  </si>
  <si>
    <t>dipindah ke bu wiwin</t>
  </si>
  <si>
    <t>Bu Aminah</t>
  </si>
  <si>
    <t>Bu Evi</t>
  </si>
  <si>
    <t>Bu Hana</t>
  </si>
  <si>
    <t>Bu Lia</t>
  </si>
  <si>
    <t>Bu Linda</t>
  </si>
  <si>
    <t>Bu Nining</t>
  </si>
  <si>
    <t>Bu Neni</t>
  </si>
  <si>
    <t>Bu Riris</t>
  </si>
  <si>
    <t>Bu Rindra</t>
  </si>
  <si>
    <t>Bu Sarmiyah</t>
  </si>
  <si>
    <t>Bu Sarti</t>
  </si>
  <si>
    <t>Bu Siti Mutmainah</t>
  </si>
  <si>
    <t>Bu Siti Alfiyah</t>
  </si>
  <si>
    <t>Bu Titin</t>
  </si>
  <si>
    <t>Bu Suriya</t>
  </si>
  <si>
    <t>Bu Wuri</t>
  </si>
  <si>
    <t>Dame</t>
  </si>
  <si>
    <t>Pak Sumarman</t>
  </si>
  <si>
    <t>Mba Dian</t>
  </si>
  <si>
    <t>Pak Giri</t>
  </si>
  <si>
    <t>Bu Arsudin</t>
  </si>
  <si>
    <t>Bu Dida</t>
  </si>
  <si>
    <t>Bu Nurhayati</t>
  </si>
  <si>
    <t>Bu Sri Retno</t>
  </si>
  <si>
    <t>Bu Uum</t>
  </si>
  <si>
    <t>Bu Yanti</t>
  </si>
  <si>
    <t>Bu Lilis</t>
  </si>
  <si>
    <t>Rafi</t>
  </si>
  <si>
    <t>Pak Soleh</t>
  </si>
  <si>
    <t>Oma Carrisa</t>
  </si>
  <si>
    <t>Mas Angga</t>
  </si>
  <si>
    <t>Sahabat Qur'an</t>
  </si>
  <si>
    <t>Nabil</t>
  </si>
  <si>
    <t>Dipo</t>
  </si>
  <si>
    <t>Eshan</t>
  </si>
  <si>
    <t>Bu Hartati</t>
  </si>
  <si>
    <t>Bu Maesaroh</t>
  </si>
  <si>
    <t>Pak Ade K</t>
  </si>
  <si>
    <t>Bu Maryati</t>
  </si>
  <si>
    <t>Bu Rina RT 7</t>
  </si>
  <si>
    <t>Bu Ani RT 7</t>
  </si>
  <si>
    <t>Bu Devilie</t>
  </si>
  <si>
    <t>Kp Bambu</t>
  </si>
  <si>
    <t>Bu Lena</t>
  </si>
  <si>
    <t>Karang Taruna</t>
  </si>
  <si>
    <t>Pos</t>
  </si>
  <si>
    <t>Kas</t>
  </si>
  <si>
    <t>TD</t>
  </si>
  <si>
    <t>Bu Larasati</t>
  </si>
  <si>
    <t>UE</t>
  </si>
  <si>
    <t>Bu Sri Rukiyati</t>
  </si>
  <si>
    <t>Bu Yanti Bela</t>
  </si>
  <si>
    <t>UB</t>
  </si>
  <si>
    <t>Bu Virgiawan</t>
  </si>
  <si>
    <t>Bu Natira Salmawati</t>
  </si>
  <si>
    <t>Bu Vivi</t>
  </si>
  <si>
    <t>Bu Ani RW 21</t>
  </si>
  <si>
    <t>RW 21</t>
  </si>
  <si>
    <t>RW 19</t>
  </si>
  <si>
    <t>8 Mei</t>
  </si>
  <si>
    <t>Cat Pot</t>
  </si>
  <si>
    <t>Paku</t>
  </si>
  <si>
    <t>RT</t>
  </si>
  <si>
    <t>Gloria RT 5</t>
  </si>
  <si>
    <t>Karung</t>
  </si>
  <si>
    <t>Bu Tria Blok Uc</t>
  </si>
  <si>
    <t>Gloria Rt 5</t>
  </si>
  <si>
    <t>Plastik PP</t>
  </si>
  <si>
    <t>UC</t>
  </si>
  <si>
    <t>Plastik Sablon</t>
  </si>
  <si>
    <t>Pak Rudi</t>
  </si>
  <si>
    <t>Pak Jamil</t>
  </si>
  <si>
    <t>Warbo</t>
  </si>
  <si>
    <t>Popi</t>
  </si>
  <si>
    <t>Warbi</t>
  </si>
  <si>
    <t>Danang</t>
  </si>
  <si>
    <t>Sum of Total Harga</t>
  </si>
  <si>
    <t>alumunium2</t>
  </si>
  <si>
    <t>Sabtu, 30 Mei 2026</t>
  </si>
  <si>
    <t>30 Mei</t>
  </si>
  <si>
    <t>Warung</t>
  </si>
  <si>
    <t>Soto</t>
  </si>
  <si>
    <t>Dipinjamkan ke PKK</t>
  </si>
  <si>
    <t>Pembayaran Cor Balai</t>
  </si>
  <si>
    <t>Deposit PKK</t>
  </si>
  <si>
    <t>Peralatan Bank Sampah</t>
  </si>
  <si>
    <t>Kawat</t>
  </si>
  <si>
    <t>Besi ke Pak Surat</t>
  </si>
  <si>
    <t>Sedot WC Bulan Mei</t>
  </si>
  <si>
    <t>Sedot WC Bulan Juni</t>
  </si>
  <si>
    <t>Engsel</t>
  </si>
  <si>
    <t>Baja ke Pak Surat</t>
  </si>
  <si>
    <t>Bu Yanti Warmindo</t>
  </si>
  <si>
    <t>Warbi Warmindo</t>
  </si>
  <si>
    <t>Kabel Alumunium</t>
  </si>
  <si>
    <t>Sahabat Qur'An</t>
  </si>
  <si>
    <t>Minggu, 21 Juni 2026</t>
  </si>
  <si>
    <t>Aruna RT 5</t>
  </si>
  <si>
    <t>Vina RT 3</t>
  </si>
  <si>
    <t>Timbangan Non Kami Box</t>
  </si>
  <si>
    <t>Pak Surat</t>
  </si>
  <si>
    <t>Tip Supir+Kopi</t>
  </si>
  <si>
    <t>Pak Muslih</t>
  </si>
  <si>
    <t>Titipan</t>
  </si>
  <si>
    <t>Bank Sampah Dasana UB</t>
  </si>
  <si>
    <t>Masuk Bulan Depan</t>
  </si>
  <si>
    <t>Pak Jamil Warmindo</t>
  </si>
  <si>
    <t>Danang Warmindo</t>
  </si>
  <si>
    <t>21 Juni</t>
  </si>
  <si>
    <t>Warmindo</t>
  </si>
  <si>
    <t>Tabungan</t>
  </si>
  <si>
    <t>Tanah</t>
  </si>
  <si>
    <t>Mie ayam</t>
  </si>
  <si>
    <t>Sop buah</t>
  </si>
  <si>
    <t>Kelapa</t>
  </si>
  <si>
    <t>Sekrup</t>
  </si>
  <si>
    <t>Air+sendok</t>
  </si>
  <si>
    <t>Nasi ayam</t>
  </si>
  <si>
    <t>Sedot WC Bulan Juli</t>
  </si>
  <si>
    <t>MBA DIAN</t>
  </si>
  <si>
    <t>Baja Ringan</t>
  </si>
  <si>
    <t>BU FEBRI</t>
  </si>
  <si>
    <t>Selang</t>
  </si>
  <si>
    <t>BU SARTI</t>
  </si>
  <si>
    <t>BU NURLAYLI</t>
  </si>
  <si>
    <t>BU IRMA</t>
  </si>
  <si>
    <t>KAS</t>
  </si>
  <si>
    <t>BU TETTY HAMDI</t>
  </si>
  <si>
    <t>BU ANI</t>
  </si>
  <si>
    <t>VENA</t>
  </si>
  <si>
    <t>BU SITI ALFIYAH</t>
  </si>
  <si>
    <t>PAK WAWAN</t>
  </si>
  <si>
    <t>BU HARTINAH</t>
  </si>
  <si>
    <t>BU FATIMAH</t>
  </si>
  <si>
    <t>AKHSAN</t>
  </si>
  <si>
    <t>BU RATIH RT 5</t>
  </si>
  <si>
    <t>PAK SUMARMAN</t>
  </si>
  <si>
    <t>BU NURJANAH</t>
  </si>
  <si>
    <t>BU LINDA RW 19</t>
  </si>
  <si>
    <t>MAMA ADAM</t>
  </si>
  <si>
    <t>BU ANWAR</t>
  </si>
  <si>
    <t>BU TUNUT</t>
  </si>
  <si>
    <t>BU SANDRA</t>
  </si>
  <si>
    <t>BU RINDRA</t>
  </si>
  <si>
    <t>DAME</t>
  </si>
  <si>
    <t>BU MINAH</t>
  </si>
  <si>
    <t>BU HADIYANA</t>
  </si>
  <si>
    <t>BU WIDODO</t>
  </si>
  <si>
    <t>ESHAN</t>
  </si>
  <si>
    <t>BU SURIYA</t>
  </si>
  <si>
    <t>BU YANTI</t>
  </si>
  <si>
    <t>BU SARIYANTI</t>
  </si>
  <si>
    <t>VINA RT 3</t>
  </si>
  <si>
    <t>SAHABAT QUR'AN</t>
  </si>
  <si>
    <t>BU RUMIYATI</t>
  </si>
  <si>
    <t>BU TERMIN</t>
  </si>
  <si>
    <t>BU NENI</t>
  </si>
  <si>
    <t>OMA CARRISA</t>
  </si>
  <si>
    <t>BU SRI RETNO</t>
  </si>
  <si>
    <t>BU NATIRA SALMAWATI</t>
  </si>
  <si>
    <t>BU WIWIN</t>
  </si>
  <si>
    <t>BU YENVITRIATI</t>
  </si>
  <si>
    <t>BU BETRIA</t>
  </si>
  <si>
    <t>BU YANTI BELA</t>
  </si>
  <si>
    <t>BU SUHERMIATI</t>
  </si>
  <si>
    <t>BU RINA</t>
  </si>
  <si>
    <t>BU ECIN DWI</t>
  </si>
  <si>
    <t>SELLY</t>
  </si>
  <si>
    <t>11 Juli</t>
  </si>
  <si>
    <t>Bu Linda RW 19</t>
  </si>
  <si>
    <t>PAK JAMIL</t>
  </si>
  <si>
    <t>DANANG</t>
  </si>
  <si>
    <t>WARBO</t>
  </si>
  <si>
    <t>POPI</t>
  </si>
  <si>
    <t>BU ANI RW 21</t>
  </si>
  <si>
    <t>Sabtu, 11 Juli 2026</t>
  </si>
  <si>
    <t>titipan (UB, UC, RW 21)</t>
  </si>
  <si>
    <t>Nasabah (21 Juni, 11 Juli)</t>
  </si>
  <si>
    <t>JELANTAH</t>
  </si>
  <si>
    <t>Keuntungan Jelantah</t>
  </si>
  <si>
    <t>BU RATIH</t>
  </si>
  <si>
    <t>VINA</t>
  </si>
  <si>
    <t>Bu Ratih</t>
  </si>
  <si>
    <t>Rapat Inti</t>
  </si>
  <si>
    <t>Sop Bakso</t>
  </si>
  <si>
    <t>DIPO</t>
  </si>
  <si>
    <t>BU IDA AMANAH</t>
  </si>
  <si>
    <t>BU LILIS</t>
  </si>
  <si>
    <t>BU ANGGA</t>
  </si>
  <si>
    <t>BU KAMIEM</t>
  </si>
  <si>
    <t>BU MIMIN</t>
  </si>
  <si>
    <t>BU NITA</t>
  </si>
  <si>
    <t>BU TUTI RT 1</t>
  </si>
  <si>
    <t>Kipas Angin</t>
  </si>
  <si>
    <t>BU RATU TUTI</t>
  </si>
  <si>
    <t>PAK SUPRAYITNO</t>
  </si>
  <si>
    <t>BU SUCI</t>
  </si>
  <si>
    <t>PAK DANNY</t>
  </si>
  <si>
    <t>BU SARMIYAH</t>
  </si>
  <si>
    <t>BU RIRIS</t>
  </si>
  <si>
    <t>MAMA WAHYU</t>
  </si>
  <si>
    <t>BU SUNARTI</t>
  </si>
  <si>
    <t>BU PURWANI</t>
  </si>
  <si>
    <t>MBAK NURHAYATI</t>
  </si>
  <si>
    <t>BU ADMINI</t>
  </si>
  <si>
    <t>Rujak, Es Jeruk</t>
  </si>
  <si>
    <t>Kabel dan Fissher</t>
  </si>
  <si>
    <t>Saklar</t>
  </si>
  <si>
    <t>Sosis dan Tofu</t>
  </si>
  <si>
    <t>Sedot WC Bulan Agustus</t>
  </si>
  <si>
    <t>Sabtu, 1 Agustus 2026</t>
  </si>
  <si>
    <t>1Agustus</t>
  </si>
  <si>
    <t>Selang Air</t>
  </si>
  <si>
    <t>Sedot WC Bulan September</t>
  </si>
  <si>
    <t>PAK GIRI</t>
  </si>
  <si>
    <t>SYIFA KAMILA</t>
  </si>
  <si>
    <t>BU DIDA</t>
  </si>
  <si>
    <t>BU NINING</t>
  </si>
  <si>
    <t>BU LIDIA</t>
  </si>
  <si>
    <t>masuk emberan</t>
  </si>
  <si>
    <t>BANK SAMPAH DASANA UB</t>
  </si>
  <si>
    <t>Sabtu, 22 Agustus 2026</t>
  </si>
  <si>
    <t>22 Agustus</t>
  </si>
  <si>
    <t>Bu Tuti RW 17</t>
  </si>
  <si>
    <t>RW 17</t>
  </si>
  <si>
    <t>BU TUTI RT 17</t>
  </si>
  <si>
    <t>BU SUKAYAH</t>
  </si>
  <si>
    <t>BU WURI</t>
  </si>
  <si>
    <t>NOVEM</t>
  </si>
  <si>
    <t>BU SATINI</t>
  </si>
  <si>
    <t>Sabtu, 12 September 2026</t>
  </si>
  <si>
    <t>Hokben</t>
  </si>
  <si>
    <t>Parkir</t>
  </si>
  <si>
    <t>Jajan</t>
  </si>
  <si>
    <t>12 September</t>
  </si>
  <si>
    <t>BPJS Anggota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</si>
</sst>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2" applyNumberFormat="1" applyFont="1"/>
    <xf numFmtId="0" fontId="0" fillId="2" borderId="0" xfId="0" applyFill="1"/>
    <xf numFmtId="165" fontId="0" fillId="0" borderId="0" xfId="0" applyNumberForma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14" fontId="0" fillId="0" borderId="0" xfId="0" applyNumberFormat="1"/>
    <xf numFmtId="166" fontId="2" fillId="0" borderId="0" xfId="1" applyNumberFormat="1" applyFont="1" applyAlignment="1">
      <alignment horizontal="center" vertical="center"/>
    </xf>
    <xf numFmtId="166" fontId="0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166" fontId="3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left" vertical="center"/>
    </xf>
    <xf numFmtId="165" fontId="0" fillId="0" borderId="1" xfId="2" applyNumberFormat="1" applyFont="1" applyBorder="1"/>
    <xf numFmtId="166" fontId="0" fillId="0" borderId="0" xfId="0" applyNumberForma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2" applyNumberFormat="1" applyFont="1" applyFill="1" applyBorder="1" applyAlignment="1">
      <alignment horizontal="center"/>
    </xf>
    <xf numFmtId="0" fontId="0" fillId="0" borderId="1" xfId="0" applyBorder="1"/>
    <xf numFmtId="165" fontId="0" fillId="0" borderId="1" xfId="2" applyNumberFormat="1" applyFont="1" applyFill="1" applyBorder="1"/>
    <xf numFmtId="164" fontId="0" fillId="0" borderId="1" xfId="2" applyFont="1" applyFill="1" applyBorder="1"/>
    <xf numFmtId="164" fontId="2" fillId="0" borderId="1" xfId="2" applyFont="1" applyFill="1" applyBorder="1"/>
    <xf numFmtId="165" fontId="2" fillId="3" borderId="1" xfId="2" applyNumberFormat="1" applyFont="1" applyFill="1" applyBorder="1"/>
    <xf numFmtId="43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 vertical="center"/>
    </xf>
    <xf numFmtId="0" fontId="0" fillId="5" borderId="0" xfId="0" applyFill="1"/>
    <xf numFmtId="165" fontId="0" fillId="6" borderId="0" xfId="0" applyNumberFormat="1" applyFill="1"/>
    <xf numFmtId="0" fontId="0" fillId="0" borderId="0" xfId="0" quotePrefix="1"/>
    <xf numFmtId="165" fontId="0" fillId="0" borderId="0" xfId="2" applyNumberFormat="1" applyFont="1" applyFill="1"/>
    <xf numFmtId="49" fontId="0" fillId="0" borderId="0" xfId="0" applyNumberFormat="1" applyAlignment="1">
      <alignment horizontal="left" vertical="center"/>
    </xf>
    <xf numFmtId="165" fontId="2" fillId="0" borderId="0" xfId="2" applyNumberFormat="1" applyFont="1"/>
    <xf numFmtId="49" fontId="2" fillId="0" borderId="0" xfId="2" applyNumberFormat="1" applyFont="1" applyAlignment="1">
      <alignment horizontal="center" vertical="center"/>
    </xf>
    <xf numFmtId="43" fontId="0" fillId="0" borderId="1" xfId="1" applyFont="1" applyBorder="1" applyAlignment="1">
      <alignment horizontal="left" vertical="center"/>
    </xf>
    <xf numFmtId="165" fontId="0" fillId="0" borderId="0" xfId="2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3" fontId="0" fillId="0" borderId="2" xfId="1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Border="1" applyAlignment="1">
      <alignment horizontal="left" vertical="center"/>
    </xf>
    <xf numFmtId="43" fontId="0" fillId="0" borderId="0" xfId="1" applyFont="1" applyBorder="1" applyAlignment="1">
      <alignment horizontal="left" vertical="center"/>
    </xf>
    <xf numFmtId="165" fontId="0" fillId="0" borderId="0" xfId="2" applyNumberFormat="1" applyFont="1" applyFill="1" applyBorder="1"/>
    <xf numFmtId="43" fontId="0" fillId="0" borderId="0" xfId="1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166" fontId="0" fillId="5" borderId="0" xfId="1" applyNumberFormat="1" applyFont="1" applyFill="1"/>
    <xf numFmtId="166" fontId="0" fillId="7" borderId="0" xfId="1" applyNumberFormat="1" applyFont="1" applyFill="1"/>
    <xf numFmtId="0" fontId="4" fillId="0" borderId="1" xfId="0" applyFont="1" applyBorder="1" applyAlignment="1">
      <alignment horizontal="center" vertical="center"/>
    </xf>
    <xf numFmtId="43" fontId="0" fillId="0" borderId="0" xfId="1" applyFont="1"/>
    <xf numFmtId="166" fontId="4" fillId="0" borderId="1" xfId="1" applyNumberFormat="1" applyFont="1" applyBorder="1" applyAlignment="1">
      <alignment horizontal="center" vertical="center"/>
    </xf>
    <xf numFmtId="165" fontId="0" fillId="5" borderId="0" xfId="2" applyNumberFormat="1" applyFont="1" applyFill="1"/>
    <xf numFmtId="0" fontId="0" fillId="0" borderId="3" xfId="0" applyBorder="1" applyAlignment="1">
      <alignment horizontal="left" vertical="center"/>
    </xf>
    <xf numFmtId="164" fontId="0" fillId="5" borderId="1" xfId="2" applyFont="1" applyFill="1" applyBorder="1"/>
    <xf numFmtId="166" fontId="0" fillId="8" borderId="0" xfId="1" applyNumberFormat="1" applyFont="1" applyFill="1"/>
    <xf numFmtId="3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3" fontId="0" fillId="0" borderId="1" xfId="1" applyFont="1" applyFill="1" applyBorder="1" applyAlignment="1">
      <alignment horizontal="left" vertical="center"/>
    </xf>
    <xf numFmtId="3" fontId="0" fillId="0" borderId="1" xfId="0" applyNumberFormat="1" applyBorder="1"/>
    <xf numFmtId="43" fontId="0" fillId="0" borderId="1" xfId="1" applyFont="1" applyBorder="1"/>
    <xf numFmtId="0" fontId="0" fillId="9" borderId="0" xfId="0" applyFill="1"/>
    <xf numFmtId="0" fontId="0" fillId="9" borderId="1" xfId="0" applyFill="1" applyBorder="1"/>
    <xf numFmtId="165" fontId="0" fillId="9" borderId="1" xfId="2" applyNumberFormat="1" applyFont="1" applyFill="1" applyBorder="1"/>
    <xf numFmtId="164" fontId="0" fillId="9" borderId="1" xfId="2" applyFont="1" applyFill="1" applyBorder="1"/>
    <xf numFmtId="0" fontId="0" fillId="9" borderId="0" xfId="0" applyFill="1" applyAlignment="1">
      <alignment horizontal="left" vertical="center"/>
    </xf>
    <xf numFmtId="43" fontId="0" fillId="2" borderId="0" xfId="1" applyFont="1" applyFill="1"/>
    <xf numFmtId="165" fontId="0" fillId="5" borderId="0" xfId="0" applyNumberFormat="1" applyFill="1"/>
    <xf numFmtId="164" fontId="0" fillId="0" borderId="0" xfId="2" applyFont="1" applyFill="1" applyBorder="1"/>
    <xf numFmtId="164" fontId="2" fillId="0" borderId="0" xfId="2" applyFont="1" applyFill="1" applyBorder="1"/>
    <xf numFmtId="165" fontId="2" fillId="0" borderId="0" xfId="2" applyNumberFormat="1" applyFont="1" applyFill="1" applyBorder="1"/>
    <xf numFmtId="0" fontId="2" fillId="0" borderId="1" xfId="0" applyFont="1" applyBorder="1"/>
    <xf numFmtId="43" fontId="2" fillId="0" borderId="1" xfId="1" applyFont="1" applyFill="1" applyBorder="1"/>
    <xf numFmtId="165" fontId="2" fillId="0" borderId="1" xfId="2" applyNumberFormat="1" applyFont="1" applyFill="1" applyBorder="1"/>
    <xf numFmtId="165" fontId="0" fillId="2" borderId="0" xfId="0" applyNumberFormat="1" applyFill="1"/>
    <xf numFmtId="43" fontId="4" fillId="0" borderId="1" xfId="1" applyFont="1" applyBorder="1" applyAlignment="1">
      <alignment horizontal="center" vertical="center"/>
    </xf>
    <xf numFmtId="0" fontId="0" fillId="0" borderId="3" xfId="0" applyBorder="1"/>
    <xf numFmtId="164" fontId="0" fillId="0" borderId="3" xfId="2" applyFont="1" applyFill="1" applyBorder="1"/>
    <xf numFmtId="165" fontId="0" fillId="5" borderId="1" xfId="2" applyNumberFormat="1" applyFont="1" applyFill="1" applyBorder="1"/>
    <xf numFmtId="166" fontId="0" fillId="9" borderId="0" xfId="1" applyNumberFormat="1" applyFont="1" applyFill="1"/>
    <xf numFmtId="0" fontId="2" fillId="4" borderId="0" xfId="2" applyNumberFormat="1" applyFont="1" applyFill="1" applyAlignment="1">
      <alignment horizontal="center" vertical="center"/>
    </xf>
    <xf numFmtId="0" fontId="2" fillId="4" borderId="0" xfId="2" applyNumberFormat="1" applyFont="1" applyFill="1" applyAlignment="1">
      <alignment horizontal="center"/>
    </xf>
  </cellXfs>
  <cellStyles count="3">
    <cellStyle name="Comma" xfId="1" builtinId="3"/>
    <cellStyle name="Comma 2" xfId="2" xr:uid="{FE99AEB5-04DB-485F-89F1-AC0AEE2DAB3A}"/>
    <cellStyle name="Normal" xfId="0" builtinId="0"/>
  </cellStyles>
  <dxfs count="11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uthfi\00\Bank%20Sampah.xlsx" TargetMode="External"/><Relationship Id="rId1" Type="http://schemas.openxmlformats.org/officeDocument/2006/relationships/externalLinkPath" Target="Bank%20Samp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hflow"/>
      <sheetName val="Sheet1"/>
      <sheetName val="Pak Surat"/>
      <sheetName val="Kas"/>
      <sheetName val="Tabungan"/>
      <sheetName val="Bu Erta"/>
      <sheetName val="KamiBox"/>
      <sheetName val="Tabungan Nasabah"/>
      <sheetName val="26-04-26"/>
      <sheetName val="5-04-26"/>
      <sheetName val="15-02-26"/>
      <sheetName val="31-1-26"/>
      <sheetName val="3-1-26"/>
      <sheetName val="13-12-25"/>
      <sheetName val="15-11-25"/>
      <sheetName val="1-11-25"/>
      <sheetName val="19-10-25"/>
      <sheetName val="21-9-2025"/>
      <sheetName val="7-9-2025"/>
      <sheetName val="23-8-2025"/>
      <sheetName val="9-8-2025"/>
      <sheetName val="26-7-2025"/>
      <sheetName val="12-7-2025"/>
    </sheetNames>
    <sheetDataSet>
      <sheetData sheetId="0"/>
      <sheetData sheetId="1"/>
      <sheetData sheetId="2"/>
      <sheetData sheetId="3">
        <row r="87">
          <cell r="E87">
            <v>484345</v>
          </cell>
        </row>
      </sheetData>
      <sheetData sheetId="4"/>
      <sheetData sheetId="5">
        <row r="2">
          <cell r="C2" t="str">
            <v>Jenis Barang</v>
          </cell>
          <cell r="D2" t="str">
            <v>Jumlah</v>
          </cell>
          <cell r="E2" t="str">
            <v>Harga Nasabah</v>
          </cell>
        </row>
        <row r="3">
          <cell r="C3" t="str">
            <v>Acrylic</v>
          </cell>
          <cell r="E3">
            <v>1200</v>
          </cell>
        </row>
        <row r="4">
          <cell r="C4" t="str">
            <v>AC Blower</v>
          </cell>
          <cell r="E4">
            <v>90000</v>
          </cell>
        </row>
        <row r="5">
          <cell r="C5" t="str">
            <v>AC Indoor</v>
          </cell>
          <cell r="E5">
            <v>35000</v>
          </cell>
        </row>
        <row r="6">
          <cell r="C6" t="str">
            <v>Aki</v>
          </cell>
          <cell r="E6">
            <v>6000</v>
          </cell>
        </row>
        <row r="7">
          <cell r="C7" t="str">
            <v>Alumunium</v>
          </cell>
          <cell r="E7">
            <v>8000</v>
          </cell>
        </row>
        <row r="8">
          <cell r="C8" t="str">
            <v>Alumunium Foil</v>
          </cell>
          <cell r="E8">
            <v>3500</v>
          </cell>
        </row>
        <row r="9">
          <cell r="C9" t="str">
            <v>Asoy</v>
          </cell>
          <cell r="E9">
            <v>200</v>
          </cell>
        </row>
        <row r="10">
          <cell r="C10" t="str">
            <v>Babet</v>
          </cell>
          <cell r="E10">
            <v>7500</v>
          </cell>
        </row>
        <row r="11">
          <cell r="C11" t="str">
            <v>Ban Bekas</v>
          </cell>
          <cell r="E11">
            <v>150</v>
          </cell>
        </row>
        <row r="12">
          <cell r="C12" t="str">
            <v>Besi</v>
          </cell>
          <cell r="E12">
            <v>2500</v>
          </cell>
        </row>
        <row r="13">
          <cell r="C13" t="str">
            <v>Boncos</v>
          </cell>
          <cell r="E13">
            <v>300</v>
          </cell>
        </row>
        <row r="14">
          <cell r="C14" t="str">
            <v>Botol &amp; Gelas Putih (Kotor)</v>
          </cell>
          <cell r="E14">
            <v>1600</v>
          </cell>
        </row>
        <row r="15">
          <cell r="C15" t="str">
            <v>Botol &amp; Kaca Beling</v>
          </cell>
          <cell r="E15">
            <v>150</v>
          </cell>
        </row>
        <row r="16">
          <cell r="C16" t="str">
            <v>Botol Berwarna</v>
          </cell>
          <cell r="E16">
            <v>800</v>
          </cell>
        </row>
        <row r="17">
          <cell r="C17" t="str">
            <v>Botol Putih Bersih</v>
          </cell>
          <cell r="E17">
            <v>2800</v>
          </cell>
        </row>
        <row r="18">
          <cell r="C18" t="str">
            <v>Buku Tulis &amp; Pelajaran</v>
          </cell>
          <cell r="E18">
            <v>1200</v>
          </cell>
        </row>
        <row r="19">
          <cell r="C19" t="str">
            <v>CD Kristal</v>
          </cell>
          <cell r="E19">
            <v>5000</v>
          </cell>
        </row>
        <row r="20">
          <cell r="C20" t="str">
            <v>CPU</v>
          </cell>
          <cell r="E20">
            <v>14000</v>
          </cell>
        </row>
        <row r="21">
          <cell r="C21" t="str">
            <v>Emberan</v>
          </cell>
          <cell r="E21">
            <v>1400</v>
          </cell>
        </row>
        <row r="22">
          <cell r="C22" t="str">
            <v>Gabrukan</v>
          </cell>
          <cell r="E22">
            <v>1000</v>
          </cell>
        </row>
        <row r="23">
          <cell r="C23" t="str">
            <v>Galon Aqua</v>
          </cell>
          <cell r="E23">
            <v>4000</v>
          </cell>
        </row>
        <row r="24">
          <cell r="C24" t="str">
            <v>Gelas Berwarna</v>
          </cell>
          <cell r="E24">
            <v>1300</v>
          </cell>
        </row>
        <row r="25">
          <cell r="C25" t="str">
            <v>Gelas Putih Bersih</v>
          </cell>
          <cell r="E25">
            <v>3500</v>
          </cell>
        </row>
        <row r="26">
          <cell r="C26" t="str">
            <v>Handphone</v>
          </cell>
          <cell r="E26">
            <v>1800</v>
          </cell>
        </row>
        <row r="27">
          <cell r="C27" t="str">
            <v>Impact</v>
          </cell>
          <cell r="E27">
            <v>600</v>
          </cell>
        </row>
        <row r="28">
          <cell r="C28" t="str">
            <v>Injek</v>
          </cell>
          <cell r="E28">
            <v>1600</v>
          </cell>
        </row>
        <row r="29">
          <cell r="C29" t="str">
            <v>Kabel</v>
          </cell>
          <cell r="E29">
            <v>1400</v>
          </cell>
        </row>
        <row r="30">
          <cell r="C30" t="str">
            <v>Kabel Internet</v>
          </cell>
          <cell r="E30">
            <v>150</v>
          </cell>
        </row>
        <row r="31">
          <cell r="C31" t="str">
            <v>Kabel Kulit</v>
          </cell>
          <cell r="E31">
            <v>700</v>
          </cell>
        </row>
        <row r="32">
          <cell r="C32" t="str">
            <v>Kabin</v>
          </cell>
          <cell r="E32">
            <v>1800</v>
          </cell>
        </row>
        <row r="33">
          <cell r="C33" t="str">
            <v>Kaleng</v>
          </cell>
          <cell r="E33">
            <v>1500</v>
          </cell>
        </row>
        <row r="34">
          <cell r="C34" t="str">
            <v>Kardus Baik/Kering</v>
          </cell>
          <cell r="E34">
            <v>1000</v>
          </cell>
        </row>
        <row r="35">
          <cell r="C35" t="str">
            <v>Karpet Talang</v>
          </cell>
          <cell r="E35">
            <v>400</v>
          </cell>
        </row>
        <row r="36">
          <cell r="C36" t="str">
            <v>Karung Beras</v>
          </cell>
          <cell r="E36">
            <v>400</v>
          </cell>
        </row>
        <row r="37">
          <cell r="C37" t="str">
            <v>Kawat</v>
          </cell>
          <cell r="E37">
            <v>700</v>
          </cell>
        </row>
        <row r="38">
          <cell r="C38" t="str">
            <v>Kertas HVS Putih</v>
          </cell>
          <cell r="E38">
            <v>1400</v>
          </cell>
        </row>
        <row r="39">
          <cell r="C39" t="str">
            <v>Kertas Semen</v>
          </cell>
          <cell r="E39">
            <v>1300</v>
          </cell>
        </row>
        <row r="40">
          <cell r="C40" t="str">
            <v>Kipas Angin</v>
          </cell>
          <cell r="E40">
            <v>13000</v>
          </cell>
        </row>
        <row r="41">
          <cell r="C41" t="str">
            <v>Koran/LKS</v>
          </cell>
          <cell r="E41">
            <v>800</v>
          </cell>
        </row>
        <row r="42">
          <cell r="C42" t="str">
            <v>Kulkas 1 Pintu</v>
          </cell>
          <cell r="E42">
            <v>40000</v>
          </cell>
        </row>
        <row r="43">
          <cell r="C43" t="str">
            <v>Kulkas 2 Pintu</v>
          </cell>
          <cell r="E43">
            <v>50000</v>
          </cell>
        </row>
        <row r="44">
          <cell r="C44" t="str">
            <v>Kuningan</v>
          </cell>
          <cell r="E44">
            <v>25000</v>
          </cell>
        </row>
        <row r="45">
          <cell r="C45" t="str">
            <v>Magic Com Lengkap</v>
          </cell>
          <cell r="E45">
            <v>10000</v>
          </cell>
        </row>
        <row r="46">
          <cell r="C46" t="str">
            <v>Majalah</v>
          </cell>
          <cell r="E46">
            <v>600</v>
          </cell>
        </row>
        <row r="47">
          <cell r="C47" t="str">
            <v>Mesin Cuci</v>
          </cell>
          <cell r="E47">
            <v>35000</v>
          </cell>
        </row>
        <row r="48">
          <cell r="C48" t="str">
            <v>Minyak Jelantah</v>
          </cell>
          <cell r="E48">
            <v>4000</v>
          </cell>
        </row>
        <row r="49">
          <cell r="C49" t="str">
            <v>Multilayer</v>
          </cell>
          <cell r="E49">
            <v>300</v>
          </cell>
        </row>
        <row r="50">
          <cell r="C50" t="str">
            <v>Monitor LED</v>
          </cell>
          <cell r="E50">
            <v>8000</v>
          </cell>
        </row>
        <row r="51">
          <cell r="C51" t="str">
            <v>Monitor Tabung</v>
          </cell>
          <cell r="E51">
            <v>13000</v>
          </cell>
        </row>
        <row r="52">
          <cell r="C52" t="str">
            <v>Naso</v>
          </cell>
          <cell r="E52">
            <v>2000</v>
          </cell>
        </row>
        <row r="53">
          <cell r="C53" t="str">
            <v>Oli Bekas</v>
          </cell>
          <cell r="E53">
            <v>500</v>
          </cell>
        </row>
        <row r="54">
          <cell r="C54" t="str">
            <v>Paralon</v>
          </cell>
          <cell r="E54">
            <v>1200</v>
          </cell>
        </row>
        <row r="55">
          <cell r="C55" t="str">
            <v>Plastik (PE)</v>
          </cell>
          <cell r="E55">
            <v>800</v>
          </cell>
        </row>
        <row r="56">
          <cell r="C56" t="str">
            <v>Selang Air</v>
          </cell>
          <cell r="E56">
            <v>400</v>
          </cell>
        </row>
        <row r="57">
          <cell r="C57" t="str">
            <v>Seng</v>
          </cell>
          <cell r="E57">
            <v>800</v>
          </cell>
        </row>
        <row r="58">
          <cell r="C58" t="str">
            <v>Seng Pasir</v>
          </cell>
          <cell r="E58">
            <v>700</v>
          </cell>
        </row>
        <row r="59">
          <cell r="C59" t="str">
            <v>Sterofoam</v>
          </cell>
          <cell r="E59">
            <v>150</v>
          </cell>
        </row>
        <row r="60">
          <cell r="C60" t="str">
            <v>Tembaga</v>
          </cell>
          <cell r="E60">
            <v>50000</v>
          </cell>
        </row>
        <row r="61">
          <cell r="C61" t="str">
            <v>Toples Kue Kristal</v>
          </cell>
          <cell r="E61">
            <v>2700</v>
          </cell>
        </row>
        <row r="62">
          <cell r="C62" t="str">
            <v>Try Telur</v>
          </cell>
          <cell r="E62">
            <v>150</v>
          </cell>
        </row>
        <row r="63">
          <cell r="C63" t="str">
            <v>Tutup Botol</v>
          </cell>
          <cell r="E63">
            <v>2500</v>
          </cell>
        </row>
        <row r="64">
          <cell r="C64" t="str">
            <v>Tutup Galon</v>
          </cell>
          <cell r="E64">
            <v>3500</v>
          </cell>
        </row>
        <row r="65">
          <cell r="C65" t="str">
            <v>TV LED</v>
          </cell>
          <cell r="E65">
            <v>8000</v>
          </cell>
        </row>
        <row r="66">
          <cell r="C66" t="str">
            <v>TV Tabung</v>
          </cell>
          <cell r="E66">
            <v>13000</v>
          </cell>
        </row>
      </sheetData>
      <sheetData sheetId="6">
        <row r="2">
          <cell r="C2" t="str">
            <v>Jenis Barang</v>
          </cell>
          <cell r="D2" t="str">
            <v>Jumlah</v>
          </cell>
          <cell r="E2" t="str">
            <v>Harga Nasabah</v>
          </cell>
          <cell r="F2" t="str">
            <v>Harga Lapak</v>
          </cell>
        </row>
        <row r="3">
          <cell r="C3" t="str">
            <v>AC</v>
          </cell>
          <cell r="E3">
            <v>90000</v>
          </cell>
          <cell r="F3">
            <v>200000</v>
          </cell>
        </row>
        <row r="4">
          <cell r="C4" t="str">
            <v>Aki</v>
          </cell>
          <cell r="E4">
            <v>6000</v>
          </cell>
          <cell r="F4">
            <v>9000</v>
          </cell>
        </row>
        <row r="5">
          <cell r="C5" t="str">
            <v>Akrilik Putih</v>
          </cell>
          <cell r="E5">
            <v>1200</v>
          </cell>
          <cell r="F5">
            <v>4000</v>
          </cell>
        </row>
        <row r="6">
          <cell r="C6" t="str">
            <v>Alumunium</v>
          </cell>
          <cell r="E6">
            <v>8000</v>
          </cell>
          <cell r="F6">
            <v>10000</v>
          </cell>
        </row>
        <row r="7">
          <cell r="C7" t="str">
            <v>Arsip</v>
          </cell>
          <cell r="E7">
            <v>800</v>
          </cell>
          <cell r="F7">
            <v>1000</v>
          </cell>
        </row>
        <row r="8">
          <cell r="C8" t="str">
            <v>Asoy</v>
          </cell>
          <cell r="E8">
            <v>200</v>
          </cell>
          <cell r="F8" t="str">
            <v>Tidak Terima</v>
          </cell>
        </row>
        <row r="9">
          <cell r="C9" t="str">
            <v>Besi</v>
          </cell>
          <cell r="E9">
            <v>2500</v>
          </cell>
          <cell r="F9">
            <v>4000</v>
          </cell>
        </row>
        <row r="10">
          <cell r="C10" t="str">
            <v>Boncos Kotor</v>
          </cell>
          <cell r="E10">
            <v>300</v>
          </cell>
          <cell r="F10">
            <v>400</v>
          </cell>
        </row>
        <row r="11">
          <cell r="C11" t="str">
            <v>Botol Kaca Hijau</v>
          </cell>
          <cell r="E11">
            <v>80</v>
          </cell>
          <cell r="F11">
            <v>100</v>
          </cell>
        </row>
        <row r="12">
          <cell r="C12" t="str">
            <v>Botol Kaca Bening/Putih</v>
          </cell>
          <cell r="E12">
            <v>150</v>
          </cell>
          <cell r="F12">
            <v>200</v>
          </cell>
        </row>
        <row r="13">
          <cell r="C13" t="str">
            <v>Botol Kaca Campur</v>
          </cell>
          <cell r="E13">
            <v>80</v>
          </cell>
          <cell r="F13">
            <v>100</v>
          </cell>
        </row>
        <row r="14">
          <cell r="C14" t="str">
            <v>Botol Kaca Coklat/Merah</v>
          </cell>
          <cell r="E14">
            <v>600</v>
          </cell>
          <cell r="F14">
            <v>800</v>
          </cell>
        </row>
        <row r="15">
          <cell r="C15" t="str">
            <v>Botol PET Bersih</v>
          </cell>
          <cell r="E15">
            <v>2800</v>
          </cell>
          <cell r="F15">
            <v>4000</v>
          </cell>
        </row>
        <row r="16">
          <cell r="C16" t="str">
            <v>Botol PET Kotor</v>
          </cell>
          <cell r="E16">
            <v>1600</v>
          </cell>
          <cell r="F16">
            <v>2000</v>
          </cell>
        </row>
        <row r="17">
          <cell r="C17" t="str">
            <v>Botol Plastik Kemasan Campur</v>
          </cell>
          <cell r="E17">
            <v>800</v>
          </cell>
          <cell r="F17">
            <v>1000</v>
          </cell>
        </row>
        <row r="18">
          <cell r="C18" t="str">
            <v>Buku, Majalah, Brosur, Koran</v>
          </cell>
          <cell r="E18">
            <v>800</v>
          </cell>
          <cell r="F18">
            <v>1000</v>
          </cell>
        </row>
        <row r="19">
          <cell r="C19" t="str">
            <v>Emberan</v>
          </cell>
          <cell r="E19">
            <v>1000</v>
          </cell>
          <cell r="F19">
            <v>1200</v>
          </cell>
        </row>
        <row r="20">
          <cell r="C20" t="str">
            <v>Gabrukan</v>
          </cell>
          <cell r="E20">
            <v>1000</v>
          </cell>
          <cell r="F20">
            <v>1000</v>
          </cell>
        </row>
        <row r="21">
          <cell r="C21" t="str">
            <v>Galon PC</v>
          </cell>
          <cell r="E21">
            <v>2500</v>
          </cell>
          <cell r="F21">
            <v>3000</v>
          </cell>
        </row>
        <row r="22">
          <cell r="C22" t="str">
            <v>Gelas PP Bersih</v>
          </cell>
          <cell r="E22">
            <v>3500</v>
          </cell>
          <cell r="F22">
            <v>3500</v>
          </cell>
        </row>
        <row r="23">
          <cell r="C23" t="str">
            <v>Gelas PP Warna</v>
          </cell>
          <cell r="E23">
            <v>1600</v>
          </cell>
          <cell r="F23">
            <v>2000</v>
          </cell>
        </row>
        <row r="24">
          <cell r="C24" t="str">
            <v>Handphone</v>
          </cell>
          <cell r="E24">
            <v>1800</v>
          </cell>
          <cell r="F24">
            <v>5000</v>
          </cell>
        </row>
        <row r="25">
          <cell r="C25" t="str">
            <v>HVS</v>
          </cell>
          <cell r="E25">
            <v>1400</v>
          </cell>
          <cell r="F25">
            <v>2000</v>
          </cell>
        </row>
        <row r="26">
          <cell r="C26" t="str">
            <v>Impact</v>
          </cell>
          <cell r="E26">
            <v>600</v>
          </cell>
          <cell r="F26">
            <v>700</v>
          </cell>
        </row>
        <row r="27">
          <cell r="C27" t="str">
            <v>Jelantah</v>
          </cell>
          <cell r="E27">
            <v>4000</v>
          </cell>
          <cell r="F27">
            <v>7000</v>
          </cell>
        </row>
        <row r="28">
          <cell r="C28" t="str">
            <v>Kabel</v>
          </cell>
          <cell r="E28">
            <v>1400</v>
          </cell>
          <cell r="F28">
            <v>1500</v>
          </cell>
        </row>
        <row r="29">
          <cell r="C29" t="str">
            <v>Kabin</v>
          </cell>
          <cell r="E29">
            <v>1800</v>
          </cell>
          <cell r="F29">
            <v>2000</v>
          </cell>
        </row>
        <row r="30">
          <cell r="C30" t="str">
            <v>Kaca</v>
          </cell>
          <cell r="E30">
            <v>80</v>
          </cell>
          <cell r="F30">
            <v>100</v>
          </cell>
        </row>
        <row r="31">
          <cell r="C31" t="str">
            <v>Kaleng</v>
          </cell>
          <cell r="E31">
            <v>1500</v>
          </cell>
          <cell r="F31">
            <v>2000</v>
          </cell>
        </row>
        <row r="32">
          <cell r="C32" t="str">
            <v>Kantung Semen</v>
          </cell>
          <cell r="E32">
            <v>1300</v>
          </cell>
          <cell r="F32">
            <v>1800</v>
          </cell>
        </row>
        <row r="33">
          <cell r="C33" t="str">
            <v>Kardus</v>
          </cell>
          <cell r="E33">
            <v>1000</v>
          </cell>
          <cell r="F33">
            <v>1700</v>
          </cell>
        </row>
        <row r="34">
          <cell r="C34" t="str">
            <v>Kaset CD</v>
          </cell>
          <cell r="E34">
            <v>3500</v>
          </cell>
          <cell r="F34">
            <v>4000</v>
          </cell>
        </row>
        <row r="35">
          <cell r="C35" t="str">
            <v>Komputer</v>
          </cell>
          <cell r="E35">
            <v>50000</v>
          </cell>
          <cell r="F35">
            <v>60000</v>
          </cell>
        </row>
        <row r="36">
          <cell r="C36" t="str">
            <v>Kones</v>
          </cell>
          <cell r="E36">
            <v>500</v>
          </cell>
          <cell r="F36">
            <v>700</v>
          </cell>
        </row>
        <row r="37">
          <cell r="C37" t="str">
            <v>Karung Beras</v>
          </cell>
          <cell r="E37">
            <v>400</v>
          </cell>
          <cell r="F37">
            <v>1200</v>
          </cell>
        </row>
        <row r="38">
          <cell r="C38" t="str">
            <v>Kristal Putih</v>
          </cell>
          <cell r="E38">
            <v>2700</v>
          </cell>
          <cell r="F38">
            <v>4000</v>
          </cell>
        </row>
        <row r="39">
          <cell r="C39" t="str">
            <v>Kulkas</v>
          </cell>
          <cell r="E39">
            <v>40000</v>
          </cell>
          <cell r="F39">
            <v>50000</v>
          </cell>
        </row>
        <row r="40">
          <cell r="C40" t="str">
            <v>Kuningan</v>
          </cell>
          <cell r="E40">
            <v>25000</v>
          </cell>
          <cell r="F40">
            <v>35000</v>
          </cell>
        </row>
        <row r="41">
          <cell r="C41" t="str">
            <v>Mesin Cuci</v>
          </cell>
          <cell r="E41">
            <v>35000</v>
          </cell>
          <cell r="F41">
            <v>50000</v>
          </cell>
        </row>
        <row r="42">
          <cell r="C42" t="str">
            <v>Mika</v>
          </cell>
          <cell r="E42" t="e">
            <v>#N/A</v>
          </cell>
          <cell r="F42" t="str">
            <v>Tidak Terima</v>
          </cell>
        </row>
        <row r="43">
          <cell r="C43" t="str">
            <v>MIX A/Boncos</v>
          </cell>
          <cell r="E43">
            <v>500</v>
          </cell>
          <cell r="F43">
            <v>700</v>
          </cell>
        </row>
        <row r="44">
          <cell r="C44" t="str">
            <v>Plastik Minyak goreng</v>
          </cell>
          <cell r="E44">
            <v>300</v>
          </cell>
          <cell r="F44" t="str">
            <v>Gabung dengan Multilayer</v>
          </cell>
        </row>
        <row r="45">
          <cell r="C45" t="str">
            <v>Plastik Multilayer</v>
          </cell>
          <cell r="E45">
            <v>300</v>
          </cell>
          <cell r="F45">
            <v>500</v>
          </cell>
        </row>
        <row r="46">
          <cell r="C46" t="str">
            <v>Plastik PE</v>
          </cell>
          <cell r="E46">
            <v>800</v>
          </cell>
          <cell r="F46">
            <v>1000</v>
          </cell>
        </row>
        <row r="47">
          <cell r="C47" t="str">
            <v>PVC</v>
          </cell>
          <cell r="E47">
            <v>700</v>
          </cell>
          <cell r="F47">
            <v>900</v>
          </cell>
        </row>
        <row r="48">
          <cell r="C48" t="str">
            <v>Seng/Kawat</v>
          </cell>
          <cell r="E48">
            <v>500</v>
          </cell>
          <cell r="F48">
            <v>700</v>
          </cell>
        </row>
        <row r="49">
          <cell r="C49" t="str">
            <v>Styrofoam</v>
          </cell>
          <cell r="E49">
            <v>150</v>
          </cell>
          <cell r="F49">
            <v>400</v>
          </cell>
        </row>
        <row r="50">
          <cell r="C50" t="str">
            <v>Tembaga</v>
          </cell>
          <cell r="E50">
            <v>50000</v>
          </cell>
          <cell r="F50">
            <v>60000</v>
          </cell>
        </row>
        <row r="51">
          <cell r="C51" t="str">
            <v>Tetrapak/UBC</v>
          </cell>
          <cell r="E51">
            <v>100</v>
          </cell>
          <cell r="F51">
            <v>150</v>
          </cell>
        </row>
        <row r="52">
          <cell r="C52" t="str">
            <v>Tutup Botol</v>
          </cell>
          <cell r="E52">
            <v>2500</v>
          </cell>
          <cell r="F52">
            <v>3000</v>
          </cell>
        </row>
        <row r="53">
          <cell r="C53" t="str">
            <v>Tutup Galon</v>
          </cell>
          <cell r="E53">
            <v>3500</v>
          </cell>
          <cell r="F53">
            <v>4500</v>
          </cell>
        </row>
        <row r="54">
          <cell r="C54" t="str">
            <v>TV</v>
          </cell>
          <cell r="E54">
            <v>13000</v>
          </cell>
          <cell r="F54">
            <v>20000</v>
          </cell>
        </row>
        <row r="55">
          <cell r="C55" t="str">
            <v>Yakult</v>
          </cell>
          <cell r="E55">
            <v>700</v>
          </cell>
          <cell r="F55">
            <v>1000</v>
          </cell>
        </row>
      </sheetData>
      <sheetData sheetId="7"/>
      <sheetData sheetId="8">
        <row r="2">
          <cell r="J2" t="str">
            <v>Row Labels</v>
          </cell>
        </row>
      </sheetData>
      <sheetData sheetId="9">
        <row r="2">
          <cell r="J2" t="str">
            <v>Row Labels</v>
          </cell>
        </row>
      </sheetData>
      <sheetData sheetId="10">
        <row r="2">
          <cell r="J2" t="str">
            <v>Row Labels</v>
          </cell>
        </row>
      </sheetData>
      <sheetData sheetId="11">
        <row r="4">
          <cell r="J4" t="str">
            <v>Row Labels</v>
          </cell>
        </row>
      </sheetData>
      <sheetData sheetId="12">
        <row r="2">
          <cell r="J2" t="str">
            <v>Row Labels</v>
          </cell>
        </row>
      </sheetData>
      <sheetData sheetId="13">
        <row r="2">
          <cell r="J2" t="str">
            <v>Row Labels</v>
          </cell>
        </row>
      </sheetData>
      <sheetData sheetId="14">
        <row r="2">
          <cell r="J2" t="str">
            <v>Row Labels</v>
          </cell>
        </row>
      </sheetData>
      <sheetData sheetId="15">
        <row r="2">
          <cell r="J2" t="str">
            <v>Row Labels</v>
          </cell>
        </row>
      </sheetData>
      <sheetData sheetId="16">
        <row r="2">
          <cell r="J2" t="str">
            <v>Row Labels</v>
          </cell>
        </row>
      </sheetData>
      <sheetData sheetId="17">
        <row r="2">
          <cell r="J2" t="str">
            <v>Row Labels</v>
          </cell>
        </row>
      </sheetData>
      <sheetData sheetId="18">
        <row r="2">
          <cell r="J2" t="str">
            <v>Row Labels</v>
          </cell>
        </row>
      </sheetData>
      <sheetData sheetId="19">
        <row r="2">
          <cell r="J2" t="str">
            <v>Row Labels</v>
          </cell>
        </row>
      </sheetData>
      <sheetData sheetId="20">
        <row r="2">
          <cell r="J2" t="str">
            <v>Row Labels</v>
          </cell>
        </row>
      </sheetData>
      <sheetData sheetId="21">
        <row r="2">
          <cell r="J2" t="str">
            <v>Row Labels</v>
          </cell>
        </row>
      </sheetData>
      <sheetData sheetId="22">
        <row r="2">
          <cell r="J2" t="str">
            <v>Nama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52.857566782404" createdVersion="8" refreshedVersion="8" minRefreshableVersion="3" recordCount="230" xr:uid="{164A38C0-DB04-4B16-960E-5B2C16AF970A}">
  <cacheSource type="worksheet">
    <worksheetSource ref="A2:E232" sheet="9-5-26"/>
  </cacheSource>
  <cacheFields count="5">
    <cacheField name="Nasabah" numFmtId="0">
      <sharedItems count="39">
        <s v="Bu Hadiyana"/>
        <s v="Syifa Kamila"/>
        <s v="Bu Fatimah"/>
        <s v="Bu Nita"/>
        <s v="Bu Nurlayli"/>
        <s v="Mama Zura"/>
        <s v="Bu Wiwin"/>
        <s v="Bu Irma"/>
        <s v="Bu Mutia"/>
        <s v="Pak Suprayitno"/>
        <s v="Mama Adam"/>
        <s v="Bu Kamiem"/>
        <s v="Bu Halimah"/>
        <s v="Bu Fisca"/>
        <s v="Vena"/>
        <s v="Bu Ida Amanah"/>
        <s v="Bu Suci"/>
        <s v="Kas Bank Sampah"/>
        <s v="Bu Betria"/>
        <s v="Bu Yenvitriati"/>
        <s v="Bu Sukayah"/>
        <s v="Bu Sandra"/>
        <s v="Bu Sunarti"/>
        <s v="Bu Ratu Tuti"/>
        <s v="Bu Anwar"/>
        <s v="Bu Mimin"/>
        <s v="Bu Ani"/>
        <s v="Bu Rina"/>
        <s v="Bu Sariyanti"/>
        <s v="Bu Eva"/>
        <s v="Bu Tunut"/>
        <s v="Bu Febri"/>
        <s v="Bu Satini"/>
        <s v="Bu Purwani"/>
        <s v="Joel RT 6"/>
        <s v="Bu Sinta UE"/>
        <s v="Selly"/>
        <s v="Pak Wawan"/>
        <s v="Bu Ecin Dwi"/>
      </sharedItems>
    </cacheField>
    <cacheField name="Material" numFmtId="0">
      <sharedItems count="26">
        <s v="MIX A/Boncos"/>
        <s v="Plastik Multilayer"/>
        <s v="Kaleng"/>
        <s v="Botol Kaca Bening/Putih"/>
        <s v="Botol PET Kotor"/>
        <s v="Tutup Botol"/>
        <s v="Tutup Galon"/>
        <s v="Gelas PP Warna"/>
        <s v="Emberan"/>
        <s v="Botol PET bersih"/>
        <s v="Kardus"/>
        <s v="Impact/Kerasan"/>
        <s v="HVS/Putihan"/>
        <s v="Gabrukan"/>
        <s v="Kaca"/>
        <s v="Asoy"/>
        <s v="Buku, majalah, brosur, koran"/>
        <s v="STAL/Kabin/Enamel"/>
        <s v="Kristal Putih"/>
        <s v="Aluminium Rongsok"/>
        <s v="Besi"/>
        <s v="Gelas PP Bersih (bening)"/>
        <s v="Plastik PE"/>
        <s v="Jelantah"/>
        <s v="Styrofoam"/>
        <s v="Kaset CD"/>
      </sharedItems>
    </cacheField>
    <cacheField name="Berat" numFmtId="0">
      <sharedItems containsSemiMixedTypes="0" containsString="0" containsNumber="1" minValue="0.05" maxValue="10.95"/>
    </cacheField>
    <cacheField name="Harga" numFmtId="0">
      <sharedItems containsSemiMixedTypes="0" containsString="0" containsNumber="1" containsInteger="1" minValue="80" maxValue="8000"/>
    </cacheField>
    <cacheField name="Total" numFmtId="166">
      <sharedItems containsSemiMixedTypes="0" containsString="0" containsNumber="1" minValue="15" maxValue="30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75.523205092592" createdVersion="8" refreshedVersion="8" minRefreshableVersion="3" recordCount="380" xr:uid="{DAD407C9-7111-4642-8783-47AEBAA6F2E1}">
  <cacheSource type="worksheet">
    <worksheetSource ref="A2:G382" sheet="30-5-26"/>
  </cacheSource>
  <cacheFields count="7">
    <cacheField name="No" numFmtId="0">
      <sharedItems containsSemiMixedTypes="0" containsString="0" containsNumber="1" containsInteger="1" minValue="1" maxValue="56"/>
    </cacheField>
    <cacheField name="Nama" numFmtId="0">
      <sharedItems containsBlank="1" count="58">
        <s v="Bu Neni"/>
        <s v="Bu Fatimah"/>
        <s v="Bu Sinta UE"/>
        <s v="Bu Satini"/>
        <s v="Oma Carrisa"/>
        <s v="Bu Ecin Dwi"/>
        <s v="Bu Yanti Bela"/>
        <s v="Bu Natira Salmawati"/>
        <s v="Bu Tunut"/>
        <s v="Bu Rina"/>
        <s v="Bu Wiwin"/>
        <s v="Mama Adam"/>
        <s v="Bu Angga"/>
        <s v="Bu Ratu Tuti"/>
        <s v="Pak Wawan"/>
        <s v="Bu Eva"/>
        <s v="Bu Sariyanti"/>
        <s v="Bu Nurlayli"/>
        <s v="Bu Sandra"/>
        <s v="Bu Rumiyati"/>
        <s v="Dame"/>
        <s v="Bu Suriya"/>
        <s v="Bu Riris"/>
        <s v="Bu Purwani"/>
        <s v="Bu Widodo"/>
        <s v="Bu Tria Blok Uc"/>
        <s v="Gloria Rt 5"/>
        <s v="Mbak Nurhayati"/>
        <s v="Bu Lilis"/>
        <s v="Bu Nurhayati"/>
        <s v="Pak Suprayitno"/>
        <s v="Bu Hadiyana"/>
        <s v="Bu Suci"/>
        <s v="Dipo"/>
        <s v="Nabil"/>
        <s v="Bu Ani"/>
        <s v="Bu Tetty Hamdi"/>
        <s v="Bu Halimah"/>
        <s v="Novem"/>
        <s v="Bu Siti Mutmainah"/>
        <s v="Bu Anwar"/>
        <s v="Bu Minah"/>
        <s v="Bu Vivi"/>
        <s v="Bu Sarti"/>
        <s v="Bu Siti Alfiyah"/>
        <s v="Bu Irma"/>
        <s v="Bu Nita"/>
        <s v="Bu Termin"/>
        <s v="Bu Betria"/>
        <s v="Bu Yenvitriati"/>
        <s v="Kas"/>
        <s v="Pak Rudi"/>
        <s v="Pak Jamil"/>
        <s v="Warbo"/>
        <s v="Popi"/>
        <s v="Warbi"/>
        <s v="Danang"/>
        <m u="1"/>
      </sharedItems>
    </cacheField>
    <cacheField name="RT" numFmtId="0">
      <sharedItems containsBlank="1" containsMixedTypes="1" containsNumber="1" containsInteger="1" minValue="1" maxValue="6"/>
    </cacheField>
    <cacheField name="Jenis Sampah" numFmtId="0">
      <sharedItems containsBlank="1" count="32">
        <s v="Kardus"/>
        <s v="Plastik Multilayer"/>
        <s v="Botol PET bersih"/>
        <s v="Botol Kaca Bening/Putih"/>
        <s v="Emberan"/>
        <s v="Plastik PE"/>
        <s v="Asoy"/>
        <s v="Besi"/>
        <s v="Gabrukan"/>
        <s v="Styrofoam"/>
        <s v="Buku, majalah, brosur, koran"/>
        <s v="Botol PET Kotor"/>
        <s v="Tutup Botol"/>
        <s v="Kristal Putih"/>
        <s v="Kaleng"/>
        <s v="STAL/Kabin/Enamel"/>
        <s v="MIX A/Boncos"/>
        <s v="HVS/Putihan"/>
        <s v="Gelas PP Bersih"/>
        <s v="Jelantah"/>
        <s v="Gelas PP Warna"/>
        <s v="Alumunium"/>
        <s v="Galon PC"/>
        <s v="Tutup Galon"/>
        <s v="Handphone"/>
        <s v="Plastik PP"/>
        <s v="Seng/Kawat"/>
        <s v="Karung"/>
        <m u="1"/>
        <s v="Gelas PP Bersih (bening)" u="1"/>
        <s v="Aluminium" u="1"/>
        <s v="Aluminium Rongsok" u="1"/>
      </sharedItems>
    </cacheField>
    <cacheField name="Harga " numFmtId="166">
      <sharedItems containsSemiMixedTypes="0" containsString="0" containsNumber="1" containsInteger="1" minValue="150" maxValue="8000"/>
    </cacheField>
    <cacheField name="Berat" numFmtId="0">
      <sharedItems containsString="0" containsBlank="1" containsNumber="1" minValue="0.05" maxValue="19.8"/>
    </cacheField>
    <cacheField name="Total Harga" numFmtId="165">
      <sharedItems containsString="0" containsBlank="1" containsNumber="1" minValue="0" maxValue="54180.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75.523366666668" createdVersion="8" refreshedVersion="8" minRefreshableVersion="3" recordCount="380" xr:uid="{5FE93526-F527-49F8-A6A6-D251F0D041ED}">
  <cacheSource type="worksheet">
    <worksheetSource ref="A2:G382" sheet="30-5-26 Sent"/>
  </cacheSource>
  <cacheFields count="7">
    <cacheField name="No" numFmtId="0">
      <sharedItems containsSemiMixedTypes="0" containsString="0" containsNumber="1" containsInteger="1" minValue="1" maxValue="57"/>
    </cacheField>
    <cacheField name="Nama" numFmtId="0">
      <sharedItems count="57">
        <s v="Bu Neni"/>
        <s v="Bu Fatimah"/>
        <s v="Bu Sinta UE"/>
        <s v="Bu Satini"/>
        <s v="Oma Carrisa"/>
        <s v="Bu Ecin Dwi"/>
        <s v="Bu Yanti Bela"/>
        <s v="Bu Natira Salmawati"/>
        <s v="Bu Tunut"/>
        <s v="Bu Rina"/>
        <s v="Bu Wiwin"/>
        <s v="Mama Adam"/>
        <s v="Bu Angga"/>
        <s v="Bu Ratu Tuti"/>
        <s v="Pak Wawan"/>
        <s v="Bu Eva"/>
        <s v="Bu Sariyanti"/>
        <s v="Bu Nurlayli"/>
        <s v="Bu Sandra"/>
        <s v="Bu Rumiyati"/>
        <s v="Dame"/>
        <s v="Bu Suriya"/>
        <s v="Bu Riris"/>
        <s v="Bu Purwani"/>
        <s v="Bu Widodo"/>
        <s v="Bu Tria Blok Uc"/>
        <s v="Gloria Rt 5"/>
        <s v="Mbak Nurhayati"/>
        <s v="Bu Lilis"/>
        <s v="Bu Nurhayati"/>
        <s v="Pak Suprayitno"/>
        <s v="Bu Hadiyana"/>
        <s v="Bu Suci"/>
        <s v="Dipo"/>
        <s v="Nabil"/>
        <s v="Bu Ani"/>
        <s v="Bu Tetty Hamdi"/>
        <s v="Bu Halimah"/>
        <s v="Novem"/>
        <s v="Bu Siti Mutmainah"/>
        <s v="Bu Anwar"/>
        <s v="Bu Minah"/>
        <s v="Bu Vivi"/>
        <s v="Bu Sarti"/>
        <s v="Bu Siti Alfiyah"/>
        <s v="Bu Irma"/>
        <s v="Bu Nita"/>
        <s v="Bu Termin"/>
        <s v="Bu Betria"/>
        <s v="Bu Yenvitriati"/>
        <s v="Kas"/>
        <s v="Pak Rudi"/>
        <s v="Pak Jamil"/>
        <s v="Warbo"/>
        <s v="Popi"/>
        <s v="Warbi"/>
        <s v="Danang"/>
      </sharedItems>
    </cacheField>
    <cacheField name="RT" numFmtId="0">
      <sharedItems containsBlank="1" containsMixedTypes="1" containsNumber="1" containsInteger="1" minValue="1" maxValue="33"/>
    </cacheField>
    <cacheField name="Jenis Sampah" numFmtId="0">
      <sharedItems count="28">
        <s v="Kardus"/>
        <s v="Plastik Multilayer"/>
        <s v="Botol PET bersih"/>
        <s v="Botol Kaca Bening/Putih"/>
        <s v="Emberan"/>
        <s v="Plastik PE"/>
        <s v="Asoy"/>
        <s v="Besi"/>
        <s v="Gabrukan"/>
        <s v="Styrofoam"/>
        <s v="Buku, majalah, brosur, koran"/>
        <s v="Botol PET Kotor"/>
        <s v="Tutup Botol"/>
        <s v="Kristal Putih"/>
        <s v="Kaleng"/>
        <s v="STAL/Kabin/Enamel"/>
        <s v="MIX A/Boncos"/>
        <s v="HVS/Putihan"/>
        <s v="Gelas PP Bersih"/>
        <s v="Jelantah"/>
        <s v="Gelas PP Warna"/>
        <s v="Alumunium"/>
        <s v="Galon PC"/>
        <s v="Tutup Galon"/>
        <s v="Handphone"/>
        <s v="Plastik PP"/>
        <s v="Seng/Kawat"/>
        <s v="Karung"/>
      </sharedItems>
    </cacheField>
    <cacheField name="Harga " numFmtId="166">
      <sharedItems containsSemiMixedTypes="0" containsString="0" containsNumber="1" containsInteger="1" minValue="150" maxValue="8000"/>
    </cacheField>
    <cacheField name="Berat" numFmtId="0">
      <sharedItems containsString="0" containsBlank="1" containsNumber="1" minValue="0.05" maxValue="19.8"/>
    </cacheField>
    <cacheField name="Total Harga" numFmtId="165">
      <sharedItems containsString="0" containsBlank="1" containsNumber="1" minValue="0" maxValue="54180.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199.954618981479" createdVersion="8" refreshedVersion="8" minRefreshableVersion="3" recordCount="392" xr:uid="{DE9FA0F9-AF48-4CA3-B5DE-31DF7FC900CF}">
  <cacheSource type="worksheet">
    <worksheetSource ref="A2:E394" sheet="21-6-26"/>
  </cacheSource>
  <cacheFields count="5">
    <cacheField name="Nasabah" numFmtId="0">
      <sharedItems count="63">
        <s v="Aruna RT 5"/>
        <s v="Bu Admini"/>
        <s v="Bu Angga"/>
        <s v="Bu Ani"/>
        <s v="Bu Betria"/>
        <s v="Bu Dida"/>
        <s v="Bu Ecin Dwi"/>
        <s v="Bu Fatimah"/>
        <s v="Bu Fisca"/>
        <s v="Bu Hadiyana"/>
        <s v="Bu Halimah"/>
        <s v="Bu Hartinah"/>
        <s v="Bu Ida Amanah"/>
        <s v="Bu Irma"/>
        <s v="Bu Kamiem"/>
        <s v="Bu Lilis"/>
        <s v="Bu Mimin"/>
        <s v="Bu Minah"/>
        <s v="Bu Nining"/>
        <s v="Bu Nita"/>
        <s v="Bu Nurhayati"/>
        <s v="Bu Nurjanah"/>
        <s v="Bu Nurlayli"/>
        <s v="Bu Purwani"/>
        <s v="Bu Ratu Tuti"/>
        <s v="Bu Riris"/>
        <s v="Bu Rumiyati"/>
        <s v="Bu Sandra"/>
        <s v="Bu Sariyanti"/>
        <s v="Bu Sarmiyah"/>
        <s v="Bu Satini"/>
        <s v="Bu Suci"/>
        <s v="Bu Suhermiati"/>
        <s v="Bu Sukayah"/>
        <s v="Bu Suriya"/>
        <s v="Bu Wiwin"/>
        <s v="Bu Wuri"/>
        <s v="Bu Yanti Bela"/>
        <s v="Bu Yanti Warmindo"/>
        <s v="Bu Yenvitriati"/>
        <s v="Danang Warmindo"/>
        <s v="Dipo"/>
        <s v="Gloria RT 5"/>
        <s v="Joel RT 6"/>
        <s v="Karang Taruna"/>
        <s v="Kas"/>
        <s v="Mama Adam"/>
        <s v="Mama Wahyu"/>
        <s v="Mba Dian"/>
        <s v="Mbak Nurhayati"/>
        <s v="Oma Carrisa"/>
        <s v="Pak Jamil Warmindo"/>
        <s v="Pak Soleh"/>
        <s v="Pak Wawan"/>
        <s v="Sahabat Qur'An"/>
        <s v="Selly"/>
        <s v="Vena"/>
        <s v="Bank Sampah Dasana UB"/>
        <s v="Bu Sinta UE"/>
        <s v="Vina RT 3"/>
        <s v="Warbi Warmindo"/>
        <s v="Danang Warung" u="1"/>
        <s v="Pak Jamil Warung" u="1"/>
      </sharedItems>
    </cacheField>
    <cacheField name="Material" numFmtId="0">
      <sharedItems count="29">
        <s v="Jelantah"/>
        <s v="Kardus"/>
        <s v="Gelas PP Warna"/>
        <s v="MIX A/Boncos"/>
        <s v="Plastik Multilayer"/>
        <s v="Botol PET bersih"/>
        <s v="Botol Kaca Bening/Putih"/>
        <s v="Plastik PP"/>
        <s v="Kaleng"/>
        <s v="Asoy"/>
        <s v="Emberan"/>
        <s v="Gabrukan"/>
        <s v="Tutup Botol"/>
        <s v="Botol PET Kotor"/>
        <s v="Buku, majalah, brosur, koran"/>
        <s v="Besi"/>
        <s v="Aluminium Rongsok"/>
        <s v="STAL/Kabin/Enamel"/>
        <s v="Tutup Galon"/>
        <s v="Gelas PP Bersih (bening)"/>
        <s v="Plastik PE"/>
        <s v="Kabel Alumunium"/>
        <s v="Karung"/>
        <s v="Styrofoam"/>
        <s v="Kristal Putih"/>
        <s v="Kones"/>
        <s v="HVS/Putihan"/>
        <s v="Botol Kaca Coklat/Merah"/>
        <s v="Botol Kaca Hijau"/>
      </sharedItems>
    </cacheField>
    <cacheField name="Berat" numFmtId="0">
      <sharedItems containsSemiMixedTypes="0" containsString="0" containsNumber="1" minValue="0.05" maxValue="46"/>
    </cacheField>
    <cacheField name="Harga" numFmtId="166">
      <sharedItems containsSemiMixedTypes="0" containsString="0" containsNumber="1" containsInteger="1" minValue="80" maxValue="8000"/>
    </cacheField>
    <cacheField name="Total" numFmtId="166">
      <sharedItems containsSemiMixedTypes="0" containsString="0" containsNumber="1" containsInteger="1" minValue="15" maxValue="3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223.459503587961" createdVersion="8" refreshedVersion="8" minRefreshableVersion="3" recordCount="344" xr:uid="{47DB2F59-B44E-4620-9688-B411F95A5B18}">
  <cacheSource type="worksheet">
    <worksheetSource ref="A2:E346" sheet="11-07-26"/>
  </cacheSource>
  <cacheFields count="5">
    <cacheField name="Nasabah" numFmtId="0">
      <sharedItems containsBlank="1" count="54">
        <s v="MBA DIAN"/>
        <s v="BU FEBRI"/>
        <s v="BU SARTI"/>
        <s v="BU NURLAYLI"/>
        <s v="BU IRMA"/>
        <s v="KAS"/>
        <s v="BU TETTY HAMDI"/>
        <s v="BU ANI"/>
        <s v="VENA"/>
        <s v="BU SITI ALFIYAH"/>
        <s v="PAK WAWAN"/>
        <s v="BU HARTINAH"/>
        <s v="BU FATIMAH"/>
        <s v="AKHSAN"/>
        <s v="BU RATIH RT 5"/>
        <s v="PAK SUMARMAN"/>
        <s v="BU NURJANAH"/>
        <s v="BU LINDA RW 19"/>
        <s v="MAMA ADAM"/>
        <s v="BU ANWAR"/>
        <s v="BU TUNUT"/>
        <s v="BU SANDRA"/>
        <s v="BU RINDRA"/>
        <s v="DAME"/>
        <s v="BU MINAH"/>
        <s v="BU HADIYANA"/>
        <s v="BU WIDODO"/>
        <s v="ESHAN"/>
        <s v="BU SURIYA"/>
        <s v="BU YANTI"/>
        <s v="BU SARIYANTI"/>
        <s v="VINA RT 3"/>
        <s v="SAHABAT QUR'AN"/>
        <s v="BU RUMIYATI"/>
        <s v="BU TERMIN"/>
        <s v="BU NENI"/>
        <s v="OMA CARRISA"/>
        <s v="BU SRI RETNO"/>
        <s v="BU NATIRA SALMAWATI"/>
        <s v="BU WIWIN"/>
        <s v="BU YENVITRIATI"/>
        <s v="BU BETRIA"/>
        <s v="BU YANTI BELA"/>
        <s v="BU SUHERMIATI"/>
        <s v="BU RINA"/>
        <s v="BU ECIN DWI"/>
        <s v="SELLY"/>
        <s v="PAK JAMIL"/>
        <s v="DANANG"/>
        <s v="WARBO"/>
        <s v="POPI"/>
        <s v="BU ANI RW 21"/>
        <s v="Bu Tria Blok Uc"/>
        <m u="1"/>
      </sharedItems>
    </cacheField>
    <cacheField name="Material" numFmtId="0">
      <sharedItems count="30">
        <s v="Baja Ringan"/>
        <s v="Selang"/>
        <s v="Gabrukan"/>
        <s v="Plastik Multilayer"/>
        <s v="Jelantah"/>
        <s v="Emberan"/>
        <s v="Asoy"/>
        <s v="Buku, majalah, brosur, koran"/>
        <s v="MIX A/Boncos"/>
        <s v="Kardus"/>
        <s v="Botol Kaca Bening/Putih"/>
        <s v="Plastik PE"/>
        <s v="Tutup Botol"/>
        <s v="Botol PET bersih"/>
        <s v="Plastik PP"/>
        <s v="Kristal Putih"/>
        <s v="STAL/Kabin/Enamel"/>
        <s v="Kaleng"/>
        <s v="Gelas PP Warna"/>
        <s v="Kabel Alumunium"/>
        <s v="Aluminium Rongsok"/>
        <s v="Botol PET Kotor"/>
        <s v="Karung"/>
        <s v="Seng/Kawat"/>
        <s v="Tutup Galon"/>
        <s v="Besi"/>
        <s v="PVC"/>
        <s v="Aki"/>
        <s v="HVS/Putihan"/>
        <s v="Gelas PP Bersih (bening)"/>
      </sharedItems>
    </cacheField>
    <cacheField name="Berat" numFmtId="43">
      <sharedItems containsSemiMixedTypes="0" containsString="0" containsNumber="1" minValue="0.05" maxValue="45.050000000000004"/>
    </cacheField>
    <cacheField name="Harga" numFmtId="0">
      <sharedItems containsSemiMixedTypes="0" containsString="0" containsNumber="1" containsInteger="1" minValue="150" maxValue="8000"/>
    </cacheField>
    <cacheField name="Total" numFmtId="0">
      <sharedItems containsSemiMixedTypes="0" containsString="0" containsNumber="1" minValue="23" maxValue="315350.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246.714707407409" createdVersion="8" refreshedVersion="8" minRefreshableVersion="3" recordCount="336" xr:uid="{55FFBDDD-DFB2-4F50-8B9F-D3A24347067D}">
  <cacheSource type="worksheet">
    <worksheetSource ref="A2:E338" sheet="1-8-26"/>
  </cacheSource>
  <cacheFields count="5">
    <cacheField name="Nasabah" numFmtId="0">
      <sharedItems count="47">
        <s v="DIPO"/>
        <s v="BU NURLAYLI"/>
        <s v="BU IRMA"/>
        <s v="MAMA ADAM"/>
        <s v="BU IDA AMANAH"/>
        <s v="BU LILIS"/>
        <s v="BU RUMIYATI"/>
        <s v="BU FEBRI"/>
        <s v="BU YANTI BELA"/>
        <s v="BU TUNUT"/>
        <s v="BU ANGGA"/>
        <s v="BU KAMIEM"/>
        <s v="BU HADIYANA"/>
        <s v="BU SARIYANTI"/>
        <s v="BU MIMIN"/>
        <s v="BU NITA"/>
        <s v="BU TUTI RT 1"/>
        <s v="BU SURIYA"/>
        <s v="BU SANDRA"/>
        <s v="BU RATU TUTI"/>
        <s v="PAK SUPRAYITNO"/>
        <s v="PAK WAWAN"/>
        <s v="BU NENI"/>
        <s v="BU MINAH"/>
        <s v="PAK SUMARMAN"/>
        <s v="BU SUCI"/>
        <s v="BU ANI"/>
        <s v="PAK DANNY"/>
        <s v="BU SARMIYAH"/>
        <s v="BU FATIMAH"/>
        <s v="BU RINA"/>
        <s v="BU RIRIS"/>
        <s v="BU YENVITRIATI"/>
        <s v="MAMA WAHYU"/>
        <s v="OMA CARRISA"/>
        <s v="BU SUNARTI"/>
        <s v="BU PURWANI"/>
        <s v="MBAK NURHAYATI"/>
        <s v="BU BETRIA"/>
        <s v="BU ADMINI"/>
        <s v="MBA DIAN"/>
        <s v="BU WIWIN"/>
        <s v="BU ECIN DWI"/>
        <s v="Danang"/>
        <s v="Popi"/>
        <s v="Pak Jamil"/>
        <s v="Warbo"/>
      </sharedItems>
    </cacheField>
    <cacheField name="Material" numFmtId="0">
      <sharedItems count="28">
        <s v="Emberan"/>
        <s v="Botol Kaca Bening/Putih"/>
        <s v="Besi"/>
        <s v="STAL/Kabin/Enamel"/>
        <s v="Kardus"/>
        <s v="MIX A/Boncos"/>
        <s v="Buku, majalah, brosur, koran"/>
        <s v="Jelantah"/>
        <s v="Gelas PP Warna"/>
        <s v="Plastik Multilayer"/>
        <s v="Botol PET bersih"/>
        <s v="HVS/Putihan"/>
        <s v="Aluminium Rongsok"/>
        <s v="Tutup Botol"/>
        <s v="Asoy"/>
        <s v="Gabrukan"/>
        <s v="Seng/Kawat"/>
        <s v="Kaleng"/>
        <s v="Botol PET Kotor"/>
        <s v="Plastik PE"/>
        <s v="Tutup Galon"/>
        <s v="Plastik PP"/>
        <s v="Karung"/>
        <s v="Styrofoam"/>
        <s v="Kabel Alumunium"/>
        <s v="Kipas Angin"/>
        <s v="Kristal Putih"/>
        <s v="Gelas PP Bersih (bening)"/>
      </sharedItems>
    </cacheField>
    <cacheField name="Berat" numFmtId="43">
      <sharedItems containsSemiMixedTypes="0" containsString="0" containsNumber="1" minValue="0.05" maxValue="18.2"/>
    </cacheField>
    <cacheField name="Harga" numFmtId="166">
      <sharedItems containsSemiMixedTypes="0" containsString="0" containsNumber="1" containsInteger="1" minValue="150" maxValue="13000"/>
    </cacheField>
    <cacheField name="Total" numFmtId="166">
      <sharedItems containsSemiMixedTypes="0" containsString="0" containsNumber="1" containsInteger="1" minValue="25" maxValue="70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274.799146180558" createdVersion="8" refreshedVersion="8" minRefreshableVersion="3" recordCount="330" xr:uid="{6A88A690-58AC-4FF0-BDFE-FCEE38AA2706}">
  <cacheSource type="worksheet">
    <worksheetSource ref="A2:E332" sheet="22-8-26"/>
  </cacheSource>
  <cacheFields count="5">
    <cacheField name="Nasabah" numFmtId="0">
      <sharedItems count="47">
        <s v="PAK GIRI"/>
        <s v="VENA"/>
        <s v="SELLY"/>
        <s v="DIPO"/>
        <s v="BU SARIYANTI"/>
        <s v="BU NURJANAH"/>
        <s v="BU HADIYANA"/>
        <s v="BU ANGGA"/>
        <s v="BU YANTI"/>
        <s v="BU LILIS"/>
        <s v="BU NURLAYLI"/>
        <s v="VINA RT 3"/>
        <s v="SYIFA KAMILA"/>
        <s v="BU IRMA"/>
        <s v="BU MINAH"/>
        <s v="SAHABAT QUR'AN"/>
        <s v="DAME"/>
        <s v="MAMA ADAM"/>
        <s v="BU SURIYA"/>
        <s v="AKHSAN"/>
        <s v="BU ANI"/>
        <s v="BU DIDA"/>
        <s v="MBAK NURHAYATI"/>
        <s v="BU IDA AMANAH"/>
        <s v="BU SANDRA"/>
        <s v="BU ECIN DWI"/>
        <s v="BU SUNARTI"/>
        <s v="BU YENVITRIATI"/>
        <s v="BU TETTY HAMDI"/>
        <s v="OMA CARRISA"/>
        <s v="MAMA WAHYU"/>
        <s v="BU NINING"/>
        <s v="BU TUNUT"/>
        <s v="BU TERMIN"/>
        <s v="BU BETRIA"/>
        <s v="BU ADMINI"/>
        <s v="BU PURWANI"/>
        <s v="BU WIWIN"/>
        <s v="BU SUHERMIATI"/>
        <s v="MBA DIAN"/>
        <s v="BU LINDA RW 19"/>
        <s v="BU LIDIA"/>
        <s v="BU WIDODO"/>
        <s v="BU NATIRA SALMAWATI"/>
        <s v="BU RINA"/>
        <s v="BANK SAMPAH DASANA UB"/>
        <s v="BU YANTI BELA"/>
      </sharedItems>
    </cacheField>
    <cacheField name="Material" numFmtId="0">
      <sharedItems count="24">
        <s v="Asoy"/>
        <s v="Plastik Multilayer"/>
        <s v="Botol Kaca Bening/Putih"/>
        <s v="Gabrukan"/>
        <s v="Botol PET bersih"/>
        <s v="Kardus"/>
        <s v="Emberan"/>
        <s v="MIX A/Boncos"/>
        <s v="Tutup Galon"/>
        <s v="Kaleng"/>
        <s v="Buku, majalah, brosur, koran"/>
        <s v="Tutup Botol"/>
        <s v="Jelantah"/>
        <s v="Aluminium Rongsok"/>
        <s v="STAL/Kabin/Enamel"/>
        <s v="Gelas PP Warna"/>
        <s v="Karung"/>
        <s v="Botol PET Kotor"/>
        <s v="Gelas PP Bersih (bening)"/>
        <s v="Plastik PP"/>
        <s v="HVS/Putihan"/>
        <s v="Yakult"/>
        <s v="Besi"/>
        <s v="Plastik PE"/>
      </sharedItems>
    </cacheField>
    <cacheField name="Berat" numFmtId="0">
      <sharedItems containsSemiMixedTypes="0" containsString="0" containsNumber="1" minValue="0.05" maxValue="22.95"/>
    </cacheField>
    <cacheField name="Harga" numFmtId="0">
      <sharedItems containsSemiMixedTypes="0" containsString="0" containsNumber="1" containsInteger="1" minValue="150" maxValue="8000"/>
    </cacheField>
    <cacheField name="Total" numFmtId="0">
      <sharedItems containsSemiMixedTypes="0" containsString="0" containsNumber="1" containsInteger="1" minValue="25" maxValue="34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277.636294675925" createdVersion="8" refreshedVersion="8" minRefreshableVersion="3" recordCount="355" xr:uid="{96FC8DFF-D7AE-474D-8F28-87E6621C51C1}">
  <cacheSource type="worksheet">
    <worksheetSource ref="A2:E357" sheet="12-9-26"/>
  </cacheSource>
  <cacheFields count="5">
    <cacheField name="Nasabah" numFmtId="0">
      <sharedItems count="52">
        <s v="VINA RT 3"/>
        <s v="MAMA ADAM"/>
        <s v="MAMA WAHYU"/>
        <s v="BU NURLAYLI"/>
        <s v="BU SITI ALFIYAH"/>
        <s v="SELLY"/>
        <s v="BU NITA"/>
        <s v="PAK SUPRAYITNO"/>
        <s v="BU TUNUT"/>
        <s v="BU MINAH"/>
        <s v="BU NURJANAH"/>
        <s v="BU SUCI"/>
        <s v="SYIFA KAMILA"/>
        <s v="BU MIMIN"/>
        <s v="BU WIWIN"/>
        <s v="BU ANWAR"/>
        <s v="PAK WAWAN"/>
        <s v="BU FATIMAH"/>
        <s v="BU FEBRI"/>
        <s v="BU SARIYANTI"/>
        <s v="BU SUKAYAH"/>
        <s v="BU YANTI BELA"/>
        <s v="BU TERMIN"/>
        <s v="BU WURI"/>
        <s v="BU NENI"/>
        <s v="BU ECIN DWI"/>
        <s v="OMA CARRISA"/>
        <s v="BU IRMA"/>
        <s v="BU PURWANI"/>
        <s v="BU KAMIEM"/>
        <s v="NOVEM"/>
        <s v="BU ANGGA"/>
        <s v="BU HADIYANA"/>
        <s v="BU LILIS"/>
        <s v="BU SANDRA"/>
        <s v="BU RIRIS"/>
        <s v="BU SURIYA"/>
        <s v="SAHABAT QUR'AN"/>
        <s v="BU ANI"/>
        <s v="BU DIDA"/>
        <s v="BU SRI RETNO"/>
        <s v="BU SARTI"/>
        <s v="MBAK NURHAYATI"/>
        <s v="MBA DIAN"/>
        <s v="BU RUMIYATI"/>
        <s v="PAK SUMARMAN"/>
        <s v="BU SATINI"/>
        <s v="BU RINA"/>
        <s v="BU YENVITRIATI"/>
        <s v="Bank Sampah Dasana UB"/>
        <s v="BU BETRIA"/>
        <s v="BU ADMINI"/>
      </sharedItems>
    </cacheField>
    <cacheField name="Material" numFmtId="0">
      <sharedItems count="26">
        <s v="MIX A/Boncos"/>
        <s v="Tutup Botol"/>
        <s v="Botol PET bersih"/>
        <s v="Botol Kaca Bening/Putih"/>
        <s v="Kaleng"/>
        <s v="Emberan"/>
        <s v="Plastik Multilayer"/>
        <s v="Asoy"/>
        <s v="Gelas PP Warna"/>
        <s v="Botol PET Kotor"/>
        <s v="Karung"/>
        <s v="Gabrukan"/>
        <s v="STAL/Kabin/Enamel"/>
        <s v="Besi"/>
        <s v="Kardus"/>
        <s v="Aluminium Rongsok"/>
        <s v="Jelantah"/>
        <s v="Gelas PP Bersih (bening)"/>
        <s v="Styrofoam"/>
        <s v="Tutup Galon"/>
        <s v="Buku, majalah, brosur, koran"/>
        <s v="Kabel Alumunium"/>
        <s v="Plastik PP"/>
        <s v="HVS/Putihan"/>
        <s v="Plastik PE"/>
        <s v="Kristal Putih"/>
      </sharedItems>
    </cacheField>
    <cacheField name="Berat" numFmtId="0">
      <sharedItems containsSemiMixedTypes="0" containsString="0" containsNumber="1" minValue="0.05" maxValue="26.7"/>
    </cacheField>
    <cacheField name="Harga" numFmtId="166">
      <sharedItems containsSemiMixedTypes="0" containsString="0" containsNumber="1" containsInteger="1" minValue="150" maxValue="8000"/>
    </cacheField>
    <cacheField name="Total" numFmtId="166">
      <sharedItems containsSemiMixedTypes="0" containsString="0" containsNumber="1" minValue="15" maxValue="38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x v="0"/>
    <n v="1.1499999999999999"/>
    <n v="500"/>
    <n v="575"/>
  </r>
  <r>
    <x v="0"/>
    <x v="1"/>
    <n v="1.3"/>
    <n v="300"/>
    <n v="390"/>
  </r>
  <r>
    <x v="0"/>
    <x v="2"/>
    <n v="0.2"/>
    <n v="1500"/>
    <n v="300"/>
  </r>
  <r>
    <x v="0"/>
    <x v="3"/>
    <n v="0.8"/>
    <n v="150"/>
    <n v="120"/>
  </r>
  <r>
    <x v="0"/>
    <x v="4"/>
    <n v="0.35"/>
    <n v="1600"/>
    <n v="560"/>
  </r>
  <r>
    <x v="0"/>
    <x v="5"/>
    <n v="0.3"/>
    <n v="2500"/>
    <n v="750"/>
  </r>
  <r>
    <x v="0"/>
    <x v="6"/>
    <n v="0.85"/>
    <n v="3500"/>
    <n v="2975"/>
  </r>
  <r>
    <x v="0"/>
    <x v="7"/>
    <n v="0.7"/>
    <n v="1600"/>
    <n v="1120"/>
  </r>
  <r>
    <x v="0"/>
    <x v="8"/>
    <n v="2.5"/>
    <n v="1000"/>
    <n v="2500"/>
  </r>
  <r>
    <x v="0"/>
    <x v="9"/>
    <n v="2.8"/>
    <n v="2800"/>
    <n v="7840"/>
  </r>
  <r>
    <x v="0"/>
    <x v="10"/>
    <n v="10.95"/>
    <n v="1000"/>
    <n v="10950"/>
  </r>
  <r>
    <x v="1"/>
    <x v="11"/>
    <n v="3.7"/>
    <n v="600"/>
    <n v="2220"/>
  </r>
  <r>
    <x v="1"/>
    <x v="0"/>
    <n v="5.05"/>
    <n v="500"/>
    <n v="2525"/>
  </r>
  <r>
    <x v="1"/>
    <x v="12"/>
    <n v="4.45"/>
    <n v="1400"/>
    <n v="6230"/>
  </r>
  <r>
    <x v="2"/>
    <x v="4"/>
    <n v="2.15"/>
    <n v="1600"/>
    <n v="3440"/>
  </r>
  <r>
    <x v="3"/>
    <x v="8"/>
    <n v="0.7"/>
    <n v="1000"/>
    <n v="700"/>
  </r>
  <r>
    <x v="3"/>
    <x v="0"/>
    <n v="0.35"/>
    <n v="500"/>
    <n v="175"/>
  </r>
  <r>
    <x v="3"/>
    <x v="10"/>
    <n v="1.45"/>
    <n v="1000"/>
    <n v="1450"/>
  </r>
  <r>
    <x v="3"/>
    <x v="1"/>
    <n v="0.3"/>
    <n v="300"/>
    <n v="90"/>
  </r>
  <r>
    <x v="3"/>
    <x v="13"/>
    <n v="1.1000000000000001"/>
    <n v="1000"/>
    <n v="1100"/>
  </r>
  <r>
    <x v="4"/>
    <x v="1"/>
    <n v="0.6"/>
    <n v="300"/>
    <n v="180"/>
  </r>
  <r>
    <x v="4"/>
    <x v="8"/>
    <n v="1.65"/>
    <n v="1000"/>
    <n v="1650"/>
  </r>
  <r>
    <x v="4"/>
    <x v="14"/>
    <n v="0.55000000000000004"/>
    <n v="80"/>
    <n v="44"/>
  </r>
  <r>
    <x v="5"/>
    <x v="1"/>
    <n v="3.15"/>
    <n v="300"/>
    <n v="945"/>
  </r>
  <r>
    <x v="5"/>
    <x v="13"/>
    <n v="2.15"/>
    <n v="1000"/>
    <n v="2150"/>
  </r>
  <r>
    <x v="5"/>
    <x v="7"/>
    <n v="1.95"/>
    <n v="1600"/>
    <n v="3120"/>
  </r>
  <r>
    <x v="5"/>
    <x v="4"/>
    <n v="0.5"/>
    <n v="1600"/>
    <n v="800"/>
  </r>
  <r>
    <x v="6"/>
    <x v="9"/>
    <n v="1"/>
    <n v="2800"/>
    <n v="2800"/>
  </r>
  <r>
    <x v="6"/>
    <x v="8"/>
    <n v="0.65"/>
    <n v="1000"/>
    <n v="650"/>
  </r>
  <r>
    <x v="6"/>
    <x v="0"/>
    <n v="0.4"/>
    <n v="500"/>
    <n v="200"/>
  </r>
  <r>
    <x v="6"/>
    <x v="1"/>
    <n v="0.35"/>
    <n v="300"/>
    <n v="105"/>
  </r>
  <r>
    <x v="7"/>
    <x v="15"/>
    <n v="0.35"/>
    <n v="200"/>
    <n v="70"/>
  </r>
  <r>
    <x v="7"/>
    <x v="10"/>
    <n v="0.9"/>
    <n v="1000"/>
    <n v="900"/>
  </r>
  <r>
    <x v="7"/>
    <x v="8"/>
    <n v="0.2"/>
    <n v="1000"/>
    <n v="200"/>
  </r>
  <r>
    <x v="7"/>
    <x v="14"/>
    <n v="5.0999999999999996"/>
    <n v="80"/>
    <n v="408"/>
  </r>
  <r>
    <x v="7"/>
    <x v="4"/>
    <n v="0.55000000000000004"/>
    <n v="1600"/>
    <n v="880"/>
  </r>
  <r>
    <x v="8"/>
    <x v="8"/>
    <n v="5.6"/>
    <n v="1000"/>
    <n v="5600"/>
  </r>
  <r>
    <x v="9"/>
    <x v="13"/>
    <n v="2.8"/>
    <n v="1000"/>
    <n v="2800"/>
  </r>
  <r>
    <x v="10"/>
    <x v="13"/>
    <n v="2.35"/>
    <n v="1000"/>
    <n v="2350"/>
  </r>
  <r>
    <x v="10"/>
    <x v="3"/>
    <n v="0.7"/>
    <n v="150"/>
    <n v="105"/>
  </r>
  <r>
    <x v="10"/>
    <x v="1"/>
    <n v="0.75"/>
    <n v="300"/>
    <n v="225"/>
  </r>
  <r>
    <x v="11"/>
    <x v="10"/>
    <n v="1.55"/>
    <n v="1000"/>
    <n v="1550"/>
  </r>
  <r>
    <x v="11"/>
    <x v="1"/>
    <n v="0.45"/>
    <n v="300"/>
    <n v="135"/>
  </r>
  <r>
    <x v="11"/>
    <x v="2"/>
    <n v="0.1"/>
    <n v="1500"/>
    <n v="150"/>
  </r>
  <r>
    <x v="11"/>
    <x v="14"/>
    <n v="1.3"/>
    <n v="80"/>
    <n v="104"/>
  </r>
  <r>
    <x v="11"/>
    <x v="13"/>
    <n v="0.5"/>
    <n v="1000"/>
    <n v="500"/>
  </r>
  <r>
    <x v="11"/>
    <x v="9"/>
    <n v="1.2"/>
    <n v="2800"/>
    <n v="3360"/>
  </r>
  <r>
    <x v="12"/>
    <x v="0"/>
    <n v="0.9"/>
    <n v="500"/>
    <n v="450"/>
  </r>
  <r>
    <x v="12"/>
    <x v="1"/>
    <n v="1.75"/>
    <n v="300"/>
    <n v="525"/>
  </r>
  <r>
    <x v="12"/>
    <x v="16"/>
    <n v="6.35"/>
    <n v="800"/>
    <n v="5080"/>
  </r>
  <r>
    <x v="12"/>
    <x v="8"/>
    <n v="1.75"/>
    <n v="1000"/>
    <n v="1750"/>
  </r>
  <r>
    <x v="12"/>
    <x v="4"/>
    <n v="0.3"/>
    <n v="1600"/>
    <n v="480"/>
  </r>
  <r>
    <x v="12"/>
    <x v="3"/>
    <n v="3.1"/>
    <n v="150"/>
    <n v="465"/>
  </r>
  <r>
    <x v="12"/>
    <x v="13"/>
    <n v="5.05"/>
    <n v="1000"/>
    <n v="5050"/>
  </r>
  <r>
    <x v="13"/>
    <x v="9"/>
    <n v="0.9"/>
    <n v="2800"/>
    <n v="2520"/>
  </r>
  <r>
    <x v="13"/>
    <x v="7"/>
    <n v="0.25"/>
    <n v="1600"/>
    <n v="400"/>
  </r>
  <r>
    <x v="13"/>
    <x v="8"/>
    <n v="3.9"/>
    <n v="1000"/>
    <n v="3900"/>
  </r>
  <r>
    <x v="13"/>
    <x v="17"/>
    <n v="0.45"/>
    <n v="1800"/>
    <n v="810"/>
  </r>
  <r>
    <x v="13"/>
    <x v="5"/>
    <n v="0.55000000000000004"/>
    <n v="2500"/>
    <n v="1375"/>
  </r>
  <r>
    <x v="13"/>
    <x v="0"/>
    <n v="0.2"/>
    <n v="500"/>
    <n v="100"/>
  </r>
  <r>
    <x v="13"/>
    <x v="2"/>
    <n v="1.05"/>
    <n v="1500"/>
    <n v="1575"/>
  </r>
  <r>
    <x v="13"/>
    <x v="3"/>
    <n v="0.75"/>
    <n v="150"/>
    <n v="113"/>
  </r>
  <r>
    <x v="13"/>
    <x v="18"/>
    <n v="0.25"/>
    <n v="2700"/>
    <n v="675"/>
  </r>
  <r>
    <x v="13"/>
    <x v="19"/>
    <n v="0.05"/>
    <n v="8000"/>
    <n v="400"/>
  </r>
  <r>
    <x v="13"/>
    <x v="1"/>
    <n v="3.85"/>
    <n v="300"/>
    <n v="1155"/>
  </r>
  <r>
    <x v="13"/>
    <x v="8"/>
    <n v="0.15"/>
    <n v="1000"/>
    <n v="150"/>
  </r>
  <r>
    <x v="14"/>
    <x v="13"/>
    <n v="3.25"/>
    <n v="1000"/>
    <n v="3250"/>
  </r>
  <r>
    <x v="15"/>
    <x v="1"/>
    <n v="0.45"/>
    <n v="300"/>
    <n v="135"/>
  </r>
  <r>
    <x v="15"/>
    <x v="9"/>
    <n v="0.7"/>
    <n v="2800"/>
    <n v="1960"/>
  </r>
  <r>
    <x v="15"/>
    <x v="15"/>
    <n v="1.4"/>
    <n v="200"/>
    <n v="280"/>
  </r>
  <r>
    <x v="15"/>
    <x v="8"/>
    <n v="0.95"/>
    <n v="1000"/>
    <n v="950"/>
  </r>
  <r>
    <x v="15"/>
    <x v="20"/>
    <n v="3.65"/>
    <n v="2500"/>
    <n v="9125"/>
  </r>
  <r>
    <x v="16"/>
    <x v="21"/>
    <n v="0.3"/>
    <n v="3500"/>
    <n v="1050"/>
  </r>
  <r>
    <x v="16"/>
    <x v="4"/>
    <n v="0.2"/>
    <n v="1600"/>
    <n v="320"/>
  </r>
  <r>
    <x v="16"/>
    <x v="17"/>
    <n v="0.1"/>
    <n v="1800"/>
    <n v="180"/>
  </r>
  <r>
    <x v="16"/>
    <x v="18"/>
    <n v="0.55000000000000004"/>
    <n v="2700"/>
    <n v="1485"/>
  </r>
  <r>
    <x v="16"/>
    <x v="2"/>
    <n v="0.55000000000000004"/>
    <n v="1500"/>
    <n v="825"/>
  </r>
  <r>
    <x v="16"/>
    <x v="14"/>
    <n v="1.2"/>
    <n v="80"/>
    <n v="96"/>
  </r>
  <r>
    <x v="16"/>
    <x v="8"/>
    <n v="1"/>
    <n v="1000"/>
    <n v="1000"/>
  </r>
  <r>
    <x v="16"/>
    <x v="5"/>
    <n v="0.1"/>
    <n v="2500"/>
    <n v="250"/>
  </r>
  <r>
    <x v="16"/>
    <x v="15"/>
    <n v="0.15"/>
    <n v="200"/>
    <n v="30"/>
  </r>
  <r>
    <x v="16"/>
    <x v="9"/>
    <n v="0.35"/>
    <n v="2800"/>
    <n v="980"/>
  </r>
  <r>
    <x v="16"/>
    <x v="0"/>
    <n v="0.2"/>
    <n v="500"/>
    <n v="100"/>
  </r>
  <r>
    <x v="16"/>
    <x v="1"/>
    <n v="1.6"/>
    <n v="300"/>
    <n v="480"/>
  </r>
  <r>
    <x v="16"/>
    <x v="10"/>
    <n v="1.95"/>
    <n v="1000"/>
    <n v="1950"/>
  </r>
  <r>
    <x v="17"/>
    <x v="3"/>
    <n v="0.9"/>
    <n v="150"/>
    <n v="135"/>
  </r>
  <r>
    <x v="17"/>
    <x v="18"/>
    <n v="1.5"/>
    <n v="2700"/>
    <n v="4050"/>
  </r>
  <r>
    <x v="17"/>
    <x v="15"/>
    <n v="7.5"/>
    <n v="200"/>
    <n v="1500"/>
  </r>
  <r>
    <x v="17"/>
    <x v="15"/>
    <n v="1.2"/>
    <n v="200"/>
    <n v="240"/>
  </r>
  <r>
    <x v="17"/>
    <x v="22"/>
    <n v="3.85"/>
    <n v="800"/>
    <n v="3080"/>
  </r>
  <r>
    <x v="17"/>
    <x v="13"/>
    <n v="7.5"/>
    <n v="1000"/>
    <n v="7500"/>
  </r>
  <r>
    <x v="17"/>
    <x v="9"/>
    <n v="6.5"/>
    <n v="2800"/>
    <n v="18200"/>
  </r>
  <r>
    <x v="17"/>
    <x v="7"/>
    <n v="1"/>
    <n v="1600"/>
    <n v="1600"/>
  </r>
  <r>
    <x v="18"/>
    <x v="2"/>
    <n v="0.55000000000000004"/>
    <n v="1500"/>
    <n v="825"/>
  </r>
  <r>
    <x v="18"/>
    <x v="0"/>
    <n v="2.15"/>
    <n v="500"/>
    <n v="1075"/>
  </r>
  <r>
    <x v="18"/>
    <x v="13"/>
    <n v="0.5"/>
    <n v="1000"/>
    <n v="500"/>
  </r>
  <r>
    <x v="18"/>
    <x v="14"/>
    <n v="1.6"/>
    <n v="80"/>
    <n v="128"/>
  </r>
  <r>
    <x v="18"/>
    <x v="1"/>
    <n v="1.95"/>
    <n v="300"/>
    <n v="585"/>
  </r>
  <r>
    <x v="18"/>
    <x v="9"/>
    <n v="1.8"/>
    <n v="2800"/>
    <n v="5040"/>
  </r>
  <r>
    <x v="19"/>
    <x v="1"/>
    <n v="0.95"/>
    <n v="300"/>
    <n v="285"/>
  </r>
  <r>
    <x v="19"/>
    <x v="13"/>
    <n v="0.55000000000000004"/>
    <n v="1000"/>
    <n v="550"/>
  </r>
  <r>
    <x v="19"/>
    <x v="9"/>
    <n v="1"/>
    <n v="2800"/>
    <n v="2800"/>
  </r>
  <r>
    <x v="19"/>
    <x v="15"/>
    <n v="0.7"/>
    <n v="200"/>
    <n v="140"/>
  </r>
  <r>
    <x v="19"/>
    <x v="22"/>
    <n v="0.5"/>
    <n v="800"/>
    <n v="400"/>
  </r>
  <r>
    <x v="19"/>
    <x v="0"/>
    <n v="0.8"/>
    <n v="500"/>
    <n v="400"/>
  </r>
  <r>
    <x v="20"/>
    <x v="4"/>
    <n v="0.2"/>
    <n v="1600"/>
    <n v="320"/>
  </r>
  <r>
    <x v="20"/>
    <x v="14"/>
    <n v="2.0499999999999998"/>
    <n v="80"/>
    <n v="164"/>
  </r>
  <r>
    <x v="20"/>
    <x v="1"/>
    <n v="0.7"/>
    <n v="300"/>
    <n v="210"/>
  </r>
  <r>
    <x v="21"/>
    <x v="23"/>
    <n v="1.7"/>
    <n v="4000"/>
    <n v="6800"/>
  </r>
  <r>
    <x v="21"/>
    <x v="0"/>
    <n v="0.8"/>
    <n v="500"/>
    <n v="400"/>
  </r>
  <r>
    <x v="21"/>
    <x v="21"/>
    <n v="0.4"/>
    <n v="3500"/>
    <n v="1400"/>
  </r>
  <r>
    <x v="21"/>
    <x v="7"/>
    <n v="0.4"/>
    <n v="1600"/>
    <n v="640"/>
  </r>
  <r>
    <x v="22"/>
    <x v="20"/>
    <n v="0.45"/>
    <n v="2500"/>
    <n v="1125"/>
  </r>
  <r>
    <x v="22"/>
    <x v="24"/>
    <n v="0.15"/>
    <n v="150"/>
    <n v="23"/>
  </r>
  <r>
    <x v="22"/>
    <x v="5"/>
    <n v="0.25"/>
    <n v="2500"/>
    <n v="625"/>
  </r>
  <r>
    <x v="22"/>
    <x v="0"/>
    <n v="3.65"/>
    <n v="500"/>
    <n v="1825"/>
  </r>
  <r>
    <x v="22"/>
    <x v="14"/>
    <n v="6.45"/>
    <n v="80"/>
    <n v="516"/>
  </r>
  <r>
    <x v="22"/>
    <x v="2"/>
    <n v="1.2"/>
    <n v="1500"/>
    <n v="1800"/>
  </r>
  <r>
    <x v="22"/>
    <x v="12"/>
    <n v="1.65"/>
    <n v="1400"/>
    <n v="2310"/>
  </r>
  <r>
    <x v="22"/>
    <x v="1"/>
    <n v="1.55"/>
    <n v="300"/>
    <n v="465"/>
  </r>
  <r>
    <x v="22"/>
    <x v="15"/>
    <n v="3.2"/>
    <n v="200"/>
    <n v="640"/>
  </r>
  <r>
    <x v="22"/>
    <x v="9"/>
    <n v="3"/>
    <n v="2800"/>
    <n v="8400"/>
  </r>
  <r>
    <x v="22"/>
    <x v="8"/>
    <n v="4.2"/>
    <n v="1000"/>
    <n v="4200"/>
  </r>
  <r>
    <x v="23"/>
    <x v="14"/>
    <n v="0.8"/>
    <n v="80"/>
    <n v="64"/>
  </r>
  <r>
    <x v="23"/>
    <x v="17"/>
    <n v="0.2"/>
    <n v="1800"/>
    <n v="360"/>
  </r>
  <r>
    <x v="23"/>
    <x v="2"/>
    <n v="0.1"/>
    <n v="1500"/>
    <n v="150"/>
  </r>
  <r>
    <x v="23"/>
    <x v="18"/>
    <n v="0.15"/>
    <n v="2700"/>
    <n v="405"/>
  </r>
  <r>
    <x v="23"/>
    <x v="5"/>
    <n v="0.15"/>
    <n v="2500"/>
    <n v="375"/>
  </r>
  <r>
    <x v="23"/>
    <x v="4"/>
    <n v="0.7"/>
    <n v="1600"/>
    <n v="1120"/>
  </r>
  <r>
    <x v="23"/>
    <x v="8"/>
    <n v="0.8"/>
    <n v="1000"/>
    <n v="800"/>
  </r>
  <r>
    <x v="23"/>
    <x v="0"/>
    <n v="0.8"/>
    <n v="500"/>
    <n v="400"/>
  </r>
  <r>
    <x v="23"/>
    <x v="16"/>
    <n v="4.55"/>
    <n v="800"/>
    <n v="3640"/>
  </r>
  <r>
    <x v="23"/>
    <x v="1"/>
    <n v="0.2"/>
    <n v="300"/>
    <n v="60"/>
  </r>
  <r>
    <x v="24"/>
    <x v="15"/>
    <n v="0.25"/>
    <n v="200"/>
    <n v="50"/>
  </r>
  <r>
    <x v="24"/>
    <x v="4"/>
    <n v="0.05"/>
    <n v="1600"/>
    <n v="80"/>
  </r>
  <r>
    <x v="24"/>
    <x v="7"/>
    <n v="0.35"/>
    <n v="1600"/>
    <n v="560"/>
  </r>
  <r>
    <x v="24"/>
    <x v="13"/>
    <n v="0.5"/>
    <n v="1000"/>
    <n v="500"/>
  </r>
  <r>
    <x v="24"/>
    <x v="18"/>
    <n v="0.35"/>
    <n v="2700"/>
    <n v="945"/>
  </r>
  <r>
    <x v="24"/>
    <x v="0"/>
    <n v="1.65"/>
    <n v="500"/>
    <n v="825"/>
  </r>
  <r>
    <x v="24"/>
    <x v="8"/>
    <n v="1.25"/>
    <n v="1000"/>
    <n v="1250"/>
  </r>
  <r>
    <x v="24"/>
    <x v="1"/>
    <n v="0.3"/>
    <n v="300"/>
    <n v="90"/>
  </r>
  <r>
    <x v="24"/>
    <x v="9"/>
    <n v="0.7"/>
    <n v="2800"/>
    <n v="1960"/>
  </r>
  <r>
    <x v="24"/>
    <x v="5"/>
    <n v="0.3"/>
    <n v="2500"/>
    <n v="750"/>
  </r>
  <r>
    <x v="24"/>
    <x v="2"/>
    <n v="0.95"/>
    <n v="1500"/>
    <n v="1425"/>
  </r>
  <r>
    <x v="25"/>
    <x v="13"/>
    <n v="0.55000000000000004"/>
    <n v="1000"/>
    <n v="550"/>
  </r>
  <r>
    <x v="25"/>
    <x v="18"/>
    <n v="0.2"/>
    <n v="2700"/>
    <n v="540"/>
  </r>
  <r>
    <x v="25"/>
    <x v="4"/>
    <n v="0.65"/>
    <n v="1600"/>
    <n v="1040"/>
  </r>
  <r>
    <x v="25"/>
    <x v="0"/>
    <n v="1.05"/>
    <n v="500"/>
    <n v="525"/>
  </r>
  <r>
    <x v="25"/>
    <x v="10"/>
    <n v="0.95"/>
    <n v="1000"/>
    <n v="950"/>
  </r>
  <r>
    <x v="26"/>
    <x v="3"/>
    <n v="1.45"/>
    <n v="150"/>
    <n v="218"/>
  </r>
  <r>
    <x v="26"/>
    <x v="8"/>
    <n v="1.25"/>
    <n v="1000"/>
    <n v="1250"/>
  </r>
  <r>
    <x v="26"/>
    <x v="0"/>
    <n v="0.9"/>
    <n v="500"/>
    <n v="450"/>
  </r>
  <r>
    <x v="26"/>
    <x v="1"/>
    <n v="0.35"/>
    <n v="300"/>
    <n v="105"/>
  </r>
  <r>
    <x v="26"/>
    <x v="2"/>
    <n v="0.9"/>
    <n v="1500"/>
    <n v="1350"/>
  </r>
  <r>
    <x v="27"/>
    <x v="10"/>
    <n v="2.35"/>
    <n v="1000"/>
    <n v="2350"/>
  </r>
  <r>
    <x v="27"/>
    <x v="5"/>
    <n v="0.1"/>
    <n v="2500"/>
    <n v="250"/>
  </r>
  <r>
    <x v="27"/>
    <x v="4"/>
    <n v="0.1"/>
    <n v="1600"/>
    <n v="160"/>
  </r>
  <r>
    <x v="27"/>
    <x v="14"/>
    <n v="1"/>
    <n v="80"/>
    <n v="80"/>
  </r>
  <r>
    <x v="27"/>
    <x v="1"/>
    <n v="0.25"/>
    <n v="300"/>
    <n v="75"/>
  </r>
  <r>
    <x v="27"/>
    <x v="9"/>
    <n v="1.4"/>
    <n v="2800"/>
    <n v="3920"/>
  </r>
  <r>
    <x v="28"/>
    <x v="4"/>
    <n v="1.5"/>
    <n v="1600"/>
    <n v="2400"/>
  </r>
  <r>
    <x v="28"/>
    <x v="8"/>
    <n v="0.3"/>
    <n v="1000"/>
    <n v="300"/>
  </r>
  <r>
    <x v="28"/>
    <x v="13"/>
    <n v="1.25"/>
    <n v="1000"/>
    <n v="1250"/>
  </r>
  <r>
    <x v="28"/>
    <x v="3"/>
    <n v="0.35"/>
    <n v="150"/>
    <n v="53"/>
  </r>
  <r>
    <x v="28"/>
    <x v="0"/>
    <n v="0.7"/>
    <n v="500"/>
    <n v="350"/>
  </r>
  <r>
    <x v="28"/>
    <x v="2"/>
    <n v="0.4"/>
    <n v="1500"/>
    <n v="600"/>
  </r>
  <r>
    <x v="28"/>
    <x v="1"/>
    <n v="0.4"/>
    <n v="300"/>
    <n v="120"/>
  </r>
  <r>
    <x v="28"/>
    <x v="10"/>
    <n v="2.4"/>
    <n v="1000"/>
    <n v="2400"/>
  </r>
  <r>
    <x v="29"/>
    <x v="1"/>
    <n v="0.05"/>
    <n v="300"/>
    <n v="15"/>
  </r>
  <r>
    <x v="29"/>
    <x v="9"/>
    <n v="1.2"/>
    <n v="2800"/>
    <n v="3360"/>
  </r>
  <r>
    <x v="29"/>
    <x v="5"/>
    <n v="0.4"/>
    <n v="2500"/>
    <n v="1000"/>
  </r>
  <r>
    <x v="30"/>
    <x v="20"/>
    <n v="2"/>
    <n v="2500"/>
    <n v="5000"/>
  </r>
  <r>
    <x v="30"/>
    <x v="2"/>
    <n v="0.3"/>
    <n v="1500"/>
    <n v="450"/>
  </r>
  <r>
    <x v="30"/>
    <x v="15"/>
    <n v="0.3"/>
    <n v="200"/>
    <n v="60"/>
  </r>
  <r>
    <x v="30"/>
    <x v="5"/>
    <n v="0.25"/>
    <n v="2500"/>
    <n v="625"/>
  </r>
  <r>
    <x v="30"/>
    <x v="1"/>
    <n v="0.6"/>
    <n v="300"/>
    <n v="180"/>
  </r>
  <r>
    <x v="30"/>
    <x v="7"/>
    <n v="0.1"/>
    <n v="1600"/>
    <n v="160"/>
  </r>
  <r>
    <x v="30"/>
    <x v="8"/>
    <n v="1.85"/>
    <n v="1000"/>
    <n v="1850"/>
  </r>
  <r>
    <x v="30"/>
    <x v="3"/>
    <n v="0.75"/>
    <n v="150"/>
    <n v="113"/>
  </r>
  <r>
    <x v="30"/>
    <x v="10"/>
    <n v="5.45"/>
    <n v="1000"/>
    <n v="5450"/>
  </r>
  <r>
    <x v="30"/>
    <x v="9"/>
    <n v="1.75"/>
    <n v="2800"/>
    <n v="4900"/>
  </r>
  <r>
    <x v="31"/>
    <x v="25"/>
    <n v="8.75"/>
    <n v="3500"/>
    <n v="30625"/>
  </r>
  <r>
    <x v="31"/>
    <x v="20"/>
    <n v="1.25"/>
    <n v="2500"/>
    <n v="3125"/>
  </r>
  <r>
    <x v="31"/>
    <x v="18"/>
    <n v="0.05"/>
    <n v="2700"/>
    <n v="135"/>
  </r>
  <r>
    <x v="31"/>
    <x v="4"/>
    <n v="0.05"/>
    <n v="1600"/>
    <n v="80"/>
  </r>
  <r>
    <x v="31"/>
    <x v="19"/>
    <n v="0.05"/>
    <n v="8000"/>
    <n v="400"/>
  </r>
  <r>
    <x v="31"/>
    <x v="8"/>
    <n v="1"/>
    <n v="1000"/>
    <n v="1000"/>
  </r>
  <r>
    <x v="31"/>
    <x v="10"/>
    <n v="1.8"/>
    <n v="1000"/>
    <n v="1800"/>
  </r>
  <r>
    <x v="31"/>
    <x v="1"/>
    <n v="0.1"/>
    <n v="300"/>
    <n v="30"/>
  </r>
  <r>
    <x v="31"/>
    <x v="22"/>
    <n v="0.05"/>
    <n v="800"/>
    <n v="40"/>
  </r>
  <r>
    <x v="32"/>
    <x v="2"/>
    <n v="0.25"/>
    <n v="1500"/>
    <n v="375"/>
  </r>
  <r>
    <x v="32"/>
    <x v="3"/>
    <n v="0.75"/>
    <n v="150"/>
    <n v="112.5"/>
  </r>
  <r>
    <x v="32"/>
    <x v="5"/>
    <n v="0.15"/>
    <n v="2500"/>
    <n v="375"/>
  </r>
  <r>
    <x v="32"/>
    <x v="8"/>
    <n v="1.25"/>
    <n v="1000"/>
    <n v="1250"/>
  </r>
  <r>
    <x v="32"/>
    <x v="1"/>
    <n v="0.1"/>
    <n v="300"/>
    <n v="30"/>
  </r>
  <r>
    <x v="32"/>
    <x v="0"/>
    <n v="0.6"/>
    <n v="500"/>
    <n v="300"/>
  </r>
  <r>
    <x v="32"/>
    <x v="10"/>
    <n v="4.45"/>
    <n v="1000"/>
    <n v="4450"/>
  </r>
  <r>
    <x v="32"/>
    <x v="9"/>
    <n v="0.6"/>
    <n v="2800"/>
    <n v="1680"/>
  </r>
  <r>
    <x v="33"/>
    <x v="5"/>
    <n v="0.15"/>
    <n v="2500"/>
    <n v="375"/>
  </r>
  <r>
    <x v="33"/>
    <x v="10"/>
    <n v="4.75"/>
    <n v="1000"/>
    <n v="4750"/>
  </r>
  <r>
    <x v="33"/>
    <x v="2"/>
    <n v="0.15"/>
    <n v="1500"/>
    <n v="225"/>
  </r>
  <r>
    <x v="33"/>
    <x v="9"/>
    <n v="0.55000000000000004"/>
    <n v="2800"/>
    <n v="1540"/>
  </r>
  <r>
    <x v="33"/>
    <x v="22"/>
    <n v="0.1"/>
    <n v="800"/>
    <n v="80"/>
  </r>
  <r>
    <x v="33"/>
    <x v="8"/>
    <n v="0.55000000000000004"/>
    <n v="1000"/>
    <n v="550"/>
  </r>
  <r>
    <x v="33"/>
    <x v="15"/>
    <n v="0.4"/>
    <n v="200"/>
    <n v="80"/>
  </r>
  <r>
    <x v="33"/>
    <x v="1"/>
    <n v="0.7"/>
    <n v="300"/>
    <n v="210"/>
  </r>
  <r>
    <x v="33"/>
    <x v="0"/>
    <n v="1.75"/>
    <n v="500"/>
    <n v="875"/>
  </r>
  <r>
    <x v="34"/>
    <x v="13"/>
    <n v="3.55"/>
    <n v="1000"/>
    <n v="3550"/>
  </r>
  <r>
    <x v="35"/>
    <x v="1"/>
    <n v="3"/>
    <n v="300"/>
    <n v="900"/>
  </r>
  <r>
    <x v="36"/>
    <x v="8"/>
    <n v="1.85"/>
    <n v="1000"/>
    <n v="1850"/>
  </r>
  <r>
    <x v="36"/>
    <x v="15"/>
    <n v="1.3"/>
    <n v="200"/>
    <n v="260"/>
  </r>
  <r>
    <x v="36"/>
    <x v="0"/>
    <n v="1.5"/>
    <n v="500"/>
    <n v="750"/>
  </r>
  <r>
    <x v="36"/>
    <x v="9"/>
    <n v="1.1000000000000001"/>
    <n v="2800"/>
    <n v="3080"/>
  </r>
  <r>
    <x v="36"/>
    <x v="1"/>
    <n v="1.05"/>
    <n v="300"/>
    <n v="315"/>
  </r>
  <r>
    <x v="36"/>
    <x v="18"/>
    <n v="0.15"/>
    <n v="2700"/>
    <n v="405"/>
  </r>
  <r>
    <x v="36"/>
    <x v="2"/>
    <n v="0.45"/>
    <n v="1500"/>
    <n v="675"/>
  </r>
  <r>
    <x v="36"/>
    <x v="14"/>
    <n v="0.95"/>
    <n v="80"/>
    <n v="76"/>
  </r>
  <r>
    <x v="36"/>
    <x v="4"/>
    <n v="1.2"/>
    <n v="1600"/>
    <n v="1920"/>
  </r>
  <r>
    <x v="36"/>
    <x v="10"/>
    <n v="3.05"/>
    <n v="1000"/>
    <n v="3050"/>
  </r>
  <r>
    <x v="37"/>
    <x v="8"/>
    <n v="1.1499999999999999"/>
    <n v="1000"/>
    <n v="1150"/>
  </r>
  <r>
    <x v="37"/>
    <x v="9"/>
    <n v="1.5"/>
    <n v="2800"/>
    <n v="4200"/>
  </r>
  <r>
    <x v="37"/>
    <x v="10"/>
    <n v="10.75"/>
    <n v="1000"/>
    <n v="10750"/>
  </r>
  <r>
    <x v="38"/>
    <x v="17"/>
    <n v="6"/>
    <n v="1800"/>
    <n v="10800"/>
  </r>
  <r>
    <x v="38"/>
    <x v="23"/>
    <n v="2.2999999999999998"/>
    <n v="4000"/>
    <n v="9200"/>
  </r>
  <r>
    <x v="38"/>
    <x v="1"/>
    <n v="1.1000000000000001"/>
    <n v="300"/>
    <n v="330"/>
  </r>
  <r>
    <x v="38"/>
    <x v="8"/>
    <n v="0.45"/>
    <n v="1000"/>
    <n v="450"/>
  </r>
  <r>
    <x v="38"/>
    <x v="21"/>
    <n v="0.5"/>
    <n v="3500"/>
    <n v="1750"/>
  </r>
  <r>
    <x v="38"/>
    <x v="5"/>
    <n v="0.1"/>
    <n v="2500"/>
    <n v="250"/>
  </r>
  <r>
    <x v="38"/>
    <x v="9"/>
    <n v="0.3"/>
    <n v="2800"/>
    <n v="840"/>
  </r>
  <r>
    <x v="38"/>
    <x v="10"/>
    <n v="6.55"/>
    <n v="1000"/>
    <n v="65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n v="1"/>
    <x v="0"/>
    <n v="4"/>
    <x v="0"/>
    <n v="1000"/>
    <n v="0.95"/>
    <n v="950"/>
  </r>
  <r>
    <n v="1"/>
    <x v="0"/>
    <m/>
    <x v="1"/>
    <n v="300"/>
    <n v="1.85"/>
    <n v="555"/>
  </r>
  <r>
    <n v="1"/>
    <x v="0"/>
    <m/>
    <x v="2"/>
    <n v="2800"/>
    <n v="0.2"/>
    <n v="560"/>
  </r>
  <r>
    <n v="1"/>
    <x v="0"/>
    <m/>
    <x v="3"/>
    <n v="150"/>
    <n v="0.55000000000000004"/>
    <n v="82.5"/>
  </r>
  <r>
    <n v="1"/>
    <x v="0"/>
    <m/>
    <x v="4"/>
    <n v="1000"/>
    <n v="2.6500000000000004"/>
    <n v="2650.0000000000005"/>
  </r>
  <r>
    <n v="1"/>
    <x v="0"/>
    <m/>
    <x v="5"/>
    <n v="800"/>
    <n v="0.15"/>
    <n v="120"/>
  </r>
  <r>
    <n v="1"/>
    <x v="0"/>
    <m/>
    <x v="6"/>
    <n v="200"/>
    <n v="0.65"/>
    <n v="130"/>
  </r>
  <r>
    <n v="1"/>
    <x v="0"/>
    <m/>
    <x v="7"/>
    <n v="2500"/>
    <n v="1.1499999999999999"/>
    <n v="2875"/>
  </r>
  <r>
    <n v="1"/>
    <x v="0"/>
    <m/>
    <x v="8"/>
    <n v="1000"/>
    <n v="0.3"/>
    <n v="300"/>
  </r>
  <r>
    <n v="2"/>
    <x v="1"/>
    <n v="3"/>
    <x v="4"/>
    <n v="1000"/>
    <n v="4.1500000000000004"/>
    <n v="4150"/>
  </r>
  <r>
    <n v="2"/>
    <x v="1"/>
    <m/>
    <x v="9"/>
    <n v="150"/>
    <n v="1.35"/>
    <n v="202.5"/>
  </r>
  <r>
    <n v="2"/>
    <x v="1"/>
    <m/>
    <x v="0"/>
    <n v="1000"/>
    <n v="15.3"/>
    <n v="15300"/>
  </r>
  <r>
    <n v="2"/>
    <x v="1"/>
    <m/>
    <x v="10"/>
    <n v="800"/>
    <n v="5.15"/>
    <n v="4120"/>
  </r>
  <r>
    <n v="2"/>
    <x v="1"/>
    <m/>
    <x v="11"/>
    <n v="1600"/>
    <n v="4.6500000000000004"/>
    <n v="7440.0000000000009"/>
  </r>
  <r>
    <n v="2"/>
    <x v="1"/>
    <m/>
    <x v="8"/>
    <n v="1000"/>
    <n v="0.8"/>
    <n v="800"/>
  </r>
  <r>
    <n v="3"/>
    <x v="2"/>
    <s v="UE"/>
    <x v="1"/>
    <n v="300"/>
    <n v="18.100000000000001"/>
    <n v="5430"/>
  </r>
  <r>
    <n v="4"/>
    <x v="3"/>
    <n v="4"/>
    <x v="2"/>
    <n v="2800"/>
    <n v="0.85000000000000009"/>
    <n v="2380.0000000000005"/>
  </r>
  <r>
    <n v="4"/>
    <x v="3"/>
    <m/>
    <x v="6"/>
    <n v="200"/>
    <n v="0.75"/>
    <n v="150"/>
  </r>
  <r>
    <n v="4"/>
    <x v="3"/>
    <m/>
    <x v="12"/>
    <n v="2500"/>
    <n v="0.15"/>
    <n v="375"/>
  </r>
  <r>
    <n v="4"/>
    <x v="3"/>
    <m/>
    <x v="4"/>
    <n v="1000"/>
    <n v="1"/>
    <n v="1000"/>
  </r>
  <r>
    <n v="4"/>
    <x v="3"/>
    <m/>
    <x v="13"/>
    <n v="2700"/>
    <n v="0.1"/>
    <n v="270"/>
  </r>
  <r>
    <n v="4"/>
    <x v="3"/>
    <m/>
    <x v="14"/>
    <n v="1500"/>
    <n v="0.3"/>
    <n v="450"/>
  </r>
  <r>
    <n v="4"/>
    <x v="3"/>
    <m/>
    <x v="1"/>
    <n v="300"/>
    <n v="0.15"/>
    <n v="45"/>
  </r>
  <r>
    <n v="4"/>
    <x v="3"/>
    <m/>
    <x v="3"/>
    <n v="150"/>
    <n v="0.6"/>
    <n v="90"/>
  </r>
  <r>
    <n v="4"/>
    <x v="3"/>
    <m/>
    <x v="0"/>
    <n v="1000"/>
    <n v="5.5"/>
    <n v="5500"/>
  </r>
  <r>
    <n v="4"/>
    <x v="3"/>
    <m/>
    <x v="15"/>
    <n v="1800"/>
    <n v="1.2"/>
    <n v="2160"/>
  </r>
  <r>
    <n v="5"/>
    <x v="4"/>
    <n v="5"/>
    <x v="1"/>
    <n v="300"/>
    <n v="3.05"/>
    <n v="915"/>
  </r>
  <r>
    <n v="5"/>
    <x v="4"/>
    <m/>
    <x v="6"/>
    <n v="200"/>
    <n v="1.05"/>
    <n v="210"/>
  </r>
  <r>
    <n v="5"/>
    <x v="4"/>
    <m/>
    <x v="5"/>
    <n v="800"/>
    <n v="0.35"/>
    <n v="280"/>
  </r>
  <r>
    <n v="5"/>
    <x v="4"/>
    <m/>
    <x v="16"/>
    <n v="500"/>
    <n v="3.35"/>
    <n v="1675"/>
  </r>
  <r>
    <n v="5"/>
    <x v="4"/>
    <m/>
    <x v="4"/>
    <n v="1000"/>
    <n v="14.45"/>
    <n v="14450"/>
  </r>
  <r>
    <n v="5"/>
    <x v="4"/>
    <m/>
    <x v="0"/>
    <n v="1000"/>
    <n v="12.2"/>
    <n v="12200"/>
  </r>
  <r>
    <n v="5"/>
    <x v="4"/>
    <m/>
    <x v="14"/>
    <n v="1500"/>
    <n v="1.1000000000000001"/>
    <n v="1650.0000000000002"/>
  </r>
  <r>
    <n v="5"/>
    <x v="4"/>
    <m/>
    <x v="3"/>
    <n v="150"/>
    <n v="3.85"/>
    <n v="577.5"/>
  </r>
  <r>
    <n v="5"/>
    <x v="4"/>
    <m/>
    <x v="17"/>
    <n v="1400"/>
    <n v="5.5"/>
    <n v="7700"/>
  </r>
  <r>
    <n v="5"/>
    <x v="4"/>
    <m/>
    <x v="10"/>
    <n v="800"/>
    <n v="3.95"/>
    <n v="3160"/>
  </r>
  <r>
    <n v="5"/>
    <x v="4"/>
    <m/>
    <x v="2"/>
    <n v="2800"/>
    <n v="3.45"/>
    <n v="9660"/>
  </r>
  <r>
    <n v="6"/>
    <x v="5"/>
    <n v="5"/>
    <x v="8"/>
    <n v="1000"/>
    <n v="0.1"/>
    <n v="100"/>
  </r>
  <r>
    <n v="6"/>
    <x v="5"/>
    <m/>
    <x v="2"/>
    <n v="2800"/>
    <n v="0.1"/>
    <n v="280"/>
  </r>
  <r>
    <n v="6"/>
    <x v="5"/>
    <m/>
    <x v="12"/>
    <n v="2500"/>
    <n v="0.2"/>
    <n v="500"/>
  </r>
  <r>
    <n v="6"/>
    <x v="5"/>
    <m/>
    <x v="18"/>
    <n v="3500"/>
    <n v="0.7"/>
    <n v="2450"/>
  </r>
  <r>
    <n v="6"/>
    <x v="5"/>
    <m/>
    <x v="1"/>
    <n v="300"/>
    <n v="1.1000000000000001"/>
    <n v="330"/>
  </r>
  <r>
    <n v="6"/>
    <x v="5"/>
    <m/>
    <x v="2"/>
    <n v="2800"/>
    <n v="0.75"/>
    <n v="2100"/>
  </r>
  <r>
    <n v="6"/>
    <x v="5"/>
    <m/>
    <x v="0"/>
    <n v="1000"/>
    <n v="9.1999999999999993"/>
    <n v="9200"/>
  </r>
  <r>
    <n v="7"/>
    <x v="6"/>
    <s v="UB"/>
    <x v="19"/>
    <n v="4000"/>
    <n v="1.55"/>
    <n v="6200"/>
  </r>
  <r>
    <n v="7"/>
    <x v="6"/>
    <m/>
    <x v="3"/>
    <n v="150"/>
    <n v="0.45"/>
    <n v="67.5"/>
  </r>
  <r>
    <n v="7"/>
    <x v="6"/>
    <m/>
    <x v="14"/>
    <n v="1500"/>
    <n v="0.3"/>
    <n v="450"/>
  </r>
  <r>
    <n v="7"/>
    <x v="6"/>
    <m/>
    <x v="16"/>
    <n v="500"/>
    <n v="0.85"/>
    <n v="425"/>
  </r>
  <r>
    <n v="7"/>
    <x v="6"/>
    <m/>
    <x v="2"/>
    <n v="2800"/>
    <n v="3.65"/>
    <n v="10220"/>
  </r>
  <r>
    <n v="7"/>
    <x v="6"/>
    <m/>
    <x v="20"/>
    <n v="1600"/>
    <n v="0.7"/>
    <n v="1120"/>
  </r>
  <r>
    <n v="7"/>
    <x v="6"/>
    <m/>
    <x v="1"/>
    <n v="300"/>
    <n v="0.95"/>
    <n v="285"/>
  </r>
  <r>
    <n v="7"/>
    <x v="6"/>
    <m/>
    <x v="4"/>
    <n v="1000"/>
    <n v="4.8"/>
    <n v="4800"/>
  </r>
  <r>
    <n v="7"/>
    <x v="6"/>
    <m/>
    <x v="5"/>
    <n v="800"/>
    <n v="0.3"/>
    <n v="240"/>
  </r>
  <r>
    <n v="7"/>
    <x v="6"/>
    <m/>
    <x v="0"/>
    <n v="1000"/>
    <n v="8.5500000000000007"/>
    <n v="8550"/>
  </r>
  <r>
    <n v="8"/>
    <x v="7"/>
    <n v="5"/>
    <x v="21"/>
    <n v="8000"/>
    <n v="0.15"/>
    <n v="1200"/>
  </r>
  <r>
    <n v="8"/>
    <x v="7"/>
    <m/>
    <x v="17"/>
    <n v="1400"/>
    <n v="19.8"/>
    <n v="27720"/>
  </r>
  <r>
    <n v="8"/>
    <x v="7"/>
    <m/>
    <x v="6"/>
    <n v="200"/>
    <n v="0.35"/>
    <n v="70"/>
  </r>
  <r>
    <n v="8"/>
    <x v="7"/>
    <m/>
    <x v="1"/>
    <n v="300"/>
    <n v="0.3"/>
    <n v="90"/>
  </r>
  <r>
    <n v="8"/>
    <x v="7"/>
    <m/>
    <x v="2"/>
    <n v="2800"/>
    <n v="2.85"/>
    <n v="7980"/>
  </r>
  <r>
    <n v="8"/>
    <x v="7"/>
    <m/>
    <x v="12"/>
    <n v="2500"/>
    <n v="0.25"/>
    <n v="625"/>
  </r>
  <r>
    <n v="8"/>
    <x v="7"/>
    <m/>
    <x v="8"/>
    <n v="1000"/>
    <n v="1.1499999999999999"/>
    <n v="1150"/>
  </r>
  <r>
    <n v="8"/>
    <x v="7"/>
    <m/>
    <x v="16"/>
    <n v="500"/>
    <n v="2.4"/>
    <n v="1200"/>
  </r>
  <r>
    <n v="8"/>
    <x v="7"/>
    <m/>
    <x v="15"/>
    <n v="1800"/>
    <n v="5.2"/>
    <n v="9360"/>
  </r>
  <r>
    <n v="8"/>
    <x v="7"/>
    <m/>
    <x v="14"/>
    <n v="1500"/>
    <n v="0.85"/>
    <n v="1275"/>
  </r>
  <r>
    <n v="8"/>
    <x v="7"/>
    <m/>
    <x v="3"/>
    <n v="150"/>
    <n v="5.95"/>
    <n v="892.5"/>
  </r>
  <r>
    <n v="8"/>
    <x v="7"/>
    <m/>
    <x v="4"/>
    <n v="1000"/>
    <n v="17.05"/>
    <n v="17050"/>
  </r>
  <r>
    <n v="8"/>
    <x v="7"/>
    <m/>
    <x v="0"/>
    <n v="1000"/>
    <n v="13.15"/>
    <n v="13150"/>
  </r>
  <r>
    <n v="9"/>
    <x v="8"/>
    <m/>
    <x v="7"/>
    <n v="2500"/>
    <n v="8.15"/>
    <n v="20375"/>
  </r>
  <r>
    <n v="9"/>
    <x v="8"/>
    <m/>
    <x v="20"/>
    <n v="1600"/>
    <n v="0.1"/>
    <n v="160"/>
  </r>
  <r>
    <n v="9"/>
    <x v="8"/>
    <m/>
    <x v="3"/>
    <n v="150"/>
    <n v="1.35"/>
    <n v="202.5"/>
  </r>
  <r>
    <n v="9"/>
    <x v="8"/>
    <m/>
    <x v="15"/>
    <n v="1800"/>
    <n v="1.1000000000000001"/>
    <n v="1980.0000000000002"/>
  </r>
  <r>
    <n v="9"/>
    <x v="8"/>
    <m/>
    <x v="22"/>
    <n v="2500"/>
    <n v="0.7"/>
    <n v="1750"/>
  </r>
  <r>
    <n v="9"/>
    <x v="8"/>
    <m/>
    <x v="12"/>
    <n v="2500"/>
    <n v="0.35"/>
    <n v="875"/>
  </r>
  <r>
    <n v="9"/>
    <x v="8"/>
    <m/>
    <x v="4"/>
    <n v="1000"/>
    <n v="1.8"/>
    <n v="1800"/>
  </r>
  <r>
    <n v="9"/>
    <x v="8"/>
    <m/>
    <x v="6"/>
    <n v="200"/>
    <n v="0.6"/>
    <n v="120"/>
  </r>
  <r>
    <n v="9"/>
    <x v="8"/>
    <m/>
    <x v="1"/>
    <n v="300"/>
    <n v="0.55000000000000004"/>
    <n v="165"/>
  </r>
  <r>
    <n v="9"/>
    <x v="8"/>
    <m/>
    <x v="2"/>
    <n v="2800"/>
    <n v="1.85"/>
    <n v="5180"/>
  </r>
  <r>
    <n v="9"/>
    <x v="8"/>
    <m/>
    <x v="0"/>
    <n v="1000"/>
    <n v="7.95"/>
    <n v="7950"/>
  </r>
  <r>
    <n v="10"/>
    <x v="9"/>
    <m/>
    <x v="1"/>
    <n v="300"/>
    <n v="0.2"/>
    <n v="60"/>
  </r>
  <r>
    <n v="10"/>
    <x v="9"/>
    <m/>
    <x v="19"/>
    <n v="4000"/>
    <n v="1.1000000000000001"/>
    <n v="4400"/>
  </r>
  <r>
    <n v="10"/>
    <x v="9"/>
    <m/>
    <x v="3"/>
    <n v="150"/>
    <n v="0.4"/>
    <n v="60"/>
  </r>
  <r>
    <n v="10"/>
    <x v="9"/>
    <m/>
    <x v="14"/>
    <n v="1500"/>
    <n v="0.15"/>
    <n v="225"/>
  </r>
  <r>
    <n v="10"/>
    <x v="9"/>
    <m/>
    <x v="4"/>
    <n v="1000"/>
    <n v="0.2"/>
    <n v="200"/>
  </r>
  <r>
    <n v="10"/>
    <x v="9"/>
    <m/>
    <x v="11"/>
    <n v="1600"/>
    <n v="0.05"/>
    <n v="80"/>
  </r>
  <r>
    <n v="10"/>
    <x v="9"/>
    <m/>
    <x v="2"/>
    <n v="2800"/>
    <n v="2.4500000000000002"/>
    <n v="6860.0000000000009"/>
  </r>
  <r>
    <n v="10"/>
    <x v="10"/>
    <m/>
    <x v="16"/>
    <n v="500"/>
    <n v="1.3"/>
    <n v="650"/>
  </r>
  <r>
    <n v="10"/>
    <x v="10"/>
    <m/>
    <x v="12"/>
    <n v="2500"/>
    <n v="0.3"/>
    <n v="750"/>
  </r>
  <r>
    <n v="10"/>
    <x v="10"/>
    <m/>
    <x v="4"/>
    <n v="1000"/>
    <n v="0.35"/>
    <n v="350"/>
  </r>
  <r>
    <n v="10"/>
    <x v="10"/>
    <m/>
    <x v="3"/>
    <n v="150"/>
    <n v="2.2000000000000002"/>
    <n v="330"/>
  </r>
  <r>
    <n v="10"/>
    <x v="10"/>
    <m/>
    <x v="18"/>
    <n v="3500"/>
    <n v="0.15"/>
    <n v="525"/>
  </r>
  <r>
    <n v="10"/>
    <x v="10"/>
    <m/>
    <x v="6"/>
    <n v="200"/>
    <n v="0.35"/>
    <n v="70"/>
  </r>
  <r>
    <n v="10"/>
    <x v="10"/>
    <m/>
    <x v="1"/>
    <n v="300"/>
    <n v="0.75"/>
    <n v="225"/>
  </r>
  <r>
    <n v="10"/>
    <x v="10"/>
    <m/>
    <x v="8"/>
    <n v="1000"/>
    <n v="0.95"/>
    <n v="950"/>
  </r>
  <r>
    <n v="10"/>
    <x v="10"/>
    <m/>
    <x v="14"/>
    <n v="1500"/>
    <n v="0.4"/>
    <n v="600"/>
  </r>
  <r>
    <n v="10"/>
    <x v="10"/>
    <m/>
    <x v="2"/>
    <n v="2800"/>
    <n v="1.35"/>
    <n v="3780.0000000000005"/>
  </r>
  <r>
    <n v="10"/>
    <x v="10"/>
    <m/>
    <x v="0"/>
    <n v="1000"/>
    <n v="12.85"/>
    <n v="12850"/>
  </r>
  <r>
    <n v="12"/>
    <x v="11"/>
    <m/>
    <x v="3"/>
    <n v="150"/>
    <n v="0.75"/>
    <n v="112.5"/>
  </r>
  <r>
    <n v="12"/>
    <x v="11"/>
    <m/>
    <x v="1"/>
    <n v="300"/>
    <n v="1.65"/>
    <n v="495"/>
  </r>
  <r>
    <n v="12"/>
    <x v="11"/>
    <m/>
    <x v="8"/>
    <n v="1000"/>
    <n v="1.4"/>
    <n v="1400"/>
  </r>
  <r>
    <n v="12"/>
    <x v="11"/>
    <m/>
    <x v="0"/>
    <n v="1000"/>
    <n v="4.3"/>
    <n v="4300"/>
  </r>
  <r>
    <n v="13"/>
    <x v="12"/>
    <m/>
    <x v="15"/>
    <n v="1800"/>
    <n v="0.4"/>
    <n v="720"/>
  </r>
  <r>
    <n v="13"/>
    <x v="12"/>
    <m/>
    <x v="3"/>
    <n v="150"/>
    <n v="1.25"/>
    <n v="187.5"/>
  </r>
  <r>
    <n v="13"/>
    <x v="12"/>
    <m/>
    <x v="23"/>
    <n v="3500"/>
    <n v="0.1"/>
    <n v="350"/>
  </r>
  <r>
    <n v="13"/>
    <x v="12"/>
    <m/>
    <x v="12"/>
    <n v="2500"/>
    <n v="0.15"/>
    <n v="375"/>
  </r>
  <r>
    <n v="13"/>
    <x v="12"/>
    <m/>
    <x v="1"/>
    <n v="300"/>
    <n v="0.95"/>
    <n v="285"/>
  </r>
  <r>
    <n v="13"/>
    <x v="12"/>
    <m/>
    <x v="8"/>
    <n v="1000"/>
    <n v="2"/>
    <n v="2000"/>
  </r>
  <r>
    <n v="13"/>
    <x v="12"/>
    <m/>
    <x v="0"/>
    <n v="1000"/>
    <n v="0.4"/>
    <n v="400"/>
  </r>
  <r>
    <n v="13"/>
    <x v="12"/>
    <m/>
    <x v="16"/>
    <n v="500"/>
    <n v="1.2"/>
    <n v="600"/>
  </r>
  <r>
    <n v="13"/>
    <x v="12"/>
    <m/>
    <x v="2"/>
    <n v="2800"/>
    <n v="1"/>
    <n v="2800"/>
  </r>
  <r>
    <n v="13"/>
    <x v="12"/>
    <m/>
    <x v="4"/>
    <n v="1000"/>
    <n v="0.75"/>
    <n v="750"/>
  </r>
  <r>
    <n v="14"/>
    <x v="13"/>
    <m/>
    <x v="24"/>
    <n v="1800"/>
    <n v="1"/>
    <n v="1800"/>
  </r>
  <r>
    <n v="14"/>
    <x v="13"/>
    <m/>
    <x v="8"/>
    <n v="1000"/>
    <n v="1.6"/>
    <n v="1600"/>
  </r>
  <r>
    <n v="14"/>
    <x v="13"/>
    <m/>
    <x v="12"/>
    <n v="2500"/>
    <n v="0.15"/>
    <n v="375"/>
  </r>
  <r>
    <n v="14"/>
    <x v="13"/>
    <m/>
    <x v="1"/>
    <n v="300"/>
    <n v="0.2"/>
    <n v="60"/>
  </r>
  <r>
    <n v="14"/>
    <x v="13"/>
    <m/>
    <x v="0"/>
    <n v="1000"/>
    <n v="0.6"/>
    <n v="600"/>
  </r>
  <r>
    <n v="14"/>
    <x v="13"/>
    <m/>
    <x v="16"/>
    <n v="500"/>
    <n v="0.55000000000000004"/>
    <n v="275"/>
  </r>
  <r>
    <n v="14"/>
    <x v="13"/>
    <m/>
    <x v="10"/>
    <n v="800"/>
    <n v="4"/>
    <n v="3200"/>
  </r>
  <r>
    <n v="15"/>
    <x v="14"/>
    <m/>
    <x v="2"/>
    <n v="2800"/>
    <n v="2.1"/>
    <n v="5880"/>
  </r>
  <r>
    <n v="15"/>
    <x v="14"/>
    <m/>
    <x v="5"/>
    <n v="800"/>
    <n v="0.2"/>
    <n v="160"/>
  </r>
  <r>
    <n v="15"/>
    <x v="14"/>
    <m/>
    <x v="4"/>
    <n v="1000"/>
    <n v="0.45"/>
    <n v="450"/>
  </r>
  <r>
    <n v="15"/>
    <x v="14"/>
    <m/>
    <x v="0"/>
    <n v="1000"/>
    <n v="5.0999999999999996"/>
    <n v="5100"/>
  </r>
  <r>
    <n v="15"/>
    <x v="14"/>
    <m/>
    <x v="17"/>
    <n v="1400"/>
    <n v="6.1"/>
    <n v="8540"/>
  </r>
  <r>
    <n v="15"/>
    <x v="14"/>
    <m/>
    <x v="16"/>
    <n v="500"/>
    <n v="0.85"/>
    <n v="425"/>
  </r>
  <r>
    <n v="15"/>
    <x v="14"/>
    <m/>
    <x v="12"/>
    <n v="2500"/>
    <n v="1"/>
    <n v="2500"/>
  </r>
  <r>
    <n v="16"/>
    <x v="15"/>
    <m/>
    <x v="8"/>
    <n v="1000"/>
    <n v="2.1"/>
    <n v="2100"/>
  </r>
  <r>
    <n v="16"/>
    <x v="15"/>
    <m/>
    <x v="22"/>
    <n v="2500"/>
    <n v="0.7"/>
    <n v="1750"/>
  </r>
  <r>
    <n v="16"/>
    <x v="15"/>
    <m/>
    <x v="0"/>
    <n v="1000"/>
    <n v="2.2000000000000002"/>
    <n v="2200"/>
  </r>
  <r>
    <n v="16"/>
    <x v="15"/>
    <m/>
    <x v="2"/>
    <n v="2800"/>
    <n v="1.1499999999999999"/>
    <n v="3219.9999999999995"/>
  </r>
  <r>
    <n v="17"/>
    <x v="16"/>
    <m/>
    <x v="2"/>
    <n v="2800"/>
    <n v="0.6"/>
    <n v="1680"/>
  </r>
  <r>
    <n v="17"/>
    <x v="16"/>
    <m/>
    <x v="0"/>
    <n v="1000"/>
    <n v="1.2"/>
    <n v="1200"/>
  </r>
  <r>
    <n v="17"/>
    <x v="16"/>
    <m/>
    <x v="4"/>
    <n v="1000"/>
    <n v="0.7"/>
    <n v="700"/>
  </r>
  <r>
    <n v="17"/>
    <x v="16"/>
    <m/>
    <x v="16"/>
    <n v="500"/>
    <n v="0.1"/>
    <n v="50"/>
  </r>
  <r>
    <n v="17"/>
    <x v="16"/>
    <m/>
    <x v="1"/>
    <n v="300"/>
    <n v="0.4"/>
    <n v="120"/>
  </r>
  <r>
    <n v="18"/>
    <x v="17"/>
    <m/>
    <x v="14"/>
    <n v="1500"/>
    <n v="0.25"/>
    <n v="375"/>
  </r>
  <r>
    <n v="18"/>
    <x v="17"/>
    <m/>
    <x v="3"/>
    <n v="150"/>
    <n v="1.2"/>
    <n v="180"/>
  </r>
  <r>
    <n v="18"/>
    <x v="17"/>
    <m/>
    <x v="14"/>
    <n v="1500"/>
    <n v="0.35"/>
    <n v="525"/>
  </r>
  <r>
    <n v="18"/>
    <x v="17"/>
    <m/>
    <x v="16"/>
    <n v="500"/>
    <n v="0.2"/>
    <n v="100"/>
  </r>
  <r>
    <n v="18"/>
    <x v="17"/>
    <m/>
    <x v="1"/>
    <n v="300"/>
    <n v="1.45"/>
    <n v="435"/>
  </r>
  <r>
    <n v="19"/>
    <x v="18"/>
    <m/>
    <x v="15"/>
    <n v="1800"/>
    <n v="0.55000000000000004"/>
    <n v="990.00000000000011"/>
  </r>
  <r>
    <n v="19"/>
    <x v="18"/>
    <m/>
    <x v="4"/>
    <n v="1000"/>
    <n v="0.45"/>
    <n v="450"/>
  </r>
  <r>
    <n v="19"/>
    <x v="18"/>
    <m/>
    <x v="2"/>
    <n v="2800"/>
    <n v="1.3"/>
    <n v="3640"/>
  </r>
  <r>
    <n v="19"/>
    <x v="18"/>
    <m/>
    <x v="8"/>
    <n v="1000"/>
    <n v="1.55"/>
    <n v="1550"/>
  </r>
  <r>
    <n v="19"/>
    <x v="18"/>
    <m/>
    <x v="14"/>
    <n v="1500"/>
    <n v="0.35"/>
    <n v="525"/>
  </r>
  <r>
    <n v="19"/>
    <x v="18"/>
    <m/>
    <x v="1"/>
    <n v="300"/>
    <n v="0.35"/>
    <n v="105"/>
  </r>
  <r>
    <n v="19"/>
    <x v="18"/>
    <m/>
    <x v="16"/>
    <n v="500"/>
    <n v="0.3"/>
    <n v="150"/>
  </r>
  <r>
    <n v="19"/>
    <x v="18"/>
    <m/>
    <x v="6"/>
    <n v="200"/>
    <n v="0.6"/>
    <n v="120"/>
  </r>
  <r>
    <n v="19"/>
    <x v="18"/>
    <m/>
    <x v="18"/>
    <n v="3500"/>
    <n v="0.7"/>
    <n v="2450"/>
  </r>
  <r>
    <n v="19"/>
    <x v="18"/>
    <m/>
    <x v="0"/>
    <n v="1000"/>
    <n v="1.8"/>
    <n v="1800"/>
  </r>
  <r>
    <n v="19"/>
    <x v="18"/>
    <m/>
    <x v="3"/>
    <n v="150"/>
    <n v="6.3"/>
    <n v="945"/>
  </r>
  <r>
    <n v="20"/>
    <x v="19"/>
    <m/>
    <x v="18"/>
    <n v="3500"/>
    <n v="2.0499999999999998"/>
    <n v="7174.9999999999991"/>
  </r>
  <r>
    <n v="20"/>
    <x v="19"/>
    <m/>
    <x v="15"/>
    <n v="1800"/>
    <n v="0.55000000000000004"/>
    <n v="990.00000000000011"/>
  </r>
  <r>
    <n v="20"/>
    <x v="19"/>
    <m/>
    <x v="14"/>
    <n v="1500"/>
    <n v="0.15"/>
    <n v="225"/>
  </r>
  <r>
    <n v="20"/>
    <x v="19"/>
    <m/>
    <x v="0"/>
    <n v="1000"/>
    <n v="5.25"/>
    <n v="5250"/>
  </r>
  <r>
    <n v="20"/>
    <x v="19"/>
    <m/>
    <x v="1"/>
    <n v="300"/>
    <n v="1.1499999999999999"/>
    <n v="345"/>
  </r>
  <r>
    <n v="20"/>
    <x v="19"/>
    <m/>
    <x v="6"/>
    <n v="200"/>
    <n v="0.65"/>
    <n v="130"/>
  </r>
  <r>
    <n v="20"/>
    <x v="19"/>
    <m/>
    <x v="8"/>
    <n v="1000"/>
    <n v="1.05"/>
    <n v="1050"/>
  </r>
  <r>
    <n v="20"/>
    <x v="19"/>
    <m/>
    <x v="2"/>
    <n v="2800"/>
    <n v="2.95"/>
    <n v="8260"/>
  </r>
  <r>
    <n v="20"/>
    <x v="19"/>
    <m/>
    <x v="5"/>
    <n v="800"/>
    <n v="1.85"/>
    <n v="1480"/>
  </r>
  <r>
    <n v="21"/>
    <x v="20"/>
    <n v="4"/>
    <x v="8"/>
    <n v="1000"/>
    <n v="1.55"/>
    <n v="1550"/>
  </r>
  <r>
    <n v="21"/>
    <x v="20"/>
    <n v="4"/>
    <x v="14"/>
    <n v="1500"/>
    <n v="1.5"/>
    <n v="2250"/>
  </r>
  <r>
    <n v="21"/>
    <x v="20"/>
    <n v="4"/>
    <x v="1"/>
    <n v="300"/>
    <n v="1.75"/>
    <n v="525"/>
  </r>
  <r>
    <n v="21"/>
    <x v="20"/>
    <n v="4"/>
    <x v="16"/>
    <n v="500"/>
    <n v="0.3"/>
    <n v="150"/>
  </r>
  <r>
    <n v="22"/>
    <x v="21"/>
    <m/>
    <x v="6"/>
    <n v="200"/>
    <n v="0.35"/>
    <n v="70"/>
  </r>
  <r>
    <n v="22"/>
    <x v="21"/>
    <m/>
    <x v="5"/>
    <n v="800"/>
    <n v="0.5"/>
    <n v="400"/>
  </r>
  <r>
    <n v="22"/>
    <x v="21"/>
    <m/>
    <x v="3"/>
    <n v="150"/>
    <n v="0.3"/>
    <n v="45"/>
  </r>
  <r>
    <n v="22"/>
    <x v="21"/>
    <m/>
    <x v="7"/>
    <n v="2500"/>
    <n v="1.6"/>
    <n v="4000"/>
  </r>
  <r>
    <n v="22"/>
    <x v="21"/>
    <m/>
    <x v="12"/>
    <n v="2500"/>
    <n v="0.2"/>
    <n v="500"/>
  </r>
  <r>
    <n v="22"/>
    <x v="21"/>
    <m/>
    <x v="20"/>
    <n v="1600"/>
    <n v="0.15"/>
    <n v="240"/>
  </r>
  <r>
    <n v="22"/>
    <x v="21"/>
    <m/>
    <x v="16"/>
    <n v="500"/>
    <n v="1.05"/>
    <n v="525"/>
  </r>
  <r>
    <n v="22"/>
    <x v="21"/>
    <m/>
    <x v="0"/>
    <n v="1000"/>
    <n v="2.6"/>
    <n v="2600"/>
  </r>
  <r>
    <n v="22"/>
    <x v="21"/>
    <m/>
    <x v="1"/>
    <n v="300"/>
    <n v="2.25"/>
    <n v="675"/>
  </r>
  <r>
    <n v="22"/>
    <x v="21"/>
    <m/>
    <x v="4"/>
    <n v="1000"/>
    <n v="2.4500000000000002"/>
    <n v="2450"/>
  </r>
  <r>
    <n v="22"/>
    <x v="21"/>
    <m/>
    <x v="2"/>
    <n v="2800"/>
    <n v="1.25"/>
    <n v="3500"/>
  </r>
  <r>
    <n v="23"/>
    <x v="22"/>
    <m/>
    <x v="8"/>
    <n v="1000"/>
    <n v="0.45"/>
    <n v="450"/>
  </r>
  <r>
    <n v="23"/>
    <x v="22"/>
    <m/>
    <x v="0"/>
    <n v="1000"/>
    <n v="0.1"/>
    <n v="100"/>
  </r>
  <r>
    <n v="23"/>
    <x v="22"/>
    <m/>
    <x v="3"/>
    <n v="150"/>
    <n v="0.55000000000000004"/>
    <n v="82.5"/>
  </r>
  <r>
    <n v="23"/>
    <x v="22"/>
    <m/>
    <x v="14"/>
    <n v="1500"/>
    <n v="0.7"/>
    <n v="1050"/>
  </r>
  <r>
    <n v="23"/>
    <x v="22"/>
    <m/>
    <x v="4"/>
    <n v="1000"/>
    <n v="0.75"/>
    <n v="750"/>
  </r>
  <r>
    <n v="23"/>
    <x v="22"/>
    <m/>
    <x v="21"/>
    <n v="8000"/>
    <n v="0.05"/>
    <n v="400"/>
  </r>
  <r>
    <n v="23"/>
    <x v="22"/>
    <m/>
    <x v="16"/>
    <n v="500"/>
    <n v="1.4"/>
    <n v="700"/>
  </r>
  <r>
    <n v="23"/>
    <x v="22"/>
    <m/>
    <x v="1"/>
    <n v="300"/>
    <n v="0.3"/>
    <n v="90"/>
  </r>
  <r>
    <n v="23"/>
    <x v="22"/>
    <m/>
    <x v="5"/>
    <n v="800"/>
    <n v="0.1"/>
    <n v="80"/>
  </r>
  <r>
    <n v="23"/>
    <x v="22"/>
    <m/>
    <x v="12"/>
    <n v="2500"/>
    <n v="0.15"/>
    <n v="375"/>
  </r>
  <r>
    <n v="23"/>
    <x v="22"/>
    <m/>
    <x v="2"/>
    <n v="2800"/>
    <n v="2.75"/>
    <n v="7700"/>
  </r>
  <r>
    <n v="24"/>
    <x v="23"/>
    <m/>
    <x v="0"/>
    <n v="1000"/>
    <n v="1.9"/>
    <n v="1900"/>
  </r>
  <r>
    <n v="24"/>
    <x v="23"/>
    <m/>
    <x v="5"/>
    <n v="800"/>
    <n v="0.45"/>
    <n v="360"/>
  </r>
  <r>
    <n v="24"/>
    <x v="23"/>
    <m/>
    <x v="14"/>
    <n v="1500"/>
    <n v="0.05"/>
    <n v="75"/>
  </r>
  <r>
    <n v="24"/>
    <x v="23"/>
    <m/>
    <x v="4"/>
    <n v="1000"/>
    <n v="0.05"/>
    <n v="50"/>
  </r>
  <r>
    <n v="24"/>
    <x v="23"/>
    <m/>
    <x v="2"/>
    <n v="2800"/>
    <n v="0.65"/>
    <n v="1820"/>
  </r>
  <r>
    <n v="24"/>
    <x v="23"/>
    <m/>
    <x v="8"/>
    <n v="1000"/>
    <n v="0.25"/>
    <n v="250"/>
  </r>
  <r>
    <n v="24"/>
    <x v="23"/>
    <m/>
    <x v="1"/>
    <n v="300"/>
    <n v="1.1000000000000001"/>
    <n v="330"/>
  </r>
  <r>
    <n v="24"/>
    <x v="23"/>
    <m/>
    <x v="16"/>
    <n v="500"/>
    <n v="1.45"/>
    <n v="725"/>
  </r>
  <r>
    <n v="25"/>
    <x v="24"/>
    <m/>
    <x v="4"/>
    <n v="1000"/>
    <n v="0.65"/>
    <n v="650"/>
  </r>
  <r>
    <n v="25"/>
    <x v="24"/>
    <m/>
    <x v="0"/>
    <n v="1000"/>
    <n v="9.4"/>
    <n v="9400"/>
  </r>
  <r>
    <n v="25"/>
    <x v="24"/>
    <m/>
    <x v="2"/>
    <n v="2800"/>
    <n v="0.3"/>
    <n v="840"/>
  </r>
  <r>
    <n v="25"/>
    <x v="24"/>
    <m/>
    <x v="4"/>
    <n v="1000"/>
    <n v="0.35"/>
    <n v="350"/>
  </r>
  <r>
    <n v="25"/>
    <x v="24"/>
    <m/>
    <x v="4"/>
    <n v="1000"/>
    <n v="0.85"/>
    <n v="850"/>
  </r>
  <r>
    <n v="25"/>
    <x v="24"/>
    <m/>
    <x v="12"/>
    <n v="2500"/>
    <n v="0.35"/>
    <n v="875"/>
  </r>
  <r>
    <n v="25"/>
    <x v="24"/>
    <m/>
    <x v="14"/>
    <n v="1500"/>
    <n v="0.35"/>
    <n v="525"/>
  </r>
  <r>
    <n v="25"/>
    <x v="24"/>
    <m/>
    <x v="3"/>
    <n v="150"/>
    <n v="1"/>
    <n v="150"/>
  </r>
  <r>
    <n v="25"/>
    <x v="24"/>
    <m/>
    <x v="8"/>
    <n v="1000"/>
    <n v="0.45"/>
    <n v="450"/>
  </r>
  <r>
    <n v="25"/>
    <x v="24"/>
    <m/>
    <x v="25"/>
    <n v="1000"/>
    <n v="0.6"/>
    <n v="600"/>
  </r>
  <r>
    <n v="25"/>
    <x v="24"/>
    <m/>
    <x v="1"/>
    <n v="300"/>
    <n v="0.25"/>
    <n v="75"/>
  </r>
  <r>
    <n v="25"/>
    <x v="24"/>
    <m/>
    <x v="2"/>
    <n v="2800"/>
    <n v="2"/>
    <n v="5600"/>
  </r>
  <r>
    <n v="26"/>
    <x v="25"/>
    <m/>
    <x v="1"/>
    <n v="300"/>
    <n v="9.25"/>
    <n v="2775"/>
  </r>
  <r>
    <n v="26"/>
    <x v="25"/>
    <m/>
    <x v="6"/>
    <n v="200"/>
    <n v="7.8500000000000005"/>
    <n v="1570"/>
  </r>
  <r>
    <n v="27"/>
    <x v="26"/>
    <n v="5"/>
    <x v="0"/>
    <n v="1000"/>
    <n v="18.899999999999999"/>
    <n v="18900"/>
  </r>
  <r>
    <n v="27"/>
    <x v="26"/>
    <m/>
    <x v="18"/>
    <n v="3500"/>
    <n v="0.05"/>
    <n v="175"/>
  </r>
  <r>
    <n v="27"/>
    <x v="26"/>
    <m/>
    <x v="2"/>
    <n v="2800"/>
    <n v="19.350000000000001"/>
    <n v="54180.000000000007"/>
  </r>
  <r>
    <n v="27"/>
    <x v="26"/>
    <m/>
    <x v="18"/>
    <n v="3500"/>
    <n v="0.1"/>
    <n v="350"/>
  </r>
  <r>
    <n v="27"/>
    <x v="26"/>
    <m/>
    <x v="12"/>
    <n v="2500"/>
    <n v="1.7"/>
    <n v="4250"/>
  </r>
  <r>
    <n v="27"/>
    <x v="26"/>
    <m/>
    <x v="17"/>
    <n v="1400"/>
    <n v="2.75"/>
    <n v="3850"/>
  </r>
  <r>
    <n v="28"/>
    <x v="27"/>
    <n v="2"/>
    <x v="2"/>
    <n v="2800"/>
    <n v="1.25"/>
    <n v="3500"/>
  </r>
  <r>
    <n v="28"/>
    <x v="27"/>
    <m/>
    <x v="4"/>
    <n v="1000"/>
    <n v="4.3499999999999996"/>
    <n v="4350"/>
  </r>
  <r>
    <n v="28"/>
    <x v="27"/>
    <m/>
    <x v="12"/>
    <n v="2500"/>
    <n v="0.15"/>
    <n v="375"/>
  </r>
  <r>
    <n v="28"/>
    <x v="27"/>
    <m/>
    <x v="3"/>
    <n v="150"/>
    <n v="0.4"/>
    <n v="60"/>
  </r>
  <r>
    <n v="28"/>
    <x v="27"/>
    <m/>
    <x v="1"/>
    <n v="300"/>
    <n v="1.05"/>
    <m/>
  </r>
  <r>
    <n v="28"/>
    <x v="27"/>
    <m/>
    <x v="20"/>
    <n v="1600"/>
    <n v="0.4"/>
    <m/>
  </r>
  <r>
    <n v="28"/>
    <x v="27"/>
    <m/>
    <x v="0"/>
    <n v="1000"/>
    <n v="5"/>
    <m/>
  </r>
  <r>
    <n v="28"/>
    <x v="27"/>
    <m/>
    <x v="19"/>
    <n v="4000"/>
    <n v="1.75"/>
    <m/>
  </r>
  <r>
    <n v="28"/>
    <x v="27"/>
    <m/>
    <x v="14"/>
    <n v="1500"/>
    <n v="1.5"/>
    <m/>
  </r>
  <r>
    <n v="28"/>
    <x v="27"/>
    <m/>
    <x v="16"/>
    <n v="500"/>
    <n v="1.2"/>
    <m/>
  </r>
  <r>
    <n v="29"/>
    <x v="28"/>
    <m/>
    <x v="19"/>
    <n v="4000"/>
    <n v="4.9000000000000004"/>
    <n v="19600"/>
  </r>
  <r>
    <n v="29"/>
    <x v="28"/>
    <m/>
    <x v="16"/>
    <n v="500"/>
    <n v="2.1"/>
    <n v="1050"/>
  </r>
  <r>
    <n v="29"/>
    <x v="28"/>
    <m/>
    <x v="3"/>
    <n v="150"/>
    <n v="1.4"/>
    <n v="210"/>
  </r>
  <r>
    <n v="29"/>
    <x v="28"/>
    <m/>
    <x v="18"/>
    <n v="3500"/>
    <n v="0.25"/>
    <n v="875"/>
  </r>
  <r>
    <n v="29"/>
    <x v="28"/>
    <m/>
    <x v="1"/>
    <n v="300"/>
    <n v="1.1499999999999999"/>
    <n v="345"/>
  </r>
  <r>
    <n v="29"/>
    <x v="28"/>
    <m/>
    <x v="0"/>
    <n v="1000"/>
    <n v="5.75"/>
    <n v="5750"/>
  </r>
  <r>
    <n v="29"/>
    <x v="28"/>
    <m/>
    <x v="14"/>
    <n v="1500"/>
    <n v="1.85"/>
    <n v="2775"/>
  </r>
  <r>
    <n v="29"/>
    <x v="28"/>
    <m/>
    <x v="11"/>
    <n v="1600"/>
    <n v="1.55"/>
    <n v="2480"/>
  </r>
  <r>
    <n v="29"/>
    <x v="28"/>
    <m/>
    <x v="6"/>
    <n v="200"/>
    <n v="2.35"/>
    <n v="470"/>
  </r>
  <r>
    <n v="29"/>
    <x v="28"/>
    <m/>
    <x v="8"/>
    <n v="1000"/>
    <n v="12.85"/>
    <n v="12850"/>
  </r>
  <r>
    <n v="29"/>
    <x v="28"/>
    <m/>
    <x v="2"/>
    <n v="2800"/>
    <n v="2.35"/>
    <n v="6580"/>
  </r>
  <r>
    <n v="30"/>
    <x v="29"/>
    <n v="5"/>
    <x v="6"/>
    <n v="200"/>
    <n v="0.6"/>
    <n v="120"/>
  </r>
  <r>
    <n v="30"/>
    <x v="29"/>
    <m/>
    <x v="10"/>
    <n v="800"/>
    <n v="6.7"/>
    <n v="5360"/>
  </r>
  <r>
    <n v="30"/>
    <x v="29"/>
    <m/>
    <x v="8"/>
    <n v="1000"/>
    <n v="1.25"/>
    <n v="1250"/>
  </r>
  <r>
    <n v="30"/>
    <x v="29"/>
    <m/>
    <x v="10"/>
    <n v="800"/>
    <n v="1.4"/>
    <n v="1120"/>
  </r>
  <r>
    <n v="30"/>
    <x v="29"/>
    <m/>
    <x v="15"/>
    <n v="1800"/>
    <n v="3.35"/>
    <n v="6030"/>
  </r>
  <r>
    <n v="30"/>
    <x v="29"/>
    <m/>
    <x v="16"/>
    <n v="500"/>
    <n v="0.2"/>
    <n v="100"/>
  </r>
  <r>
    <n v="30"/>
    <x v="29"/>
    <m/>
    <x v="9"/>
    <n v="150"/>
    <n v="0.05"/>
    <n v="7.5"/>
  </r>
  <r>
    <n v="30"/>
    <x v="29"/>
    <m/>
    <x v="0"/>
    <n v="1000"/>
    <n v="1.4"/>
    <n v="1400"/>
  </r>
  <r>
    <n v="30"/>
    <x v="29"/>
    <m/>
    <x v="4"/>
    <n v="1000"/>
    <n v="0.9"/>
    <n v="900"/>
  </r>
  <r>
    <n v="31"/>
    <x v="30"/>
    <m/>
    <x v="0"/>
    <n v="1000"/>
    <n v="5.15"/>
    <n v="5150"/>
  </r>
  <r>
    <n v="31"/>
    <x v="30"/>
    <m/>
    <x v="16"/>
    <n v="500"/>
    <n v="0.35"/>
    <n v="175"/>
  </r>
  <r>
    <n v="31"/>
    <x v="30"/>
    <m/>
    <x v="8"/>
    <n v="1000"/>
    <n v="1.1000000000000001"/>
    <n v="1100"/>
  </r>
  <r>
    <n v="31"/>
    <x v="30"/>
    <m/>
    <x v="6"/>
    <n v="200"/>
    <n v="0.1"/>
    <n v="20"/>
  </r>
  <r>
    <n v="31"/>
    <x v="30"/>
    <m/>
    <x v="11"/>
    <n v="1600"/>
    <n v="0.25"/>
    <n v="400"/>
  </r>
  <r>
    <n v="31"/>
    <x v="30"/>
    <m/>
    <x v="14"/>
    <n v="1500"/>
    <n v="0.45"/>
    <n v="675"/>
  </r>
  <r>
    <n v="32"/>
    <x v="31"/>
    <m/>
    <x v="11"/>
    <n v="1600"/>
    <n v="0.15"/>
    <n v="240"/>
  </r>
  <r>
    <n v="32"/>
    <x v="31"/>
    <m/>
    <x v="26"/>
    <n v="500"/>
    <n v="1.6"/>
    <n v="800"/>
  </r>
  <r>
    <n v="32"/>
    <x v="31"/>
    <m/>
    <x v="15"/>
    <n v="1800"/>
    <n v="1.95"/>
    <n v="3510"/>
  </r>
  <r>
    <n v="32"/>
    <x v="31"/>
    <m/>
    <x v="3"/>
    <n v="150"/>
    <n v="1.1499999999999999"/>
    <n v="172.5"/>
  </r>
  <r>
    <n v="32"/>
    <x v="31"/>
    <m/>
    <x v="12"/>
    <n v="2500"/>
    <n v="0.1"/>
    <n v="250"/>
  </r>
  <r>
    <n v="32"/>
    <x v="31"/>
    <m/>
    <x v="4"/>
    <n v="1000"/>
    <n v="4.0999999999999996"/>
    <n v="4100"/>
  </r>
  <r>
    <n v="32"/>
    <x v="31"/>
    <m/>
    <x v="16"/>
    <n v="500"/>
    <n v="0.7"/>
    <n v="350"/>
  </r>
  <r>
    <n v="32"/>
    <x v="31"/>
    <m/>
    <x v="8"/>
    <n v="1000"/>
    <n v="1.7"/>
    <n v="1700"/>
  </r>
  <r>
    <n v="32"/>
    <x v="31"/>
    <m/>
    <x v="6"/>
    <n v="200"/>
    <n v="0.2"/>
    <n v="40"/>
  </r>
  <r>
    <n v="32"/>
    <x v="31"/>
    <m/>
    <x v="1"/>
    <n v="300"/>
    <n v="1.25"/>
    <n v="375"/>
  </r>
  <r>
    <n v="32"/>
    <x v="31"/>
    <m/>
    <x v="0"/>
    <n v="1000"/>
    <n v="6.45"/>
    <n v="6450"/>
  </r>
  <r>
    <n v="32"/>
    <x v="31"/>
    <m/>
    <x v="2"/>
    <n v="2800"/>
    <n v="1.8"/>
    <n v="5040"/>
  </r>
  <r>
    <n v="33"/>
    <x v="32"/>
    <m/>
    <x v="8"/>
    <n v="1000"/>
    <n v="0.3"/>
    <n v="300"/>
  </r>
  <r>
    <n v="33"/>
    <x v="32"/>
    <m/>
    <x v="4"/>
    <n v="1000"/>
    <n v="0.1"/>
    <n v="100"/>
  </r>
  <r>
    <n v="33"/>
    <x v="32"/>
    <m/>
    <x v="13"/>
    <n v="2700"/>
    <n v="0.05"/>
    <n v="135"/>
  </r>
  <r>
    <n v="33"/>
    <x v="32"/>
    <m/>
    <x v="12"/>
    <n v="2500"/>
    <n v="0.1"/>
    <n v="250"/>
  </r>
  <r>
    <n v="33"/>
    <x v="32"/>
    <m/>
    <x v="5"/>
    <n v="800"/>
    <n v="0.1"/>
    <n v="80"/>
  </r>
  <r>
    <n v="33"/>
    <x v="32"/>
    <m/>
    <x v="16"/>
    <n v="500"/>
    <n v="0.45"/>
    <n v="225"/>
  </r>
  <r>
    <n v="33"/>
    <x v="32"/>
    <m/>
    <x v="6"/>
    <n v="200"/>
    <n v="0.6"/>
    <n v="120"/>
  </r>
  <r>
    <n v="33"/>
    <x v="32"/>
    <m/>
    <x v="2"/>
    <n v="2800"/>
    <n v="0.7"/>
    <n v="1959.9999999999998"/>
  </r>
  <r>
    <n v="33"/>
    <x v="32"/>
    <m/>
    <x v="1"/>
    <n v="300"/>
    <n v="0.75"/>
    <n v="225"/>
  </r>
  <r>
    <n v="33"/>
    <x v="32"/>
    <m/>
    <x v="21"/>
    <n v="8000"/>
    <n v="0.55000000000000004"/>
    <n v="4400"/>
  </r>
  <r>
    <n v="33"/>
    <x v="32"/>
    <m/>
    <x v="0"/>
    <n v="1000"/>
    <n v="0.75"/>
    <n v="750"/>
  </r>
  <r>
    <n v="34"/>
    <x v="33"/>
    <n v="6"/>
    <x v="8"/>
    <n v="1000"/>
    <n v="0.3"/>
    <n v="300"/>
  </r>
  <r>
    <n v="34"/>
    <x v="33"/>
    <m/>
    <x v="16"/>
    <n v="500"/>
    <n v="0.2"/>
    <n v="100"/>
  </r>
  <r>
    <n v="34"/>
    <x v="33"/>
    <m/>
    <x v="14"/>
    <n v="1500"/>
    <n v="0.2"/>
    <n v="300"/>
  </r>
  <r>
    <n v="34"/>
    <x v="33"/>
    <m/>
    <x v="19"/>
    <n v="4000"/>
    <n v="1.7"/>
    <n v="6800"/>
  </r>
  <r>
    <n v="35"/>
    <x v="34"/>
    <n v="6"/>
    <x v="16"/>
    <n v="500"/>
    <n v="0.45"/>
    <n v="225"/>
  </r>
  <r>
    <n v="35"/>
    <x v="34"/>
    <m/>
    <x v="7"/>
    <n v="2500"/>
    <n v="4.1500000000000004"/>
    <n v="10375"/>
  </r>
  <r>
    <n v="36"/>
    <x v="35"/>
    <m/>
    <x v="6"/>
    <n v="200"/>
    <n v="0.15"/>
    <n v="30"/>
  </r>
  <r>
    <n v="36"/>
    <x v="35"/>
    <m/>
    <x v="1"/>
    <n v="300"/>
    <n v="0.55000000000000004"/>
    <n v="165"/>
  </r>
  <r>
    <n v="36"/>
    <x v="35"/>
    <m/>
    <x v="20"/>
    <n v="1600"/>
    <n v="0.3"/>
    <n v="480"/>
  </r>
  <r>
    <n v="36"/>
    <x v="35"/>
    <m/>
    <x v="16"/>
    <n v="500"/>
    <n v="0.6"/>
    <n v="300"/>
  </r>
  <r>
    <n v="36"/>
    <x v="35"/>
    <m/>
    <x v="21"/>
    <n v="8000"/>
    <n v="0.1"/>
    <n v="800"/>
  </r>
  <r>
    <n v="36"/>
    <x v="35"/>
    <m/>
    <x v="12"/>
    <n v="2500"/>
    <n v="0.45"/>
    <n v="1125"/>
  </r>
  <r>
    <n v="36"/>
    <x v="35"/>
    <m/>
    <x v="23"/>
    <n v="3500"/>
    <n v="0.4"/>
    <n v="1400"/>
  </r>
  <r>
    <n v="36"/>
    <x v="35"/>
    <m/>
    <x v="14"/>
    <n v="1500"/>
    <n v="0.45"/>
    <n v="675"/>
  </r>
  <r>
    <n v="36"/>
    <x v="35"/>
    <m/>
    <x v="3"/>
    <n v="150"/>
    <n v="5.55"/>
    <n v="832.5"/>
  </r>
  <r>
    <n v="36"/>
    <x v="35"/>
    <m/>
    <x v="2"/>
    <n v="2800"/>
    <n v="1.45"/>
    <n v="4060"/>
  </r>
  <r>
    <n v="36"/>
    <x v="35"/>
    <m/>
    <x v="4"/>
    <n v="1000"/>
    <n v="3.95"/>
    <n v="3950"/>
  </r>
  <r>
    <n v="37"/>
    <x v="36"/>
    <m/>
    <x v="8"/>
    <n v="1000"/>
    <n v="2"/>
    <n v="2000"/>
  </r>
  <r>
    <n v="37"/>
    <x v="36"/>
    <m/>
    <x v="4"/>
    <n v="1000"/>
    <n v="0.3"/>
    <n v="300"/>
  </r>
  <r>
    <n v="37"/>
    <x v="36"/>
    <m/>
    <x v="1"/>
    <n v="300"/>
    <n v="1.2"/>
    <n v="360"/>
  </r>
  <r>
    <n v="37"/>
    <x v="36"/>
    <m/>
    <x v="14"/>
    <n v="1500"/>
    <n v="0.75"/>
    <n v="1125"/>
  </r>
  <r>
    <n v="37"/>
    <x v="36"/>
    <m/>
    <x v="3"/>
    <n v="150"/>
    <n v="1.05"/>
    <n v="157.5"/>
  </r>
  <r>
    <n v="37"/>
    <x v="36"/>
    <m/>
    <x v="19"/>
    <n v="4000"/>
    <n v="3.6"/>
    <n v="14400"/>
  </r>
  <r>
    <n v="37"/>
    <x v="36"/>
    <m/>
    <x v="0"/>
    <n v="1000"/>
    <n v="11.7"/>
    <n v="11700"/>
  </r>
  <r>
    <n v="38"/>
    <x v="37"/>
    <m/>
    <x v="7"/>
    <n v="2500"/>
    <n v="0.95"/>
    <n v="2375"/>
  </r>
  <r>
    <n v="38"/>
    <x v="37"/>
    <m/>
    <x v="6"/>
    <n v="200"/>
    <n v="2.85"/>
    <n v="570"/>
  </r>
  <r>
    <n v="38"/>
    <x v="37"/>
    <m/>
    <x v="1"/>
    <n v="300"/>
    <n v="0.8"/>
    <n v="240"/>
  </r>
  <r>
    <n v="38"/>
    <x v="37"/>
    <m/>
    <x v="12"/>
    <n v="2500"/>
    <n v="0.4"/>
    <n v="1000"/>
  </r>
  <r>
    <n v="38"/>
    <x v="37"/>
    <m/>
    <x v="8"/>
    <n v="1000"/>
    <n v="3.7"/>
    <n v="3700"/>
  </r>
  <r>
    <n v="38"/>
    <x v="37"/>
    <m/>
    <x v="2"/>
    <n v="2800"/>
    <n v="1.7"/>
    <n v="4760"/>
  </r>
  <r>
    <n v="38"/>
    <x v="37"/>
    <m/>
    <x v="16"/>
    <n v="500"/>
    <n v="0.45"/>
    <n v="225"/>
  </r>
  <r>
    <n v="39"/>
    <x v="38"/>
    <m/>
    <x v="16"/>
    <n v="500"/>
    <n v="0.45"/>
    <n v="225"/>
  </r>
  <r>
    <n v="39"/>
    <x v="38"/>
    <m/>
    <x v="21"/>
    <n v="8000"/>
    <n v="0.05"/>
    <n v="400"/>
  </r>
  <r>
    <n v="39"/>
    <x v="38"/>
    <m/>
    <x v="3"/>
    <n v="150"/>
    <n v="0.6"/>
    <n v="90"/>
  </r>
  <r>
    <n v="39"/>
    <x v="38"/>
    <m/>
    <x v="4"/>
    <n v="1000"/>
    <n v="0.3"/>
    <n v="300"/>
  </r>
  <r>
    <n v="39"/>
    <x v="38"/>
    <m/>
    <x v="1"/>
    <n v="300"/>
    <n v="1.8"/>
    <n v="540"/>
  </r>
  <r>
    <n v="39"/>
    <x v="38"/>
    <m/>
    <x v="0"/>
    <n v="1000"/>
    <n v="0.8"/>
    <n v="800"/>
  </r>
  <r>
    <n v="39"/>
    <x v="38"/>
    <m/>
    <x v="2"/>
    <n v="2800"/>
    <n v="5.45"/>
    <n v="15260"/>
  </r>
  <r>
    <n v="40"/>
    <x v="39"/>
    <m/>
    <x v="8"/>
    <n v="1000"/>
    <n v="0.75"/>
    <n v="750"/>
  </r>
  <r>
    <n v="40"/>
    <x v="39"/>
    <m/>
    <x v="11"/>
    <n v="1600"/>
    <n v="2.4500000000000002"/>
    <n v="3920.0000000000005"/>
  </r>
  <r>
    <n v="40"/>
    <x v="39"/>
    <m/>
    <x v="4"/>
    <n v="1000"/>
    <n v="2.15"/>
    <n v="2150"/>
  </r>
  <r>
    <n v="41"/>
    <x v="40"/>
    <m/>
    <x v="1"/>
    <n v="300"/>
    <n v="0.4"/>
    <n v="120"/>
  </r>
  <r>
    <n v="41"/>
    <x v="40"/>
    <m/>
    <x v="16"/>
    <n v="500"/>
    <n v="1.65"/>
    <n v="825"/>
  </r>
  <r>
    <n v="41"/>
    <x v="40"/>
    <m/>
    <x v="23"/>
    <n v="3500"/>
    <n v="0.1"/>
    <n v="350"/>
  </r>
  <r>
    <n v="41"/>
    <x v="40"/>
    <m/>
    <x v="14"/>
    <n v="1500"/>
    <n v="0.5"/>
    <n v="750"/>
  </r>
  <r>
    <n v="41"/>
    <x v="40"/>
    <m/>
    <x v="3"/>
    <n v="150"/>
    <n v="0.6"/>
    <n v="90"/>
  </r>
  <r>
    <n v="41"/>
    <x v="40"/>
    <m/>
    <x v="2"/>
    <n v="2800"/>
    <n v="0.35"/>
    <n v="979.99999999999989"/>
  </r>
  <r>
    <n v="41"/>
    <x v="40"/>
    <m/>
    <x v="20"/>
    <n v="1600"/>
    <n v="0.25"/>
    <n v="400"/>
  </r>
  <r>
    <n v="42"/>
    <x v="41"/>
    <m/>
    <x v="4"/>
    <n v="1000"/>
    <n v="1.35"/>
    <n v="1350"/>
  </r>
  <r>
    <n v="42"/>
    <x v="41"/>
    <m/>
    <x v="15"/>
    <n v="1800"/>
    <n v="0.45"/>
    <n v="810"/>
  </r>
  <r>
    <n v="42"/>
    <x v="41"/>
    <m/>
    <x v="14"/>
    <n v="1500"/>
    <n v="0.75"/>
    <n v="1125"/>
  </r>
  <r>
    <n v="42"/>
    <x v="41"/>
    <m/>
    <x v="2"/>
    <n v="2800"/>
    <n v="0.85"/>
    <n v="2380"/>
  </r>
  <r>
    <n v="42"/>
    <x v="41"/>
    <m/>
    <x v="1"/>
    <n v="300"/>
    <n v="1.3"/>
    <n v="390"/>
  </r>
  <r>
    <n v="42"/>
    <x v="41"/>
    <m/>
    <x v="0"/>
    <n v="1000"/>
    <n v="2.1"/>
    <n v="2100"/>
  </r>
  <r>
    <n v="43"/>
    <x v="42"/>
    <m/>
    <x v="11"/>
    <n v="1600"/>
    <n v="0.5"/>
    <n v="800"/>
  </r>
  <r>
    <n v="43"/>
    <x v="42"/>
    <m/>
    <x v="4"/>
    <n v="1000"/>
    <n v="1.05"/>
    <n v="1050"/>
  </r>
  <r>
    <n v="43"/>
    <x v="42"/>
    <m/>
    <x v="13"/>
    <n v="2700"/>
    <n v="0.1"/>
    <n v="270"/>
  </r>
  <r>
    <n v="43"/>
    <x v="42"/>
    <m/>
    <x v="3"/>
    <n v="150"/>
    <n v="0.35"/>
    <n v="52.5"/>
  </r>
  <r>
    <n v="43"/>
    <x v="42"/>
    <m/>
    <x v="14"/>
    <n v="1500"/>
    <n v="0.15"/>
    <n v="225"/>
  </r>
  <r>
    <n v="43"/>
    <x v="42"/>
    <m/>
    <x v="27"/>
    <n v="400"/>
    <n v="0.1"/>
    <n v="40"/>
  </r>
  <r>
    <n v="44"/>
    <x v="43"/>
    <m/>
    <x v="4"/>
    <n v="1000"/>
    <n v="0.55000000000000004"/>
    <n v="550"/>
  </r>
  <r>
    <n v="44"/>
    <x v="43"/>
    <m/>
    <x v="14"/>
    <n v="1500"/>
    <n v="0.55000000000000004"/>
    <n v="825.00000000000011"/>
  </r>
  <r>
    <n v="44"/>
    <x v="43"/>
    <m/>
    <x v="3"/>
    <n v="150"/>
    <n v="0.3"/>
    <n v="45"/>
  </r>
  <r>
    <n v="44"/>
    <x v="43"/>
    <m/>
    <x v="8"/>
    <n v="1000"/>
    <n v="0.3"/>
    <n v="300"/>
  </r>
  <r>
    <n v="44"/>
    <x v="43"/>
    <m/>
    <x v="19"/>
    <n v="4000"/>
    <n v="1.4"/>
    <n v="5600"/>
  </r>
  <r>
    <n v="44"/>
    <x v="43"/>
    <m/>
    <x v="10"/>
    <n v="800"/>
    <n v="0.95"/>
    <n v="760"/>
  </r>
  <r>
    <n v="44"/>
    <x v="43"/>
    <m/>
    <x v="0"/>
    <n v="1000"/>
    <n v="0.95"/>
    <n v="950"/>
  </r>
  <r>
    <n v="44"/>
    <x v="43"/>
    <m/>
    <x v="6"/>
    <n v="200"/>
    <n v="0.25"/>
    <n v="50"/>
  </r>
  <r>
    <n v="44"/>
    <x v="43"/>
    <m/>
    <x v="1"/>
    <n v="300"/>
    <n v="0.55000000000000004"/>
    <n v="165"/>
  </r>
  <r>
    <n v="44"/>
    <x v="44"/>
    <m/>
    <x v="4"/>
    <n v="1000"/>
    <n v="0.65"/>
    <n v="650"/>
  </r>
  <r>
    <n v="44"/>
    <x v="44"/>
    <m/>
    <x v="1"/>
    <n v="300"/>
    <n v="1.45"/>
    <n v="435"/>
  </r>
  <r>
    <n v="44"/>
    <x v="44"/>
    <m/>
    <x v="3"/>
    <n v="150"/>
    <n v="1.3"/>
    <n v="195"/>
  </r>
  <r>
    <n v="45"/>
    <x v="45"/>
    <m/>
    <x v="0"/>
    <n v="1000"/>
    <n v="0.45"/>
    <n v="450"/>
  </r>
  <r>
    <n v="45"/>
    <x v="45"/>
    <m/>
    <x v="1"/>
    <n v="300"/>
    <n v="0.25"/>
    <n v="75"/>
  </r>
  <r>
    <n v="45"/>
    <x v="45"/>
    <m/>
    <x v="11"/>
    <n v="1600"/>
    <n v="0.3"/>
    <n v="480"/>
  </r>
  <r>
    <n v="45"/>
    <x v="45"/>
    <m/>
    <x v="12"/>
    <n v="2500"/>
    <n v="0.1"/>
    <n v="250"/>
  </r>
  <r>
    <n v="45"/>
    <x v="45"/>
    <m/>
    <x v="6"/>
    <n v="200"/>
    <n v="0.15"/>
    <n v="30"/>
  </r>
  <r>
    <n v="47"/>
    <x v="46"/>
    <m/>
    <x v="0"/>
    <n v="1000"/>
    <n v="3"/>
    <n v="3000"/>
  </r>
  <r>
    <n v="47"/>
    <x v="46"/>
    <m/>
    <x v="1"/>
    <n v="300"/>
    <n v="0.65"/>
    <n v="195"/>
  </r>
  <r>
    <n v="47"/>
    <x v="46"/>
    <m/>
    <x v="11"/>
    <n v="1600"/>
    <n v="0.15"/>
    <n v="240"/>
  </r>
  <r>
    <n v="47"/>
    <x v="46"/>
    <m/>
    <x v="20"/>
    <n v="1600"/>
    <n v="0.15"/>
    <n v="240"/>
  </r>
  <r>
    <n v="47"/>
    <x v="46"/>
    <m/>
    <x v="8"/>
    <n v="1000"/>
    <n v="1.9"/>
    <n v="1900"/>
  </r>
  <r>
    <n v="48"/>
    <x v="47"/>
    <m/>
    <x v="8"/>
    <n v="1000"/>
    <n v="0.5"/>
    <n v="500"/>
  </r>
  <r>
    <n v="48"/>
    <x v="47"/>
    <m/>
    <x v="14"/>
    <n v="1500"/>
    <n v="1.05"/>
    <n v="1575"/>
  </r>
  <r>
    <n v="48"/>
    <x v="47"/>
    <m/>
    <x v="3"/>
    <n v="150"/>
    <n v="1.55"/>
    <n v="232.5"/>
  </r>
  <r>
    <n v="48"/>
    <x v="47"/>
    <m/>
    <x v="4"/>
    <n v="1000"/>
    <n v="0.6"/>
    <n v="600"/>
  </r>
  <r>
    <n v="48"/>
    <x v="47"/>
    <m/>
    <x v="0"/>
    <n v="1000"/>
    <n v="1.65"/>
    <n v="1650"/>
  </r>
  <r>
    <n v="48"/>
    <x v="47"/>
    <m/>
    <x v="2"/>
    <n v="2800"/>
    <n v="2.75"/>
    <n v="7700"/>
  </r>
  <r>
    <n v="49"/>
    <x v="48"/>
    <m/>
    <x v="16"/>
    <n v="500"/>
    <n v="4.5"/>
    <n v="2250"/>
  </r>
  <r>
    <n v="49"/>
    <x v="48"/>
    <m/>
    <x v="8"/>
    <n v="1000"/>
    <n v="0.45"/>
    <n v="450"/>
  </r>
  <r>
    <n v="49"/>
    <x v="48"/>
    <m/>
    <x v="1"/>
    <n v="300"/>
    <n v="2.15"/>
    <n v="645"/>
  </r>
  <r>
    <n v="49"/>
    <x v="48"/>
    <m/>
    <x v="14"/>
    <n v="1500"/>
    <n v="0.65"/>
    <n v="975"/>
  </r>
  <r>
    <n v="49"/>
    <x v="48"/>
    <m/>
    <x v="19"/>
    <n v="4000"/>
    <n v="3.15"/>
    <n v="12600"/>
  </r>
  <r>
    <n v="49"/>
    <x v="48"/>
    <m/>
    <x v="8"/>
    <n v="1000"/>
    <n v="1.4"/>
    <n v="1400"/>
  </r>
  <r>
    <n v="49"/>
    <x v="48"/>
    <m/>
    <x v="2"/>
    <n v="2800"/>
    <n v="1.85"/>
    <n v="5180"/>
  </r>
  <r>
    <n v="49"/>
    <x v="48"/>
    <m/>
    <x v="1"/>
    <n v="300"/>
    <n v="1.85"/>
    <n v="555"/>
  </r>
  <r>
    <n v="50"/>
    <x v="49"/>
    <n v="1"/>
    <x v="16"/>
    <n v="500"/>
    <n v="2.25"/>
    <n v="1125"/>
  </r>
  <r>
    <n v="50"/>
    <x v="49"/>
    <m/>
    <x v="8"/>
    <n v="1000"/>
    <n v="0.9"/>
    <n v="900"/>
  </r>
  <r>
    <n v="50"/>
    <x v="49"/>
    <m/>
    <x v="4"/>
    <n v="1000"/>
    <n v="0.95"/>
    <n v="950"/>
  </r>
  <r>
    <n v="50"/>
    <x v="49"/>
    <m/>
    <x v="2"/>
    <n v="2800"/>
    <n v="1.5"/>
    <n v="4200"/>
  </r>
  <r>
    <n v="50"/>
    <x v="49"/>
    <m/>
    <x v="1"/>
    <n v="300"/>
    <n v="1.1499999999999999"/>
    <n v="345"/>
  </r>
  <r>
    <n v="50"/>
    <x v="49"/>
    <m/>
    <x v="6"/>
    <n v="200"/>
    <n v="0.45"/>
    <n v="90"/>
  </r>
  <r>
    <n v="51"/>
    <x v="50"/>
    <s v="Pos"/>
    <x v="2"/>
    <n v="2800"/>
    <n v="3.6"/>
    <n v="10080"/>
  </r>
  <r>
    <n v="51"/>
    <x v="51"/>
    <s v="Warung"/>
    <x v="1"/>
    <n v="300"/>
    <n v="2.95"/>
    <n v="885"/>
  </r>
  <r>
    <n v="52"/>
    <x v="52"/>
    <s v="Warung"/>
    <x v="1"/>
    <n v="300"/>
    <n v="1"/>
    <n v="300"/>
  </r>
  <r>
    <n v="53"/>
    <x v="53"/>
    <s v="Warung"/>
    <x v="8"/>
    <n v="1000"/>
    <n v="4.8"/>
    <n v="4800"/>
  </r>
  <r>
    <n v="54"/>
    <x v="54"/>
    <s v="Warung"/>
    <x v="1"/>
    <n v="300"/>
    <n v="1.65"/>
    <n v="495"/>
  </r>
  <r>
    <n v="55"/>
    <x v="55"/>
    <s v="Warung"/>
    <x v="8"/>
    <n v="1000"/>
    <n v="3.7"/>
    <n v="3700"/>
  </r>
  <r>
    <n v="56"/>
    <x v="56"/>
    <s v="Warung"/>
    <x v="1"/>
    <n v="300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n v="1"/>
    <x v="0"/>
    <n v="4"/>
    <x v="0"/>
    <n v="1000"/>
    <n v="0.95"/>
    <n v="950"/>
  </r>
  <r>
    <n v="1"/>
    <x v="0"/>
    <m/>
    <x v="1"/>
    <n v="300"/>
    <n v="1.85"/>
    <n v="555"/>
  </r>
  <r>
    <n v="1"/>
    <x v="0"/>
    <m/>
    <x v="2"/>
    <n v="2800"/>
    <n v="1.4"/>
    <n v="3919.9999999999995"/>
  </r>
  <r>
    <n v="1"/>
    <x v="0"/>
    <m/>
    <x v="3"/>
    <n v="150"/>
    <n v="0.55000000000000004"/>
    <n v="82.5"/>
  </r>
  <r>
    <n v="1"/>
    <x v="0"/>
    <m/>
    <x v="4"/>
    <n v="1000"/>
    <n v="2.6500000000000004"/>
    <n v="2650.0000000000005"/>
  </r>
  <r>
    <n v="1"/>
    <x v="0"/>
    <m/>
    <x v="5"/>
    <n v="800"/>
    <n v="0.15"/>
    <n v="120"/>
  </r>
  <r>
    <n v="1"/>
    <x v="0"/>
    <m/>
    <x v="6"/>
    <n v="200"/>
    <n v="0.65"/>
    <n v="130"/>
  </r>
  <r>
    <n v="1"/>
    <x v="0"/>
    <m/>
    <x v="7"/>
    <n v="2500"/>
    <n v="1.1499999999999999"/>
    <n v="2875"/>
  </r>
  <r>
    <n v="1"/>
    <x v="0"/>
    <m/>
    <x v="8"/>
    <n v="1000"/>
    <n v="0.3"/>
    <n v="300"/>
  </r>
  <r>
    <n v="2"/>
    <x v="1"/>
    <n v="3"/>
    <x v="4"/>
    <n v="1000"/>
    <n v="4.1500000000000004"/>
    <n v="4150"/>
  </r>
  <r>
    <n v="2"/>
    <x v="1"/>
    <m/>
    <x v="9"/>
    <n v="150"/>
    <n v="1.35"/>
    <n v="202.5"/>
  </r>
  <r>
    <n v="2"/>
    <x v="1"/>
    <m/>
    <x v="0"/>
    <n v="1000"/>
    <n v="15.3"/>
    <n v="15300"/>
  </r>
  <r>
    <n v="2"/>
    <x v="1"/>
    <m/>
    <x v="10"/>
    <n v="800"/>
    <n v="5.15"/>
    <n v="4120"/>
  </r>
  <r>
    <n v="2"/>
    <x v="1"/>
    <m/>
    <x v="11"/>
    <n v="1600"/>
    <n v="4.6500000000000004"/>
    <n v="7440.0000000000009"/>
  </r>
  <r>
    <n v="2"/>
    <x v="1"/>
    <m/>
    <x v="8"/>
    <n v="1000"/>
    <n v="0.8"/>
    <n v="800"/>
  </r>
  <r>
    <n v="3"/>
    <x v="2"/>
    <s v="UE"/>
    <x v="1"/>
    <n v="300"/>
    <n v="18.100000000000001"/>
    <n v="5430"/>
  </r>
  <r>
    <n v="4"/>
    <x v="3"/>
    <n v="4"/>
    <x v="2"/>
    <n v="2800"/>
    <n v="0.85000000000000009"/>
    <n v="2380.0000000000005"/>
  </r>
  <r>
    <n v="4"/>
    <x v="3"/>
    <m/>
    <x v="6"/>
    <n v="200"/>
    <n v="0.75"/>
    <n v="150"/>
  </r>
  <r>
    <n v="4"/>
    <x v="3"/>
    <m/>
    <x v="12"/>
    <n v="2500"/>
    <n v="0.15"/>
    <n v="375"/>
  </r>
  <r>
    <n v="4"/>
    <x v="3"/>
    <m/>
    <x v="4"/>
    <n v="1000"/>
    <n v="1"/>
    <n v="1000"/>
  </r>
  <r>
    <n v="4"/>
    <x v="3"/>
    <m/>
    <x v="13"/>
    <n v="2700"/>
    <n v="0.1"/>
    <n v="270"/>
  </r>
  <r>
    <n v="4"/>
    <x v="3"/>
    <m/>
    <x v="14"/>
    <n v="1500"/>
    <n v="0.3"/>
    <n v="450"/>
  </r>
  <r>
    <n v="4"/>
    <x v="3"/>
    <m/>
    <x v="1"/>
    <n v="300"/>
    <n v="0.15"/>
    <n v="45"/>
  </r>
  <r>
    <n v="4"/>
    <x v="3"/>
    <m/>
    <x v="3"/>
    <n v="150"/>
    <n v="0.6"/>
    <n v="90"/>
  </r>
  <r>
    <n v="4"/>
    <x v="3"/>
    <m/>
    <x v="0"/>
    <n v="1000"/>
    <n v="5.5"/>
    <n v="5500"/>
  </r>
  <r>
    <n v="4"/>
    <x v="3"/>
    <m/>
    <x v="15"/>
    <n v="1800"/>
    <n v="1.2"/>
    <n v="2160"/>
  </r>
  <r>
    <n v="5"/>
    <x v="4"/>
    <n v="5"/>
    <x v="1"/>
    <n v="300"/>
    <n v="3.05"/>
    <n v="915"/>
  </r>
  <r>
    <n v="5"/>
    <x v="4"/>
    <m/>
    <x v="6"/>
    <n v="200"/>
    <n v="1.05"/>
    <n v="210"/>
  </r>
  <r>
    <n v="5"/>
    <x v="4"/>
    <m/>
    <x v="5"/>
    <n v="800"/>
    <n v="0.35"/>
    <n v="280"/>
  </r>
  <r>
    <n v="5"/>
    <x v="4"/>
    <m/>
    <x v="16"/>
    <n v="500"/>
    <n v="3.35"/>
    <n v="1675"/>
  </r>
  <r>
    <n v="5"/>
    <x v="4"/>
    <m/>
    <x v="4"/>
    <n v="1000"/>
    <n v="14.45"/>
    <n v="14450"/>
  </r>
  <r>
    <n v="5"/>
    <x v="4"/>
    <m/>
    <x v="0"/>
    <n v="1000"/>
    <n v="12.2"/>
    <n v="12200"/>
  </r>
  <r>
    <n v="5"/>
    <x v="4"/>
    <m/>
    <x v="14"/>
    <n v="1500"/>
    <n v="1.1000000000000001"/>
    <n v="1650.0000000000002"/>
  </r>
  <r>
    <n v="5"/>
    <x v="4"/>
    <m/>
    <x v="3"/>
    <n v="150"/>
    <n v="3.85"/>
    <n v="577.5"/>
  </r>
  <r>
    <n v="5"/>
    <x v="4"/>
    <m/>
    <x v="17"/>
    <n v="1400"/>
    <n v="5.5"/>
    <n v="7700"/>
  </r>
  <r>
    <n v="5"/>
    <x v="4"/>
    <m/>
    <x v="10"/>
    <n v="800"/>
    <n v="3.95"/>
    <n v="3160"/>
  </r>
  <r>
    <n v="5"/>
    <x v="4"/>
    <m/>
    <x v="2"/>
    <n v="2800"/>
    <n v="3.1"/>
    <n v="8680"/>
  </r>
  <r>
    <n v="6"/>
    <x v="5"/>
    <n v="5"/>
    <x v="8"/>
    <n v="1000"/>
    <n v="0.1"/>
    <n v="100"/>
  </r>
  <r>
    <n v="6"/>
    <x v="5"/>
    <m/>
    <x v="2"/>
    <n v="2800"/>
    <n v="0.1"/>
    <n v="280"/>
  </r>
  <r>
    <n v="6"/>
    <x v="5"/>
    <m/>
    <x v="12"/>
    <n v="2500"/>
    <n v="0.2"/>
    <n v="500"/>
  </r>
  <r>
    <n v="6"/>
    <x v="5"/>
    <m/>
    <x v="18"/>
    <n v="3500"/>
    <n v="0.7"/>
    <n v="2450"/>
  </r>
  <r>
    <n v="6"/>
    <x v="5"/>
    <m/>
    <x v="1"/>
    <n v="300"/>
    <n v="1.1000000000000001"/>
    <n v="330"/>
  </r>
  <r>
    <n v="6"/>
    <x v="5"/>
    <m/>
    <x v="2"/>
    <n v="2800"/>
    <n v="0.75"/>
    <n v="2100"/>
  </r>
  <r>
    <n v="6"/>
    <x v="5"/>
    <m/>
    <x v="0"/>
    <n v="1000"/>
    <n v="9.1999999999999993"/>
    <n v="9200"/>
  </r>
  <r>
    <n v="7"/>
    <x v="6"/>
    <s v="UB"/>
    <x v="19"/>
    <n v="4000"/>
    <n v="1.55"/>
    <n v="6200"/>
  </r>
  <r>
    <n v="7"/>
    <x v="6"/>
    <m/>
    <x v="3"/>
    <n v="150"/>
    <n v="0.45"/>
    <n v="67.5"/>
  </r>
  <r>
    <n v="7"/>
    <x v="6"/>
    <m/>
    <x v="14"/>
    <n v="1500"/>
    <n v="0.3"/>
    <n v="450"/>
  </r>
  <r>
    <n v="7"/>
    <x v="6"/>
    <m/>
    <x v="16"/>
    <n v="500"/>
    <n v="0.85"/>
    <n v="425"/>
  </r>
  <r>
    <n v="7"/>
    <x v="6"/>
    <m/>
    <x v="2"/>
    <n v="2800"/>
    <n v="3.65"/>
    <n v="10220"/>
  </r>
  <r>
    <n v="7"/>
    <x v="6"/>
    <m/>
    <x v="20"/>
    <n v="1600"/>
    <n v="0.7"/>
    <n v="1120"/>
  </r>
  <r>
    <n v="7"/>
    <x v="6"/>
    <m/>
    <x v="1"/>
    <n v="300"/>
    <n v="0.95"/>
    <n v="285"/>
  </r>
  <r>
    <n v="7"/>
    <x v="6"/>
    <m/>
    <x v="4"/>
    <n v="1000"/>
    <n v="4.8"/>
    <n v="4800"/>
  </r>
  <r>
    <n v="7"/>
    <x v="6"/>
    <m/>
    <x v="5"/>
    <n v="800"/>
    <n v="0.3"/>
    <n v="240"/>
  </r>
  <r>
    <n v="7"/>
    <x v="6"/>
    <m/>
    <x v="0"/>
    <n v="1000"/>
    <n v="8.5500000000000007"/>
    <n v="8550"/>
  </r>
  <r>
    <n v="8"/>
    <x v="7"/>
    <n v="5"/>
    <x v="21"/>
    <n v="8000"/>
    <n v="0.15"/>
    <n v="1200"/>
  </r>
  <r>
    <n v="8"/>
    <x v="7"/>
    <m/>
    <x v="17"/>
    <n v="1400"/>
    <n v="19.8"/>
    <n v="27720"/>
  </r>
  <r>
    <n v="8"/>
    <x v="7"/>
    <m/>
    <x v="6"/>
    <n v="200"/>
    <n v="0.35"/>
    <n v="70"/>
  </r>
  <r>
    <n v="8"/>
    <x v="7"/>
    <m/>
    <x v="1"/>
    <n v="300"/>
    <n v="0.3"/>
    <n v="90"/>
  </r>
  <r>
    <n v="8"/>
    <x v="7"/>
    <m/>
    <x v="2"/>
    <n v="2800"/>
    <n v="2.85"/>
    <n v="7980"/>
  </r>
  <r>
    <n v="8"/>
    <x v="7"/>
    <m/>
    <x v="12"/>
    <n v="2500"/>
    <n v="0.25"/>
    <n v="625"/>
  </r>
  <r>
    <n v="8"/>
    <x v="7"/>
    <m/>
    <x v="8"/>
    <n v="1000"/>
    <n v="1.1499999999999999"/>
    <n v="1150"/>
  </r>
  <r>
    <n v="8"/>
    <x v="7"/>
    <m/>
    <x v="16"/>
    <n v="500"/>
    <n v="2.4"/>
    <n v="1200"/>
  </r>
  <r>
    <n v="8"/>
    <x v="7"/>
    <m/>
    <x v="15"/>
    <n v="1800"/>
    <n v="5.2"/>
    <n v="9360"/>
  </r>
  <r>
    <n v="8"/>
    <x v="7"/>
    <m/>
    <x v="14"/>
    <n v="1500"/>
    <n v="0.85"/>
    <n v="1275"/>
  </r>
  <r>
    <n v="8"/>
    <x v="7"/>
    <m/>
    <x v="3"/>
    <n v="150"/>
    <n v="5.95"/>
    <n v="892.5"/>
  </r>
  <r>
    <n v="8"/>
    <x v="7"/>
    <m/>
    <x v="4"/>
    <n v="1000"/>
    <n v="17.05"/>
    <n v="17050"/>
  </r>
  <r>
    <n v="8"/>
    <x v="7"/>
    <m/>
    <x v="0"/>
    <n v="1000"/>
    <n v="13.15"/>
    <n v="13150"/>
  </r>
  <r>
    <n v="9"/>
    <x v="8"/>
    <n v="4"/>
    <x v="7"/>
    <n v="2500"/>
    <n v="8.15"/>
    <n v="20375"/>
  </r>
  <r>
    <n v="9"/>
    <x v="8"/>
    <m/>
    <x v="20"/>
    <n v="1600"/>
    <n v="0.1"/>
    <n v="160"/>
  </r>
  <r>
    <n v="9"/>
    <x v="8"/>
    <m/>
    <x v="3"/>
    <n v="150"/>
    <n v="1.35"/>
    <n v="202.5"/>
  </r>
  <r>
    <n v="9"/>
    <x v="8"/>
    <m/>
    <x v="15"/>
    <n v="1800"/>
    <n v="1.1000000000000001"/>
    <n v="1980.0000000000002"/>
  </r>
  <r>
    <n v="9"/>
    <x v="8"/>
    <m/>
    <x v="22"/>
    <n v="2500"/>
    <n v="0.7"/>
    <n v="1750"/>
  </r>
  <r>
    <n v="9"/>
    <x v="8"/>
    <m/>
    <x v="12"/>
    <n v="2500"/>
    <n v="0.35"/>
    <n v="875"/>
  </r>
  <r>
    <n v="9"/>
    <x v="8"/>
    <m/>
    <x v="4"/>
    <n v="1000"/>
    <n v="1.8"/>
    <n v="1800"/>
  </r>
  <r>
    <n v="9"/>
    <x v="8"/>
    <m/>
    <x v="6"/>
    <n v="200"/>
    <n v="0.6"/>
    <n v="120"/>
  </r>
  <r>
    <n v="9"/>
    <x v="8"/>
    <m/>
    <x v="1"/>
    <n v="300"/>
    <n v="0.55000000000000004"/>
    <n v="165"/>
  </r>
  <r>
    <n v="9"/>
    <x v="8"/>
    <m/>
    <x v="2"/>
    <n v="2800"/>
    <n v="1.85"/>
    <n v="5180"/>
  </r>
  <r>
    <n v="9"/>
    <x v="8"/>
    <m/>
    <x v="0"/>
    <n v="1000"/>
    <n v="7.95"/>
    <n v="7950"/>
  </r>
  <r>
    <n v="10"/>
    <x v="9"/>
    <n v="4"/>
    <x v="1"/>
    <n v="300"/>
    <n v="0.2"/>
    <n v="60"/>
  </r>
  <r>
    <n v="10"/>
    <x v="9"/>
    <m/>
    <x v="19"/>
    <n v="4000"/>
    <n v="1.1000000000000001"/>
    <n v="4400"/>
  </r>
  <r>
    <n v="10"/>
    <x v="9"/>
    <m/>
    <x v="3"/>
    <n v="150"/>
    <n v="0.4"/>
    <n v="60"/>
  </r>
  <r>
    <n v="10"/>
    <x v="9"/>
    <m/>
    <x v="14"/>
    <n v="1500"/>
    <n v="0.15"/>
    <n v="225"/>
  </r>
  <r>
    <n v="10"/>
    <x v="9"/>
    <m/>
    <x v="4"/>
    <n v="1000"/>
    <n v="0.2"/>
    <n v="200"/>
  </r>
  <r>
    <n v="10"/>
    <x v="9"/>
    <m/>
    <x v="11"/>
    <n v="1600"/>
    <n v="0.05"/>
    <n v="80"/>
  </r>
  <r>
    <n v="10"/>
    <x v="9"/>
    <m/>
    <x v="2"/>
    <n v="2800"/>
    <n v="2.4500000000000002"/>
    <n v="6860.0000000000009"/>
  </r>
  <r>
    <n v="10"/>
    <x v="10"/>
    <n v="3"/>
    <x v="16"/>
    <n v="500"/>
    <n v="1.3"/>
    <n v="650"/>
  </r>
  <r>
    <n v="10"/>
    <x v="10"/>
    <m/>
    <x v="12"/>
    <n v="2500"/>
    <n v="0.3"/>
    <n v="750"/>
  </r>
  <r>
    <n v="10"/>
    <x v="10"/>
    <m/>
    <x v="4"/>
    <n v="1000"/>
    <n v="0.35"/>
    <n v="350"/>
  </r>
  <r>
    <n v="10"/>
    <x v="10"/>
    <m/>
    <x v="3"/>
    <n v="150"/>
    <n v="2.2000000000000002"/>
    <n v="330"/>
  </r>
  <r>
    <n v="10"/>
    <x v="10"/>
    <m/>
    <x v="18"/>
    <n v="3500"/>
    <n v="0.15"/>
    <n v="525"/>
  </r>
  <r>
    <n v="10"/>
    <x v="10"/>
    <m/>
    <x v="6"/>
    <n v="200"/>
    <n v="0.35"/>
    <n v="70"/>
  </r>
  <r>
    <n v="10"/>
    <x v="10"/>
    <m/>
    <x v="1"/>
    <n v="300"/>
    <n v="0.75"/>
    <n v="225"/>
  </r>
  <r>
    <n v="10"/>
    <x v="10"/>
    <m/>
    <x v="8"/>
    <n v="1000"/>
    <n v="0.95"/>
    <n v="950"/>
  </r>
  <r>
    <n v="10"/>
    <x v="10"/>
    <m/>
    <x v="14"/>
    <n v="1500"/>
    <n v="0.4"/>
    <n v="600"/>
  </r>
  <r>
    <n v="10"/>
    <x v="10"/>
    <m/>
    <x v="2"/>
    <n v="2800"/>
    <n v="1.35"/>
    <n v="3780.0000000000005"/>
  </r>
  <r>
    <n v="10"/>
    <x v="10"/>
    <m/>
    <x v="0"/>
    <n v="1000"/>
    <n v="12.85"/>
    <n v="12850"/>
  </r>
  <r>
    <n v="12"/>
    <x v="11"/>
    <n v="4"/>
    <x v="3"/>
    <n v="150"/>
    <n v="0.75"/>
    <n v="112.5"/>
  </r>
  <r>
    <n v="12"/>
    <x v="11"/>
    <m/>
    <x v="1"/>
    <n v="300"/>
    <n v="1.65"/>
    <n v="495"/>
  </r>
  <r>
    <n v="12"/>
    <x v="11"/>
    <m/>
    <x v="8"/>
    <n v="1000"/>
    <n v="1.4"/>
    <n v="1400"/>
  </r>
  <r>
    <n v="12"/>
    <x v="11"/>
    <m/>
    <x v="0"/>
    <n v="1000"/>
    <n v="4.3"/>
    <n v="4300"/>
  </r>
  <r>
    <n v="13"/>
    <x v="12"/>
    <n v="2"/>
    <x v="15"/>
    <n v="1800"/>
    <n v="0.4"/>
    <n v="720"/>
  </r>
  <r>
    <n v="13"/>
    <x v="12"/>
    <m/>
    <x v="3"/>
    <n v="150"/>
    <n v="1.25"/>
    <n v="187.5"/>
  </r>
  <r>
    <n v="13"/>
    <x v="12"/>
    <m/>
    <x v="23"/>
    <n v="3500"/>
    <n v="0.1"/>
    <n v="350"/>
  </r>
  <r>
    <n v="13"/>
    <x v="12"/>
    <m/>
    <x v="12"/>
    <n v="2500"/>
    <n v="0.15"/>
    <n v="375"/>
  </r>
  <r>
    <n v="13"/>
    <x v="12"/>
    <m/>
    <x v="1"/>
    <n v="300"/>
    <n v="0.95"/>
    <n v="285"/>
  </r>
  <r>
    <n v="13"/>
    <x v="12"/>
    <m/>
    <x v="8"/>
    <n v="1000"/>
    <n v="2"/>
    <n v="2000"/>
  </r>
  <r>
    <n v="13"/>
    <x v="12"/>
    <m/>
    <x v="0"/>
    <n v="1000"/>
    <n v="0.4"/>
    <n v="400"/>
  </r>
  <r>
    <n v="13"/>
    <x v="12"/>
    <m/>
    <x v="16"/>
    <n v="500"/>
    <n v="1.2"/>
    <n v="600"/>
  </r>
  <r>
    <n v="13"/>
    <x v="12"/>
    <m/>
    <x v="2"/>
    <n v="2800"/>
    <n v="1"/>
    <n v="2800"/>
  </r>
  <r>
    <n v="13"/>
    <x v="12"/>
    <m/>
    <x v="4"/>
    <n v="1000"/>
    <n v="0.75"/>
    <n v="750"/>
  </r>
  <r>
    <n v="14"/>
    <x v="13"/>
    <n v="2"/>
    <x v="24"/>
    <n v="1800"/>
    <n v="1"/>
    <n v="1800"/>
  </r>
  <r>
    <n v="14"/>
    <x v="13"/>
    <m/>
    <x v="8"/>
    <n v="1000"/>
    <n v="1.6"/>
    <n v="1600"/>
  </r>
  <r>
    <n v="14"/>
    <x v="13"/>
    <m/>
    <x v="12"/>
    <n v="2500"/>
    <n v="0.15"/>
    <n v="375"/>
  </r>
  <r>
    <n v="14"/>
    <x v="13"/>
    <m/>
    <x v="1"/>
    <n v="300"/>
    <n v="0.2"/>
    <n v="60"/>
  </r>
  <r>
    <n v="14"/>
    <x v="13"/>
    <m/>
    <x v="0"/>
    <n v="1000"/>
    <n v="0.6"/>
    <n v="600"/>
  </r>
  <r>
    <n v="14"/>
    <x v="13"/>
    <m/>
    <x v="16"/>
    <n v="500"/>
    <n v="0.55000000000000004"/>
    <n v="275"/>
  </r>
  <r>
    <n v="14"/>
    <x v="13"/>
    <m/>
    <x v="10"/>
    <n v="800"/>
    <n v="4"/>
    <n v="3200"/>
  </r>
  <r>
    <n v="15"/>
    <x v="14"/>
    <n v="2"/>
    <x v="2"/>
    <n v="2800"/>
    <n v="2.1"/>
    <n v="5880"/>
  </r>
  <r>
    <n v="15"/>
    <x v="14"/>
    <m/>
    <x v="5"/>
    <n v="800"/>
    <n v="0.2"/>
    <n v="160"/>
  </r>
  <r>
    <n v="15"/>
    <x v="14"/>
    <m/>
    <x v="4"/>
    <n v="1000"/>
    <n v="0.45"/>
    <n v="450"/>
  </r>
  <r>
    <n v="15"/>
    <x v="14"/>
    <m/>
    <x v="0"/>
    <n v="1000"/>
    <n v="5.0999999999999996"/>
    <n v="5100"/>
  </r>
  <r>
    <n v="15"/>
    <x v="14"/>
    <m/>
    <x v="17"/>
    <n v="1400"/>
    <n v="6.1"/>
    <n v="8540"/>
  </r>
  <r>
    <n v="15"/>
    <x v="14"/>
    <m/>
    <x v="16"/>
    <n v="500"/>
    <n v="0.85"/>
    <n v="425"/>
  </r>
  <r>
    <n v="15"/>
    <x v="14"/>
    <m/>
    <x v="12"/>
    <n v="2500"/>
    <n v="1"/>
    <n v="2500"/>
  </r>
  <r>
    <n v="16"/>
    <x v="15"/>
    <n v="4"/>
    <x v="8"/>
    <n v="1000"/>
    <n v="2.1"/>
    <n v="2100"/>
  </r>
  <r>
    <n v="16"/>
    <x v="15"/>
    <m/>
    <x v="22"/>
    <n v="2500"/>
    <n v="0.7"/>
    <n v="1750"/>
  </r>
  <r>
    <n v="16"/>
    <x v="15"/>
    <m/>
    <x v="0"/>
    <n v="1000"/>
    <n v="2.2000000000000002"/>
    <n v="2200"/>
  </r>
  <r>
    <n v="16"/>
    <x v="15"/>
    <m/>
    <x v="2"/>
    <n v="2800"/>
    <n v="1.1499999999999999"/>
    <n v="3219.9999999999995"/>
  </r>
  <r>
    <n v="17"/>
    <x v="16"/>
    <n v="4"/>
    <x v="2"/>
    <n v="2800"/>
    <n v="0.6"/>
    <n v="1680"/>
  </r>
  <r>
    <n v="17"/>
    <x v="16"/>
    <m/>
    <x v="0"/>
    <n v="1000"/>
    <n v="1.2"/>
    <n v="1200"/>
  </r>
  <r>
    <n v="17"/>
    <x v="16"/>
    <m/>
    <x v="4"/>
    <n v="1000"/>
    <n v="0.7"/>
    <n v="700"/>
  </r>
  <r>
    <n v="17"/>
    <x v="16"/>
    <m/>
    <x v="16"/>
    <n v="500"/>
    <n v="0.1"/>
    <n v="50"/>
  </r>
  <r>
    <n v="17"/>
    <x v="16"/>
    <m/>
    <x v="1"/>
    <n v="300"/>
    <n v="0.4"/>
    <n v="120"/>
  </r>
  <r>
    <n v="18"/>
    <x v="17"/>
    <n v="4"/>
    <x v="14"/>
    <n v="1500"/>
    <n v="0.25"/>
    <n v="375"/>
  </r>
  <r>
    <n v="18"/>
    <x v="17"/>
    <m/>
    <x v="3"/>
    <n v="150"/>
    <n v="1.2"/>
    <n v="180"/>
  </r>
  <r>
    <n v="18"/>
    <x v="17"/>
    <m/>
    <x v="14"/>
    <n v="1500"/>
    <n v="0.35"/>
    <n v="525"/>
  </r>
  <r>
    <n v="18"/>
    <x v="17"/>
    <m/>
    <x v="16"/>
    <n v="500"/>
    <n v="0.2"/>
    <n v="100"/>
  </r>
  <r>
    <n v="18"/>
    <x v="17"/>
    <m/>
    <x v="1"/>
    <n v="300"/>
    <n v="1.45"/>
    <n v="435"/>
  </r>
  <r>
    <n v="19"/>
    <x v="18"/>
    <n v="4"/>
    <x v="15"/>
    <n v="1800"/>
    <n v="0.55000000000000004"/>
    <n v="990.00000000000011"/>
  </r>
  <r>
    <n v="19"/>
    <x v="18"/>
    <m/>
    <x v="4"/>
    <n v="1000"/>
    <n v="0.45"/>
    <n v="450"/>
  </r>
  <r>
    <n v="19"/>
    <x v="18"/>
    <m/>
    <x v="2"/>
    <n v="2800"/>
    <n v="1.3"/>
    <n v="3640"/>
  </r>
  <r>
    <n v="19"/>
    <x v="18"/>
    <m/>
    <x v="8"/>
    <n v="1000"/>
    <n v="1.55"/>
    <n v="1550"/>
  </r>
  <r>
    <n v="19"/>
    <x v="18"/>
    <m/>
    <x v="14"/>
    <n v="1500"/>
    <n v="0.35"/>
    <n v="525"/>
  </r>
  <r>
    <n v="19"/>
    <x v="18"/>
    <m/>
    <x v="1"/>
    <n v="300"/>
    <n v="0.35"/>
    <n v="105"/>
  </r>
  <r>
    <n v="19"/>
    <x v="18"/>
    <m/>
    <x v="16"/>
    <n v="500"/>
    <n v="0.3"/>
    <n v="150"/>
  </r>
  <r>
    <n v="19"/>
    <x v="18"/>
    <m/>
    <x v="6"/>
    <n v="200"/>
    <n v="0.6"/>
    <n v="120"/>
  </r>
  <r>
    <n v="19"/>
    <x v="18"/>
    <m/>
    <x v="18"/>
    <n v="3500"/>
    <n v="0.7"/>
    <n v="2450"/>
  </r>
  <r>
    <n v="19"/>
    <x v="18"/>
    <m/>
    <x v="0"/>
    <n v="1000"/>
    <n v="1.8"/>
    <n v="1800"/>
  </r>
  <r>
    <n v="19"/>
    <x v="18"/>
    <m/>
    <x v="3"/>
    <n v="150"/>
    <n v="6.3"/>
    <n v="945"/>
  </r>
  <r>
    <n v="20"/>
    <x v="19"/>
    <n v="4"/>
    <x v="18"/>
    <n v="3500"/>
    <n v="2.0499999999999998"/>
    <n v="7174.9999999999991"/>
  </r>
  <r>
    <n v="20"/>
    <x v="19"/>
    <m/>
    <x v="15"/>
    <n v="1800"/>
    <n v="0.55000000000000004"/>
    <n v="990.00000000000011"/>
  </r>
  <r>
    <n v="20"/>
    <x v="19"/>
    <m/>
    <x v="14"/>
    <n v="1500"/>
    <n v="0.15"/>
    <n v="225"/>
  </r>
  <r>
    <n v="20"/>
    <x v="19"/>
    <m/>
    <x v="0"/>
    <n v="1000"/>
    <n v="5.25"/>
    <n v="5250"/>
  </r>
  <r>
    <n v="20"/>
    <x v="19"/>
    <m/>
    <x v="1"/>
    <n v="300"/>
    <n v="1.1499999999999999"/>
    <n v="345"/>
  </r>
  <r>
    <n v="20"/>
    <x v="19"/>
    <m/>
    <x v="6"/>
    <n v="200"/>
    <n v="0.65"/>
    <n v="130"/>
  </r>
  <r>
    <n v="20"/>
    <x v="19"/>
    <m/>
    <x v="8"/>
    <n v="1000"/>
    <n v="1.05"/>
    <n v="1050"/>
  </r>
  <r>
    <n v="20"/>
    <x v="19"/>
    <m/>
    <x v="2"/>
    <n v="2800"/>
    <n v="2.95"/>
    <n v="8260"/>
  </r>
  <r>
    <n v="20"/>
    <x v="19"/>
    <m/>
    <x v="5"/>
    <n v="800"/>
    <n v="1.85"/>
    <n v="1480"/>
  </r>
  <r>
    <n v="21"/>
    <x v="20"/>
    <n v="4"/>
    <x v="8"/>
    <n v="1000"/>
    <n v="1.55"/>
    <n v="1550"/>
  </r>
  <r>
    <n v="21"/>
    <x v="20"/>
    <m/>
    <x v="14"/>
    <n v="1500"/>
    <n v="1.5"/>
    <n v="2250"/>
  </r>
  <r>
    <n v="21"/>
    <x v="20"/>
    <m/>
    <x v="1"/>
    <n v="300"/>
    <n v="1.75"/>
    <n v="525"/>
  </r>
  <r>
    <n v="21"/>
    <x v="20"/>
    <m/>
    <x v="16"/>
    <n v="500"/>
    <n v="0.3"/>
    <n v="150"/>
  </r>
  <r>
    <n v="22"/>
    <x v="21"/>
    <n v="4"/>
    <x v="6"/>
    <n v="200"/>
    <n v="0.35"/>
    <n v="70"/>
  </r>
  <r>
    <n v="22"/>
    <x v="21"/>
    <m/>
    <x v="5"/>
    <n v="800"/>
    <n v="0.5"/>
    <n v="400"/>
  </r>
  <r>
    <n v="22"/>
    <x v="21"/>
    <m/>
    <x v="3"/>
    <n v="150"/>
    <n v="0.3"/>
    <n v="45"/>
  </r>
  <r>
    <n v="22"/>
    <x v="21"/>
    <m/>
    <x v="7"/>
    <n v="2500"/>
    <n v="1.6"/>
    <n v="4000"/>
  </r>
  <r>
    <n v="22"/>
    <x v="21"/>
    <m/>
    <x v="12"/>
    <n v="2500"/>
    <n v="0.2"/>
    <n v="500"/>
  </r>
  <r>
    <n v="22"/>
    <x v="21"/>
    <m/>
    <x v="20"/>
    <n v="1600"/>
    <n v="0.15"/>
    <n v="240"/>
  </r>
  <r>
    <n v="22"/>
    <x v="21"/>
    <m/>
    <x v="16"/>
    <n v="500"/>
    <n v="1.05"/>
    <n v="525"/>
  </r>
  <r>
    <n v="22"/>
    <x v="21"/>
    <m/>
    <x v="0"/>
    <n v="1000"/>
    <n v="2.6"/>
    <n v="2600"/>
  </r>
  <r>
    <n v="22"/>
    <x v="21"/>
    <m/>
    <x v="1"/>
    <n v="300"/>
    <n v="2.25"/>
    <n v="675"/>
  </r>
  <r>
    <n v="22"/>
    <x v="21"/>
    <m/>
    <x v="4"/>
    <n v="1000"/>
    <n v="2.4500000000000002"/>
    <n v="2450"/>
  </r>
  <r>
    <n v="22"/>
    <x v="21"/>
    <m/>
    <x v="2"/>
    <n v="2800"/>
    <n v="1.25"/>
    <n v="3500"/>
  </r>
  <r>
    <n v="23"/>
    <x v="22"/>
    <n v="4"/>
    <x v="8"/>
    <n v="1000"/>
    <n v="0.45"/>
    <n v="450"/>
  </r>
  <r>
    <n v="23"/>
    <x v="22"/>
    <m/>
    <x v="0"/>
    <n v="1000"/>
    <n v="0.1"/>
    <n v="100"/>
  </r>
  <r>
    <n v="23"/>
    <x v="22"/>
    <m/>
    <x v="3"/>
    <n v="150"/>
    <n v="0.55000000000000004"/>
    <n v="82.5"/>
  </r>
  <r>
    <n v="23"/>
    <x v="22"/>
    <m/>
    <x v="14"/>
    <n v="1500"/>
    <n v="0.7"/>
    <n v="1050"/>
  </r>
  <r>
    <n v="23"/>
    <x v="22"/>
    <m/>
    <x v="4"/>
    <n v="1000"/>
    <n v="0.75"/>
    <n v="750"/>
  </r>
  <r>
    <n v="23"/>
    <x v="22"/>
    <m/>
    <x v="21"/>
    <n v="8000"/>
    <n v="0.05"/>
    <n v="400"/>
  </r>
  <r>
    <n v="23"/>
    <x v="22"/>
    <m/>
    <x v="16"/>
    <n v="500"/>
    <n v="1.4"/>
    <n v="700"/>
  </r>
  <r>
    <n v="23"/>
    <x v="22"/>
    <m/>
    <x v="1"/>
    <n v="300"/>
    <n v="0.3"/>
    <n v="90"/>
  </r>
  <r>
    <n v="23"/>
    <x v="22"/>
    <m/>
    <x v="5"/>
    <n v="800"/>
    <n v="0.1"/>
    <n v="80"/>
  </r>
  <r>
    <n v="23"/>
    <x v="22"/>
    <m/>
    <x v="12"/>
    <n v="2500"/>
    <n v="0.15"/>
    <n v="375"/>
  </r>
  <r>
    <n v="23"/>
    <x v="22"/>
    <m/>
    <x v="2"/>
    <n v="2800"/>
    <n v="3.2"/>
    <n v="8960"/>
  </r>
  <r>
    <n v="24"/>
    <x v="23"/>
    <n v="3"/>
    <x v="0"/>
    <n v="1000"/>
    <n v="1.9"/>
    <n v="1900"/>
  </r>
  <r>
    <n v="24"/>
    <x v="23"/>
    <m/>
    <x v="5"/>
    <n v="800"/>
    <n v="0.45"/>
    <n v="360"/>
  </r>
  <r>
    <n v="24"/>
    <x v="23"/>
    <m/>
    <x v="14"/>
    <n v="1500"/>
    <n v="0.05"/>
    <n v="75"/>
  </r>
  <r>
    <n v="24"/>
    <x v="23"/>
    <m/>
    <x v="4"/>
    <n v="1000"/>
    <n v="0.05"/>
    <n v="50"/>
  </r>
  <r>
    <n v="24"/>
    <x v="23"/>
    <m/>
    <x v="2"/>
    <n v="2800"/>
    <n v="3.8"/>
    <n v="10640"/>
  </r>
  <r>
    <n v="24"/>
    <x v="23"/>
    <m/>
    <x v="8"/>
    <n v="1000"/>
    <n v="0.25"/>
    <n v="250"/>
  </r>
  <r>
    <n v="24"/>
    <x v="23"/>
    <m/>
    <x v="1"/>
    <n v="300"/>
    <n v="1.1000000000000001"/>
    <n v="330"/>
  </r>
  <r>
    <n v="24"/>
    <x v="23"/>
    <m/>
    <x v="16"/>
    <n v="500"/>
    <n v="1.45"/>
    <n v="725"/>
  </r>
  <r>
    <n v="25"/>
    <x v="24"/>
    <n v="2"/>
    <x v="4"/>
    <n v="1000"/>
    <n v="0.65"/>
    <n v="650"/>
  </r>
  <r>
    <n v="25"/>
    <x v="24"/>
    <m/>
    <x v="0"/>
    <n v="1000"/>
    <n v="9.4"/>
    <n v="9400"/>
  </r>
  <r>
    <n v="25"/>
    <x v="24"/>
    <m/>
    <x v="2"/>
    <n v="2800"/>
    <n v="0.3"/>
    <n v="840"/>
  </r>
  <r>
    <n v="25"/>
    <x v="24"/>
    <m/>
    <x v="4"/>
    <n v="1000"/>
    <n v="0.35"/>
    <n v="350"/>
  </r>
  <r>
    <n v="25"/>
    <x v="24"/>
    <m/>
    <x v="4"/>
    <n v="1000"/>
    <n v="0.85"/>
    <n v="850"/>
  </r>
  <r>
    <n v="25"/>
    <x v="24"/>
    <m/>
    <x v="12"/>
    <n v="2500"/>
    <n v="0.35"/>
    <n v="875"/>
  </r>
  <r>
    <n v="25"/>
    <x v="24"/>
    <m/>
    <x v="14"/>
    <n v="1500"/>
    <n v="0.35"/>
    <n v="525"/>
  </r>
  <r>
    <n v="25"/>
    <x v="24"/>
    <m/>
    <x v="3"/>
    <n v="150"/>
    <n v="1"/>
    <n v="150"/>
  </r>
  <r>
    <n v="25"/>
    <x v="24"/>
    <m/>
    <x v="8"/>
    <n v="1000"/>
    <n v="0.45"/>
    <n v="450"/>
  </r>
  <r>
    <n v="25"/>
    <x v="24"/>
    <m/>
    <x v="25"/>
    <n v="1000"/>
    <n v="0.6"/>
    <n v="600"/>
  </r>
  <r>
    <n v="25"/>
    <x v="24"/>
    <m/>
    <x v="1"/>
    <n v="300"/>
    <n v="0.25"/>
    <n v="75"/>
  </r>
  <r>
    <n v="25"/>
    <x v="24"/>
    <m/>
    <x v="2"/>
    <n v="2800"/>
    <n v="2"/>
    <n v="5600"/>
  </r>
  <r>
    <n v="26"/>
    <x v="25"/>
    <s v="UC"/>
    <x v="1"/>
    <n v="300"/>
    <n v="9.25"/>
    <n v="2775"/>
  </r>
  <r>
    <n v="26"/>
    <x v="25"/>
    <m/>
    <x v="6"/>
    <n v="200"/>
    <n v="7.8500000000000005"/>
    <n v="1570"/>
  </r>
  <r>
    <n v="27"/>
    <x v="26"/>
    <n v="5"/>
    <x v="0"/>
    <n v="1000"/>
    <n v="18.899999999999999"/>
    <n v="18900"/>
  </r>
  <r>
    <n v="27"/>
    <x v="26"/>
    <m/>
    <x v="18"/>
    <n v="3500"/>
    <n v="0.05"/>
    <n v="175"/>
  </r>
  <r>
    <n v="27"/>
    <x v="26"/>
    <m/>
    <x v="2"/>
    <n v="2800"/>
    <n v="19.350000000000001"/>
    <n v="54180.000000000007"/>
  </r>
  <r>
    <n v="27"/>
    <x v="26"/>
    <m/>
    <x v="18"/>
    <n v="3500"/>
    <n v="0.1"/>
    <n v="350"/>
  </r>
  <r>
    <n v="27"/>
    <x v="26"/>
    <m/>
    <x v="12"/>
    <n v="2500"/>
    <n v="1.7"/>
    <n v="4250"/>
  </r>
  <r>
    <n v="27"/>
    <x v="26"/>
    <m/>
    <x v="17"/>
    <n v="1400"/>
    <n v="2.75"/>
    <n v="3850"/>
  </r>
  <r>
    <n v="28"/>
    <x v="27"/>
    <n v="2"/>
    <x v="2"/>
    <n v="2800"/>
    <n v="2.4"/>
    <n v="6720"/>
  </r>
  <r>
    <n v="28"/>
    <x v="27"/>
    <m/>
    <x v="4"/>
    <n v="1000"/>
    <n v="4.3499999999999996"/>
    <n v="4350"/>
  </r>
  <r>
    <n v="28"/>
    <x v="27"/>
    <m/>
    <x v="12"/>
    <n v="2500"/>
    <n v="0.15"/>
    <n v="375"/>
  </r>
  <r>
    <n v="28"/>
    <x v="27"/>
    <m/>
    <x v="3"/>
    <n v="150"/>
    <n v="0.4"/>
    <n v="60"/>
  </r>
  <r>
    <n v="28"/>
    <x v="27"/>
    <m/>
    <x v="1"/>
    <n v="300"/>
    <n v="1.05"/>
    <m/>
  </r>
  <r>
    <n v="28"/>
    <x v="27"/>
    <m/>
    <x v="20"/>
    <n v="1600"/>
    <n v="0.4"/>
    <m/>
  </r>
  <r>
    <n v="28"/>
    <x v="27"/>
    <m/>
    <x v="0"/>
    <n v="1000"/>
    <n v="5"/>
    <m/>
  </r>
  <r>
    <n v="28"/>
    <x v="27"/>
    <m/>
    <x v="19"/>
    <n v="4000"/>
    <n v="1.75"/>
    <m/>
  </r>
  <r>
    <n v="28"/>
    <x v="27"/>
    <m/>
    <x v="14"/>
    <n v="1500"/>
    <n v="1.5"/>
    <m/>
  </r>
  <r>
    <n v="28"/>
    <x v="27"/>
    <m/>
    <x v="16"/>
    <n v="500"/>
    <n v="1.2"/>
    <m/>
  </r>
  <r>
    <n v="29"/>
    <x v="28"/>
    <n v="5"/>
    <x v="19"/>
    <n v="4000"/>
    <n v="4.9000000000000004"/>
    <n v="19600"/>
  </r>
  <r>
    <n v="29"/>
    <x v="28"/>
    <m/>
    <x v="16"/>
    <n v="500"/>
    <n v="2.1"/>
    <n v="1050"/>
  </r>
  <r>
    <n v="29"/>
    <x v="28"/>
    <m/>
    <x v="3"/>
    <n v="150"/>
    <n v="1.4"/>
    <n v="210"/>
  </r>
  <r>
    <n v="29"/>
    <x v="28"/>
    <m/>
    <x v="18"/>
    <n v="3500"/>
    <n v="0.25"/>
    <n v="875"/>
  </r>
  <r>
    <n v="29"/>
    <x v="28"/>
    <m/>
    <x v="1"/>
    <n v="300"/>
    <n v="1.1499999999999999"/>
    <n v="345"/>
  </r>
  <r>
    <n v="29"/>
    <x v="28"/>
    <m/>
    <x v="0"/>
    <n v="1000"/>
    <n v="5.75"/>
    <n v="5750"/>
  </r>
  <r>
    <n v="29"/>
    <x v="28"/>
    <m/>
    <x v="14"/>
    <n v="1500"/>
    <n v="1.85"/>
    <n v="2775"/>
  </r>
  <r>
    <n v="29"/>
    <x v="28"/>
    <m/>
    <x v="11"/>
    <n v="1600"/>
    <n v="1.55"/>
    <n v="2480"/>
  </r>
  <r>
    <n v="29"/>
    <x v="28"/>
    <m/>
    <x v="6"/>
    <n v="200"/>
    <n v="2.35"/>
    <n v="470"/>
  </r>
  <r>
    <n v="29"/>
    <x v="28"/>
    <m/>
    <x v="8"/>
    <n v="1000"/>
    <n v="12.85"/>
    <n v="12850"/>
  </r>
  <r>
    <n v="29"/>
    <x v="28"/>
    <m/>
    <x v="2"/>
    <n v="2800"/>
    <n v="2.35"/>
    <n v="6580"/>
  </r>
  <r>
    <n v="30"/>
    <x v="29"/>
    <n v="5"/>
    <x v="6"/>
    <n v="200"/>
    <n v="0.6"/>
    <n v="120"/>
  </r>
  <r>
    <n v="30"/>
    <x v="29"/>
    <m/>
    <x v="10"/>
    <n v="800"/>
    <n v="6.7"/>
    <n v="5360"/>
  </r>
  <r>
    <n v="30"/>
    <x v="29"/>
    <m/>
    <x v="8"/>
    <n v="1000"/>
    <n v="1.25"/>
    <n v="1250"/>
  </r>
  <r>
    <n v="30"/>
    <x v="29"/>
    <m/>
    <x v="10"/>
    <n v="800"/>
    <n v="1.4"/>
    <n v="1120"/>
  </r>
  <r>
    <n v="30"/>
    <x v="29"/>
    <m/>
    <x v="15"/>
    <n v="1800"/>
    <n v="3.35"/>
    <n v="6030"/>
  </r>
  <r>
    <n v="30"/>
    <x v="29"/>
    <m/>
    <x v="16"/>
    <n v="500"/>
    <n v="0.2"/>
    <n v="100"/>
  </r>
  <r>
    <n v="30"/>
    <x v="29"/>
    <m/>
    <x v="9"/>
    <n v="150"/>
    <n v="0.05"/>
    <n v="7.5"/>
  </r>
  <r>
    <n v="30"/>
    <x v="29"/>
    <m/>
    <x v="0"/>
    <n v="1000"/>
    <n v="1.4"/>
    <n v="1400"/>
  </r>
  <r>
    <n v="30"/>
    <x v="29"/>
    <m/>
    <x v="4"/>
    <n v="1000"/>
    <n v="0.9"/>
    <n v="900"/>
  </r>
  <r>
    <n v="31"/>
    <x v="30"/>
    <n v="2"/>
    <x v="0"/>
    <n v="1000"/>
    <n v="5.15"/>
    <n v="5150"/>
  </r>
  <r>
    <n v="31"/>
    <x v="30"/>
    <m/>
    <x v="16"/>
    <n v="500"/>
    <n v="0.35"/>
    <n v="175"/>
  </r>
  <r>
    <n v="31"/>
    <x v="30"/>
    <m/>
    <x v="8"/>
    <n v="1000"/>
    <n v="1.1000000000000001"/>
    <n v="1100"/>
  </r>
  <r>
    <n v="31"/>
    <x v="30"/>
    <m/>
    <x v="6"/>
    <n v="200"/>
    <n v="0.1"/>
    <n v="20"/>
  </r>
  <r>
    <n v="31"/>
    <x v="30"/>
    <m/>
    <x v="11"/>
    <n v="1600"/>
    <n v="0.25"/>
    <n v="400"/>
  </r>
  <r>
    <n v="31"/>
    <x v="30"/>
    <m/>
    <x v="14"/>
    <n v="1500"/>
    <n v="0.45"/>
    <n v="675"/>
  </r>
  <r>
    <n v="32"/>
    <x v="31"/>
    <n v="6"/>
    <x v="11"/>
    <n v="1600"/>
    <n v="0.15"/>
    <n v="240"/>
  </r>
  <r>
    <n v="32"/>
    <x v="31"/>
    <m/>
    <x v="26"/>
    <n v="500"/>
    <n v="1.6"/>
    <n v="800"/>
  </r>
  <r>
    <n v="32"/>
    <x v="31"/>
    <m/>
    <x v="15"/>
    <n v="1800"/>
    <n v="1.95"/>
    <n v="3510"/>
  </r>
  <r>
    <n v="32"/>
    <x v="31"/>
    <m/>
    <x v="3"/>
    <n v="150"/>
    <n v="1.1499999999999999"/>
    <n v="172.5"/>
  </r>
  <r>
    <n v="32"/>
    <x v="31"/>
    <m/>
    <x v="12"/>
    <n v="2500"/>
    <n v="0.1"/>
    <n v="250"/>
  </r>
  <r>
    <n v="32"/>
    <x v="31"/>
    <m/>
    <x v="4"/>
    <n v="1000"/>
    <n v="4.0999999999999996"/>
    <n v="4100"/>
  </r>
  <r>
    <n v="32"/>
    <x v="31"/>
    <m/>
    <x v="16"/>
    <n v="500"/>
    <n v="0.7"/>
    <n v="350"/>
  </r>
  <r>
    <n v="32"/>
    <x v="31"/>
    <m/>
    <x v="8"/>
    <n v="1000"/>
    <n v="1.7"/>
    <n v="1700"/>
  </r>
  <r>
    <n v="32"/>
    <x v="31"/>
    <m/>
    <x v="6"/>
    <n v="200"/>
    <n v="0.2"/>
    <n v="40"/>
  </r>
  <r>
    <n v="32"/>
    <x v="31"/>
    <m/>
    <x v="1"/>
    <n v="300"/>
    <n v="1.25"/>
    <n v="375"/>
  </r>
  <r>
    <n v="32"/>
    <x v="31"/>
    <m/>
    <x v="0"/>
    <n v="1000"/>
    <n v="6.45"/>
    <n v="6450"/>
  </r>
  <r>
    <n v="32"/>
    <x v="31"/>
    <m/>
    <x v="2"/>
    <n v="2800"/>
    <n v="1.8"/>
    <n v="5040"/>
  </r>
  <r>
    <n v="33"/>
    <x v="32"/>
    <n v="33"/>
    <x v="8"/>
    <n v="1000"/>
    <n v="0.3"/>
    <n v="300"/>
  </r>
  <r>
    <n v="33"/>
    <x v="32"/>
    <m/>
    <x v="4"/>
    <n v="1000"/>
    <n v="0.1"/>
    <n v="100"/>
  </r>
  <r>
    <n v="33"/>
    <x v="32"/>
    <m/>
    <x v="13"/>
    <n v="2700"/>
    <n v="0.05"/>
    <n v="135"/>
  </r>
  <r>
    <n v="33"/>
    <x v="32"/>
    <m/>
    <x v="12"/>
    <n v="2500"/>
    <n v="0.1"/>
    <n v="250"/>
  </r>
  <r>
    <n v="33"/>
    <x v="32"/>
    <m/>
    <x v="5"/>
    <n v="800"/>
    <n v="0.1"/>
    <n v="80"/>
  </r>
  <r>
    <n v="33"/>
    <x v="32"/>
    <m/>
    <x v="16"/>
    <n v="500"/>
    <n v="0.45"/>
    <n v="225"/>
  </r>
  <r>
    <n v="33"/>
    <x v="32"/>
    <m/>
    <x v="6"/>
    <n v="200"/>
    <n v="0.6"/>
    <n v="120"/>
  </r>
  <r>
    <n v="33"/>
    <x v="32"/>
    <m/>
    <x v="2"/>
    <n v="2800"/>
    <n v="0.7"/>
    <n v="1959.9999999999998"/>
  </r>
  <r>
    <n v="33"/>
    <x v="32"/>
    <m/>
    <x v="1"/>
    <n v="300"/>
    <n v="0.75"/>
    <n v="225"/>
  </r>
  <r>
    <n v="33"/>
    <x v="32"/>
    <m/>
    <x v="21"/>
    <n v="8000"/>
    <n v="0.55000000000000004"/>
    <n v="4400"/>
  </r>
  <r>
    <n v="33"/>
    <x v="32"/>
    <m/>
    <x v="0"/>
    <n v="1000"/>
    <n v="0.75"/>
    <n v="750"/>
  </r>
  <r>
    <n v="34"/>
    <x v="33"/>
    <n v="6"/>
    <x v="8"/>
    <n v="1000"/>
    <n v="0.3"/>
    <n v="300"/>
  </r>
  <r>
    <n v="34"/>
    <x v="33"/>
    <m/>
    <x v="16"/>
    <n v="500"/>
    <n v="0.2"/>
    <n v="100"/>
  </r>
  <r>
    <n v="34"/>
    <x v="33"/>
    <m/>
    <x v="14"/>
    <n v="1500"/>
    <n v="0.2"/>
    <n v="300"/>
  </r>
  <r>
    <n v="34"/>
    <x v="33"/>
    <m/>
    <x v="19"/>
    <n v="4000"/>
    <n v="1.7"/>
    <n v="6800"/>
  </r>
  <r>
    <n v="35"/>
    <x v="34"/>
    <n v="6"/>
    <x v="16"/>
    <n v="500"/>
    <n v="0.45"/>
    <n v="225"/>
  </r>
  <r>
    <n v="35"/>
    <x v="34"/>
    <m/>
    <x v="7"/>
    <n v="2500"/>
    <n v="4.1500000000000004"/>
    <n v="10375"/>
  </r>
  <r>
    <n v="36"/>
    <x v="35"/>
    <n v="4"/>
    <x v="6"/>
    <n v="200"/>
    <n v="0.15"/>
    <n v="30"/>
  </r>
  <r>
    <n v="36"/>
    <x v="35"/>
    <m/>
    <x v="1"/>
    <n v="300"/>
    <n v="0.55000000000000004"/>
    <n v="165"/>
  </r>
  <r>
    <n v="36"/>
    <x v="35"/>
    <m/>
    <x v="20"/>
    <n v="1600"/>
    <n v="0.3"/>
    <n v="480"/>
  </r>
  <r>
    <n v="36"/>
    <x v="35"/>
    <m/>
    <x v="16"/>
    <n v="500"/>
    <n v="0.6"/>
    <n v="300"/>
  </r>
  <r>
    <n v="36"/>
    <x v="35"/>
    <m/>
    <x v="21"/>
    <n v="8000"/>
    <n v="0.1"/>
    <n v="800"/>
  </r>
  <r>
    <n v="36"/>
    <x v="35"/>
    <m/>
    <x v="12"/>
    <n v="2500"/>
    <n v="0.45"/>
    <n v="1125"/>
  </r>
  <r>
    <n v="36"/>
    <x v="35"/>
    <m/>
    <x v="23"/>
    <n v="3500"/>
    <n v="0.4"/>
    <n v="1400"/>
  </r>
  <r>
    <n v="36"/>
    <x v="35"/>
    <m/>
    <x v="14"/>
    <n v="1500"/>
    <n v="0.45"/>
    <n v="675"/>
  </r>
  <r>
    <n v="36"/>
    <x v="35"/>
    <m/>
    <x v="3"/>
    <n v="150"/>
    <n v="5.55"/>
    <n v="832.5"/>
  </r>
  <r>
    <n v="36"/>
    <x v="35"/>
    <m/>
    <x v="2"/>
    <n v="2800"/>
    <n v="1.45"/>
    <n v="4060"/>
  </r>
  <r>
    <n v="36"/>
    <x v="35"/>
    <m/>
    <x v="4"/>
    <n v="1000"/>
    <n v="3.95"/>
    <n v="3950"/>
  </r>
  <r>
    <n v="37"/>
    <x v="36"/>
    <n v="7"/>
    <x v="8"/>
    <n v="1000"/>
    <n v="2"/>
    <n v="2000"/>
  </r>
  <r>
    <n v="37"/>
    <x v="36"/>
    <m/>
    <x v="4"/>
    <n v="1000"/>
    <n v="0.3"/>
    <n v="300"/>
  </r>
  <r>
    <n v="37"/>
    <x v="36"/>
    <m/>
    <x v="1"/>
    <n v="300"/>
    <n v="1.2"/>
    <n v="360"/>
  </r>
  <r>
    <n v="37"/>
    <x v="36"/>
    <m/>
    <x v="14"/>
    <n v="1500"/>
    <n v="0.75"/>
    <n v="1125"/>
  </r>
  <r>
    <n v="37"/>
    <x v="36"/>
    <m/>
    <x v="3"/>
    <n v="150"/>
    <n v="1.05"/>
    <n v="157.5"/>
  </r>
  <r>
    <n v="37"/>
    <x v="36"/>
    <m/>
    <x v="19"/>
    <n v="4000"/>
    <n v="3.6"/>
    <n v="14400"/>
  </r>
  <r>
    <n v="37"/>
    <x v="36"/>
    <m/>
    <x v="0"/>
    <n v="1000"/>
    <n v="11.7"/>
    <n v="11700"/>
  </r>
  <r>
    <n v="38"/>
    <x v="37"/>
    <n v="7"/>
    <x v="7"/>
    <n v="2500"/>
    <n v="0.95"/>
    <n v="2375"/>
  </r>
  <r>
    <n v="38"/>
    <x v="37"/>
    <m/>
    <x v="6"/>
    <n v="200"/>
    <n v="2.85"/>
    <n v="570"/>
  </r>
  <r>
    <n v="38"/>
    <x v="37"/>
    <m/>
    <x v="1"/>
    <n v="300"/>
    <n v="0.8"/>
    <n v="240"/>
  </r>
  <r>
    <n v="38"/>
    <x v="37"/>
    <m/>
    <x v="12"/>
    <n v="2500"/>
    <n v="0.4"/>
    <n v="1000"/>
  </r>
  <r>
    <n v="38"/>
    <x v="37"/>
    <m/>
    <x v="8"/>
    <n v="1000"/>
    <n v="3.7"/>
    <n v="3700"/>
  </r>
  <r>
    <n v="38"/>
    <x v="37"/>
    <m/>
    <x v="2"/>
    <n v="2800"/>
    <n v="1.7"/>
    <n v="4760"/>
  </r>
  <r>
    <n v="38"/>
    <x v="37"/>
    <m/>
    <x v="16"/>
    <n v="500"/>
    <n v="0.45"/>
    <n v="225"/>
  </r>
  <r>
    <n v="39"/>
    <x v="38"/>
    <n v="2"/>
    <x v="16"/>
    <n v="500"/>
    <n v="0.45"/>
    <n v="225"/>
  </r>
  <r>
    <n v="39"/>
    <x v="38"/>
    <m/>
    <x v="21"/>
    <n v="8000"/>
    <n v="0.05"/>
    <n v="400"/>
  </r>
  <r>
    <n v="39"/>
    <x v="38"/>
    <m/>
    <x v="3"/>
    <n v="150"/>
    <n v="0.6"/>
    <n v="90"/>
  </r>
  <r>
    <n v="39"/>
    <x v="38"/>
    <m/>
    <x v="4"/>
    <n v="1000"/>
    <n v="0.3"/>
    <n v="300"/>
  </r>
  <r>
    <n v="39"/>
    <x v="38"/>
    <m/>
    <x v="1"/>
    <n v="300"/>
    <n v="1.8"/>
    <n v="540"/>
  </r>
  <r>
    <n v="39"/>
    <x v="38"/>
    <m/>
    <x v="0"/>
    <n v="1000"/>
    <n v="0.8"/>
    <n v="800"/>
  </r>
  <r>
    <n v="39"/>
    <x v="38"/>
    <m/>
    <x v="2"/>
    <n v="2800"/>
    <n v="5.45"/>
    <n v="15260"/>
  </r>
  <r>
    <n v="40"/>
    <x v="39"/>
    <n v="4"/>
    <x v="8"/>
    <n v="1000"/>
    <n v="0.75"/>
    <n v="750"/>
  </r>
  <r>
    <n v="40"/>
    <x v="39"/>
    <m/>
    <x v="11"/>
    <n v="1600"/>
    <n v="2.4500000000000002"/>
    <n v="3920.0000000000005"/>
  </r>
  <r>
    <n v="40"/>
    <x v="39"/>
    <m/>
    <x v="4"/>
    <n v="1000"/>
    <n v="2.15"/>
    <n v="2150"/>
  </r>
  <r>
    <n v="41"/>
    <x v="40"/>
    <n v="2"/>
    <x v="1"/>
    <n v="300"/>
    <n v="0.4"/>
    <n v="120"/>
  </r>
  <r>
    <n v="41"/>
    <x v="40"/>
    <m/>
    <x v="16"/>
    <n v="500"/>
    <n v="1.65"/>
    <n v="825"/>
  </r>
  <r>
    <n v="41"/>
    <x v="40"/>
    <m/>
    <x v="23"/>
    <n v="3500"/>
    <n v="0.1"/>
    <n v="350"/>
  </r>
  <r>
    <n v="41"/>
    <x v="40"/>
    <m/>
    <x v="14"/>
    <n v="1500"/>
    <n v="0.5"/>
    <n v="750"/>
  </r>
  <r>
    <n v="41"/>
    <x v="40"/>
    <m/>
    <x v="3"/>
    <n v="150"/>
    <n v="0.6"/>
    <n v="90"/>
  </r>
  <r>
    <n v="41"/>
    <x v="40"/>
    <m/>
    <x v="2"/>
    <n v="2800"/>
    <n v="0.35"/>
    <n v="979.99999999999989"/>
  </r>
  <r>
    <n v="41"/>
    <x v="40"/>
    <m/>
    <x v="20"/>
    <n v="1600"/>
    <n v="0.25"/>
    <n v="400"/>
  </r>
  <r>
    <n v="42"/>
    <x v="41"/>
    <m/>
    <x v="4"/>
    <n v="1000"/>
    <n v="1.35"/>
    <n v="1350"/>
  </r>
  <r>
    <n v="42"/>
    <x v="41"/>
    <n v="4"/>
    <x v="15"/>
    <n v="1800"/>
    <n v="0.45"/>
    <n v="810"/>
  </r>
  <r>
    <n v="42"/>
    <x v="41"/>
    <m/>
    <x v="14"/>
    <n v="1500"/>
    <n v="0.75"/>
    <n v="1125"/>
  </r>
  <r>
    <n v="42"/>
    <x v="41"/>
    <m/>
    <x v="2"/>
    <n v="2800"/>
    <n v="0.85"/>
    <n v="2380"/>
  </r>
  <r>
    <n v="42"/>
    <x v="41"/>
    <m/>
    <x v="1"/>
    <n v="300"/>
    <n v="1.3"/>
    <n v="390"/>
  </r>
  <r>
    <n v="42"/>
    <x v="41"/>
    <m/>
    <x v="0"/>
    <n v="1000"/>
    <n v="2.1"/>
    <n v="2100"/>
  </r>
  <r>
    <n v="43"/>
    <x v="42"/>
    <n v="6"/>
    <x v="11"/>
    <n v="1600"/>
    <n v="0.5"/>
    <n v="800"/>
  </r>
  <r>
    <n v="43"/>
    <x v="42"/>
    <m/>
    <x v="4"/>
    <n v="1000"/>
    <n v="1.05"/>
    <n v="1050"/>
  </r>
  <r>
    <n v="43"/>
    <x v="42"/>
    <m/>
    <x v="13"/>
    <n v="2700"/>
    <n v="0.1"/>
    <n v="270"/>
  </r>
  <r>
    <n v="43"/>
    <x v="42"/>
    <m/>
    <x v="3"/>
    <n v="150"/>
    <n v="0.35"/>
    <n v="52.5"/>
  </r>
  <r>
    <n v="43"/>
    <x v="42"/>
    <m/>
    <x v="14"/>
    <n v="1500"/>
    <n v="0.15"/>
    <n v="225"/>
  </r>
  <r>
    <n v="43"/>
    <x v="42"/>
    <m/>
    <x v="27"/>
    <n v="400"/>
    <n v="0.1"/>
    <n v="40"/>
  </r>
  <r>
    <n v="44"/>
    <x v="43"/>
    <n v="4"/>
    <x v="4"/>
    <n v="1000"/>
    <n v="0.55000000000000004"/>
    <n v="550"/>
  </r>
  <r>
    <n v="44"/>
    <x v="43"/>
    <m/>
    <x v="14"/>
    <n v="1500"/>
    <n v="0.55000000000000004"/>
    <n v="825.00000000000011"/>
  </r>
  <r>
    <n v="44"/>
    <x v="43"/>
    <m/>
    <x v="3"/>
    <n v="150"/>
    <n v="0.3"/>
    <n v="45"/>
  </r>
  <r>
    <n v="44"/>
    <x v="43"/>
    <m/>
    <x v="8"/>
    <n v="1000"/>
    <n v="0.3"/>
    <n v="300"/>
  </r>
  <r>
    <n v="44"/>
    <x v="43"/>
    <m/>
    <x v="19"/>
    <n v="4000"/>
    <n v="1.4"/>
    <n v="5600"/>
  </r>
  <r>
    <n v="44"/>
    <x v="43"/>
    <m/>
    <x v="10"/>
    <n v="800"/>
    <n v="0.95"/>
    <n v="760"/>
  </r>
  <r>
    <n v="44"/>
    <x v="43"/>
    <m/>
    <x v="0"/>
    <n v="1000"/>
    <n v="0.95"/>
    <n v="950"/>
  </r>
  <r>
    <n v="44"/>
    <x v="43"/>
    <m/>
    <x v="6"/>
    <n v="200"/>
    <n v="0.25"/>
    <n v="50"/>
  </r>
  <r>
    <n v="44"/>
    <x v="43"/>
    <m/>
    <x v="1"/>
    <n v="300"/>
    <n v="0.55000000000000004"/>
    <n v="165"/>
  </r>
  <r>
    <n v="44"/>
    <x v="44"/>
    <n v="4"/>
    <x v="4"/>
    <n v="1000"/>
    <n v="0.65"/>
    <n v="650"/>
  </r>
  <r>
    <n v="44"/>
    <x v="44"/>
    <m/>
    <x v="1"/>
    <n v="300"/>
    <n v="1.45"/>
    <n v="435"/>
  </r>
  <r>
    <n v="44"/>
    <x v="44"/>
    <m/>
    <x v="3"/>
    <n v="150"/>
    <n v="1.3"/>
    <n v="195"/>
  </r>
  <r>
    <n v="45"/>
    <x v="45"/>
    <n v="4"/>
    <x v="0"/>
    <n v="1000"/>
    <n v="0.45"/>
    <n v="450"/>
  </r>
  <r>
    <n v="45"/>
    <x v="45"/>
    <m/>
    <x v="1"/>
    <n v="300"/>
    <n v="0.25"/>
    <n v="75"/>
  </r>
  <r>
    <n v="45"/>
    <x v="45"/>
    <m/>
    <x v="11"/>
    <n v="1600"/>
    <n v="0.3"/>
    <n v="480"/>
  </r>
  <r>
    <n v="45"/>
    <x v="45"/>
    <m/>
    <x v="12"/>
    <n v="2500"/>
    <n v="0.1"/>
    <n v="250"/>
  </r>
  <r>
    <n v="45"/>
    <x v="45"/>
    <m/>
    <x v="6"/>
    <n v="200"/>
    <n v="0.15"/>
    <n v="30"/>
  </r>
  <r>
    <n v="47"/>
    <x v="46"/>
    <n v="1"/>
    <x v="0"/>
    <n v="1000"/>
    <n v="3"/>
    <n v="3000"/>
  </r>
  <r>
    <n v="47"/>
    <x v="46"/>
    <m/>
    <x v="1"/>
    <n v="300"/>
    <n v="0.65"/>
    <n v="195"/>
  </r>
  <r>
    <n v="47"/>
    <x v="46"/>
    <m/>
    <x v="11"/>
    <n v="1600"/>
    <n v="0.15"/>
    <n v="240"/>
  </r>
  <r>
    <n v="47"/>
    <x v="46"/>
    <m/>
    <x v="20"/>
    <n v="1600"/>
    <n v="0.15"/>
    <n v="240"/>
  </r>
  <r>
    <n v="47"/>
    <x v="46"/>
    <m/>
    <x v="8"/>
    <n v="1000"/>
    <n v="1.9"/>
    <n v="1900"/>
  </r>
  <r>
    <n v="48"/>
    <x v="47"/>
    <n v="1"/>
    <x v="8"/>
    <n v="1000"/>
    <n v="0.5"/>
    <n v="500"/>
  </r>
  <r>
    <n v="48"/>
    <x v="47"/>
    <m/>
    <x v="14"/>
    <n v="1500"/>
    <n v="1.05"/>
    <n v="1575"/>
  </r>
  <r>
    <n v="48"/>
    <x v="47"/>
    <m/>
    <x v="3"/>
    <n v="150"/>
    <n v="1.55"/>
    <n v="232.5"/>
  </r>
  <r>
    <n v="48"/>
    <x v="47"/>
    <m/>
    <x v="4"/>
    <n v="1000"/>
    <n v="0.6"/>
    <n v="600"/>
  </r>
  <r>
    <n v="48"/>
    <x v="47"/>
    <m/>
    <x v="0"/>
    <n v="1000"/>
    <n v="1.65"/>
    <n v="1650"/>
  </r>
  <r>
    <n v="48"/>
    <x v="47"/>
    <m/>
    <x v="2"/>
    <n v="2800"/>
    <n v="2.75"/>
    <n v="7700"/>
  </r>
  <r>
    <n v="49"/>
    <x v="48"/>
    <n v="1"/>
    <x v="16"/>
    <n v="500"/>
    <n v="4.5"/>
    <n v="2250"/>
  </r>
  <r>
    <n v="49"/>
    <x v="48"/>
    <m/>
    <x v="8"/>
    <n v="1000"/>
    <n v="0.45"/>
    <n v="450"/>
  </r>
  <r>
    <n v="49"/>
    <x v="48"/>
    <m/>
    <x v="1"/>
    <n v="300"/>
    <n v="2.15"/>
    <n v="645"/>
  </r>
  <r>
    <n v="49"/>
    <x v="48"/>
    <m/>
    <x v="14"/>
    <n v="1500"/>
    <n v="0.65"/>
    <n v="975"/>
  </r>
  <r>
    <n v="49"/>
    <x v="48"/>
    <m/>
    <x v="19"/>
    <n v="4000"/>
    <n v="3.15"/>
    <n v="12600"/>
  </r>
  <r>
    <n v="49"/>
    <x v="48"/>
    <m/>
    <x v="8"/>
    <n v="1000"/>
    <n v="1.4"/>
    <n v="1400"/>
  </r>
  <r>
    <n v="49"/>
    <x v="48"/>
    <m/>
    <x v="2"/>
    <n v="2800"/>
    <n v="1.85"/>
    <n v="5180"/>
  </r>
  <r>
    <n v="49"/>
    <x v="48"/>
    <m/>
    <x v="1"/>
    <n v="300"/>
    <n v="1.85"/>
    <n v="555"/>
  </r>
  <r>
    <n v="50"/>
    <x v="49"/>
    <n v="1"/>
    <x v="16"/>
    <n v="500"/>
    <n v="2.25"/>
    <n v="1125"/>
  </r>
  <r>
    <n v="50"/>
    <x v="49"/>
    <m/>
    <x v="8"/>
    <n v="1000"/>
    <n v="0.9"/>
    <n v="900"/>
  </r>
  <r>
    <n v="50"/>
    <x v="49"/>
    <m/>
    <x v="4"/>
    <n v="1000"/>
    <n v="0.95"/>
    <n v="950"/>
  </r>
  <r>
    <n v="50"/>
    <x v="49"/>
    <m/>
    <x v="2"/>
    <n v="2800"/>
    <n v="1.5"/>
    <n v="4200"/>
  </r>
  <r>
    <n v="50"/>
    <x v="49"/>
    <m/>
    <x v="1"/>
    <n v="300"/>
    <n v="1.1499999999999999"/>
    <n v="345"/>
  </r>
  <r>
    <n v="50"/>
    <x v="49"/>
    <m/>
    <x v="6"/>
    <n v="200"/>
    <n v="0.45"/>
    <n v="90"/>
  </r>
  <r>
    <n v="51"/>
    <x v="50"/>
    <s v="Pos"/>
    <x v="2"/>
    <n v="2800"/>
    <n v="3.6"/>
    <n v="10080"/>
  </r>
  <r>
    <n v="52"/>
    <x v="51"/>
    <s v="Warung"/>
    <x v="1"/>
    <n v="300"/>
    <n v="2.95"/>
    <n v="885"/>
  </r>
  <r>
    <n v="53"/>
    <x v="52"/>
    <s v="Warung"/>
    <x v="1"/>
    <n v="300"/>
    <n v="1"/>
    <n v="300"/>
  </r>
  <r>
    <n v="54"/>
    <x v="53"/>
    <s v="Warung"/>
    <x v="8"/>
    <n v="1000"/>
    <n v="4.8"/>
    <n v="4800"/>
  </r>
  <r>
    <n v="55"/>
    <x v="54"/>
    <s v="Warung"/>
    <x v="1"/>
    <n v="300"/>
    <n v="1.65"/>
    <n v="495"/>
  </r>
  <r>
    <n v="56"/>
    <x v="55"/>
    <s v="Warung"/>
    <x v="8"/>
    <n v="1000"/>
    <n v="3.7"/>
    <n v="3700"/>
  </r>
  <r>
    <n v="57"/>
    <x v="56"/>
    <s v="Warung"/>
    <x v="1"/>
    <n v="300"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x v="0"/>
    <x v="0"/>
    <n v="8.9499999999999993"/>
    <n v="5000"/>
    <n v="44750"/>
  </r>
  <r>
    <x v="1"/>
    <x v="1"/>
    <n v="1.2"/>
    <n v="1000"/>
    <n v="1200"/>
  </r>
  <r>
    <x v="1"/>
    <x v="2"/>
    <n v="0.9"/>
    <n v="1600"/>
    <n v="1440"/>
  </r>
  <r>
    <x v="1"/>
    <x v="3"/>
    <n v="2.2999999999999998"/>
    <n v="500"/>
    <n v="1150"/>
  </r>
  <r>
    <x v="1"/>
    <x v="4"/>
    <n v="1.1000000000000001"/>
    <n v="300"/>
    <n v="330"/>
  </r>
  <r>
    <x v="1"/>
    <x v="5"/>
    <n v="1.1000000000000001"/>
    <n v="2800"/>
    <n v="3080"/>
  </r>
  <r>
    <x v="2"/>
    <x v="6"/>
    <n v="0.35"/>
    <n v="150"/>
    <n v="53"/>
  </r>
  <r>
    <x v="2"/>
    <x v="7"/>
    <n v="0.1"/>
    <n v="1000"/>
    <n v="100"/>
  </r>
  <r>
    <x v="2"/>
    <x v="8"/>
    <n v="0.75"/>
    <n v="1500"/>
    <n v="1125"/>
  </r>
  <r>
    <x v="2"/>
    <x v="9"/>
    <n v="0.1"/>
    <n v="500"/>
    <n v="50"/>
  </r>
  <r>
    <x v="2"/>
    <x v="4"/>
    <n v="0.7"/>
    <n v="300"/>
    <n v="210"/>
  </r>
  <r>
    <x v="2"/>
    <x v="0"/>
    <n v="3.75"/>
    <n v="5000"/>
    <n v="18750"/>
  </r>
  <r>
    <x v="2"/>
    <x v="10"/>
    <n v="0.25"/>
    <n v="1000"/>
    <n v="250"/>
  </r>
  <r>
    <x v="2"/>
    <x v="3"/>
    <n v="1.45"/>
    <n v="500"/>
    <n v="725"/>
  </r>
  <r>
    <x v="2"/>
    <x v="1"/>
    <n v="0.9"/>
    <n v="1000"/>
    <n v="900"/>
  </r>
  <r>
    <x v="2"/>
    <x v="5"/>
    <n v="0.85"/>
    <n v="2800"/>
    <n v="2380"/>
  </r>
  <r>
    <x v="2"/>
    <x v="11"/>
    <n v="1.4"/>
    <n v="1000"/>
    <n v="1400"/>
  </r>
  <r>
    <x v="2"/>
    <x v="12"/>
    <n v="0.1"/>
    <n v="2500"/>
    <n v="250"/>
  </r>
  <r>
    <x v="3"/>
    <x v="4"/>
    <n v="0.5"/>
    <n v="300"/>
    <n v="150"/>
  </r>
  <r>
    <x v="3"/>
    <x v="6"/>
    <n v="0.95"/>
    <n v="150"/>
    <n v="143"/>
  </r>
  <r>
    <x v="3"/>
    <x v="10"/>
    <n v="1.05"/>
    <n v="1000"/>
    <n v="1050"/>
  </r>
  <r>
    <x v="3"/>
    <x v="5"/>
    <n v="1.5"/>
    <n v="2800"/>
    <n v="4200"/>
  </r>
  <r>
    <x v="3"/>
    <x v="3"/>
    <n v="1.5"/>
    <n v="500"/>
    <n v="750"/>
  </r>
  <r>
    <x v="3"/>
    <x v="1"/>
    <n v="3.65"/>
    <n v="1000"/>
    <n v="3650"/>
  </r>
  <r>
    <x v="4"/>
    <x v="8"/>
    <n v="0.7"/>
    <n v="1500"/>
    <n v="1050"/>
  </r>
  <r>
    <x v="4"/>
    <x v="6"/>
    <n v="1.45"/>
    <n v="150"/>
    <n v="218"/>
  </r>
  <r>
    <x v="4"/>
    <x v="13"/>
    <n v="0.25"/>
    <n v="1600"/>
    <n v="400"/>
  </r>
  <r>
    <x v="4"/>
    <x v="3"/>
    <n v="3.7"/>
    <n v="500"/>
    <n v="1850"/>
  </r>
  <r>
    <x v="4"/>
    <x v="4"/>
    <n v="2.75"/>
    <n v="300"/>
    <n v="825"/>
  </r>
  <r>
    <x v="4"/>
    <x v="14"/>
    <n v="3.45"/>
    <n v="800"/>
    <n v="2760"/>
  </r>
  <r>
    <x v="4"/>
    <x v="1"/>
    <n v="5.15"/>
    <n v="1000"/>
    <n v="5150"/>
  </r>
  <r>
    <x v="4"/>
    <x v="5"/>
    <n v="1.85"/>
    <n v="2800"/>
    <n v="5180"/>
  </r>
  <r>
    <x v="4"/>
    <x v="10"/>
    <n v="1.65"/>
    <n v="1000"/>
    <n v="1650"/>
  </r>
  <r>
    <x v="5"/>
    <x v="15"/>
    <n v="6.35"/>
    <n v="2500"/>
    <n v="15875"/>
  </r>
  <r>
    <x v="5"/>
    <x v="6"/>
    <n v="1.95"/>
    <n v="150"/>
    <n v="293"/>
  </r>
  <r>
    <x v="5"/>
    <x v="12"/>
    <n v="0.05"/>
    <n v="2500"/>
    <n v="125"/>
  </r>
  <r>
    <x v="5"/>
    <x v="16"/>
    <n v="0.1"/>
    <n v="8000"/>
    <n v="800"/>
  </r>
  <r>
    <x v="5"/>
    <x v="9"/>
    <n v="0.2"/>
    <n v="500"/>
    <n v="100"/>
  </r>
  <r>
    <x v="5"/>
    <x v="4"/>
    <n v="1.05"/>
    <n v="300"/>
    <n v="315"/>
  </r>
  <r>
    <x v="5"/>
    <x v="10"/>
    <n v="1.95"/>
    <n v="1000"/>
    <n v="1950"/>
  </r>
  <r>
    <x v="5"/>
    <x v="5"/>
    <n v="1.35"/>
    <n v="2800"/>
    <n v="3780"/>
  </r>
  <r>
    <x v="5"/>
    <x v="1"/>
    <n v="1.35"/>
    <n v="1000"/>
    <n v="1350"/>
  </r>
  <r>
    <x v="5"/>
    <x v="3"/>
    <n v="1.65"/>
    <n v="500"/>
    <n v="825"/>
  </r>
  <r>
    <x v="6"/>
    <x v="11"/>
    <n v="1.1000000000000001"/>
    <n v="1000"/>
    <n v="1100"/>
  </r>
  <r>
    <x v="6"/>
    <x v="6"/>
    <n v="0.55000000000000004"/>
    <n v="150"/>
    <n v="83"/>
  </r>
  <r>
    <x v="6"/>
    <x v="8"/>
    <n v="0.2"/>
    <n v="1500"/>
    <n v="300"/>
  </r>
  <r>
    <x v="6"/>
    <x v="10"/>
    <n v="0.35"/>
    <n v="1000"/>
    <n v="350"/>
  </r>
  <r>
    <x v="6"/>
    <x v="17"/>
    <n v="1.95"/>
    <n v="1800"/>
    <n v="3510"/>
  </r>
  <r>
    <x v="6"/>
    <x v="18"/>
    <n v="0.1"/>
    <n v="3500"/>
    <n v="350"/>
  </r>
  <r>
    <x v="6"/>
    <x v="12"/>
    <n v="0.15"/>
    <n v="2500"/>
    <n v="375"/>
  </r>
  <r>
    <x v="6"/>
    <x v="5"/>
    <n v="0.75"/>
    <n v="2800"/>
    <n v="2100"/>
  </r>
  <r>
    <x v="6"/>
    <x v="4"/>
    <n v="1.6"/>
    <n v="300"/>
    <n v="480"/>
  </r>
  <r>
    <x v="6"/>
    <x v="19"/>
    <n v="0.95"/>
    <n v="3500"/>
    <n v="3325"/>
  </r>
  <r>
    <x v="6"/>
    <x v="1"/>
    <n v="9.3000000000000007"/>
    <n v="1000"/>
    <n v="9300"/>
  </r>
  <r>
    <x v="7"/>
    <x v="13"/>
    <n v="2"/>
    <n v="1600"/>
    <n v="3200"/>
  </r>
  <r>
    <x v="7"/>
    <x v="11"/>
    <n v="4.8"/>
    <n v="1000"/>
    <n v="4800"/>
  </r>
  <r>
    <x v="7"/>
    <x v="1"/>
    <n v="7.15"/>
    <n v="1000"/>
    <n v="7150"/>
  </r>
  <r>
    <x v="8"/>
    <x v="3"/>
    <n v="0.35"/>
    <n v="500"/>
    <n v="175"/>
  </r>
  <r>
    <x v="8"/>
    <x v="8"/>
    <n v="0.2"/>
    <n v="1500"/>
    <n v="300"/>
  </r>
  <r>
    <x v="8"/>
    <x v="6"/>
    <n v="0.9"/>
    <n v="150"/>
    <n v="135"/>
  </r>
  <r>
    <x v="8"/>
    <x v="12"/>
    <n v="0.4"/>
    <n v="2500"/>
    <n v="1000"/>
  </r>
  <r>
    <x v="8"/>
    <x v="2"/>
    <n v="0.7"/>
    <n v="1600"/>
    <n v="1120"/>
  </r>
  <r>
    <x v="8"/>
    <x v="4"/>
    <n v="5.3"/>
    <n v="300"/>
    <n v="1590"/>
  </r>
  <r>
    <x v="8"/>
    <x v="5"/>
    <n v="2.7"/>
    <n v="2800"/>
    <n v="7560"/>
  </r>
  <r>
    <x v="9"/>
    <x v="10"/>
    <n v="0.05"/>
    <n v="1000"/>
    <n v="50"/>
  </r>
  <r>
    <x v="9"/>
    <x v="2"/>
    <n v="0.45"/>
    <n v="1600"/>
    <n v="720"/>
  </r>
  <r>
    <x v="9"/>
    <x v="9"/>
    <n v="0.35"/>
    <n v="500"/>
    <n v="175"/>
  </r>
  <r>
    <x v="9"/>
    <x v="20"/>
    <n v="0.45"/>
    <n v="800"/>
    <n v="360"/>
  </r>
  <r>
    <x v="9"/>
    <x v="1"/>
    <n v="19.5"/>
    <n v="1000"/>
    <n v="19500"/>
  </r>
  <r>
    <x v="9"/>
    <x v="15"/>
    <n v="1.5"/>
    <n v="2500"/>
    <n v="3750"/>
  </r>
  <r>
    <x v="9"/>
    <x v="12"/>
    <n v="0.55000000000000004"/>
    <n v="2500"/>
    <n v="1375"/>
  </r>
  <r>
    <x v="9"/>
    <x v="18"/>
    <n v="0.2"/>
    <n v="3500"/>
    <n v="700"/>
  </r>
  <r>
    <x v="9"/>
    <x v="3"/>
    <n v="1.25"/>
    <n v="500"/>
    <n v="625"/>
  </r>
  <r>
    <x v="9"/>
    <x v="14"/>
    <n v="14.55"/>
    <n v="800"/>
    <n v="11640"/>
  </r>
  <r>
    <x v="9"/>
    <x v="0"/>
    <n v="4.3"/>
    <n v="5000"/>
    <n v="21500"/>
  </r>
  <r>
    <x v="9"/>
    <x v="21"/>
    <n v="0.6"/>
    <n v="1400"/>
    <n v="840"/>
  </r>
  <r>
    <x v="9"/>
    <x v="8"/>
    <n v="0.55000000000000004"/>
    <n v="1500"/>
    <n v="825"/>
  </r>
  <r>
    <x v="9"/>
    <x v="11"/>
    <n v="2.7"/>
    <n v="1000"/>
    <n v="2700"/>
  </r>
  <r>
    <x v="9"/>
    <x v="10"/>
    <n v="5.7"/>
    <n v="1000"/>
    <n v="5700"/>
  </r>
  <r>
    <x v="9"/>
    <x v="4"/>
    <n v="1.6"/>
    <n v="300"/>
    <n v="480"/>
  </r>
  <r>
    <x v="9"/>
    <x v="5"/>
    <n v="5.4"/>
    <n v="2800"/>
    <n v="15120"/>
  </r>
  <r>
    <x v="10"/>
    <x v="12"/>
    <n v="0.1"/>
    <n v="2500"/>
    <n v="250"/>
  </r>
  <r>
    <x v="10"/>
    <x v="4"/>
    <n v="0.75"/>
    <n v="300"/>
    <n v="225"/>
  </r>
  <r>
    <x v="10"/>
    <x v="8"/>
    <n v="0.5"/>
    <n v="1500"/>
    <n v="750"/>
  </r>
  <r>
    <x v="10"/>
    <x v="10"/>
    <n v="2.2999999999999998"/>
    <n v="1000"/>
    <n v="2300"/>
  </r>
  <r>
    <x v="10"/>
    <x v="2"/>
    <n v="0.4"/>
    <n v="1600"/>
    <n v="640"/>
  </r>
  <r>
    <x v="10"/>
    <x v="5"/>
    <n v="0.55000000000000004"/>
    <n v="2800"/>
    <n v="1540"/>
  </r>
  <r>
    <x v="10"/>
    <x v="1"/>
    <n v="0.9"/>
    <n v="1000"/>
    <n v="900"/>
  </r>
  <r>
    <x v="10"/>
    <x v="17"/>
    <n v="1.3"/>
    <n v="1800"/>
    <n v="2340"/>
  </r>
  <r>
    <x v="11"/>
    <x v="11"/>
    <n v="5"/>
    <n v="1000"/>
    <n v="5000"/>
  </r>
  <r>
    <x v="11"/>
    <x v="3"/>
    <n v="0.85"/>
    <n v="500"/>
    <n v="425"/>
  </r>
  <r>
    <x v="11"/>
    <x v="4"/>
    <n v="1.45"/>
    <n v="300"/>
    <n v="435"/>
  </r>
  <r>
    <x v="11"/>
    <x v="1"/>
    <n v="5.3"/>
    <n v="1000"/>
    <n v="5300"/>
  </r>
  <r>
    <x v="12"/>
    <x v="10"/>
    <n v="0.3"/>
    <n v="1000"/>
    <n v="300"/>
  </r>
  <r>
    <x v="12"/>
    <x v="2"/>
    <n v="0.05"/>
    <n v="1600"/>
    <n v="80"/>
  </r>
  <r>
    <x v="12"/>
    <x v="5"/>
    <n v="0.7"/>
    <n v="2800"/>
    <n v="1960"/>
  </r>
  <r>
    <x v="12"/>
    <x v="6"/>
    <n v="0.65"/>
    <n v="150"/>
    <n v="98"/>
  </r>
  <r>
    <x v="12"/>
    <x v="3"/>
    <n v="0.2"/>
    <n v="500"/>
    <n v="100"/>
  </r>
  <r>
    <x v="12"/>
    <x v="1"/>
    <n v="4.75"/>
    <n v="1000"/>
    <n v="4750"/>
  </r>
  <r>
    <x v="13"/>
    <x v="6"/>
    <n v="1"/>
    <n v="150"/>
    <n v="150"/>
  </r>
  <r>
    <x v="13"/>
    <x v="4"/>
    <n v="0.35"/>
    <n v="300"/>
    <n v="105"/>
  </r>
  <r>
    <x v="13"/>
    <x v="9"/>
    <n v="0.15"/>
    <n v="500"/>
    <n v="75"/>
  </r>
  <r>
    <x v="13"/>
    <x v="12"/>
    <n v="0.1"/>
    <n v="2500"/>
    <n v="250"/>
  </r>
  <r>
    <x v="13"/>
    <x v="10"/>
    <n v="0.5"/>
    <n v="1000"/>
    <n v="500"/>
  </r>
  <r>
    <x v="13"/>
    <x v="13"/>
    <n v="0.25"/>
    <n v="1600"/>
    <n v="400"/>
  </r>
  <r>
    <x v="13"/>
    <x v="1"/>
    <n v="0.75"/>
    <n v="1000"/>
    <n v="750"/>
  </r>
  <r>
    <x v="14"/>
    <x v="1"/>
    <n v="2.2999999999999998"/>
    <n v="1000"/>
    <n v="2300"/>
  </r>
  <r>
    <x v="14"/>
    <x v="11"/>
    <n v="0.6"/>
    <n v="1000"/>
    <n v="600"/>
  </r>
  <r>
    <x v="14"/>
    <x v="3"/>
    <n v="0.05"/>
    <n v="500"/>
    <n v="25"/>
  </r>
  <r>
    <x v="14"/>
    <x v="12"/>
    <n v="0.25"/>
    <n v="2500"/>
    <n v="625"/>
  </r>
  <r>
    <x v="14"/>
    <x v="0"/>
    <n v="1.8"/>
    <n v="5000"/>
    <n v="9000"/>
  </r>
  <r>
    <x v="14"/>
    <x v="17"/>
    <n v="0.3"/>
    <n v="1800"/>
    <n v="540"/>
  </r>
  <r>
    <x v="14"/>
    <x v="8"/>
    <n v="1.1499999999999999"/>
    <n v="1500"/>
    <n v="1725"/>
  </r>
  <r>
    <x v="14"/>
    <x v="9"/>
    <n v="0.55000000000000004"/>
    <n v="500"/>
    <n v="275"/>
  </r>
  <r>
    <x v="14"/>
    <x v="4"/>
    <n v="0.65"/>
    <n v="300"/>
    <n v="195"/>
  </r>
  <r>
    <x v="15"/>
    <x v="14"/>
    <n v="3.55"/>
    <n v="800"/>
    <n v="2840"/>
  </r>
  <r>
    <x v="15"/>
    <x v="10"/>
    <n v="0.05"/>
    <n v="1000"/>
    <n v="50"/>
  </r>
  <r>
    <x v="15"/>
    <x v="1"/>
    <n v="7.2"/>
    <n v="1000"/>
    <n v="7200"/>
  </r>
  <r>
    <x v="15"/>
    <x v="0"/>
    <n v="2.85"/>
    <n v="5000"/>
    <n v="14250"/>
  </r>
  <r>
    <x v="15"/>
    <x v="1"/>
    <n v="1.9"/>
    <n v="1000"/>
    <n v="1900"/>
  </r>
  <r>
    <x v="15"/>
    <x v="11"/>
    <n v="1.45"/>
    <n v="1000"/>
    <n v="1450"/>
  </r>
  <r>
    <x v="15"/>
    <x v="6"/>
    <n v="0.65"/>
    <n v="150"/>
    <n v="97"/>
  </r>
  <r>
    <x v="15"/>
    <x v="3"/>
    <n v="2.4500000000000002"/>
    <n v="500"/>
    <n v="1225"/>
  </r>
  <r>
    <x v="15"/>
    <x v="14"/>
    <n v="11.7"/>
    <n v="800"/>
    <n v="9360"/>
  </r>
  <r>
    <x v="15"/>
    <x v="10"/>
    <n v="5.4"/>
    <n v="1000"/>
    <n v="5400"/>
  </r>
  <r>
    <x v="15"/>
    <x v="2"/>
    <n v="0.3"/>
    <n v="1600"/>
    <n v="480"/>
  </r>
  <r>
    <x v="15"/>
    <x v="9"/>
    <n v="0.9"/>
    <n v="500"/>
    <n v="450"/>
  </r>
  <r>
    <x v="15"/>
    <x v="4"/>
    <n v="3.4"/>
    <n v="300"/>
    <n v="1020"/>
  </r>
  <r>
    <x v="15"/>
    <x v="5"/>
    <n v="2.6"/>
    <n v="2800"/>
    <n v="7280"/>
  </r>
  <r>
    <x v="16"/>
    <x v="1"/>
    <n v="2.85"/>
    <n v="1000"/>
    <n v="2850"/>
  </r>
  <r>
    <x v="16"/>
    <x v="5"/>
    <n v="0.6"/>
    <n v="2800"/>
    <n v="1680"/>
  </r>
  <r>
    <x v="16"/>
    <x v="10"/>
    <n v="1.6"/>
    <n v="1000"/>
    <n v="1600"/>
  </r>
  <r>
    <x v="17"/>
    <x v="10"/>
    <n v="0.25"/>
    <n v="1000"/>
    <n v="250"/>
  </r>
  <r>
    <x v="17"/>
    <x v="8"/>
    <n v="0.35"/>
    <n v="1500"/>
    <n v="525"/>
  </r>
  <r>
    <x v="17"/>
    <x v="4"/>
    <n v="0.3"/>
    <n v="300"/>
    <n v="90"/>
  </r>
  <r>
    <x v="17"/>
    <x v="5"/>
    <n v="0.35"/>
    <n v="2800"/>
    <n v="980"/>
  </r>
  <r>
    <x v="17"/>
    <x v="9"/>
    <n v="0.25"/>
    <n v="500"/>
    <n v="125"/>
  </r>
  <r>
    <x v="18"/>
    <x v="17"/>
    <n v="0.45"/>
    <n v="1800"/>
    <n v="810"/>
  </r>
  <r>
    <x v="18"/>
    <x v="10"/>
    <n v="4.9800000000000004"/>
    <n v="1000"/>
    <n v="4980"/>
  </r>
  <r>
    <x v="18"/>
    <x v="22"/>
    <n v="3.8"/>
    <n v="400"/>
    <n v="1520"/>
  </r>
  <r>
    <x v="18"/>
    <x v="4"/>
    <n v="0.2"/>
    <n v="300"/>
    <n v="60"/>
  </r>
  <r>
    <x v="18"/>
    <x v="11"/>
    <n v="0.85"/>
    <n v="1000"/>
    <n v="850"/>
  </r>
  <r>
    <x v="19"/>
    <x v="2"/>
    <n v="0.3"/>
    <n v="1600"/>
    <n v="480"/>
  </r>
  <r>
    <x v="19"/>
    <x v="10"/>
    <n v="0.45"/>
    <n v="1000"/>
    <n v="450"/>
  </r>
  <r>
    <x v="19"/>
    <x v="4"/>
    <n v="0.45"/>
    <n v="300"/>
    <n v="135"/>
  </r>
  <r>
    <x v="19"/>
    <x v="13"/>
    <n v="1.55"/>
    <n v="1600"/>
    <n v="2480"/>
  </r>
  <r>
    <x v="20"/>
    <x v="3"/>
    <n v="0.05"/>
    <n v="500"/>
    <n v="25"/>
  </r>
  <r>
    <x v="20"/>
    <x v="9"/>
    <n v="0.05"/>
    <n v="500"/>
    <n v="25"/>
  </r>
  <r>
    <x v="20"/>
    <x v="4"/>
    <n v="0.4"/>
    <n v="300"/>
    <n v="120"/>
  </r>
  <r>
    <x v="20"/>
    <x v="11"/>
    <n v="0.5"/>
    <n v="1000"/>
    <n v="500"/>
  </r>
  <r>
    <x v="20"/>
    <x v="1"/>
    <n v="1.1499999999999999"/>
    <n v="1000"/>
    <n v="1150"/>
  </r>
  <r>
    <x v="21"/>
    <x v="3"/>
    <n v="1.65"/>
    <n v="500"/>
    <n v="825"/>
  </r>
  <r>
    <x v="21"/>
    <x v="1"/>
    <n v="2.25"/>
    <n v="1000"/>
    <n v="2250"/>
  </r>
  <r>
    <x v="21"/>
    <x v="10"/>
    <n v="1"/>
    <n v="1000"/>
    <n v="1000"/>
  </r>
  <r>
    <x v="21"/>
    <x v="6"/>
    <n v="0.2"/>
    <n v="150"/>
    <n v="30"/>
  </r>
  <r>
    <x v="21"/>
    <x v="16"/>
    <n v="0.05"/>
    <n v="8000"/>
    <n v="400"/>
  </r>
  <r>
    <x v="21"/>
    <x v="5"/>
    <n v="1.4"/>
    <n v="2800"/>
    <n v="3920"/>
  </r>
  <r>
    <x v="21"/>
    <x v="9"/>
    <n v="0.5"/>
    <n v="500"/>
    <n v="250"/>
  </r>
  <r>
    <x v="21"/>
    <x v="4"/>
    <n v="1.3"/>
    <n v="300"/>
    <n v="390"/>
  </r>
  <r>
    <x v="21"/>
    <x v="12"/>
    <n v="0.3"/>
    <n v="2500"/>
    <n v="750"/>
  </r>
  <r>
    <x v="22"/>
    <x v="9"/>
    <n v="0.3"/>
    <n v="500"/>
    <n v="150"/>
  </r>
  <r>
    <x v="22"/>
    <x v="23"/>
    <n v="0.15"/>
    <n v="150"/>
    <n v="23"/>
  </r>
  <r>
    <x v="22"/>
    <x v="4"/>
    <n v="0.85"/>
    <n v="300"/>
    <n v="255"/>
  </r>
  <r>
    <x v="22"/>
    <x v="5"/>
    <n v="2.1"/>
    <n v="2800"/>
    <n v="5880"/>
  </r>
  <r>
    <x v="22"/>
    <x v="3"/>
    <n v="0.8"/>
    <n v="500"/>
    <n v="400"/>
  </r>
  <r>
    <x v="23"/>
    <x v="1"/>
    <n v="2.65"/>
    <n v="1000"/>
    <n v="2650"/>
  </r>
  <r>
    <x v="23"/>
    <x v="9"/>
    <n v="0.3"/>
    <n v="500"/>
    <n v="150"/>
  </r>
  <r>
    <x v="23"/>
    <x v="12"/>
    <n v="0.1"/>
    <n v="2500"/>
    <n v="250"/>
  </r>
  <r>
    <x v="23"/>
    <x v="3"/>
    <n v="1.1000000000000001"/>
    <n v="500"/>
    <n v="550"/>
  </r>
  <r>
    <x v="23"/>
    <x v="7"/>
    <n v="0.6"/>
    <n v="1000"/>
    <n v="600"/>
  </r>
  <r>
    <x v="23"/>
    <x v="5"/>
    <n v="0.45"/>
    <n v="2800"/>
    <n v="1260"/>
  </r>
  <r>
    <x v="23"/>
    <x v="10"/>
    <n v="1"/>
    <n v="1000"/>
    <n v="1000"/>
  </r>
  <r>
    <x v="23"/>
    <x v="4"/>
    <n v="1"/>
    <n v="300"/>
    <n v="300"/>
  </r>
  <r>
    <x v="23"/>
    <x v="8"/>
    <n v="0.7"/>
    <n v="1500"/>
    <n v="1050"/>
  </r>
  <r>
    <x v="24"/>
    <x v="3"/>
    <n v="0.25"/>
    <n v="500"/>
    <n v="125"/>
  </r>
  <r>
    <x v="24"/>
    <x v="12"/>
    <n v="0.05"/>
    <n v="2500"/>
    <n v="125"/>
  </r>
  <r>
    <x v="24"/>
    <x v="10"/>
    <n v="0.35"/>
    <n v="1000"/>
    <n v="350"/>
  </r>
  <r>
    <x v="24"/>
    <x v="9"/>
    <n v="0.1"/>
    <n v="500"/>
    <n v="50"/>
  </r>
  <r>
    <x v="24"/>
    <x v="4"/>
    <n v="0.2"/>
    <n v="300"/>
    <n v="60"/>
  </r>
  <r>
    <x v="24"/>
    <x v="1"/>
    <n v="1.1000000000000001"/>
    <n v="1000"/>
    <n v="1100"/>
  </r>
  <r>
    <x v="24"/>
    <x v="5"/>
    <n v="0.9"/>
    <n v="2800"/>
    <n v="2520"/>
  </r>
  <r>
    <x v="25"/>
    <x v="6"/>
    <n v="0.3"/>
    <n v="150"/>
    <n v="45"/>
  </r>
  <r>
    <x v="25"/>
    <x v="8"/>
    <n v="0.2"/>
    <n v="1500"/>
    <n v="300"/>
  </r>
  <r>
    <x v="25"/>
    <x v="3"/>
    <n v="0.55000000000000004"/>
    <n v="500"/>
    <n v="275"/>
  </r>
  <r>
    <x v="25"/>
    <x v="4"/>
    <n v="0.15"/>
    <n v="300"/>
    <n v="45"/>
  </r>
  <r>
    <x v="25"/>
    <x v="10"/>
    <n v="1.2"/>
    <n v="1000"/>
    <n v="1200"/>
  </r>
  <r>
    <x v="25"/>
    <x v="20"/>
    <n v="0.1"/>
    <n v="800"/>
    <n v="80"/>
  </r>
  <r>
    <x v="25"/>
    <x v="1"/>
    <n v="2.95"/>
    <n v="1000"/>
    <n v="2950"/>
  </r>
  <r>
    <x v="25"/>
    <x v="5"/>
    <n v="0.9"/>
    <n v="2800"/>
    <n v="2520"/>
  </r>
  <r>
    <x v="26"/>
    <x v="10"/>
    <n v="0.5"/>
    <n v="1000"/>
    <n v="500"/>
  </r>
  <r>
    <x v="26"/>
    <x v="8"/>
    <n v="0.75"/>
    <n v="1500"/>
    <n v="1125"/>
  </r>
  <r>
    <x v="26"/>
    <x v="4"/>
    <n v="0.75"/>
    <n v="300"/>
    <n v="225"/>
  </r>
  <r>
    <x v="26"/>
    <x v="9"/>
    <n v="0.45"/>
    <n v="500"/>
    <n v="225"/>
  </r>
  <r>
    <x v="27"/>
    <x v="9"/>
    <n v="0.55000000000000004"/>
    <n v="500"/>
    <n v="275"/>
  </r>
  <r>
    <x v="27"/>
    <x v="4"/>
    <n v="0.35"/>
    <n v="300"/>
    <n v="105"/>
  </r>
  <r>
    <x v="27"/>
    <x v="3"/>
    <n v="0.35"/>
    <n v="500"/>
    <n v="175"/>
  </r>
  <r>
    <x v="27"/>
    <x v="8"/>
    <n v="0.4"/>
    <n v="1500"/>
    <n v="600"/>
  </r>
  <r>
    <x v="27"/>
    <x v="5"/>
    <n v="0.4"/>
    <n v="2800"/>
    <n v="1120"/>
  </r>
  <r>
    <x v="27"/>
    <x v="2"/>
    <n v="0.4"/>
    <n v="1600"/>
    <n v="640"/>
  </r>
  <r>
    <x v="27"/>
    <x v="10"/>
    <n v="0.5"/>
    <n v="1000"/>
    <n v="500"/>
  </r>
  <r>
    <x v="27"/>
    <x v="6"/>
    <n v="1.6"/>
    <n v="150"/>
    <n v="240"/>
  </r>
  <r>
    <x v="27"/>
    <x v="14"/>
    <n v="1.45"/>
    <n v="800"/>
    <n v="1160"/>
  </r>
  <r>
    <x v="27"/>
    <x v="1"/>
    <n v="1.75"/>
    <n v="1000"/>
    <n v="1750"/>
  </r>
  <r>
    <x v="28"/>
    <x v="3"/>
    <n v="0.6"/>
    <n v="500"/>
    <n v="300"/>
  </r>
  <r>
    <x v="28"/>
    <x v="1"/>
    <n v="1.75"/>
    <n v="1000"/>
    <n v="1750"/>
  </r>
  <r>
    <x v="28"/>
    <x v="14"/>
    <n v="2.65"/>
    <n v="800"/>
    <n v="2120"/>
  </r>
  <r>
    <x v="28"/>
    <x v="17"/>
    <n v="0.25"/>
    <n v="1800"/>
    <n v="450"/>
  </r>
  <r>
    <x v="28"/>
    <x v="10"/>
    <n v="0.15"/>
    <n v="1000"/>
    <n v="150"/>
  </r>
  <r>
    <x v="28"/>
    <x v="4"/>
    <n v="0.25"/>
    <n v="300"/>
    <n v="75"/>
  </r>
  <r>
    <x v="28"/>
    <x v="5"/>
    <n v="0.5"/>
    <n v="2800"/>
    <n v="1400"/>
  </r>
  <r>
    <x v="28"/>
    <x v="18"/>
    <n v="0.1"/>
    <n v="3500"/>
    <n v="350"/>
  </r>
  <r>
    <x v="28"/>
    <x v="9"/>
    <n v="0.2"/>
    <n v="500"/>
    <n v="100"/>
  </r>
  <r>
    <x v="29"/>
    <x v="1"/>
    <n v="4.45"/>
    <n v="1000"/>
    <n v="4450"/>
  </r>
  <r>
    <x v="29"/>
    <x v="10"/>
    <n v="0.6"/>
    <n v="1000"/>
    <n v="600"/>
  </r>
  <r>
    <x v="29"/>
    <x v="8"/>
    <n v="0.5"/>
    <n v="1500"/>
    <n v="750"/>
  </r>
  <r>
    <x v="29"/>
    <x v="0"/>
    <n v="3.7"/>
    <n v="5000"/>
    <n v="18500"/>
  </r>
  <r>
    <x v="29"/>
    <x v="5"/>
    <n v="1.65"/>
    <n v="2800"/>
    <n v="4620"/>
  </r>
  <r>
    <x v="29"/>
    <x v="12"/>
    <n v="0.3"/>
    <n v="2500"/>
    <n v="750"/>
  </r>
  <r>
    <x v="29"/>
    <x v="19"/>
    <n v="0.1"/>
    <n v="3500"/>
    <n v="350"/>
  </r>
  <r>
    <x v="30"/>
    <x v="21"/>
    <n v="1.65"/>
    <n v="1400"/>
    <n v="2310"/>
  </r>
  <r>
    <x v="30"/>
    <x v="9"/>
    <n v="0.15"/>
    <n v="500"/>
    <n v="75"/>
  </r>
  <r>
    <x v="30"/>
    <x v="4"/>
    <n v="0.2"/>
    <n v="300"/>
    <n v="60"/>
  </r>
  <r>
    <x v="30"/>
    <x v="8"/>
    <n v="0.45"/>
    <n v="1500"/>
    <n v="675"/>
  </r>
  <r>
    <x v="30"/>
    <x v="6"/>
    <n v="0.7"/>
    <n v="150"/>
    <n v="105"/>
  </r>
  <r>
    <x v="30"/>
    <x v="5"/>
    <n v="0.35"/>
    <n v="2800"/>
    <n v="980"/>
  </r>
  <r>
    <x v="30"/>
    <x v="13"/>
    <n v="0.25"/>
    <n v="1600"/>
    <n v="400"/>
  </r>
  <r>
    <x v="30"/>
    <x v="3"/>
    <n v="1.1499999999999999"/>
    <n v="500"/>
    <n v="575"/>
  </r>
  <r>
    <x v="30"/>
    <x v="10"/>
    <n v="5.9"/>
    <n v="1000"/>
    <n v="5900"/>
  </r>
  <r>
    <x v="30"/>
    <x v="1"/>
    <n v="2.8"/>
    <n v="1000"/>
    <n v="2800"/>
  </r>
  <r>
    <x v="31"/>
    <x v="1"/>
    <n v="2.85"/>
    <n v="1000"/>
    <n v="2850"/>
  </r>
  <r>
    <x v="31"/>
    <x v="3"/>
    <n v="1.55"/>
    <n v="500"/>
    <n v="775"/>
  </r>
  <r>
    <x v="31"/>
    <x v="6"/>
    <n v="0.3"/>
    <n v="150"/>
    <n v="45"/>
  </r>
  <r>
    <x v="31"/>
    <x v="10"/>
    <n v="0.6"/>
    <n v="1000"/>
    <n v="600"/>
  </r>
  <r>
    <x v="31"/>
    <x v="8"/>
    <n v="0.45"/>
    <n v="1500"/>
    <n v="675"/>
  </r>
  <r>
    <x v="31"/>
    <x v="9"/>
    <n v="0.95"/>
    <n v="500"/>
    <n v="475"/>
  </r>
  <r>
    <x v="31"/>
    <x v="4"/>
    <n v="1.1000000000000001"/>
    <n v="300"/>
    <n v="330"/>
  </r>
  <r>
    <x v="31"/>
    <x v="5"/>
    <n v="1.05"/>
    <n v="2800"/>
    <n v="2940"/>
  </r>
  <r>
    <x v="32"/>
    <x v="12"/>
    <n v="0.1"/>
    <n v="2500"/>
    <n v="250"/>
  </r>
  <r>
    <x v="32"/>
    <x v="8"/>
    <n v="0.25"/>
    <n v="1500"/>
    <n v="375"/>
  </r>
  <r>
    <x v="32"/>
    <x v="20"/>
    <n v="0.65"/>
    <n v="800"/>
    <n v="520"/>
  </r>
  <r>
    <x v="32"/>
    <x v="6"/>
    <n v="1.7"/>
    <n v="150"/>
    <n v="255"/>
  </r>
  <r>
    <x v="32"/>
    <x v="5"/>
    <n v="0.7"/>
    <n v="2800"/>
    <n v="1960"/>
  </r>
  <r>
    <x v="32"/>
    <x v="10"/>
    <n v="5.35"/>
    <n v="1000"/>
    <n v="5350"/>
  </r>
  <r>
    <x v="32"/>
    <x v="4"/>
    <n v="1.8"/>
    <n v="300"/>
    <n v="540"/>
  </r>
  <r>
    <x v="32"/>
    <x v="9"/>
    <n v="1.3"/>
    <n v="500"/>
    <n v="650"/>
  </r>
  <r>
    <x v="32"/>
    <x v="3"/>
    <n v="3.8"/>
    <n v="500"/>
    <n v="1900"/>
  </r>
  <r>
    <x v="32"/>
    <x v="1"/>
    <n v="9"/>
    <n v="1000"/>
    <n v="9000"/>
  </r>
  <r>
    <x v="33"/>
    <x v="11"/>
    <n v="0.15"/>
    <n v="1000"/>
    <n v="150"/>
  </r>
  <r>
    <x v="33"/>
    <x v="4"/>
    <n v="0.7"/>
    <n v="300"/>
    <n v="210"/>
  </r>
  <r>
    <x v="33"/>
    <x v="14"/>
    <n v="7.95"/>
    <n v="800"/>
    <n v="6360"/>
  </r>
  <r>
    <x v="34"/>
    <x v="5"/>
    <n v="0.55000000000000004"/>
    <n v="2800"/>
    <n v="1540"/>
  </r>
  <r>
    <x v="34"/>
    <x v="19"/>
    <n v="0.4"/>
    <n v="3500"/>
    <n v="1400"/>
  </r>
  <r>
    <x v="34"/>
    <x v="3"/>
    <n v="0.3"/>
    <n v="500"/>
    <n v="150"/>
  </r>
  <r>
    <x v="34"/>
    <x v="4"/>
    <n v="1.3"/>
    <n v="300"/>
    <n v="390"/>
  </r>
  <r>
    <x v="34"/>
    <x v="20"/>
    <n v="0.6"/>
    <n v="800"/>
    <n v="480"/>
  </r>
  <r>
    <x v="34"/>
    <x v="1"/>
    <n v="4.55"/>
    <n v="1000"/>
    <n v="4550"/>
  </r>
  <r>
    <x v="35"/>
    <x v="5"/>
    <n v="3.3"/>
    <n v="2800"/>
    <n v="9240"/>
  </r>
  <r>
    <x v="35"/>
    <x v="6"/>
    <n v="1.1499999999999999"/>
    <n v="150"/>
    <n v="173"/>
  </r>
  <r>
    <x v="35"/>
    <x v="0"/>
    <n v="20.100000000000001"/>
    <n v="5000"/>
    <n v="100500"/>
  </r>
  <r>
    <x v="35"/>
    <x v="1"/>
    <n v="2.5499999999999998"/>
    <n v="1000"/>
    <n v="2550"/>
  </r>
  <r>
    <x v="35"/>
    <x v="2"/>
    <n v="0.35"/>
    <n v="1600"/>
    <n v="560"/>
  </r>
  <r>
    <x v="35"/>
    <x v="3"/>
    <n v="0.65"/>
    <n v="500"/>
    <n v="325"/>
  </r>
  <r>
    <x v="35"/>
    <x v="10"/>
    <n v="0.6"/>
    <n v="1000"/>
    <n v="600"/>
  </r>
  <r>
    <x v="35"/>
    <x v="4"/>
    <n v="0.75"/>
    <n v="300"/>
    <n v="225"/>
  </r>
  <r>
    <x v="35"/>
    <x v="12"/>
    <n v="0.2"/>
    <n v="2500"/>
    <n v="500"/>
  </r>
  <r>
    <x v="35"/>
    <x v="5"/>
    <n v="2.75"/>
    <n v="2800"/>
    <n v="7700"/>
  </r>
  <r>
    <x v="36"/>
    <x v="1"/>
    <n v="4.05"/>
    <n v="1000"/>
    <n v="4050"/>
  </r>
  <r>
    <x v="36"/>
    <x v="3"/>
    <n v="4.8499999999999996"/>
    <n v="500"/>
    <n v="2425"/>
  </r>
  <r>
    <x v="36"/>
    <x v="10"/>
    <n v="3.65"/>
    <n v="1000"/>
    <n v="3650"/>
  </r>
  <r>
    <x v="36"/>
    <x v="8"/>
    <n v="0.9"/>
    <n v="1500"/>
    <n v="1350"/>
  </r>
  <r>
    <x v="36"/>
    <x v="23"/>
    <n v="0.1"/>
    <n v="150"/>
    <n v="15"/>
  </r>
  <r>
    <x v="36"/>
    <x v="4"/>
    <n v="1.3"/>
    <n v="300"/>
    <n v="390"/>
  </r>
  <r>
    <x v="36"/>
    <x v="5"/>
    <n v="1.1499999999999999"/>
    <n v="2800"/>
    <n v="3220"/>
  </r>
  <r>
    <x v="36"/>
    <x v="24"/>
    <n v="0.3"/>
    <n v="2700"/>
    <n v="810"/>
  </r>
  <r>
    <x v="36"/>
    <x v="4"/>
    <n v="0.2"/>
    <n v="300"/>
    <n v="60"/>
  </r>
  <r>
    <x v="36"/>
    <x v="9"/>
    <n v="0.45"/>
    <n v="500"/>
    <n v="225"/>
  </r>
  <r>
    <x v="36"/>
    <x v="20"/>
    <n v="0.3"/>
    <n v="800"/>
    <n v="240"/>
  </r>
  <r>
    <x v="36"/>
    <x v="19"/>
    <n v="0.2"/>
    <n v="3500"/>
    <n v="700"/>
  </r>
  <r>
    <x v="37"/>
    <x v="9"/>
    <n v="0.15"/>
    <n v="500"/>
    <n v="75"/>
  </r>
  <r>
    <x v="37"/>
    <x v="5"/>
    <n v="4.6500000000000004"/>
    <n v="2800"/>
    <n v="13020"/>
  </r>
  <r>
    <x v="37"/>
    <x v="1"/>
    <n v="20.65"/>
    <n v="1000"/>
    <n v="20650"/>
  </r>
  <r>
    <x v="37"/>
    <x v="10"/>
    <n v="5.4"/>
    <n v="1000"/>
    <n v="5400"/>
  </r>
  <r>
    <x v="38"/>
    <x v="4"/>
    <n v="1.45"/>
    <n v="300"/>
    <n v="435"/>
  </r>
  <r>
    <x v="39"/>
    <x v="12"/>
    <n v="0.9"/>
    <n v="2500"/>
    <n v="2250"/>
  </r>
  <r>
    <x v="39"/>
    <x v="19"/>
    <n v="0.5"/>
    <n v="3500"/>
    <n v="1750"/>
  </r>
  <r>
    <x v="39"/>
    <x v="1"/>
    <n v="1.7"/>
    <n v="1000"/>
    <n v="1700"/>
  </r>
  <r>
    <x v="39"/>
    <x v="5"/>
    <n v="0.85"/>
    <n v="2800"/>
    <n v="2380"/>
  </r>
  <r>
    <x v="39"/>
    <x v="10"/>
    <n v="0.65"/>
    <n v="1000"/>
    <n v="650"/>
  </r>
  <r>
    <x v="39"/>
    <x v="4"/>
    <n v="1.2"/>
    <n v="300"/>
    <n v="360"/>
  </r>
  <r>
    <x v="39"/>
    <x v="3"/>
    <n v="1.1000000000000001"/>
    <n v="500"/>
    <n v="550"/>
  </r>
  <r>
    <x v="40"/>
    <x v="4"/>
    <n v="2.9"/>
    <n v="300"/>
    <n v="870"/>
  </r>
  <r>
    <x v="41"/>
    <x v="3"/>
    <n v="0.4"/>
    <n v="500"/>
    <n v="200"/>
  </r>
  <r>
    <x v="41"/>
    <x v="10"/>
    <n v="0.15"/>
    <n v="1000"/>
    <n v="150"/>
  </r>
  <r>
    <x v="41"/>
    <x v="14"/>
    <n v="9.5500000000000007"/>
    <n v="800"/>
    <n v="7640"/>
  </r>
  <r>
    <x v="42"/>
    <x v="11"/>
    <n v="13.2"/>
    <n v="1000"/>
    <n v="13200"/>
  </r>
  <r>
    <x v="43"/>
    <x v="11"/>
    <n v="0.75"/>
    <n v="1000"/>
    <n v="750"/>
  </r>
  <r>
    <x v="43"/>
    <x v="5"/>
    <n v="0.55000000000000004"/>
    <n v="2800"/>
    <n v="1540"/>
  </r>
  <r>
    <x v="43"/>
    <x v="12"/>
    <n v="0.35"/>
    <n v="2500"/>
    <n v="875"/>
  </r>
  <r>
    <x v="43"/>
    <x v="10"/>
    <n v="1"/>
    <n v="1000"/>
    <n v="1000"/>
  </r>
  <r>
    <x v="43"/>
    <x v="17"/>
    <n v="0.35"/>
    <n v="1800"/>
    <n v="630"/>
  </r>
  <r>
    <x v="43"/>
    <x v="4"/>
    <n v="0.5"/>
    <n v="300"/>
    <n v="150"/>
  </r>
  <r>
    <x v="43"/>
    <x v="14"/>
    <n v="43.3"/>
    <n v="800"/>
    <n v="34640"/>
  </r>
  <r>
    <x v="44"/>
    <x v="25"/>
    <n v="1.4"/>
    <n v="500"/>
    <n v="700"/>
  </r>
  <r>
    <x v="44"/>
    <x v="10"/>
    <n v="3.65"/>
    <n v="1000"/>
    <n v="3650"/>
  </r>
  <r>
    <x v="44"/>
    <x v="1"/>
    <n v="6.45"/>
    <n v="1000"/>
    <n v="6450"/>
  </r>
  <r>
    <x v="45"/>
    <x v="24"/>
    <n v="1.45"/>
    <n v="2700"/>
    <n v="3915"/>
  </r>
  <r>
    <x v="46"/>
    <x v="4"/>
    <n v="1.75"/>
    <n v="300"/>
    <n v="525"/>
  </r>
  <r>
    <x v="46"/>
    <x v="11"/>
    <n v="2.2000000000000002"/>
    <n v="1000"/>
    <n v="2200"/>
  </r>
  <r>
    <x v="47"/>
    <x v="1"/>
    <n v="1.1000000000000001"/>
    <n v="1000"/>
    <n v="1100"/>
  </r>
  <r>
    <x v="47"/>
    <x v="3"/>
    <n v="1.05"/>
    <n v="500"/>
    <n v="525"/>
  </r>
  <r>
    <x v="47"/>
    <x v="11"/>
    <n v="1.6"/>
    <n v="1000"/>
    <n v="1600"/>
  </r>
  <r>
    <x v="47"/>
    <x v="9"/>
    <n v="0.85"/>
    <n v="500"/>
    <n v="425"/>
  </r>
  <r>
    <x v="47"/>
    <x v="4"/>
    <n v="5"/>
    <n v="300"/>
    <n v="1500"/>
  </r>
  <r>
    <x v="48"/>
    <x v="10"/>
    <n v="6"/>
    <n v="1000"/>
    <n v="6000"/>
  </r>
  <r>
    <x v="48"/>
    <x v="6"/>
    <n v="1.75"/>
    <n v="150"/>
    <n v="263"/>
  </r>
  <r>
    <x v="48"/>
    <x v="3"/>
    <n v="1.35"/>
    <n v="500"/>
    <n v="675"/>
  </r>
  <r>
    <x v="48"/>
    <x v="2"/>
    <n v="0.7"/>
    <n v="1600"/>
    <n v="1120"/>
  </r>
  <r>
    <x v="48"/>
    <x v="17"/>
    <n v="0.35"/>
    <n v="1800"/>
    <n v="630"/>
  </r>
  <r>
    <x v="48"/>
    <x v="15"/>
    <n v="2.35"/>
    <n v="2500"/>
    <n v="5875"/>
  </r>
  <r>
    <x v="48"/>
    <x v="10"/>
    <n v="3.7"/>
    <n v="1000"/>
    <n v="3700"/>
  </r>
  <r>
    <x v="48"/>
    <x v="8"/>
    <n v="2.25"/>
    <n v="1500"/>
    <n v="3375"/>
  </r>
  <r>
    <x v="48"/>
    <x v="1"/>
    <n v="2.15"/>
    <n v="1000"/>
    <n v="2150"/>
  </r>
  <r>
    <x v="48"/>
    <x v="18"/>
    <n v="0.15"/>
    <n v="3500"/>
    <n v="525"/>
  </r>
  <r>
    <x v="48"/>
    <x v="12"/>
    <n v="0.45"/>
    <n v="2500"/>
    <n v="1125"/>
  </r>
  <r>
    <x v="48"/>
    <x v="5"/>
    <n v="4.4000000000000004"/>
    <n v="2800"/>
    <n v="12320"/>
  </r>
  <r>
    <x v="48"/>
    <x v="4"/>
    <n v="1.65"/>
    <n v="300"/>
    <n v="495"/>
  </r>
  <r>
    <x v="48"/>
    <x v="9"/>
    <n v="0.9"/>
    <n v="500"/>
    <n v="450"/>
  </r>
  <r>
    <x v="48"/>
    <x v="7"/>
    <n v="10.35"/>
    <n v="1000"/>
    <n v="10350"/>
  </r>
  <r>
    <x v="49"/>
    <x v="6"/>
    <n v="3.85"/>
    <n v="150"/>
    <n v="578"/>
  </r>
  <r>
    <x v="49"/>
    <x v="15"/>
    <n v="15.35"/>
    <n v="2500"/>
    <n v="38375"/>
  </r>
  <r>
    <x v="49"/>
    <x v="17"/>
    <n v="8.1"/>
    <n v="1800"/>
    <n v="14580"/>
  </r>
  <r>
    <x v="49"/>
    <x v="1"/>
    <n v="0.45"/>
    <n v="1000"/>
    <n v="450"/>
  </r>
  <r>
    <x v="49"/>
    <x v="10"/>
    <n v="11.8"/>
    <n v="1000"/>
    <n v="11800"/>
  </r>
  <r>
    <x v="50"/>
    <x v="10"/>
    <n v="2.85"/>
    <n v="1000"/>
    <n v="2850"/>
  </r>
  <r>
    <x v="50"/>
    <x v="5"/>
    <n v="2.85"/>
    <n v="2800"/>
    <n v="7980"/>
  </r>
  <r>
    <x v="50"/>
    <x v="12"/>
    <n v="0.5"/>
    <n v="2500"/>
    <n v="1250"/>
  </r>
  <r>
    <x v="50"/>
    <x v="4"/>
    <n v="1.2"/>
    <n v="300"/>
    <n v="360"/>
  </r>
  <r>
    <x v="50"/>
    <x v="9"/>
    <n v="0.55000000000000004"/>
    <n v="500"/>
    <n v="275"/>
  </r>
  <r>
    <x v="50"/>
    <x v="26"/>
    <n v="1.8"/>
    <n v="1400"/>
    <n v="2520"/>
  </r>
  <r>
    <x v="50"/>
    <x v="3"/>
    <n v="1.4"/>
    <n v="500"/>
    <n v="700"/>
  </r>
  <r>
    <x v="51"/>
    <x v="4"/>
    <n v="1"/>
    <n v="300"/>
    <n v="300"/>
  </r>
  <r>
    <x v="52"/>
    <x v="9"/>
    <n v="0.2"/>
    <n v="500"/>
    <n v="100"/>
  </r>
  <r>
    <x v="52"/>
    <x v="12"/>
    <n v="0.3"/>
    <n v="2500"/>
    <n v="750"/>
  </r>
  <r>
    <x v="52"/>
    <x v="6"/>
    <n v="1"/>
    <n v="150"/>
    <n v="150"/>
  </r>
  <r>
    <x v="52"/>
    <x v="5"/>
    <n v="1.7"/>
    <n v="2800"/>
    <n v="4760"/>
  </r>
  <r>
    <x v="52"/>
    <x v="8"/>
    <n v="0.65"/>
    <n v="1500"/>
    <n v="975"/>
  </r>
  <r>
    <x v="52"/>
    <x v="10"/>
    <n v="3.75"/>
    <n v="1000"/>
    <n v="3750"/>
  </r>
  <r>
    <x v="52"/>
    <x v="1"/>
    <n v="2.1"/>
    <n v="1000"/>
    <n v="2100"/>
  </r>
  <r>
    <x v="53"/>
    <x v="10"/>
    <n v="0.15"/>
    <n v="1000"/>
    <n v="150"/>
  </r>
  <r>
    <x v="53"/>
    <x v="8"/>
    <n v="0.3"/>
    <n v="1500"/>
    <n v="450"/>
  </r>
  <r>
    <x v="53"/>
    <x v="5"/>
    <n v="1.2"/>
    <n v="2800"/>
    <n v="3360"/>
  </r>
  <r>
    <x v="53"/>
    <x v="1"/>
    <n v="7"/>
    <n v="1000"/>
    <n v="7000"/>
  </r>
  <r>
    <x v="54"/>
    <x v="6"/>
    <n v="0.3"/>
    <n v="150"/>
    <n v="45"/>
  </r>
  <r>
    <x v="54"/>
    <x v="12"/>
    <n v="0.1"/>
    <n v="2500"/>
    <n v="250"/>
  </r>
  <r>
    <x v="54"/>
    <x v="11"/>
    <n v="0.3"/>
    <n v="1000"/>
    <n v="300"/>
  </r>
  <r>
    <x v="54"/>
    <x v="5"/>
    <n v="0.55000000000000004"/>
    <n v="2800"/>
    <n v="1540"/>
  </r>
  <r>
    <x v="54"/>
    <x v="10"/>
    <n v="2.0499999999999998"/>
    <n v="1000"/>
    <n v="2050"/>
  </r>
  <r>
    <x v="54"/>
    <x v="4"/>
    <n v="0.8"/>
    <n v="300"/>
    <n v="240"/>
  </r>
  <r>
    <x v="54"/>
    <x v="3"/>
    <n v="2.9"/>
    <n v="500"/>
    <n v="1450"/>
  </r>
  <r>
    <x v="54"/>
    <x v="1"/>
    <n v="8.4499999999999993"/>
    <n v="1000"/>
    <n v="8450"/>
  </r>
  <r>
    <x v="55"/>
    <x v="12"/>
    <n v="0.2"/>
    <n v="2500"/>
    <n v="500"/>
  </r>
  <r>
    <x v="55"/>
    <x v="1"/>
    <n v="0.65"/>
    <n v="1000"/>
    <n v="650"/>
  </r>
  <r>
    <x v="55"/>
    <x v="3"/>
    <n v="3.65"/>
    <n v="500"/>
    <n v="1825"/>
  </r>
  <r>
    <x v="55"/>
    <x v="10"/>
    <n v="2.5"/>
    <n v="1000"/>
    <n v="2500"/>
  </r>
  <r>
    <x v="55"/>
    <x v="8"/>
    <n v="0.05"/>
    <n v="1500"/>
    <n v="75"/>
  </r>
  <r>
    <x v="55"/>
    <x v="19"/>
    <n v="0.1"/>
    <n v="3500"/>
    <n v="350"/>
  </r>
  <r>
    <x v="55"/>
    <x v="4"/>
    <n v="2.2000000000000002"/>
    <n v="300"/>
    <n v="660"/>
  </r>
  <r>
    <x v="55"/>
    <x v="9"/>
    <n v="0.85"/>
    <n v="500"/>
    <n v="425"/>
  </r>
  <r>
    <x v="55"/>
    <x v="5"/>
    <n v="2.0499999999999998"/>
    <n v="2800"/>
    <n v="5740"/>
  </r>
  <r>
    <x v="55"/>
    <x v="17"/>
    <n v="4.1500000000000004"/>
    <n v="1800"/>
    <n v="7470"/>
  </r>
  <r>
    <x v="55"/>
    <x v="15"/>
    <n v="0.3"/>
    <n v="2500"/>
    <n v="750"/>
  </r>
  <r>
    <x v="56"/>
    <x v="9"/>
    <n v="0.2"/>
    <n v="500"/>
    <n v="100"/>
  </r>
  <r>
    <x v="56"/>
    <x v="10"/>
    <n v="1.05"/>
    <n v="1000"/>
    <n v="1050"/>
  </r>
  <r>
    <x v="56"/>
    <x v="3"/>
    <n v="0.3"/>
    <n v="500"/>
    <n v="150"/>
  </r>
  <r>
    <x v="56"/>
    <x v="8"/>
    <n v="0.65"/>
    <n v="1500"/>
    <n v="975"/>
  </r>
  <r>
    <x v="56"/>
    <x v="6"/>
    <n v="0.9"/>
    <n v="150"/>
    <n v="135"/>
  </r>
  <r>
    <x v="56"/>
    <x v="5"/>
    <n v="0.2"/>
    <n v="2800"/>
    <n v="560"/>
  </r>
  <r>
    <x v="56"/>
    <x v="4"/>
    <n v="0.4"/>
    <n v="300"/>
    <n v="120"/>
  </r>
  <r>
    <x v="57"/>
    <x v="4"/>
    <n v="16"/>
    <n v="300"/>
    <n v="4800"/>
  </r>
  <r>
    <x v="57"/>
    <x v="9"/>
    <n v="1.6"/>
    <n v="300"/>
    <n v="480"/>
  </r>
  <r>
    <x v="57"/>
    <x v="0"/>
    <n v="46"/>
    <n v="7000"/>
    <n v="322000"/>
  </r>
  <r>
    <x v="58"/>
    <x v="4"/>
    <n v="16.600000000000001"/>
    <n v="300"/>
    <n v="4980"/>
  </r>
  <r>
    <x v="59"/>
    <x v="6"/>
    <n v="1.45"/>
    <n v="150"/>
    <n v="218"/>
  </r>
  <r>
    <x v="59"/>
    <x v="27"/>
    <n v="0.8"/>
    <n v="600"/>
    <n v="480"/>
  </r>
  <r>
    <x v="59"/>
    <x v="28"/>
    <n v="5.7"/>
    <n v="80"/>
    <n v="456"/>
  </r>
  <r>
    <x v="59"/>
    <x v="10"/>
    <n v="0.25"/>
    <n v="1000"/>
    <n v="250"/>
  </r>
  <r>
    <x v="59"/>
    <x v="28"/>
    <n v="2.2999999999999998"/>
    <n v="80"/>
    <n v="184"/>
  </r>
  <r>
    <x v="59"/>
    <x v="10"/>
    <n v="0.5"/>
    <n v="1000"/>
    <n v="500"/>
  </r>
  <r>
    <x v="59"/>
    <x v="16"/>
    <n v="0.25"/>
    <n v="8000"/>
    <n v="2000"/>
  </r>
  <r>
    <x v="59"/>
    <x v="11"/>
    <n v="1.1000000000000001"/>
    <n v="1000"/>
    <n v="1100"/>
  </r>
  <r>
    <x v="60"/>
    <x v="13"/>
    <n v="0.55000000000000004"/>
    <n v="1600"/>
    <n v="880"/>
  </r>
  <r>
    <x v="60"/>
    <x v="19"/>
    <n v="1.55"/>
    <n v="3500"/>
    <n v="542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x v="0"/>
    <x v="0"/>
    <n v="0.55000000000000004"/>
    <n v="1500"/>
    <n v="825.00000000000011"/>
  </r>
  <r>
    <x v="1"/>
    <x v="1"/>
    <n v="1.1000000000000001"/>
    <n v="400"/>
    <n v="440.00000000000006"/>
  </r>
  <r>
    <x v="2"/>
    <x v="2"/>
    <n v="0.3"/>
    <n v="1000"/>
    <n v="300"/>
  </r>
  <r>
    <x v="2"/>
    <x v="3"/>
    <n v="0.4"/>
    <n v="300"/>
    <n v="120"/>
  </r>
  <r>
    <x v="2"/>
    <x v="4"/>
    <n v="2.15"/>
    <n v="5000"/>
    <n v="10750"/>
  </r>
  <r>
    <x v="2"/>
    <x v="5"/>
    <n v="0.55000000000000004"/>
    <n v="1000"/>
    <n v="550"/>
  </r>
  <r>
    <x v="2"/>
    <x v="6"/>
    <n v="0.2"/>
    <n v="500"/>
    <n v="100"/>
  </r>
  <r>
    <x v="2"/>
    <x v="7"/>
    <n v="0.9"/>
    <n v="800"/>
    <n v="720"/>
  </r>
  <r>
    <x v="2"/>
    <x v="8"/>
    <n v="0.2"/>
    <n v="500"/>
    <n v="100"/>
  </r>
  <r>
    <x v="2"/>
    <x v="9"/>
    <n v="7.85"/>
    <n v="1000"/>
    <n v="7850"/>
  </r>
  <r>
    <x v="3"/>
    <x v="6"/>
    <n v="0.5"/>
    <n v="500"/>
    <n v="250"/>
  </r>
  <r>
    <x v="3"/>
    <x v="10"/>
    <n v="0.55000000000000004"/>
    <n v="150"/>
    <n v="83"/>
  </r>
  <r>
    <x v="3"/>
    <x v="8"/>
    <n v="0.6"/>
    <n v="500"/>
    <n v="300"/>
  </r>
  <r>
    <x v="3"/>
    <x v="3"/>
    <n v="0.45"/>
    <n v="300"/>
    <n v="135"/>
  </r>
  <r>
    <x v="4"/>
    <x v="5"/>
    <n v="0.4"/>
    <n v="1000"/>
    <n v="400"/>
  </r>
  <r>
    <x v="4"/>
    <x v="11"/>
    <n v="0.2"/>
    <n v="800"/>
    <n v="160"/>
  </r>
  <r>
    <x v="4"/>
    <x v="9"/>
    <n v="0.6"/>
    <n v="1000"/>
    <n v="600"/>
  </r>
  <r>
    <x v="4"/>
    <x v="7"/>
    <n v="3.6"/>
    <n v="800"/>
    <n v="2880"/>
  </r>
  <r>
    <x v="4"/>
    <x v="12"/>
    <n v="0.05"/>
    <n v="2500"/>
    <n v="125"/>
  </r>
  <r>
    <x v="4"/>
    <x v="3"/>
    <n v="0.3"/>
    <n v="300"/>
    <n v="90"/>
  </r>
  <r>
    <x v="4"/>
    <x v="13"/>
    <n v="0.35"/>
    <n v="2800"/>
    <n v="980"/>
  </r>
  <r>
    <x v="5"/>
    <x v="14"/>
    <n v="1.35"/>
    <n v="1000"/>
    <n v="1350"/>
  </r>
  <r>
    <x v="5"/>
    <x v="6"/>
    <n v="2.2999999999999998"/>
    <n v="500"/>
    <n v="1150"/>
  </r>
  <r>
    <x v="5"/>
    <x v="15"/>
    <n v="0.4"/>
    <n v="2700"/>
    <n v="1080"/>
  </r>
  <r>
    <x v="6"/>
    <x v="16"/>
    <n v="0.65"/>
    <n v="1800"/>
    <n v="1170"/>
  </r>
  <r>
    <x v="6"/>
    <x v="3"/>
    <n v="1"/>
    <n v="300"/>
    <n v="300"/>
  </r>
  <r>
    <x v="6"/>
    <x v="10"/>
    <n v="0.6"/>
    <n v="150"/>
    <n v="90"/>
  </r>
  <r>
    <x v="6"/>
    <x v="8"/>
    <n v="0.75"/>
    <n v="500"/>
    <n v="375"/>
  </r>
  <r>
    <x v="6"/>
    <x v="2"/>
    <n v="1.2"/>
    <n v="1000"/>
    <n v="1200"/>
  </r>
  <r>
    <x v="6"/>
    <x v="5"/>
    <n v="0.4"/>
    <n v="1000"/>
    <n v="400"/>
  </r>
  <r>
    <x v="6"/>
    <x v="12"/>
    <n v="0.1"/>
    <n v="2500"/>
    <n v="250"/>
  </r>
  <r>
    <x v="6"/>
    <x v="17"/>
    <n v="0.55000000000000004"/>
    <n v="1500"/>
    <n v="825"/>
  </r>
  <r>
    <x v="6"/>
    <x v="9"/>
    <n v="9.65"/>
    <n v="1000"/>
    <n v="9650"/>
  </r>
  <r>
    <x v="7"/>
    <x v="3"/>
    <n v="0.7"/>
    <n v="300"/>
    <n v="210"/>
  </r>
  <r>
    <x v="7"/>
    <x v="10"/>
    <n v="0.85"/>
    <n v="150"/>
    <n v="128"/>
  </r>
  <r>
    <x v="7"/>
    <x v="18"/>
    <n v="0.45"/>
    <n v="1600"/>
    <n v="720"/>
  </r>
  <r>
    <x v="7"/>
    <x v="5"/>
    <n v="0.45"/>
    <n v="1000"/>
    <n v="450"/>
  </r>
  <r>
    <x v="7"/>
    <x v="13"/>
    <n v="0.85"/>
    <n v="2800"/>
    <n v="2380"/>
  </r>
  <r>
    <x v="7"/>
    <x v="17"/>
    <n v="0.95"/>
    <n v="1500"/>
    <n v="1425"/>
  </r>
  <r>
    <x v="7"/>
    <x v="8"/>
    <n v="1.1000000000000001"/>
    <n v="500"/>
    <n v="550"/>
  </r>
  <r>
    <x v="7"/>
    <x v="9"/>
    <n v="0.65"/>
    <n v="1000"/>
    <n v="650"/>
  </r>
  <r>
    <x v="1"/>
    <x v="9"/>
    <n v="1.2"/>
    <n v="1000"/>
    <n v="1200"/>
  </r>
  <r>
    <x v="1"/>
    <x v="10"/>
    <n v="1.25"/>
    <n v="150"/>
    <n v="188"/>
  </r>
  <r>
    <x v="1"/>
    <x v="3"/>
    <n v="0.25"/>
    <n v="300"/>
    <n v="75"/>
  </r>
  <r>
    <x v="1"/>
    <x v="5"/>
    <n v="0.5"/>
    <n v="1000"/>
    <n v="500"/>
  </r>
  <r>
    <x v="1"/>
    <x v="19"/>
    <n v="0.15"/>
    <n v="1400"/>
    <n v="210"/>
  </r>
  <r>
    <x v="1"/>
    <x v="11"/>
    <n v="0.35"/>
    <n v="800"/>
    <n v="280"/>
  </r>
  <r>
    <x v="8"/>
    <x v="9"/>
    <n v="0.35"/>
    <n v="1000"/>
    <n v="350"/>
  </r>
  <r>
    <x v="8"/>
    <x v="13"/>
    <n v="0.2"/>
    <n v="2800"/>
    <n v="560"/>
  </r>
  <r>
    <x v="8"/>
    <x v="20"/>
    <n v="0.1"/>
    <n v="8000"/>
    <n v="800"/>
  </r>
  <r>
    <x v="8"/>
    <x v="6"/>
    <n v="0.1"/>
    <n v="500"/>
    <n v="50"/>
  </r>
  <r>
    <x v="8"/>
    <x v="3"/>
    <n v="0.6"/>
    <n v="300"/>
    <n v="180"/>
  </r>
  <r>
    <x v="8"/>
    <x v="8"/>
    <n v="1.1499999999999999"/>
    <n v="500"/>
    <n v="575"/>
  </r>
  <r>
    <x v="8"/>
    <x v="5"/>
    <n v="0.95"/>
    <n v="1000"/>
    <n v="950"/>
  </r>
  <r>
    <x v="9"/>
    <x v="6"/>
    <n v="1.85"/>
    <n v="500"/>
    <n v="925"/>
  </r>
  <r>
    <x v="9"/>
    <x v="21"/>
    <n v="0.7"/>
    <n v="1600"/>
    <n v="1120"/>
  </r>
  <r>
    <x v="9"/>
    <x v="3"/>
    <n v="0.85"/>
    <n v="300"/>
    <n v="255"/>
  </r>
  <r>
    <x v="9"/>
    <x v="7"/>
    <n v="0.85"/>
    <n v="800"/>
    <n v="680"/>
  </r>
  <r>
    <x v="9"/>
    <x v="16"/>
    <n v="2.0499999999999998"/>
    <n v="1800"/>
    <n v="3690"/>
  </r>
  <r>
    <x v="9"/>
    <x v="8"/>
    <n v="1.85"/>
    <n v="500"/>
    <n v="925"/>
  </r>
  <r>
    <x v="9"/>
    <x v="9"/>
    <n v="1.05"/>
    <n v="1000"/>
    <n v="1050"/>
  </r>
  <r>
    <x v="9"/>
    <x v="13"/>
    <n v="1.2"/>
    <n v="2800"/>
    <n v="3360"/>
  </r>
  <r>
    <x v="10"/>
    <x v="9"/>
    <n v="3.2"/>
    <n v="1000"/>
    <n v="3200"/>
  </r>
  <r>
    <x v="10"/>
    <x v="13"/>
    <n v="3.35"/>
    <n v="2800"/>
    <n v="9380"/>
  </r>
  <r>
    <x v="11"/>
    <x v="10"/>
    <n v="2.65"/>
    <n v="150"/>
    <n v="398"/>
  </r>
  <r>
    <x v="11"/>
    <x v="17"/>
    <n v="0.45"/>
    <n v="1500"/>
    <n v="675"/>
  </r>
  <r>
    <x v="11"/>
    <x v="5"/>
    <n v="3.45"/>
    <n v="1000"/>
    <n v="3450"/>
  </r>
  <r>
    <x v="11"/>
    <x v="16"/>
    <n v="1.1000000000000001"/>
    <n v="1800"/>
    <n v="1980"/>
  </r>
  <r>
    <x v="11"/>
    <x v="2"/>
    <n v="0.35"/>
    <n v="1000"/>
    <n v="350"/>
  </r>
  <r>
    <x v="11"/>
    <x v="3"/>
    <n v="0.6"/>
    <n v="300"/>
    <n v="180"/>
  </r>
  <r>
    <x v="11"/>
    <x v="8"/>
    <n v="0.4"/>
    <n v="500"/>
    <n v="200"/>
  </r>
  <r>
    <x v="11"/>
    <x v="6"/>
    <n v="2.35"/>
    <n v="500"/>
    <n v="1175"/>
  </r>
  <r>
    <x v="11"/>
    <x v="22"/>
    <n v="1.3"/>
    <n v="400"/>
    <n v="520"/>
  </r>
  <r>
    <x v="11"/>
    <x v="9"/>
    <n v="1.9"/>
    <n v="1000"/>
    <n v="1900"/>
  </r>
  <r>
    <x v="12"/>
    <x v="2"/>
    <n v="1.05"/>
    <n v="1000"/>
    <n v="1050"/>
  </r>
  <r>
    <x v="12"/>
    <x v="9"/>
    <n v="1.1000000000000001"/>
    <n v="1000"/>
    <n v="1100"/>
  </r>
  <r>
    <x v="13"/>
    <x v="13"/>
    <n v="3"/>
    <n v="2800"/>
    <n v="8400"/>
  </r>
  <r>
    <x v="13"/>
    <x v="10"/>
    <n v="1.4"/>
    <n v="150"/>
    <n v="210"/>
  </r>
  <r>
    <x v="13"/>
    <x v="3"/>
    <n v="1.95"/>
    <n v="300"/>
    <n v="585"/>
  </r>
  <r>
    <x v="13"/>
    <x v="8"/>
    <n v="1.25"/>
    <n v="500"/>
    <n v="625"/>
  </r>
  <r>
    <x v="13"/>
    <x v="20"/>
    <n v="0.15"/>
    <n v="8000"/>
    <n v="1200"/>
  </r>
  <r>
    <x v="13"/>
    <x v="17"/>
    <n v="0.05"/>
    <n v="1500"/>
    <n v="75"/>
  </r>
  <r>
    <x v="13"/>
    <x v="5"/>
    <n v="2.8"/>
    <n v="1000"/>
    <n v="2800"/>
  </r>
  <r>
    <x v="13"/>
    <x v="21"/>
    <n v="0.6"/>
    <n v="1600"/>
    <n v="960"/>
  </r>
  <r>
    <x v="13"/>
    <x v="9"/>
    <n v="0.7"/>
    <n v="1000"/>
    <n v="700"/>
  </r>
  <r>
    <x v="13"/>
    <x v="12"/>
    <n v="0.3"/>
    <n v="2500"/>
    <n v="750"/>
  </r>
  <r>
    <x v="14"/>
    <x v="8"/>
    <n v="0.35"/>
    <n v="500"/>
    <n v="175"/>
  </r>
  <r>
    <x v="14"/>
    <x v="23"/>
    <n v="0.1"/>
    <n v="500"/>
    <n v="50"/>
  </r>
  <r>
    <x v="14"/>
    <x v="9"/>
    <n v="7.6"/>
    <n v="1000"/>
    <n v="7600"/>
  </r>
  <r>
    <x v="15"/>
    <x v="9"/>
    <n v="1.5"/>
    <n v="1000"/>
    <n v="1500"/>
  </r>
  <r>
    <x v="15"/>
    <x v="2"/>
    <n v="1.1499999999999999"/>
    <n v="1000"/>
    <n v="1150"/>
  </r>
  <r>
    <x v="15"/>
    <x v="3"/>
    <n v="0.5"/>
    <n v="300"/>
    <n v="150"/>
  </r>
  <r>
    <x v="15"/>
    <x v="6"/>
    <n v="0.1"/>
    <n v="500"/>
    <n v="50"/>
  </r>
  <r>
    <x v="15"/>
    <x v="13"/>
    <n v="1.1499999999999999"/>
    <n v="2800"/>
    <n v="3220"/>
  </r>
  <r>
    <x v="16"/>
    <x v="9"/>
    <n v="2.35"/>
    <n v="1000"/>
    <n v="2350"/>
  </r>
  <r>
    <x v="16"/>
    <x v="6"/>
    <n v="0.2"/>
    <n v="500"/>
    <n v="100"/>
  </r>
  <r>
    <x v="16"/>
    <x v="8"/>
    <n v="0.1"/>
    <n v="500"/>
    <n v="50"/>
  </r>
  <r>
    <x v="16"/>
    <x v="12"/>
    <n v="0.05"/>
    <n v="2500"/>
    <n v="125"/>
  </r>
  <r>
    <x v="16"/>
    <x v="3"/>
    <n v="0.2"/>
    <n v="300"/>
    <n v="60"/>
  </r>
  <r>
    <x v="16"/>
    <x v="5"/>
    <n v="0.85"/>
    <n v="1000"/>
    <n v="850"/>
  </r>
  <r>
    <x v="16"/>
    <x v="21"/>
    <n v="1.2"/>
    <n v="1600"/>
    <n v="1920"/>
  </r>
  <r>
    <x v="16"/>
    <x v="13"/>
    <n v="0.5"/>
    <n v="2800"/>
    <n v="1400"/>
  </r>
  <r>
    <x v="17"/>
    <x v="12"/>
    <n v="0.15"/>
    <n v="2500"/>
    <n v="375"/>
  </r>
  <r>
    <x v="17"/>
    <x v="3"/>
    <n v="1.2"/>
    <n v="300"/>
    <n v="360"/>
  </r>
  <r>
    <x v="17"/>
    <x v="8"/>
    <n v="0.15"/>
    <n v="500"/>
    <n v="75"/>
  </r>
  <r>
    <x v="17"/>
    <x v="21"/>
    <n v="0.8"/>
    <n v="1600"/>
    <n v="1280"/>
  </r>
  <r>
    <x v="17"/>
    <x v="13"/>
    <n v="1.45"/>
    <n v="2800"/>
    <n v="4060"/>
  </r>
  <r>
    <x v="17"/>
    <x v="9"/>
    <n v="6.85"/>
    <n v="1000"/>
    <n v="6850"/>
  </r>
  <r>
    <x v="18"/>
    <x v="2"/>
    <n v="0.8"/>
    <n v="1000"/>
    <n v="800"/>
  </r>
  <r>
    <x v="18"/>
    <x v="21"/>
    <n v="0.8"/>
    <n v="1600"/>
    <n v="1280"/>
  </r>
  <r>
    <x v="18"/>
    <x v="3"/>
    <n v="1.35"/>
    <n v="300"/>
    <n v="405"/>
  </r>
  <r>
    <x v="18"/>
    <x v="9"/>
    <n v="3.85"/>
    <n v="1000"/>
    <n v="3850"/>
  </r>
  <r>
    <x v="19"/>
    <x v="8"/>
    <n v="1.8"/>
    <n v="500"/>
    <n v="900"/>
  </r>
  <r>
    <x v="19"/>
    <x v="2"/>
    <n v="0.85"/>
    <n v="1000"/>
    <n v="850"/>
  </r>
  <r>
    <x v="19"/>
    <x v="6"/>
    <n v="0.2"/>
    <n v="500"/>
    <n v="100"/>
  </r>
  <r>
    <x v="19"/>
    <x v="3"/>
    <n v="0.9"/>
    <n v="300"/>
    <n v="270"/>
  </r>
  <r>
    <x v="19"/>
    <x v="19"/>
    <n v="0.7"/>
    <n v="1400"/>
    <n v="980"/>
  </r>
  <r>
    <x v="19"/>
    <x v="24"/>
    <n v="0.63"/>
    <n v="3500"/>
    <n v="2205"/>
  </r>
  <r>
    <x v="19"/>
    <x v="18"/>
    <n v="0.65"/>
    <n v="1600"/>
    <n v="1040"/>
  </r>
  <r>
    <x v="20"/>
    <x v="9"/>
    <n v="13.65"/>
    <n v="1000"/>
    <n v="13650"/>
  </r>
  <r>
    <x v="20"/>
    <x v="19"/>
    <n v="1.4"/>
    <n v="1400"/>
    <n v="1960"/>
  </r>
  <r>
    <x v="20"/>
    <x v="10"/>
    <n v="0.4"/>
    <n v="150"/>
    <n v="60"/>
  </r>
  <r>
    <x v="20"/>
    <x v="14"/>
    <n v="1.05"/>
    <n v="1000"/>
    <n v="1050"/>
  </r>
  <r>
    <x v="20"/>
    <x v="17"/>
    <n v="0.2"/>
    <n v="1500"/>
    <n v="300"/>
  </r>
  <r>
    <x v="20"/>
    <x v="5"/>
    <n v="1.3"/>
    <n v="1000"/>
    <n v="1300"/>
  </r>
  <r>
    <x v="20"/>
    <x v="25"/>
    <n v="0.45"/>
    <n v="2500"/>
    <n v="1125"/>
  </r>
  <r>
    <x v="20"/>
    <x v="6"/>
    <n v="1.95"/>
    <n v="500"/>
    <n v="975"/>
  </r>
  <r>
    <x v="20"/>
    <x v="12"/>
    <n v="0.5"/>
    <n v="2500"/>
    <n v="1250"/>
  </r>
  <r>
    <x v="20"/>
    <x v="2"/>
    <n v="2.65"/>
    <n v="1000"/>
    <n v="2650"/>
  </r>
  <r>
    <x v="20"/>
    <x v="18"/>
    <n v="0.55000000000000004"/>
    <n v="1600"/>
    <n v="880"/>
  </r>
  <r>
    <x v="20"/>
    <x v="13"/>
    <n v="2.6"/>
    <n v="2800"/>
    <n v="7280"/>
  </r>
  <r>
    <x v="21"/>
    <x v="8"/>
    <n v="1.1499999999999999"/>
    <n v="500"/>
    <n v="575"/>
  </r>
  <r>
    <x v="21"/>
    <x v="12"/>
    <n v="0.35"/>
    <n v="2500"/>
    <n v="875"/>
  </r>
  <r>
    <x v="21"/>
    <x v="3"/>
    <n v="0.2"/>
    <n v="300"/>
    <n v="60"/>
  </r>
  <r>
    <x v="21"/>
    <x v="6"/>
    <n v="0.6"/>
    <n v="500"/>
    <n v="300"/>
  </r>
  <r>
    <x v="21"/>
    <x v="13"/>
    <n v="0.63"/>
    <n v="2800"/>
    <n v="1764"/>
  </r>
  <r>
    <x v="21"/>
    <x v="14"/>
    <n v="0.55000000000000004"/>
    <n v="1000"/>
    <n v="550"/>
  </r>
  <r>
    <x v="21"/>
    <x v="10"/>
    <n v="0.9"/>
    <n v="150"/>
    <n v="135"/>
  </r>
  <r>
    <x v="21"/>
    <x v="5"/>
    <n v="6.05"/>
    <n v="1000"/>
    <n v="6050"/>
  </r>
  <r>
    <x v="21"/>
    <x v="17"/>
    <n v="0.65"/>
    <n v="1500"/>
    <n v="975"/>
  </r>
  <r>
    <x v="21"/>
    <x v="7"/>
    <n v="5.15"/>
    <n v="800"/>
    <n v="4120"/>
  </r>
  <r>
    <x v="21"/>
    <x v="16"/>
    <n v="0.25"/>
    <n v="1800"/>
    <n v="450"/>
  </r>
  <r>
    <x v="21"/>
    <x v="23"/>
    <n v="0.2"/>
    <n v="500"/>
    <n v="100"/>
  </r>
  <r>
    <x v="21"/>
    <x v="26"/>
    <n v="2.6"/>
    <n v="700"/>
    <n v="1820"/>
  </r>
  <r>
    <x v="21"/>
    <x v="25"/>
    <n v="3.1"/>
    <n v="2500"/>
    <n v="7750"/>
  </r>
  <r>
    <x v="21"/>
    <x v="9"/>
    <n v="10.55"/>
    <n v="1000"/>
    <n v="10550"/>
  </r>
  <r>
    <x v="22"/>
    <x v="21"/>
    <n v="1.35"/>
    <n v="1600"/>
    <n v="2160"/>
  </r>
  <r>
    <x v="22"/>
    <x v="25"/>
    <n v="0.8"/>
    <n v="2500"/>
    <n v="2000"/>
  </r>
  <r>
    <x v="22"/>
    <x v="8"/>
    <n v="0.8"/>
    <n v="500"/>
    <n v="400"/>
  </r>
  <r>
    <x v="22"/>
    <x v="5"/>
    <n v="1.25"/>
    <n v="1000"/>
    <n v="1250"/>
  </r>
  <r>
    <x v="22"/>
    <x v="16"/>
    <n v="0.45"/>
    <n v="1800"/>
    <n v="810"/>
  </r>
  <r>
    <x v="22"/>
    <x v="10"/>
    <n v="0.4"/>
    <n v="150"/>
    <n v="60"/>
  </r>
  <r>
    <x v="23"/>
    <x v="4"/>
    <n v="6"/>
    <n v="5000"/>
    <n v="30000"/>
  </r>
  <r>
    <x v="23"/>
    <x v="8"/>
    <n v="0.3"/>
    <n v="500"/>
    <n v="150"/>
  </r>
  <r>
    <x v="23"/>
    <x v="9"/>
    <n v="1.65"/>
    <n v="1000"/>
    <n v="1650"/>
  </r>
  <r>
    <x v="23"/>
    <x v="7"/>
    <n v="10.5"/>
    <n v="800"/>
    <n v="8400"/>
  </r>
  <r>
    <x v="23"/>
    <x v="5"/>
    <n v="4.2"/>
    <n v="1000"/>
    <n v="4200"/>
  </r>
  <r>
    <x v="23"/>
    <x v="3"/>
    <n v="2.75"/>
    <n v="300"/>
    <n v="825"/>
  </r>
  <r>
    <x v="23"/>
    <x v="17"/>
    <n v="0.9"/>
    <n v="1500"/>
    <n v="1350"/>
  </r>
  <r>
    <x v="24"/>
    <x v="13"/>
    <n v="0.85"/>
    <n v="2800"/>
    <n v="2380"/>
  </r>
  <r>
    <x v="24"/>
    <x v="5"/>
    <n v="0.4"/>
    <n v="1000"/>
    <n v="400"/>
  </r>
  <r>
    <x v="24"/>
    <x v="3"/>
    <n v="0.45"/>
    <n v="300"/>
    <n v="135"/>
  </r>
  <r>
    <x v="24"/>
    <x v="6"/>
    <n v="0.1"/>
    <n v="500"/>
    <n v="50"/>
  </r>
  <r>
    <x v="24"/>
    <x v="17"/>
    <n v="0.5"/>
    <n v="1500"/>
    <n v="750"/>
  </r>
  <r>
    <x v="24"/>
    <x v="12"/>
    <n v="0.15"/>
    <n v="2500"/>
    <n v="375"/>
  </r>
  <r>
    <x v="25"/>
    <x v="6"/>
    <n v="0.5"/>
    <n v="500"/>
    <n v="250"/>
  </r>
  <r>
    <x v="25"/>
    <x v="24"/>
    <n v="0.35"/>
    <n v="3500"/>
    <n v="1225"/>
  </r>
  <r>
    <x v="25"/>
    <x v="12"/>
    <n v="0.45"/>
    <n v="2500"/>
    <n v="1125"/>
  </r>
  <r>
    <x v="25"/>
    <x v="3"/>
    <n v="1.1499999999999999"/>
    <n v="300"/>
    <n v="345"/>
  </r>
  <r>
    <x v="25"/>
    <x v="5"/>
    <n v="1.25"/>
    <n v="1000"/>
    <n v="1250"/>
  </r>
  <r>
    <x v="25"/>
    <x v="7"/>
    <n v="3.45"/>
    <n v="800"/>
    <n v="2760"/>
  </r>
  <r>
    <x v="25"/>
    <x v="2"/>
    <n v="2.95"/>
    <n v="1000"/>
    <n v="2950"/>
  </r>
  <r>
    <x v="25"/>
    <x v="8"/>
    <n v="3.8"/>
    <n v="500"/>
    <n v="1900"/>
  </r>
  <r>
    <x v="25"/>
    <x v="4"/>
    <n v="2.7"/>
    <n v="5000"/>
    <n v="13500"/>
  </r>
  <r>
    <x v="25"/>
    <x v="18"/>
    <n v="0.5"/>
    <n v="1600"/>
    <n v="800"/>
  </r>
  <r>
    <x v="25"/>
    <x v="9"/>
    <n v="3.65"/>
    <n v="1000"/>
    <n v="3650"/>
  </r>
  <r>
    <x v="25"/>
    <x v="13"/>
    <n v="6.4"/>
    <n v="2800"/>
    <n v="17920"/>
  </r>
  <r>
    <x v="26"/>
    <x v="3"/>
    <n v="0.25"/>
    <n v="300"/>
    <n v="75"/>
  </r>
  <r>
    <x v="26"/>
    <x v="13"/>
    <n v="0.25"/>
    <n v="2800"/>
    <n v="700"/>
  </r>
  <r>
    <x v="26"/>
    <x v="5"/>
    <n v="0.8"/>
    <n v="1000"/>
    <n v="800"/>
  </r>
  <r>
    <x v="26"/>
    <x v="4"/>
    <n v="0.7"/>
    <n v="5000"/>
    <n v="3500"/>
  </r>
  <r>
    <x v="26"/>
    <x v="10"/>
    <n v="0.55000000000000004"/>
    <n v="150"/>
    <n v="83"/>
  </r>
  <r>
    <x v="26"/>
    <x v="20"/>
    <n v="0.2"/>
    <n v="8000"/>
    <n v="1600"/>
  </r>
  <r>
    <x v="27"/>
    <x v="2"/>
    <n v="5.3"/>
    <n v="1000"/>
    <n v="5300"/>
  </r>
  <r>
    <x v="27"/>
    <x v="21"/>
    <n v="1.25"/>
    <n v="1600"/>
    <n v="2000"/>
  </r>
  <r>
    <x v="27"/>
    <x v="13"/>
    <n v="2.4"/>
    <n v="2800"/>
    <n v="6720"/>
  </r>
  <r>
    <x v="27"/>
    <x v="4"/>
    <n v="6.35"/>
    <n v="5000"/>
    <n v="31750"/>
  </r>
  <r>
    <x v="28"/>
    <x v="5"/>
    <n v="0.65"/>
    <n v="1000"/>
    <n v="650"/>
  </r>
  <r>
    <x v="28"/>
    <x v="12"/>
    <n v="0.15"/>
    <n v="2500"/>
    <n v="375"/>
  </r>
  <r>
    <x v="28"/>
    <x v="3"/>
    <n v="0.55000000000000004"/>
    <n v="300"/>
    <n v="165"/>
  </r>
  <r>
    <x v="28"/>
    <x v="6"/>
    <n v="0.45"/>
    <n v="500"/>
    <n v="225"/>
  </r>
  <r>
    <x v="28"/>
    <x v="8"/>
    <n v="0.65"/>
    <n v="500"/>
    <n v="325"/>
  </r>
  <r>
    <x v="28"/>
    <x v="13"/>
    <n v="0.4"/>
    <n v="2800"/>
    <n v="1120"/>
  </r>
  <r>
    <x v="29"/>
    <x v="8"/>
    <n v="2.4"/>
    <n v="500"/>
    <n v="1200"/>
  </r>
  <r>
    <x v="29"/>
    <x v="2"/>
    <n v="3.5"/>
    <n v="1000"/>
    <n v="3500"/>
  </r>
  <r>
    <x v="29"/>
    <x v="13"/>
    <n v="1.9"/>
    <n v="2800"/>
    <n v="5320"/>
  </r>
  <r>
    <x v="29"/>
    <x v="3"/>
    <n v="0.35"/>
    <n v="300"/>
    <n v="105"/>
  </r>
  <r>
    <x v="29"/>
    <x v="5"/>
    <n v="3.45"/>
    <n v="1000"/>
    <n v="3450"/>
  </r>
  <r>
    <x v="29"/>
    <x v="17"/>
    <n v="0.5"/>
    <n v="1500"/>
    <n v="750"/>
  </r>
  <r>
    <x v="29"/>
    <x v="9"/>
    <n v="3.65"/>
    <n v="1000"/>
    <n v="3650"/>
  </r>
  <r>
    <x v="29"/>
    <x v="10"/>
    <n v="0.65"/>
    <n v="150"/>
    <n v="98"/>
  </r>
  <r>
    <x v="30"/>
    <x v="2"/>
    <n v="0.8"/>
    <n v="1000"/>
    <n v="800"/>
  </r>
  <r>
    <x v="30"/>
    <x v="3"/>
    <n v="0.35"/>
    <n v="300"/>
    <n v="105"/>
  </r>
  <r>
    <x v="30"/>
    <x v="5"/>
    <n v="1.65"/>
    <n v="1000"/>
    <n v="1650"/>
  </r>
  <r>
    <x v="30"/>
    <x v="17"/>
    <n v="0.3"/>
    <n v="1500"/>
    <n v="450"/>
  </r>
  <r>
    <x v="30"/>
    <x v="13"/>
    <n v="0.2"/>
    <n v="2800"/>
    <n v="560"/>
  </r>
  <r>
    <x v="30"/>
    <x v="6"/>
    <n v="0.1"/>
    <n v="500"/>
    <n v="50"/>
  </r>
  <r>
    <x v="30"/>
    <x v="9"/>
    <n v="0.55000000000000004"/>
    <n v="1000"/>
    <n v="550"/>
  </r>
  <r>
    <x v="30"/>
    <x v="8"/>
    <n v="2.5499999999999998"/>
    <n v="500"/>
    <n v="1275"/>
  </r>
  <r>
    <x v="31"/>
    <x v="10"/>
    <n v="0.15"/>
    <n v="150"/>
    <n v="23"/>
  </r>
  <r>
    <x v="31"/>
    <x v="13"/>
    <n v="0.1"/>
    <n v="2800"/>
    <n v="280"/>
  </r>
  <r>
    <x v="31"/>
    <x v="5"/>
    <n v="0.5"/>
    <n v="1000"/>
    <n v="500"/>
  </r>
  <r>
    <x v="31"/>
    <x v="6"/>
    <n v="0.7"/>
    <n v="500"/>
    <n v="350"/>
  </r>
  <r>
    <x v="31"/>
    <x v="17"/>
    <n v="1.5"/>
    <n v="1500"/>
    <n v="2250"/>
  </r>
  <r>
    <x v="31"/>
    <x v="8"/>
    <n v="0.95"/>
    <n v="500"/>
    <n v="475"/>
  </r>
  <r>
    <x v="0"/>
    <x v="10"/>
    <n v="0.3"/>
    <n v="150"/>
    <n v="45"/>
  </r>
  <r>
    <x v="0"/>
    <x v="17"/>
    <n v="0.85"/>
    <n v="1500"/>
    <n v="1275"/>
  </r>
  <r>
    <x v="0"/>
    <x v="3"/>
    <n v="0.45"/>
    <n v="300"/>
    <n v="135"/>
  </r>
  <r>
    <x v="0"/>
    <x v="13"/>
    <n v="2.7"/>
    <n v="2800"/>
    <n v="7560"/>
  </r>
  <r>
    <x v="0"/>
    <x v="27"/>
    <n v="1"/>
    <n v="6000"/>
    <n v="6000"/>
  </r>
  <r>
    <x v="0"/>
    <x v="8"/>
    <n v="1.3"/>
    <n v="500"/>
    <n v="650"/>
  </r>
  <r>
    <x v="0"/>
    <x v="21"/>
    <n v="1"/>
    <n v="1600"/>
    <n v="1600"/>
  </r>
  <r>
    <x v="0"/>
    <x v="12"/>
    <n v="0.25"/>
    <n v="2500"/>
    <n v="625"/>
  </r>
  <r>
    <x v="0"/>
    <x v="25"/>
    <n v="2.2000000000000002"/>
    <n v="2500"/>
    <n v="5500"/>
  </r>
  <r>
    <x v="0"/>
    <x v="5"/>
    <n v="4.7"/>
    <n v="1000"/>
    <n v="4700"/>
  </r>
  <r>
    <x v="0"/>
    <x v="16"/>
    <n v="1.1499999999999999"/>
    <n v="1800"/>
    <n v="2070"/>
  </r>
  <r>
    <x v="0"/>
    <x v="19"/>
    <n v="0.7"/>
    <n v="1400"/>
    <n v="980"/>
  </r>
  <r>
    <x v="32"/>
    <x v="17"/>
    <n v="0.3"/>
    <n v="1500"/>
    <n v="450"/>
  </r>
  <r>
    <x v="32"/>
    <x v="9"/>
    <n v="2.4"/>
    <n v="1000"/>
    <n v="2400"/>
  </r>
  <r>
    <x v="32"/>
    <x v="3"/>
    <n v="0.6"/>
    <n v="300"/>
    <n v="180"/>
  </r>
  <r>
    <x v="32"/>
    <x v="5"/>
    <n v="12.55"/>
    <n v="1000"/>
    <n v="12550"/>
  </r>
  <r>
    <x v="32"/>
    <x v="8"/>
    <n v="1.2"/>
    <n v="500"/>
    <n v="600"/>
  </r>
  <r>
    <x v="33"/>
    <x v="9"/>
    <n v="2.5499999999999998"/>
    <n v="1000"/>
    <n v="2550"/>
  </r>
  <r>
    <x v="33"/>
    <x v="5"/>
    <n v="0.85"/>
    <n v="1000"/>
    <n v="850"/>
  </r>
  <r>
    <x v="33"/>
    <x v="12"/>
    <n v="0.2"/>
    <n v="2500"/>
    <n v="500"/>
  </r>
  <r>
    <x v="33"/>
    <x v="13"/>
    <n v="1.95"/>
    <n v="2800"/>
    <n v="5460"/>
  </r>
  <r>
    <x v="33"/>
    <x v="3"/>
    <n v="0.8"/>
    <n v="300"/>
    <n v="240"/>
  </r>
  <r>
    <x v="33"/>
    <x v="6"/>
    <n v="0.35"/>
    <n v="500"/>
    <n v="175"/>
  </r>
  <r>
    <x v="34"/>
    <x v="8"/>
    <n v="0.35"/>
    <n v="500"/>
    <n v="175"/>
  </r>
  <r>
    <x v="34"/>
    <x v="7"/>
    <n v="0.7"/>
    <n v="800"/>
    <n v="560"/>
  </r>
  <r>
    <x v="34"/>
    <x v="9"/>
    <n v="0.9"/>
    <n v="1000"/>
    <n v="900"/>
  </r>
  <r>
    <x v="34"/>
    <x v="6"/>
    <n v="0.3"/>
    <n v="500"/>
    <n v="150"/>
  </r>
  <r>
    <x v="34"/>
    <x v="17"/>
    <n v="0.5"/>
    <n v="1500"/>
    <n v="750"/>
  </r>
  <r>
    <x v="34"/>
    <x v="5"/>
    <n v="0.55000000000000004"/>
    <n v="1000"/>
    <n v="550"/>
  </r>
  <r>
    <x v="34"/>
    <x v="13"/>
    <n v="2.25"/>
    <n v="2800"/>
    <n v="6300"/>
  </r>
  <r>
    <x v="35"/>
    <x v="6"/>
    <n v="0.4"/>
    <n v="500"/>
    <n v="200"/>
  </r>
  <r>
    <x v="35"/>
    <x v="3"/>
    <n v="2.7"/>
    <n v="300"/>
    <n v="810"/>
  </r>
  <r>
    <x v="35"/>
    <x v="27"/>
    <n v="1.7"/>
    <n v="6000"/>
    <n v="10200"/>
  </r>
  <r>
    <x v="35"/>
    <x v="9"/>
    <n v="2.0499999999999998"/>
    <n v="1000"/>
    <n v="2050"/>
  </r>
  <r>
    <x v="35"/>
    <x v="5"/>
    <n v="2.5499999999999998"/>
    <n v="1000"/>
    <n v="2550"/>
  </r>
  <r>
    <x v="35"/>
    <x v="13"/>
    <n v="1.55"/>
    <n v="2800"/>
    <n v="4340"/>
  </r>
  <r>
    <x v="36"/>
    <x v="9"/>
    <n v="6.05"/>
    <n v="1000"/>
    <n v="6050"/>
  </r>
  <r>
    <x v="36"/>
    <x v="25"/>
    <n v="0.25"/>
    <n v="2500"/>
    <n v="625"/>
  </r>
  <r>
    <x v="36"/>
    <x v="6"/>
    <n v="0.85"/>
    <n v="500"/>
    <n v="425"/>
  </r>
  <r>
    <x v="36"/>
    <x v="5"/>
    <n v="1.5"/>
    <n v="1000"/>
    <n v="1500"/>
  </r>
  <r>
    <x v="36"/>
    <x v="3"/>
    <n v="0.95"/>
    <n v="300"/>
    <n v="285"/>
  </r>
  <r>
    <x v="36"/>
    <x v="10"/>
    <n v="1.85"/>
    <n v="150"/>
    <n v="278"/>
  </r>
  <r>
    <x v="36"/>
    <x v="17"/>
    <n v="0.6"/>
    <n v="1500"/>
    <n v="900"/>
  </r>
  <r>
    <x v="36"/>
    <x v="12"/>
    <n v="0.55000000000000004"/>
    <n v="2500"/>
    <n v="1375"/>
  </r>
  <r>
    <x v="36"/>
    <x v="13"/>
    <n v="1.95"/>
    <n v="2800"/>
    <n v="5460"/>
  </r>
  <r>
    <x v="37"/>
    <x v="16"/>
    <n v="0.45"/>
    <n v="1800"/>
    <n v="810"/>
  </r>
  <r>
    <x v="37"/>
    <x v="12"/>
    <n v="0.55000000000000004"/>
    <n v="2500"/>
    <n v="1375"/>
  </r>
  <r>
    <x v="37"/>
    <x v="28"/>
    <n v="7.15"/>
    <n v="1400"/>
    <n v="10010"/>
  </r>
  <r>
    <x v="37"/>
    <x v="7"/>
    <n v="4.4000000000000004"/>
    <n v="800"/>
    <n v="3520"/>
  </r>
  <r>
    <x v="37"/>
    <x v="8"/>
    <n v="2.1"/>
    <n v="500"/>
    <n v="1050"/>
  </r>
  <r>
    <x v="37"/>
    <x v="10"/>
    <n v="6.9"/>
    <n v="150"/>
    <n v="1035"/>
  </r>
  <r>
    <x v="37"/>
    <x v="9"/>
    <n v="6.85"/>
    <n v="1000"/>
    <n v="6850"/>
  </r>
  <r>
    <x v="37"/>
    <x v="3"/>
    <n v="0.6"/>
    <n v="300"/>
    <n v="180"/>
  </r>
  <r>
    <x v="37"/>
    <x v="17"/>
    <n v="0.5"/>
    <n v="1500"/>
    <n v="750"/>
  </r>
  <r>
    <x v="37"/>
    <x v="6"/>
    <n v="0.4"/>
    <n v="500"/>
    <n v="200"/>
  </r>
  <r>
    <x v="37"/>
    <x v="5"/>
    <n v="2.8"/>
    <n v="1000"/>
    <n v="2800"/>
  </r>
  <r>
    <x v="37"/>
    <x v="13"/>
    <n v="2.65"/>
    <n v="2800"/>
    <n v="7420"/>
  </r>
  <r>
    <x v="38"/>
    <x v="16"/>
    <n v="3.05"/>
    <n v="1800"/>
    <n v="5490"/>
  </r>
  <r>
    <x v="38"/>
    <x v="10"/>
    <n v="0.35"/>
    <n v="150"/>
    <n v="53"/>
  </r>
  <r>
    <x v="38"/>
    <x v="12"/>
    <n v="0.1"/>
    <n v="2500"/>
    <n v="250"/>
  </r>
  <r>
    <x v="38"/>
    <x v="13"/>
    <n v="1.8"/>
    <n v="2800"/>
    <n v="5040"/>
  </r>
  <r>
    <x v="38"/>
    <x v="9"/>
    <n v="3.15"/>
    <n v="1000"/>
    <n v="3150"/>
  </r>
  <r>
    <x v="38"/>
    <x v="8"/>
    <n v="2.5499999999999998"/>
    <n v="500"/>
    <n v="1275"/>
  </r>
  <r>
    <x v="39"/>
    <x v="3"/>
    <n v="1.1499999999999999"/>
    <n v="300"/>
    <n v="345"/>
  </r>
  <r>
    <x v="39"/>
    <x v="5"/>
    <n v="0.65"/>
    <n v="1000"/>
    <n v="650"/>
  </r>
  <r>
    <x v="39"/>
    <x v="10"/>
    <n v="0.55000000000000004"/>
    <n v="150"/>
    <n v="83"/>
  </r>
  <r>
    <x v="39"/>
    <x v="12"/>
    <n v="0.3"/>
    <n v="2500"/>
    <n v="750"/>
  </r>
  <r>
    <x v="39"/>
    <x v="9"/>
    <n v="5.3"/>
    <n v="1000"/>
    <n v="5300"/>
  </r>
  <r>
    <x v="39"/>
    <x v="17"/>
    <n v="0.45"/>
    <n v="1500"/>
    <n v="675"/>
  </r>
  <r>
    <x v="39"/>
    <x v="8"/>
    <n v="0.9"/>
    <n v="500"/>
    <n v="450"/>
  </r>
  <r>
    <x v="39"/>
    <x v="13"/>
    <n v="3.25"/>
    <n v="2800"/>
    <n v="9100"/>
  </r>
  <r>
    <x v="40"/>
    <x v="25"/>
    <n v="2.6"/>
    <n v="2500"/>
    <n v="6500"/>
  </r>
  <r>
    <x v="40"/>
    <x v="8"/>
    <n v="1.2"/>
    <n v="500"/>
    <n v="600"/>
  </r>
  <r>
    <x v="40"/>
    <x v="5"/>
    <n v="1.9"/>
    <n v="1000"/>
    <n v="1900"/>
  </r>
  <r>
    <x v="40"/>
    <x v="17"/>
    <n v="0.6"/>
    <n v="1500"/>
    <n v="900"/>
  </r>
  <r>
    <x v="40"/>
    <x v="3"/>
    <n v="1.7"/>
    <n v="300"/>
    <n v="510"/>
  </r>
  <r>
    <x v="40"/>
    <x v="13"/>
    <n v="2.15"/>
    <n v="2800"/>
    <n v="6020"/>
  </r>
  <r>
    <x v="40"/>
    <x v="6"/>
    <n v="0.55000000000000004"/>
    <n v="500"/>
    <n v="275"/>
  </r>
  <r>
    <x v="41"/>
    <x v="2"/>
    <n v="1.95"/>
    <n v="1000"/>
    <n v="1950"/>
  </r>
  <r>
    <x v="41"/>
    <x v="9"/>
    <n v="2.8"/>
    <n v="1000"/>
    <n v="2800"/>
  </r>
  <r>
    <x v="41"/>
    <x v="8"/>
    <n v="1.2"/>
    <n v="500"/>
    <n v="600"/>
  </r>
  <r>
    <x v="41"/>
    <x v="3"/>
    <n v="2"/>
    <n v="300"/>
    <n v="600"/>
  </r>
  <r>
    <x v="41"/>
    <x v="13"/>
    <n v="1.3"/>
    <n v="2800"/>
    <n v="3640"/>
  </r>
  <r>
    <x v="41"/>
    <x v="17"/>
    <n v="1.7"/>
    <n v="1500"/>
    <n v="2550"/>
  </r>
  <r>
    <x v="41"/>
    <x v="4"/>
    <n v="0.8"/>
    <n v="5000"/>
    <n v="4000"/>
  </r>
  <r>
    <x v="41"/>
    <x v="10"/>
    <n v="0.55000000000000004"/>
    <n v="150"/>
    <n v="83"/>
  </r>
  <r>
    <x v="42"/>
    <x v="10"/>
    <n v="1.1499999999999999"/>
    <n v="150"/>
    <n v="173"/>
  </r>
  <r>
    <x v="42"/>
    <x v="5"/>
    <n v="1.25"/>
    <n v="1000"/>
    <n v="1250"/>
  </r>
  <r>
    <x v="42"/>
    <x v="6"/>
    <n v="4.6500000000000004"/>
    <n v="500"/>
    <n v="2325"/>
  </r>
  <r>
    <x v="42"/>
    <x v="3"/>
    <n v="1.5"/>
    <n v="300"/>
    <n v="450"/>
  </r>
  <r>
    <x v="42"/>
    <x v="14"/>
    <n v="0.5"/>
    <n v="1000"/>
    <n v="500"/>
  </r>
  <r>
    <x v="42"/>
    <x v="13"/>
    <n v="4.45"/>
    <n v="2800"/>
    <n v="12460"/>
  </r>
  <r>
    <x v="42"/>
    <x v="9"/>
    <n v="9"/>
    <n v="1000"/>
    <n v="9000"/>
  </r>
  <r>
    <x v="43"/>
    <x v="3"/>
    <n v="0.15"/>
    <n v="300"/>
    <n v="45"/>
  </r>
  <r>
    <x v="43"/>
    <x v="8"/>
    <n v="0.5"/>
    <n v="500"/>
    <n v="250"/>
  </r>
  <r>
    <x v="43"/>
    <x v="5"/>
    <n v="0.45"/>
    <n v="1000"/>
    <n v="450"/>
  </r>
  <r>
    <x v="43"/>
    <x v="13"/>
    <n v="0.65"/>
    <n v="2800"/>
    <n v="1820"/>
  </r>
  <r>
    <x v="43"/>
    <x v="12"/>
    <n v="0.1"/>
    <n v="2500"/>
    <n v="250"/>
  </r>
  <r>
    <x v="43"/>
    <x v="2"/>
    <n v="0.45"/>
    <n v="1000"/>
    <n v="450"/>
  </r>
  <r>
    <x v="43"/>
    <x v="9"/>
    <n v="2.5499999999999998"/>
    <n v="1000"/>
    <n v="2550"/>
  </r>
  <r>
    <x v="44"/>
    <x v="4"/>
    <n v="1.55"/>
    <n v="5000"/>
    <n v="7750"/>
  </r>
  <r>
    <x v="45"/>
    <x v="19"/>
    <n v="0.55000000000000004"/>
    <n v="1400"/>
    <n v="770"/>
  </r>
  <r>
    <x v="45"/>
    <x v="16"/>
    <n v="0.55000000000000004"/>
    <n v="1800"/>
    <n v="990"/>
  </r>
  <r>
    <x v="45"/>
    <x v="17"/>
    <n v="1.05"/>
    <n v="1500"/>
    <n v="1575"/>
  </r>
  <r>
    <x v="45"/>
    <x v="5"/>
    <n v="5.05"/>
    <n v="1000"/>
    <n v="5050"/>
  </r>
  <r>
    <x v="45"/>
    <x v="21"/>
    <n v="3.9"/>
    <n v="1600"/>
    <n v="6240"/>
  </r>
  <r>
    <x v="45"/>
    <x v="9"/>
    <n v="19.95"/>
    <n v="1000"/>
    <n v="19950"/>
  </r>
  <r>
    <x v="46"/>
    <x v="9"/>
    <n v="9.25"/>
    <n v="1000"/>
    <n v="9250"/>
  </r>
  <r>
    <x v="46"/>
    <x v="8"/>
    <n v="2.5"/>
    <n v="500"/>
    <n v="1250"/>
  </r>
  <r>
    <x v="46"/>
    <x v="11"/>
    <n v="0.05"/>
    <n v="800"/>
    <n v="40"/>
  </r>
  <r>
    <x v="46"/>
    <x v="3"/>
    <n v="1.07"/>
    <n v="300"/>
    <n v="321"/>
  </r>
  <r>
    <x v="46"/>
    <x v="14"/>
    <n v="0.7"/>
    <n v="1000"/>
    <n v="700"/>
  </r>
  <r>
    <x v="46"/>
    <x v="7"/>
    <n v="7.3"/>
    <n v="800"/>
    <n v="5840"/>
  </r>
  <r>
    <x v="46"/>
    <x v="5"/>
    <n v="2"/>
    <n v="1000"/>
    <n v="2000"/>
  </r>
  <r>
    <x v="46"/>
    <x v="10"/>
    <n v="0.95"/>
    <n v="150"/>
    <n v="143"/>
  </r>
  <r>
    <x v="46"/>
    <x v="2"/>
    <n v="1.2"/>
    <n v="1000"/>
    <n v="1200"/>
  </r>
  <r>
    <x v="46"/>
    <x v="24"/>
    <n v="0.65"/>
    <n v="3500"/>
    <n v="2275"/>
  </r>
  <r>
    <x v="46"/>
    <x v="12"/>
    <n v="0.55000000000000004"/>
    <n v="2500"/>
    <n v="1375"/>
  </r>
  <r>
    <x v="46"/>
    <x v="17"/>
    <n v="0.35"/>
    <n v="1500"/>
    <n v="525"/>
  </r>
  <r>
    <x v="46"/>
    <x v="4"/>
    <n v="1.6"/>
    <n v="5000"/>
    <n v="8000"/>
  </r>
  <r>
    <x v="46"/>
    <x v="13"/>
    <n v="0.95"/>
    <n v="2800"/>
    <n v="2660"/>
  </r>
  <r>
    <x v="46"/>
    <x v="29"/>
    <n v="0.3"/>
    <n v="3500"/>
    <n v="1050"/>
  </r>
  <r>
    <x v="47"/>
    <x v="3"/>
    <n v="1"/>
    <n v="300"/>
    <n v="300"/>
  </r>
  <r>
    <x v="47"/>
    <x v="21"/>
    <n v="1.73"/>
    <n v="1600"/>
    <n v="2768"/>
  </r>
  <r>
    <x v="48"/>
    <x v="3"/>
    <n v="1.5"/>
    <n v="300"/>
    <n v="450"/>
  </r>
  <r>
    <x v="49"/>
    <x v="2"/>
    <n v="4.5"/>
    <n v="1000"/>
    <n v="4500"/>
  </r>
  <r>
    <x v="50"/>
    <x v="3"/>
    <n v="0.5"/>
    <n v="300"/>
    <n v="150"/>
  </r>
  <r>
    <x v="51"/>
    <x v="4"/>
    <n v="15.2"/>
    <n v="7000"/>
    <n v="106400"/>
  </r>
  <r>
    <x v="52"/>
    <x v="4"/>
    <n v="45.050000000000004"/>
    <n v="7000"/>
    <n v="315350.0000000000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n v="0.05"/>
    <n v="1000"/>
    <n v="50"/>
  </r>
  <r>
    <x v="0"/>
    <x v="1"/>
    <n v="0.3"/>
    <n v="150"/>
    <n v="45"/>
  </r>
  <r>
    <x v="0"/>
    <x v="2"/>
    <n v="0.15"/>
    <n v="2500"/>
    <n v="375"/>
  </r>
  <r>
    <x v="0"/>
    <x v="3"/>
    <n v="0.15"/>
    <n v="1800"/>
    <n v="270"/>
  </r>
  <r>
    <x v="0"/>
    <x v="4"/>
    <n v="0.8"/>
    <n v="1000"/>
    <n v="800"/>
  </r>
  <r>
    <x v="0"/>
    <x v="5"/>
    <n v="0.4"/>
    <n v="500"/>
    <n v="200"/>
  </r>
  <r>
    <x v="0"/>
    <x v="6"/>
    <n v="8"/>
    <n v="800"/>
    <n v="6400"/>
  </r>
  <r>
    <x v="0"/>
    <x v="7"/>
    <n v="0.6"/>
    <n v="5000"/>
    <n v="3000"/>
  </r>
  <r>
    <x v="1"/>
    <x v="7"/>
    <n v="1.1499999999999999"/>
    <n v="5000"/>
    <n v="5750"/>
  </r>
  <r>
    <x v="1"/>
    <x v="0"/>
    <n v="0.4"/>
    <n v="1000"/>
    <n v="400"/>
  </r>
  <r>
    <x v="1"/>
    <x v="8"/>
    <n v="0.05"/>
    <n v="1600"/>
    <n v="80"/>
  </r>
  <r>
    <x v="1"/>
    <x v="5"/>
    <n v="1.75"/>
    <n v="500"/>
    <n v="875"/>
  </r>
  <r>
    <x v="1"/>
    <x v="9"/>
    <n v="0.85"/>
    <n v="300"/>
    <n v="255"/>
  </r>
  <r>
    <x v="1"/>
    <x v="10"/>
    <n v="0.45"/>
    <n v="2800"/>
    <n v="1260"/>
  </r>
  <r>
    <x v="2"/>
    <x v="11"/>
    <n v="0.4"/>
    <n v="1400"/>
    <n v="560"/>
  </r>
  <r>
    <x v="2"/>
    <x v="12"/>
    <n v="0.35"/>
    <n v="8000"/>
    <n v="2800"/>
  </r>
  <r>
    <x v="2"/>
    <x v="1"/>
    <n v="0.75"/>
    <n v="150"/>
    <n v="113"/>
  </r>
  <r>
    <x v="2"/>
    <x v="4"/>
    <n v="0.6"/>
    <n v="1000"/>
    <n v="600"/>
  </r>
  <r>
    <x v="2"/>
    <x v="0"/>
    <n v="4.0999999999999996"/>
    <n v="1000"/>
    <n v="4100"/>
  </r>
  <r>
    <x v="2"/>
    <x v="13"/>
    <n v="0.1"/>
    <n v="2500"/>
    <n v="250"/>
  </r>
  <r>
    <x v="2"/>
    <x v="9"/>
    <n v="0.6"/>
    <n v="300"/>
    <n v="180"/>
  </r>
  <r>
    <x v="2"/>
    <x v="14"/>
    <n v="0.25"/>
    <n v="500"/>
    <n v="125"/>
  </r>
  <r>
    <x v="2"/>
    <x v="10"/>
    <n v="0.65"/>
    <n v="2800"/>
    <n v="1820"/>
  </r>
  <r>
    <x v="3"/>
    <x v="4"/>
    <n v="1.1499999999999999"/>
    <n v="1000"/>
    <n v="1150"/>
  </r>
  <r>
    <x v="3"/>
    <x v="9"/>
    <n v="1.35"/>
    <n v="300"/>
    <n v="405"/>
  </r>
  <r>
    <x v="3"/>
    <x v="15"/>
    <n v="0.65"/>
    <n v="1000"/>
    <n v="650"/>
  </r>
  <r>
    <x v="4"/>
    <x v="1"/>
    <n v="0.3"/>
    <n v="150"/>
    <n v="45"/>
  </r>
  <r>
    <x v="4"/>
    <x v="2"/>
    <n v="1.2"/>
    <n v="2500"/>
    <n v="3000"/>
  </r>
  <r>
    <x v="4"/>
    <x v="16"/>
    <n v="0.15"/>
    <n v="500"/>
    <n v="75"/>
  </r>
  <r>
    <x v="4"/>
    <x v="9"/>
    <n v="0.6"/>
    <n v="300"/>
    <n v="180"/>
  </r>
  <r>
    <x v="4"/>
    <x v="13"/>
    <n v="0.1"/>
    <n v="2500"/>
    <n v="250"/>
  </r>
  <r>
    <x v="4"/>
    <x v="0"/>
    <n v="1.75"/>
    <n v="1000"/>
    <n v="1750"/>
  </r>
  <r>
    <x v="4"/>
    <x v="10"/>
    <n v="0.7"/>
    <n v="2800"/>
    <n v="1960"/>
  </r>
  <r>
    <x v="4"/>
    <x v="4"/>
    <n v="2.85"/>
    <n v="1000"/>
    <n v="2850"/>
  </r>
  <r>
    <x v="5"/>
    <x v="4"/>
    <n v="10.75"/>
    <n v="1000"/>
    <n v="10750"/>
  </r>
  <r>
    <x v="5"/>
    <x v="12"/>
    <n v="0.1"/>
    <n v="8000"/>
    <n v="800"/>
  </r>
  <r>
    <x v="5"/>
    <x v="8"/>
    <n v="0.5"/>
    <n v="1600"/>
    <n v="800"/>
  </r>
  <r>
    <x v="5"/>
    <x v="11"/>
    <n v="1.55"/>
    <n v="1400"/>
    <n v="2170"/>
  </r>
  <r>
    <x v="5"/>
    <x v="5"/>
    <n v="5.0999999999999996"/>
    <n v="500"/>
    <n v="2550"/>
  </r>
  <r>
    <x v="5"/>
    <x v="1"/>
    <n v="0.7"/>
    <n v="150"/>
    <n v="105"/>
  </r>
  <r>
    <x v="5"/>
    <x v="17"/>
    <n v="0.25"/>
    <n v="1500"/>
    <n v="375"/>
  </r>
  <r>
    <x v="5"/>
    <x v="15"/>
    <n v="0.2"/>
    <n v="1000"/>
    <n v="200"/>
  </r>
  <r>
    <x v="5"/>
    <x v="9"/>
    <n v="5.0999999999999996"/>
    <n v="300"/>
    <n v="1530"/>
  </r>
  <r>
    <x v="5"/>
    <x v="0"/>
    <n v="1.65"/>
    <n v="1000"/>
    <n v="1650"/>
  </r>
  <r>
    <x v="5"/>
    <x v="14"/>
    <n v="2.5499999999999998"/>
    <n v="500"/>
    <n v="1275"/>
  </r>
  <r>
    <x v="5"/>
    <x v="10"/>
    <n v="3.3"/>
    <n v="2800"/>
    <n v="9240"/>
  </r>
  <r>
    <x v="6"/>
    <x v="10"/>
    <n v="2.4"/>
    <n v="2800"/>
    <n v="6720"/>
  </r>
  <r>
    <x v="6"/>
    <x v="15"/>
    <n v="0.4"/>
    <n v="1000"/>
    <n v="400"/>
  </r>
  <r>
    <x v="6"/>
    <x v="1"/>
    <n v="0.55000000000000004"/>
    <n v="150"/>
    <n v="83"/>
  </r>
  <r>
    <x v="6"/>
    <x v="9"/>
    <n v="0.8"/>
    <n v="300"/>
    <n v="240"/>
  </r>
  <r>
    <x v="7"/>
    <x v="14"/>
    <n v="0.15"/>
    <n v="500"/>
    <n v="75"/>
  </r>
  <r>
    <x v="7"/>
    <x v="9"/>
    <n v="0.2"/>
    <n v="300"/>
    <n v="60"/>
  </r>
  <r>
    <x v="7"/>
    <x v="18"/>
    <n v="0.75"/>
    <n v="1600"/>
    <n v="1200"/>
  </r>
  <r>
    <x v="7"/>
    <x v="1"/>
    <n v="1.45"/>
    <n v="150"/>
    <n v="218"/>
  </r>
  <r>
    <x v="7"/>
    <x v="0"/>
    <n v="0.8"/>
    <n v="1000"/>
    <n v="800"/>
  </r>
  <r>
    <x v="8"/>
    <x v="0"/>
    <n v="0.3"/>
    <n v="1000"/>
    <n v="300"/>
  </r>
  <r>
    <x v="8"/>
    <x v="10"/>
    <n v="1.8"/>
    <n v="2800"/>
    <n v="5040"/>
  </r>
  <r>
    <x v="8"/>
    <x v="1"/>
    <n v="0.25"/>
    <n v="150"/>
    <n v="38"/>
  </r>
  <r>
    <x v="8"/>
    <x v="4"/>
    <n v="0.2"/>
    <n v="1000"/>
    <n v="200"/>
  </r>
  <r>
    <x v="8"/>
    <x v="5"/>
    <n v="0.9"/>
    <n v="500"/>
    <n v="450"/>
  </r>
  <r>
    <x v="8"/>
    <x v="14"/>
    <n v="0.2"/>
    <n v="500"/>
    <n v="100"/>
  </r>
  <r>
    <x v="8"/>
    <x v="0"/>
    <n v="2"/>
    <n v="1000"/>
    <n v="2000"/>
  </r>
  <r>
    <x v="8"/>
    <x v="17"/>
    <n v="0.45"/>
    <n v="1500"/>
    <n v="675"/>
  </r>
  <r>
    <x v="9"/>
    <x v="17"/>
    <n v="0.3"/>
    <n v="1500"/>
    <n v="450"/>
  </r>
  <r>
    <x v="9"/>
    <x v="0"/>
    <n v="0.6"/>
    <n v="1000"/>
    <n v="600"/>
  </r>
  <r>
    <x v="9"/>
    <x v="9"/>
    <n v="0.25"/>
    <n v="300"/>
    <n v="75"/>
  </r>
  <r>
    <x v="9"/>
    <x v="14"/>
    <n v="0.3"/>
    <n v="500"/>
    <n v="150"/>
  </r>
  <r>
    <x v="9"/>
    <x v="19"/>
    <n v="0.05"/>
    <n v="800"/>
    <n v="40"/>
  </r>
  <r>
    <x v="9"/>
    <x v="20"/>
    <n v="0.1"/>
    <n v="3500"/>
    <n v="350"/>
  </r>
  <r>
    <x v="9"/>
    <x v="10"/>
    <n v="0.3"/>
    <n v="2800"/>
    <n v="840"/>
  </r>
  <r>
    <x v="9"/>
    <x v="4"/>
    <n v="3.9"/>
    <n v="1000"/>
    <n v="3900"/>
  </r>
  <r>
    <x v="10"/>
    <x v="4"/>
    <n v="1.2"/>
    <n v="1000"/>
    <n v="1200"/>
  </r>
  <r>
    <x v="10"/>
    <x v="10"/>
    <n v="1.35"/>
    <n v="2800"/>
    <n v="3780"/>
  </r>
  <r>
    <x v="10"/>
    <x v="1"/>
    <n v="1.55"/>
    <n v="150"/>
    <n v="233"/>
  </r>
  <r>
    <x v="10"/>
    <x v="13"/>
    <n v="0.15"/>
    <n v="2500"/>
    <n v="375"/>
  </r>
  <r>
    <x v="10"/>
    <x v="9"/>
    <n v="1.4"/>
    <n v="300"/>
    <n v="420"/>
  </r>
  <r>
    <x v="10"/>
    <x v="5"/>
    <n v="1.35"/>
    <n v="500"/>
    <n v="675"/>
  </r>
  <r>
    <x v="10"/>
    <x v="17"/>
    <n v="0.3"/>
    <n v="1500"/>
    <n v="450"/>
  </r>
  <r>
    <x v="10"/>
    <x v="0"/>
    <n v="1.3"/>
    <n v="1000"/>
    <n v="1300"/>
  </r>
  <r>
    <x v="11"/>
    <x v="0"/>
    <n v="1.3"/>
    <n v="1000"/>
    <n v="1300"/>
  </r>
  <r>
    <x v="11"/>
    <x v="17"/>
    <n v="0.65"/>
    <n v="1500"/>
    <n v="975"/>
  </r>
  <r>
    <x v="11"/>
    <x v="9"/>
    <n v="0.65"/>
    <n v="300"/>
    <n v="195"/>
  </r>
  <r>
    <x v="11"/>
    <x v="14"/>
    <n v="0.45"/>
    <n v="500"/>
    <n v="225"/>
  </r>
  <r>
    <x v="11"/>
    <x v="4"/>
    <n v="2"/>
    <n v="1000"/>
    <n v="2000"/>
  </r>
  <r>
    <x v="12"/>
    <x v="6"/>
    <n v="7.35"/>
    <n v="800"/>
    <n v="5880"/>
  </r>
  <r>
    <x v="12"/>
    <x v="4"/>
    <n v="6.6"/>
    <n v="1000"/>
    <n v="6600"/>
  </r>
  <r>
    <x v="12"/>
    <x v="5"/>
    <n v="1.4"/>
    <n v="500"/>
    <n v="700"/>
  </r>
  <r>
    <x v="12"/>
    <x v="20"/>
    <n v="0.4"/>
    <n v="3500"/>
    <n v="1400"/>
  </r>
  <r>
    <x v="12"/>
    <x v="13"/>
    <n v="0.25"/>
    <n v="2500"/>
    <n v="625"/>
  </r>
  <r>
    <x v="12"/>
    <x v="15"/>
    <n v="0.8"/>
    <n v="1000"/>
    <n v="800"/>
  </r>
  <r>
    <x v="12"/>
    <x v="1"/>
    <n v="1.3"/>
    <n v="150"/>
    <n v="195"/>
  </r>
  <r>
    <x v="12"/>
    <x v="17"/>
    <n v="1.05"/>
    <n v="1500"/>
    <n v="1575"/>
  </r>
  <r>
    <x v="12"/>
    <x v="0"/>
    <n v="1"/>
    <n v="1000"/>
    <n v="1000"/>
  </r>
  <r>
    <x v="12"/>
    <x v="14"/>
    <n v="0.3"/>
    <n v="500"/>
    <n v="150"/>
  </r>
  <r>
    <x v="12"/>
    <x v="18"/>
    <n v="0.3"/>
    <n v="1600"/>
    <n v="480"/>
  </r>
  <r>
    <x v="12"/>
    <x v="9"/>
    <n v="2"/>
    <n v="300"/>
    <n v="600"/>
  </r>
  <r>
    <x v="12"/>
    <x v="10"/>
    <n v="5.15"/>
    <n v="2800"/>
    <n v="14420"/>
  </r>
  <r>
    <x v="12"/>
    <x v="8"/>
    <n v="0.75"/>
    <n v="1600"/>
    <n v="1200"/>
  </r>
  <r>
    <x v="12"/>
    <x v="7"/>
    <n v="0.95"/>
    <n v="5000"/>
    <n v="4750"/>
  </r>
  <r>
    <x v="8"/>
    <x v="4"/>
    <n v="6.6"/>
    <n v="1000"/>
    <n v="6600"/>
  </r>
  <r>
    <x v="8"/>
    <x v="21"/>
    <n v="1.45"/>
    <n v="1000"/>
    <n v="1450"/>
  </r>
  <r>
    <x v="8"/>
    <x v="22"/>
    <n v="0.3"/>
    <n v="400"/>
    <n v="120"/>
  </r>
  <r>
    <x v="13"/>
    <x v="15"/>
    <n v="2.4"/>
    <n v="1000"/>
    <n v="2400"/>
  </r>
  <r>
    <x v="13"/>
    <x v="4"/>
    <n v="7.1"/>
    <n v="1000"/>
    <n v="7100"/>
  </r>
  <r>
    <x v="14"/>
    <x v="4"/>
    <n v="1.4"/>
    <n v="1000"/>
    <n v="1400"/>
  </r>
  <r>
    <x v="14"/>
    <x v="0"/>
    <n v="0.55000000000000004"/>
    <n v="1000"/>
    <n v="550"/>
  </r>
  <r>
    <x v="14"/>
    <x v="10"/>
    <n v="0.6"/>
    <n v="2800"/>
    <n v="1680"/>
  </r>
  <r>
    <x v="15"/>
    <x v="10"/>
    <n v="1.55"/>
    <n v="2800"/>
    <n v="4340"/>
  </r>
  <r>
    <x v="15"/>
    <x v="18"/>
    <n v="0.4"/>
    <n v="1600"/>
    <n v="640"/>
  </r>
  <r>
    <x v="15"/>
    <x v="9"/>
    <n v="0.85"/>
    <n v="300"/>
    <n v="255"/>
  </r>
  <r>
    <x v="16"/>
    <x v="23"/>
    <n v="0.45"/>
    <n v="150"/>
    <n v="68"/>
  </r>
  <r>
    <x v="16"/>
    <x v="5"/>
    <n v="2.8"/>
    <n v="500"/>
    <n v="1400"/>
  </r>
  <r>
    <x v="16"/>
    <x v="20"/>
    <n v="0.3"/>
    <n v="3500"/>
    <n v="1050"/>
  </r>
  <r>
    <x v="16"/>
    <x v="14"/>
    <n v="0.45"/>
    <n v="500"/>
    <n v="225"/>
  </r>
  <r>
    <x v="16"/>
    <x v="24"/>
    <n v="0.35"/>
    <n v="1400"/>
    <n v="490"/>
  </r>
  <r>
    <x v="16"/>
    <x v="3"/>
    <n v="0.45"/>
    <n v="1800"/>
    <n v="810"/>
  </r>
  <r>
    <x v="16"/>
    <x v="12"/>
    <n v="0.1"/>
    <n v="8000"/>
    <n v="800"/>
  </r>
  <r>
    <x v="16"/>
    <x v="13"/>
    <n v="0.45"/>
    <n v="2500"/>
    <n v="1125"/>
  </r>
  <r>
    <x v="16"/>
    <x v="0"/>
    <n v="0.4"/>
    <n v="1000"/>
    <n v="400"/>
  </r>
  <r>
    <x v="16"/>
    <x v="10"/>
    <n v="2.2000000000000002"/>
    <n v="2800"/>
    <n v="6160"/>
  </r>
  <r>
    <x v="16"/>
    <x v="4"/>
    <n v="18.2"/>
    <n v="1000"/>
    <n v="18200"/>
  </r>
  <r>
    <x v="17"/>
    <x v="14"/>
    <n v="0.4"/>
    <n v="500"/>
    <n v="200"/>
  </r>
  <r>
    <x v="17"/>
    <x v="7"/>
    <n v="8.5"/>
    <n v="5000"/>
    <n v="42500"/>
  </r>
  <r>
    <x v="17"/>
    <x v="10"/>
    <n v="0.45"/>
    <n v="2800"/>
    <n v="1260"/>
  </r>
  <r>
    <x v="17"/>
    <x v="9"/>
    <n v="0.75"/>
    <n v="300"/>
    <n v="225"/>
  </r>
  <r>
    <x v="17"/>
    <x v="0"/>
    <n v="0.6"/>
    <n v="1000"/>
    <n v="600"/>
  </r>
  <r>
    <x v="18"/>
    <x v="25"/>
    <n v="1"/>
    <n v="13000"/>
    <n v="13000"/>
  </r>
  <r>
    <x v="19"/>
    <x v="5"/>
    <n v="0.2"/>
    <n v="500"/>
    <n v="100"/>
  </r>
  <r>
    <x v="19"/>
    <x v="1"/>
    <n v="0.65"/>
    <n v="150"/>
    <n v="98"/>
  </r>
  <r>
    <x v="19"/>
    <x v="15"/>
    <n v="0.7"/>
    <n v="1000"/>
    <n v="700"/>
  </r>
  <r>
    <x v="19"/>
    <x v="0"/>
    <n v="0.25"/>
    <n v="1000"/>
    <n v="250"/>
  </r>
  <r>
    <x v="19"/>
    <x v="14"/>
    <n v="0.2"/>
    <n v="500"/>
    <n v="100"/>
  </r>
  <r>
    <x v="19"/>
    <x v="17"/>
    <n v="0.25"/>
    <n v="1500"/>
    <n v="375"/>
  </r>
  <r>
    <x v="19"/>
    <x v="9"/>
    <n v="0.25"/>
    <n v="300"/>
    <n v="75"/>
  </r>
  <r>
    <x v="19"/>
    <x v="4"/>
    <n v="1.2"/>
    <n v="1000"/>
    <n v="1200"/>
  </r>
  <r>
    <x v="20"/>
    <x v="17"/>
    <n v="0.65"/>
    <n v="1500"/>
    <n v="975"/>
  </r>
  <r>
    <x v="20"/>
    <x v="5"/>
    <n v="1.3"/>
    <n v="500"/>
    <n v="650"/>
  </r>
  <r>
    <x v="20"/>
    <x v="15"/>
    <n v="1"/>
    <n v="1000"/>
    <n v="1000"/>
  </r>
  <r>
    <x v="21"/>
    <x v="26"/>
    <n v="0.7"/>
    <n v="2700"/>
    <n v="1890"/>
  </r>
  <r>
    <x v="21"/>
    <x v="10"/>
    <n v="1.35"/>
    <n v="2800"/>
    <n v="3780"/>
  </r>
  <r>
    <x v="21"/>
    <x v="5"/>
    <n v="0.1"/>
    <n v="500"/>
    <n v="50"/>
  </r>
  <r>
    <x v="21"/>
    <x v="0"/>
    <n v="1.45"/>
    <n v="1000"/>
    <n v="1450"/>
  </r>
  <r>
    <x v="21"/>
    <x v="15"/>
    <n v="0.6"/>
    <n v="1000"/>
    <n v="600"/>
  </r>
  <r>
    <x v="21"/>
    <x v="4"/>
    <n v="2.5"/>
    <n v="1000"/>
    <n v="2500"/>
  </r>
  <r>
    <x v="22"/>
    <x v="15"/>
    <n v="2.35"/>
    <n v="1000"/>
    <n v="2350"/>
  </r>
  <r>
    <x v="22"/>
    <x v="9"/>
    <n v="1.45"/>
    <n v="300"/>
    <n v="435"/>
  </r>
  <r>
    <x v="22"/>
    <x v="4"/>
    <n v="0.35"/>
    <n v="1000"/>
    <n v="350"/>
  </r>
  <r>
    <x v="22"/>
    <x v="10"/>
    <n v="0.65"/>
    <n v="2800"/>
    <n v="1820"/>
  </r>
  <r>
    <x v="22"/>
    <x v="14"/>
    <n v="0.2"/>
    <n v="500"/>
    <n v="100"/>
  </r>
  <r>
    <x v="22"/>
    <x v="13"/>
    <n v="0.45"/>
    <n v="2500"/>
    <n v="1125"/>
  </r>
  <r>
    <x v="23"/>
    <x v="9"/>
    <n v="1.25"/>
    <n v="300"/>
    <n v="375"/>
  </r>
  <r>
    <x v="23"/>
    <x v="4"/>
    <n v="0.4"/>
    <n v="1000"/>
    <n v="400"/>
  </r>
  <r>
    <x v="23"/>
    <x v="18"/>
    <n v="0.25"/>
    <n v="1600"/>
    <n v="400"/>
  </r>
  <r>
    <x v="23"/>
    <x v="1"/>
    <n v="0.35"/>
    <n v="150"/>
    <n v="53"/>
  </r>
  <r>
    <x v="23"/>
    <x v="0"/>
    <n v="0.35"/>
    <n v="1000"/>
    <n v="350"/>
  </r>
  <r>
    <x v="23"/>
    <x v="13"/>
    <n v="0.3"/>
    <n v="2500"/>
    <n v="750"/>
  </r>
  <r>
    <x v="23"/>
    <x v="17"/>
    <n v="0.5"/>
    <n v="1500"/>
    <n v="750"/>
  </r>
  <r>
    <x v="23"/>
    <x v="7"/>
    <n v="14.1"/>
    <n v="5000"/>
    <n v="70500"/>
  </r>
  <r>
    <x v="23"/>
    <x v="14"/>
    <n v="0.25"/>
    <n v="500"/>
    <n v="125"/>
  </r>
  <r>
    <x v="23"/>
    <x v="6"/>
    <n v="6.45"/>
    <n v="800"/>
    <n v="5160"/>
  </r>
  <r>
    <x v="23"/>
    <x v="10"/>
    <n v="1.95"/>
    <n v="2800"/>
    <n v="5460"/>
  </r>
  <r>
    <x v="24"/>
    <x v="10"/>
    <n v="0.4"/>
    <n v="2800"/>
    <n v="1120"/>
  </r>
  <r>
    <x v="24"/>
    <x v="13"/>
    <n v="0.25"/>
    <n v="2500"/>
    <n v="625"/>
  </r>
  <r>
    <x v="24"/>
    <x v="14"/>
    <n v="0.3"/>
    <n v="500"/>
    <n v="150"/>
  </r>
  <r>
    <x v="24"/>
    <x v="9"/>
    <n v="0.25"/>
    <n v="300"/>
    <n v="75"/>
  </r>
  <r>
    <x v="24"/>
    <x v="15"/>
    <n v="1.1499999999999999"/>
    <n v="1000"/>
    <n v="1150"/>
  </r>
  <r>
    <x v="24"/>
    <x v="1"/>
    <n v="1.85"/>
    <n v="150"/>
    <n v="278"/>
  </r>
  <r>
    <x v="24"/>
    <x v="0"/>
    <n v="1"/>
    <n v="1000"/>
    <n v="1000"/>
  </r>
  <r>
    <x v="24"/>
    <x v="4"/>
    <n v="1.1499999999999999"/>
    <n v="1000"/>
    <n v="1150"/>
  </r>
  <r>
    <x v="18"/>
    <x v="14"/>
    <n v="0.8"/>
    <n v="500"/>
    <n v="400"/>
  </r>
  <r>
    <x v="18"/>
    <x v="9"/>
    <n v="0.2"/>
    <n v="300"/>
    <n v="60"/>
  </r>
  <r>
    <x v="18"/>
    <x v="0"/>
    <n v="2.7"/>
    <n v="1000"/>
    <n v="2700"/>
  </r>
  <r>
    <x v="18"/>
    <x v="6"/>
    <n v="1.2"/>
    <n v="800"/>
    <n v="960"/>
  </r>
  <r>
    <x v="18"/>
    <x v="5"/>
    <n v="0.4"/>
    <n v="500"/>
    <n v="200"/>
  </r>
  <r>
    <x v="18"/>
    <x v="0"/>
    <n v="0.85"/>
    <n v="1000"/>
    <n v="850"/>
  </r>
  <r>
    <x v="18"/>
    <x v="3"/>
    <n v="2.35"/>
    <n v="1800"/>
    <n v="4230"/>
  </r>
  <r>
    <x v="18"/>
    <x v="4"/>
    <n v="12.75"/>
    <n v="1000"/>
    <n v="12750"/>
  </r>
  <r>
    <x v="25"/>
    <x v="5"/>
    <n v="0.7"/>
    <n v="500"/>
    <n v="350"/>
  </r>
  <r>
    <x v="25"/>
    <x v="4"/>
    <n v="6.65"/>
    <n v="1000"/>
    <n v="6650"/>
  </r>
  <r>
    <x v="25"/>
    <x v="9"/>
    <n v="0.8"/>
    <n v="300"/>
    <n v="240"/>
  </r>
  <r>
    <x v="25"/>
    <x v="17"/>
    <n v="0.15"/>
    <n v="1500"/>
    <n v="225"/>
  </r>
  <r>
    <x v="25"/>
    <x v="0"/>
    <n v="1.1000000000000001"/>
    <n v="1000"/>
    <n v="1100"/>
  </r>
  <r>
    <x v="25"/>
    <x v="1"/>
    <n v="0.3"/>
    <n v="150"/>
    <n v="45"/>
  </r>
  <r>
    <x v="25"/>
    <x v="10"/>
    <n v="1.25"/>
    <n v="2800"/>
    <n v="3500"/>
  </r>
  <r>
    <x v="25"/>
    <x v="15"/>
    <n v="0.55000000000000004"/>
    <n v="1000"/>
    <n v="550"/>
  </r>
  <r>
    <x v="25"/>
    <x v="14"/>
    <n v="1"/>
    <n v="500"/>
    <n v="500"/>
  </r>
  <r>
    <x v="26"/>
    <x v="13"/>
    <n v="0.25"/>
    <n v="2500"/>
    <n v="625"/>
  </r>
  <r>
    <x v="26"/>
    <x v="11"/>
    <n v="3.65"/>
    <n v="1400"/>
    <n v="5110"/>
  </r>
  <r>
    <x v="26"/>
    <x v="6"/>
    <n v="4.7"/>
    <n v="800"/>
    <n v="3760"/>
  </r>
  <r>
    <x v="26"/>
    <x v="18"/>
    <n v="0.3"/>
    <n v="1600"/>
    <n v="480"/>
  </r>
  <r>
    <x v="26"/>
    <x v="0"/>
    <n v="1.95"/>
    <n v="1000"/>
    <n v="1950"/>
  </r>
  <r>
    <x v="26"/>
    <x v="8"/>
    <n v="0.4"/>
    <n v="1600"/>
    <n v="640"/>
  </r>
  <r>
    <x v="26"/>
    <x v="5"/>
    <n v="1.45"/>
    <n v="500"/>
    <n v="725"/>
  </r>
  <r>
    <x v="26"/>
    <x v="1"/>
    <n v="1.5"/>
    <n v="150"/>
    <n v="225"/>
  </r>
  <r>
    <x v="26"/>
    <x v="0"/>
    <n v="0.85"/>
    <n v="1000"/>
    <n v="850"/>
  </r>
  <r>
    <x v="26"/>
    <x v="10"/>
    <n v="0.45"/>
    <n v="2800"/>
    <n v="1260"/>
  </r>
  <r>
    <x v="26"/>
    <x v="9"/>
    <n v="0.7"/>
    <n v="300"/>
    <n v="210"/>
  </r>
  <r>
    <x v="27"/>
    <x v="7"/>
    <n v="5.4"/>
    <n v="5000"/>
    <n v="27000"/>
  </r>
  <r>
    <x v="27"/>
    <x v="1"/>
    <n v="6.8"/>
    <n v="150"/>
    <n v="1020"/>
  </r>
  <r>
    <x v="28"/>
    <x v="9"/>
    <n v="1.05"/>
    <n v="300"/>
    <n v="315"/>
  </r>
  <r>
    <x v="28"/>
    <x v="17"/>
    <n v="0.3"/>
    <n v="1500"/>
    <n v="450"/>
  </r>
  <r>
    <x v="28"/>
    <x v="12"/>
    <n v="0.1"/>
    <n v="8000"/>
    <n v="800"/>
  </r>
  <r>
    <x v="28"/>
    <x v="0"/>
    <n v="1.7"/>
    <n v="1000"/>
    <n v="1700"/>
  </r>
  <r>
    <x v="28"/>
    <x v="13"/>
    <n v="0.45"/>
    <n v="2500"/>
    <n v="1125"/>
  </r>
  <r>
    <x v="28"/>
    <x v="10"/>
    <n v="1.5"/>
    <n v="2800"/>
    <n v="4200"/>
  </r>
  <r>
    <x v="28"/>
    <x v="5"/>
    <n v="3.3"/>
    <n v="500"/>
    <n v="1650"/>
  </r>
  <r>
    <x v="28"/>
    <x v="4"/>
    <n v="3.3"/>
    <n v="1000"/>
    <n v="3300"/>
  </r>
  <r>
    <x v="28"/>
    <x v="7"/>
    <n v="3.7"/>
    <n v="5000"/>
    <n v="18500"/>
  </r>
  <r>
    <x v="29"/>
    <x v="4"/>
    <n v="0.6"/>
    <n v="1000"/>
    <n v="600"/>
  </r>
  <r>
    <x v="29"/>
    <x v="18"/>
    <n v="4.1500000000000004"/>
    <n v="1600"/>
    <n v="6640"/>
  </r>
  <r>
    <x v="30"/>
    <x v="4"/>
    <n v="5.2"/>
    <n v="1000"/>
    <n v="5200"/>
  </r>
  <r>
    <x v="30"/>
    <x v="5"/>
    <n v="0.45"/>
    <n v="500"/>
    <n v="225"/>
  </r>
  <r>
    <x v="30"/>
    <x v="3"/>
    <n v="0.15"/>
    <n v="1800"/>
    <n v="270"/>
  </r>
  <r>
    <x v="30"/>
    <x v="14"/>
    <n v="0.25"/>
    <n v="500"/>
    <n v="125"/>
  </r>
  <r>
    <x v="30"/>
    <x v="0"/>
    <n v="0.4"/>
    <n v="1000"/>
    <n v="400"/>
  </r>
  <r>
    <x v="30"/>
    <x v="9"/>
    <n v="0.35"/>
    <n v="300"/>
    <n v="105"/>
  </r>
  <r>
    <x v="30"/>
    <x v="13"/>
    <n v="0.3"/>
    <n v="2500"/>
    <n v="750"/>
  </r>
  <r>
    <x v="30"/>
    <x v="7"/>
    <n v="1.4"/>
    <n v="5000"/>
    <n v="7000"/>
  </r>
  <r>
    <x v="30"/>
    <x v="10"/>
    <n v="2.15"/>
    <n v="2800"/>
    <n v="6020"/>
  </r>
  <r>
    <x v="31"/>
    <x v="4"/>
    <n v="4.5999999999999996"/>
    <n v="1000"/>
    <n v="4600"/>
  </r>
  <r>
    <x v="31"/>
    <x v="9"/>
    <n v="0.45"/>
    <n v="300"/>
    <n v="135"/>
  </r>
  <r>
    <x v="31"/>
    <x v="0"/>
    <n v="0.85"/>
    <n v="1000"/>
    <n v="850"/>
  </r>
  <r>
    <x v="31"/>
    <x v="1"/>
    <n v="1.6"/>
    <n v="150"/>
    <n v="240"/>
  </r>
  <r>
    <x v="31"/>
    <x v="13"/>
    <n v="0.25"/>
    <n v="2500"/>
    <n v="625"/>
  </r>
  <r>
    <x v="31"/>
    <x v="5"/>
    <n v="1.95"/>
    <n v="500"/>
    <n v="975"/>
  </r>
  <r>
    <x v="31"/>
    <x v="17"/>
    <n v="0.8"/>
    <n v="1500"/>
    <n v="1200"/>
  </r>
  <r>
    <x v="31"/>
    <x v="10"/>
    <n v="1.85"/>
    <n v="2800"/>
    <n v="5180"/>
  </r>
  <r>
    <x v="32"/>
    <x v="14"/>
    <n v="0.35"/>
    <n v="500"/>
    <n v="175"/>
  </r>
  <r>
    <x v="32"/>
    <x v="9"/>
    <n v="1.35"/>
    <n v="300"/>
    <n v="405"/>
  </r>
  <r>
    <x v="32"/>
    <x v="13"/>
    <n v="0.35"/>
    <n v="2500"/>
    <n v="875"/>
  </r>
  <r>
    <x v="32"/>
    <x v="27"/>
    <n v="0.3"/>
    <n v="3500"/>
    <n v="1050"/>
  </r>
  <r>
    <x v="32"/>
    <x v="12"/>
    <n v="0.2"/>
    <n v="8000"/>
    <n v="1600"/>
  </r>
  <r>
    <x v="32"/>
    <x v="0"/>
    <n v="1.95"/>
    <n v="1000"/>
    <n v="1950"/>
  </r>
  <r>
    <x v="32"/>
    <x v="5"/>
    <n v="0.85"/>
    <n v="500"/>
    <n v="425"/>
  </r>
  <r>
    <x v="32"/>
    <x v="10"/>
    <n v="1"/>
    <n v="2800"/>
    <n v="2800"/>
  </r>
  <r>
    <x v="33"/>
    <x v="0"/>
    <n v="2.85"/>
    <n v="1000"/>
    <n v="2850"/>
  </r>
  <r>
    <x v="33"/>
    <x v="4"/>
    <n v="0.35"/>
    <n v="1000"/>
    <n v="350"/>
  </r>
  <r>
    <x v="33"/>
    <x v="5"/>
    <n v="1.1000000000000001"/>
    <n v="500"/>
    <n v="550"/>
  </r>
  <r>
    <x v="33"/>
    <x v="9"/>
    <n v="3.35"/>
    <n v="300"/>
    <n v="1005"/>
  </r>
  <r>
    <x v="33"/>
    <x v="22"/>
    <n v="1.9"/>
    <n v="400"/>
    <n v="760"/>
  </r>
  <r>
    <x v="33"/>
    <x v="14"/>
    <n v="0.8"/>
    <n v="500"/>
    <n v="400"/>
  </r>
  <r>
    <x v="33"/>
    <x v="15"/>
    <n v="0.75"/>
    <n v="1000"/>
    <n v="750"/>
  </r>
  <r>
    <x v="34"/>
    <x v="4"/>
    <n v="18"/>
    <n v="1000"/>
    <n v="18000"/>
  </r>
  <r>
    <x v="34"/>
    <x v="10"/>
    <n v="2.65"/>
    <n v="2800"/>
    <n v="7420"/>
  </r>
  <r>
    <x v="34"/>
    <x v="6"/>
    <n v="10.15"/>
    <n v="800"/>
    <n v="8120"/>
  </r>
  <r>
    <x v="34"/>
    <x v="11"/>
    <n v="3.3"/>
    <n v="1400"/>
    <n v="4620"/>
  </r>
  <r>
    <x v="34"/>
    <x v="5"/>
    <n v="6.5"/>
    <n v="500"/>
    <n v="3250"/>
  </r>
  <r>
    <x v="34"/>
    <x v="0"/>
    <n v="1.4"/>
    <n v="1000"/>
    <n v="1400"/>
  </r>
  <r>
    <x v="34"/>
    <x v="15"/>
    <n v="4"/>
    <n v="1000"/>
    <n v="4000"/>
  </r>
  <r>
    <x v="34"/>
    <x v="17"/>
    <n v="0.45"/>
    <n v="1500"/>
    <n v="675"/>
  </r>
  <r>
    <x v="34"/>
    <x v="2"/>
    <n v="2.0499999999999998"/>
    <n v="2500"/>
    <n v="5125"/>
  </r>
  <r>
    <x v="34"/>
    <x v="1"/>
    <n v="1"/>
    <n v="150"/>
    <n v="150"/>
  </r>
  <r>
    <x v="34"/>
    <x v="13"/>
    <n v="0.45"/>
    <n v="2500"/>
    <n v="1125"/>
  </r>
  <r>
    <x v="34"/>
    <x v="9"/>
    <n v="2.6"/>
    <n v="300"/>
    <n v="780"/>
  </r>
  <r>
    <x v="34"/>
    <x v="14"/>
    <n v="0.5"/>
    <n v="500"/>
    <n v="250"/>
  </r>
  <r>
    <x v="35"/>
    <x v="5"/>
    <n v="3"/>
    <n v="500"/>
    <n v="1500"/>
  </r>
  <r>
    <x v="35"/>
    <x v="7"/>
    <n v="0.45"/>
    <n v="5000"/>
    <n v="2250"/>
  </r>
  <r>
    <x v="35"/>
    <x v="22"/>
    <n v="0.55000000000000004"/>
    <n v="400"/>
    <n v="220"/>
  </r>
  <r>
    <x v="35"/>
    <x v="17"/>
    <n v="1.8"/>
    <n v="1500"/>
    <n v="2700"/>
  </r>
  <r>
    <x v="35"/>
    <x v="13"/>
    <n v="0.2"/>
    <n v="2500"/>
    <n v="500"/>
  </r>
  <r>
    <x v="35"/>
    <x v="9"/>
    <n v="1.1499999999999999"/>
    <n v="300"/>
    <n v="345"/>
  </r>
  <r>
    <x v="35"/>
    <x v="14"/>
    <n v="2.65"/>
    <n v="500"/>
    <n v="1325"/>
  </r>
  <r>
    <x v="35"/>
    <x v="3"/>
    <n v="1.1499999999999999"/>
    <n v="1800"/>
    <n v="2070"/>
  </r>
  <r>
    <x v="35"/>
    <x v="15"/>
    <n v="3.85"/>
    <n v="1000"/>
    <n v="3850"/>
  </r>
  <r>
    <x v="35"/>
    <x v="0"/>
    <n v="2.95"/>
    <n v="1000"/>
    <n v="2950"/>
  </r>
  <r>
    <x v="35"/>
    <x v="1"/>
    <n v="1.65"/>
    <n v="150"/>
    <n v="248"/>
  </r>
  <r>
    <x v="35"/>
    <x v="10"/>
    <n v="1.85"/>
    <n v="2800"/>
    <n v="5180"/>
  </r>
  <r>
    <x v="35"/>
    <x v="4"/>
    <n v="8.9"/>
    <n v="1000"/>
    <n v="8900"/>
  </r>
  <r>
    <x v="36"/>
    <x v="19"/>
    <n v="0.05"/>
    <n v="800"/>
    <n v="40"/>
  </r>
  <r>
    <x v="36"/>
    <x v="0"/>
    <n v="1.2"/>
    <n v="1000"/>
    <n v="1200"/>
  </r>
  <r>
    <x v="36"/>
    <x v="14"/>
    <n v="1.6"/>
    <n v="500"/>
    <n v="800"/>
  </r>
  <r>
    <x v="36"/>
    <x v="5"/>
    <n v="2.0499999999999998"/>
    <n v="500"/>
    <n v="1025"/>
  </r>
  <r>
    <x v="36"/>
    <x v="3"/>
    <n v="0.25"/>
    <n v="1800"/>
    <n v="450"/>
  </r>
  <r>
    <x v="36"/>
    <x v="10"/>
    <n v="0.75"/>
    <n v="2800"/>
    <n v="2100"/>
  </r>
  <r>
    <x v="36"/>
    <x v="9"/>
    <n v="1.95"/>
    <n v="300"/>
    <n v="585"/>
  </r>
  <r>
    <x v="37"/>
    <x v="4"/>
    <n v="0.3"/>
    <n v="1000"/>
    <n v="300"/>
  </r>
  <r>
    <x v="37"/>
    <x v="5"/>
    <n v="1.4"/>
    <n v="500"/>
    <n v="700"/>
  </r>
  <r>
    <x v="37"/>
    <x v="1"/>
    <n v="2.95"/>
    <n v="150"/>
    <n v="443"/>
  </r>
  <r>
    <x v="37"/>
    <x v="15"/>
    <n v="0.6"/>
    <n v="1000"/>
    <n v="600"/>
  </r>
  <r>
    <x v="37"/>
    <x v="9"/>
    <n v="1.55"/>
    <n v="300"/>
    <n v="465"/>
  </r>
  <r>
    <x v="37"/>
    <x v="7"/>
    <n v="4.45"/>
    <n v="5000"/>
    <n v="22250"/>
  </r>
  <r>
    <x v="38"/>
    <x v="9"/>
    <n v="5.7"/>
    <n v="300"/>
    <n v="1710"/>
  </r>
  <r>
    <x v="38"/>
    <x v="15"/>
    <n v="3.55"/>
    <n v="1000"/>
    <n v="3550"/>
  </r>
  <r>
    <x v="38"/>
    <x v="17"/>
    <n v="1.4"/>
    <n v="1500"/>
    <n v="2100"/>
  </r>
  <r>
    <x v="38"/>
    <x v="10"/>
    <n v="3.35"/>
    <n v="2800"/>
    <n v="9380"/>
  </r>
  <r>
    <x v="38"/>
    <x v="5"/>
    <n v="7.9"/>
    <n v="500"/>
    <n v="3950"/>
  </r>
  <r>
    <x v="38"/>
    <x v="4"/>
    <n v="12.75"/>
    <n v="1000"/>
    <n v="12750"/>
  </r>
  <r>
    <x v="39"/>
    <x v="8"/>
    <n v="0.25"/>
    <n v="1600"/>
    <n v="400"/>
  </r>
  <r>
    <x v="39"/>
    <x v="15"/>
    <n v="1.3"/>
    <n v="1000"/>
    <n v="1300"/>
  </r>
  <r>
    <x v="39"/>
    <x v="3"/>
    <n v="0.2"/>
    <n v="1800"/>
    <n v="360"/>
  </r>
  <r>
    <x v="39"/>
    <x v="2"/>
    <n v="0.25"/>
    <n v="2500"/>
    <n v="625"/>
  </r>
  <r>
    <x v="39"/>
    <x v="0"/>
    <n v="0.35"/>
    <n v="1000"/>
    <n v="350"/>
  </r>
  <r>
    <x v="39"/>
    <x v="4"/>
    <n v="3.45"/>
    <n v="1000"/>
    <n v="3450"/>
  </r>
  <r>
    <x v="39"/>
    <x v="17"/>
    <n v="0.9"/>
    <n v="1500"/>
    <n v="1350"/>
  </r>
  <r>
    <x v="39"/>
    <x v="5"/>
    <n v="1.95"/>
    <n v="500"/>
    <n v="975"/>
  </r>
  <r>
    <x v="39"/>
    <x v="9"/>
    <n v="1.1000000000000001"/>
    <n v="300"/>
    <n v="330"/>
  </r>
  <r>
    <x v="39"/>
    <x v="1"/>
    <n v="3.25"/>
    <n v="150"/>
    <n v="488"/>
  </r>
  <r>
    <x v="39"/>
    <x v="20"/>
    <n v="0.65"/>
    <n v="3500"/>
    <n v="2275"/>
  </r>
  <r>
    <x v="39"/>
    <x v="10"/>
    <n v="1.7"/>
    <n v="2800"/>
    <n v="4760"/>
  </r>
  <r>
    <x v="40"/>
    <x v="0"/>
    <n v="0.6"/>
    <n v="1000"/>
    <n v="600"/>
  </r>
  <r>
    <x v="40"/>
    <x v="14"/>
    <n v="0.1"/>
    <n v="500"/>
    <n v="50"/>
  </r>
  <r>
    <x v="40"/>
    <x v="1"/>
    <n v="0.95"/>
    <n v="150"/>
    <n v="143"/>
  </r>
  <r>
    <x v="40"/>
    <x v="8"/>
    <n v="0.3"/>
    <n v="1600"/>
    <n v="480"/>
  </r>
  <r>
    <x v="40"/>
    <x v="4"/>
    <n v="0.35"/>
    <n v="1000"/>
    <n v="350"/>
  </r>
  <r>
    <x v="40"/>
    <x v="5"/>
    <n v="1"/>
    <n v="500"/>
    <n v="500"/>
  </r>
  <r>
    <x v="40"/>
    <x v="11"/>
    <n v="0.65"/>
    <n v="1400"/>
    <n v="910"/>
  </r>
  <r>
    <x v="40"/>
    <x v="6"/>
    <n v="5.75"/>
    <n v="800"/>
    <n v="4600"/>
  </r>
  <r>
    <x v="40"/>
    <x v="13"/>
    <n v="0.25"/>
    <n v="2500"/>
    <n v="625"/>
  </r>
  <r>
    <x v="40"/>
    <x v="9"/>
    <n v="1.05"/>
    <n v="300"/>
    <n v="315"/>
  </r>
  <r>
    <x v="40"/>
    <x v="10"/>
    <n v="1.7"/>
    <n v="2800"/>
    <n v="4760"/>
  </r>
  <r>
    <x v="40"/>
    <x v="7"/>
    <n v="1.85"/>
    <n v="5000"/>
    <n v="9250"/>
  </r>
  <r>
    <x v="41"/>
    <x v="10"/>
    <n v="2.2000000000000002"/>
    <n v="2800"/>
    <n v="6160"/>
  </r>
  <r>
    <x v="41"/>
    <x v="13"/>
    <n v="0.2"/>
    <n v="2500"/>
    <n v="500"/>
  </r>
  <r>
    <x v="41"/>
    <x v="15"/>
    <n v="0.9"/>
    <n v="1000"/>
    <n v="900"/>
  </r>
  <r>
    <x v="41"/>
    <x v="8"/>
    <n v="0.25"/>
    <n v="1600"/>
    <n v="400"/>
  </r>
  <r>
    <x v="41"/>
    <x v="5"/>
    <n v="1.2"/>
    <n v="500"/>
    <n v="600"/>
  </r>
  <r>
    <x v="41"/>
    <x v="14"/>
    <n v="0.05"/>
    <n v="500"/>
    <n v="25"/>
  </r>
  <r>
    <x v="41"/>
    <x v="9"/>
    <n v="0.4"/>
    <n v="300"/>
    <n v="120"/>
  </r>
  <r>
    <x v="41"/>
    <x v="14"/>
    <n v="0.05"/>
    <n v="500"/>
    <n v="25"/>
  </r>
  <r>
    <x v="41"/>
    <x v="19"/>
    <n v="0.05"/>
    <n v="800"/>
    <n v="40"/>
  </r>
  <r>
    <x v="41"/>
    <x v="9"/>
    <n v="0.7"/>
    <n v="300"/>
    <n v="210"/>
  </r>
  <r>
    <x v="41"/>
    <x v="4"/>
    <n v="8"/>
    <n v="1000"/>
    <n v="8000"/>
  </r>
  <r>
    <x v="42"/>
    <x v="1"/>
    <n v="0.6"/>
    <n v="150"/>
    <n v="90"/>
  </r>
  <r>
    <x v="42"/>
    <x v="15"/>
    <n v="1.4"/>
    <n v="1000"/>
    <n v="1400"/>
  </r>
  <r>
    <x v="42"/>
    <x v="27"/>
    <n v="1.05"/>
    <n v="3500"/>
    <n v="3675"/>
  </r>
  <r>
    <x v="42"/>
    <x v="13"/>
    <n v="0.1"/>
    <n v="2500"/>
    <n v="250"/>
  </r>
  <r>
    <x v="42"/>
    <x v="20"/>
    <n v="0.1"/>
    <n v="3500"/>
    <n v="350"/>
  </r>
  <r>
    <x v="42"/>
    <x v="10"/>
    <n v="0.5"/>
    <n v="2800"/>
    <n v="1400"/>
  </r>
  <r>
    <x v="42"/>
    <x v="9"/>
    <n v="2.4"/>
    <n v="300"/>
    <n v="720"/>
  </r>
  <r>
    <x v="42"/>
    <x v="4"/>
    <n v="8.6"/>
    <n v="1000"/>
    <n v="8600"/>
  </r>
  <r>
    <x v="43"/>
    <x v="9"/>
    <n v="2.65"/>
    <n v="300"/>
    <n v="795"/>
  </r>
  <r>
    <x v="44"/>
    <x v="4"/>
    <n v="3"/>
    <n v="1000"/>
    <n v="3000"/>
  </r>
  <r>
    <x v="44"/>
    <x v="9"/>
    <n v="2.7"/>
    <n v="300"/>
    <n v="810"/>
  </r>
  <r>
    <x v="45"/>
    <x v="9"/>
    <n v="1.05"/>
    <n v="300"/>
    <n v="315"/>
  </r>
  <r>
    <x v="46"/>
    <x v="9"/>
    <n v="3.65"/>
    <n v="300"/>
    <n v="1095"/>
  </r>
  <r>
    <x v="46"/>
    <x v="15"/>
    <n v="2.95"/>
    <n v="1000"/>
    <n v="14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n v="1"/>
    <n v="500"/>
    <n v="500"/>
  </r>
  <r>
    <x v="0"/>
    <x v="1"/>
    <n v="0.65"/>
    <n v="300"/>
    <n v="195"/>
  </r>
  <r>
    <x v="0"/>
    <x v="2"/>
    <n v="2.95"/>
    <n v="150"/>
    <n v="443"/>
  </r>
  <r>
    <x v="0"/>
    <x v="3"/>
    <n v="2.4500000000000002"/>
    <n v="1000"/>
    <n v="2450"/>
  </r>
  <r>
    <x v="1"/>
    <x v="4"/>
    <n v="1"/>
    <n v="2800"/>
    <n v="2800"/>
  </r>
  <r>
    <x v="1"/>
    <x v="0"/>
    <n v="0.25"/>
    <n v="500"/>
    <n v="125"/>
  </r>
  <r>
    <x v="1"/>
    <x v="5"/>
    <n v="0.65"/>
    <n v="1000"/>
    <n v="650"/>
  </r>
  <r>
    <x v="1"/>
    <x v="6"/>
    <n v="1.3"/>
    <n v="1000"/>
    <n v="1300"/>
  </r>
  <r>
    <x v="1"/>
    <x v="7"/>
    <n v="0.45"/>
    <n v="500"/>
    <n v="225"/>
  </r>
  <r>
    <x v="1"/>
    <x v="8"/>
    <n v="0.1"/>
    <n v="3500"/>
    <n v="350"/>
  </r>
  <r>
    <x v="1"/>
    <x v="2"/>
    <n v="0.55000000000000004"/>
    <n v="150"/>
    <n v="83"/>
  </r>
  <r>
    <x v="1"/>
    <x v="9"/>
    <n v="0.6"/>
    <n v="1500"/>
    <n v="900"/>
  </r>
  <r>
    <x v="1"/>
    <x v="1"/>
    <n v="0.65"/>
    <n v="300"/>
    <n v="195"/>
  </r>
  <r>
    <x v="2"/>
    <x v="3"/>
    <n v="22.95"/>
    <n v="1000"/>
    <n v="22950"/>
  </r>
  <r>
    <x v="3"/>
    <x v="10"/>
    <n v="5"/>
    <n v="800"/>
    <n v="4000"/>
  </r>
  <r>
    <x v="3"/>
    <x v="6"/>
    <n v="1.25"/>
    <n v="1000"/>
    <n v="1250"/>
  </r>
  <r>
    <x v="3"/>
    <x v="3"/>
    <n v="1.25"/>
    <n v="1000"/>
    <n v="1250"/>
  </r>
  <r>
    <x v="4"/>
    <x v="6"/>
    <n v="0.15"/>
    <n v="1000"/>
    <n v="150"/>
  </r>
  <r>
    <x v="4"/>
    <x v="2"/>
    <n v="1.1499999999999999"/>
    <n v="150"/>
    <n v="173"/>
  </r>
  <r>
    <x v="4"/>
    <x v="7"/>
    <n v="1.25"/>
    <n v="500"/>
    <n v="625"/>
  </r>
  <r>
    <x v="4"/>
    <x v="4"/>
    <n v="0.55000000000000004"/>
    <n v="2800"/>
    <n v="1540"/>
  </r>
  <r>
    <x v="4"/>
    <x v="1"/>
    <n v="0.1"/>
    <n v="300"/>
    <n v="30"/>
  </r>
  <r>
    <x v="4"/>
    <x v="0"/>
    <n v="0.15"/>
    <n v="500"/>
    <n v="75"/>
  </r>
  <r>
    <x v="5"/>
    <x v="6"/>
    <n v="0.85"/>
    <n v="1000"/>
    <n v="850"/>
  </r>
  <r>
    <x v="5"/>
    <x v="7"/>
    <n v="0.5"/>
    <n v="500"/>
    <n v="250"/>
  </r>
  <r>
    <x v="5"/>
    <x v="3"/>
    <n v="0.25"/>
    <n v="1000"/>
    <n v="250"/>
  </r>
  <r>
    <x v="5"/>
    <x v="1"/>
    <n v="0.95"/>
    <n v="300"/>
    <n v="285"/>
  </r>
  <r>
    <x v="5"/>
    <x v="11"/>
    <n v="0.1"/>
    <n v="2500"/>
    <n v="250"/>
  </r>
  <r>
    <x v="5"/>
    <x v="4"/>
    <n v="1"/>
    <n v="2800"/>
    <n v="2800"/>
  </r>
  <r>
    <x v="6"/>
    <x v="4"/>
    <n v="1.5"/>
    <n v="2800"/>
    <n v="4200"/>
  </r>
  <r>
    <x v="7"/>
    <x v="9"/>
    <n v="0.15"/>
    <n v="1500"/>
    <n v="225"/>
  </r>
  <r>
    <x v="8"/>
    <x v="1"/>
    <n v="2.35"/>
    <n v="300"/>
    <n v="705"/>
  </r>
  <r>
    <x v="9"/>
    <x v="12"/>
    <n v="6.85"/>
    <n v="5000"/>
    <n v="34250"/>
  </r>
  <r>
    <x v="9"/>
    <x v="11"/>
    <n v="1.65"/>
    <n v="2500"/>
    <n v="4125"/>
  </r>
  <r>
    <x v="9"/>
    <x v="1"/>
    <n v="2.0499999999999998"/>
    <n v="300"/>
    <n v="615"/>
  </r>
  <r>
    <x v="9"/>
    <x v="7"/>
    <n v="0.05"/>
    <n v="500"/>
    <n v="25"/>
  </r>
  <r>
    <x v="9"/>
    <x v="0"/>
    <n v="1.95"/>
    <n v="500"/>
    <n v="975"/>
  </r>
  <r>
    <x v="9"/>
    <x v="4"/>
    <n v="1.95"/>
    <n v="2800"/>
    <n v="5460"/>
  </r>
  <r>
    <x v="9"/>
    <x v="5"/>
    <n v="4.55"/>
    <n v="1000"/>
    <n v="4550"/>
  </r>
  <r>
    <x v="10"/>
    <x v="1"/>
    <n v="0.65"/>
    <n v="300"/>
    <n v="195"/>
  </r>
  <r>
    <x v="10"/>
    <x v="0"/>
    <n v="0.6"/>
    <n v="500"/>
    <n v="300"/>
  </r>
  <r>
    <x v="10"/>
    <x v="7"/>
    <n v="1.85"/>
    <n v="500"/>
    <n v="925"/>
  </r>
  <r>
    <x v="10"/>
    <x v="9"/>
    <n v="1.3"/>
    <n v="1500"/>
    <n v="1950"/>
  </r>
  <r>
    <x v="11"/>
    <x v="1"/>
    <n v="1.3"/>
    <n v="300"/>
    <n v="390"/>
  </r>
  <r>
    <x v="11"/>
    <x v="13"/>
    <n v="0.15"/>
    <n v="8000"/>
    <n v="1200"/>
  </r>
  <r>
    <x v="11"/>
    <x v="9"/>
    <n v="0.15"/>
    <n v="1500"/>
    <n v="225"/>
  </r>
  <r>
    <x v="11"/>
    <x v="2"/>
    <n v="3.55"/>
    <n v="150"/>
    <n v="533"/>
  </r>
  <r>
    <x v="11"/>
    <x v="6"/>
    <n v="2.65"/>
    <n v="1000"/>
    <n v="2650"/>
  </r>
  <r>
    <x v="11"/>
    <x v="5"/>
    <n v="2.1"/>
    <n v="1000"/>
    <n v="2100"/>
  </r>
  <r>
    <x v="11"/>
    <x v="7"/>
    <n v="0.45"/>
    <n v="500"/>
    <n v="225"/>
  </r>
  <r>
    <x v="9"/>
    <x v="9"/>
    <n v="0.35"/>
    <n v="1500"/>
    <n v="525"/>
  </r>
  <r>
    <x v="12"/>
    <x v="3"/>
    <n v="1.9"/>
    <n v="1000"/>
    <n v="1900"/>
  </r>
  <r>
    <x v="12"/>
    <x v="11"/>
    <n v="0.25"/>
    <n v="2500"/>
    <n v="625"/>
  </r>
  <r>
    <x v="13"/>
    <x v="7"/>
    <n v="0.5"/>
    <n v="500"/>
    <n v="250"/>
  </r>
  <r>
    <x v="13"/>
    <x v="11"/>
    <n v="0.1"/>
    <n v="2500"/>
    <n v="250"/>
  </r>
  <r>
    <x v="13"/>
    <x v="0"/>
    <n v="0.2"/>
    <n v="500"/>
    <n v="100"/>
  </r>
  <r>
    <x v="13"/>
    <x v="1"/>
    <n v="0.15"/>
    <n v="300"/>
    <n v="45"/>
  </r>
  <r>
    <x v="13"/>
    <x v="4"/>
    <n v="0.5"/>
    <n v="2800"/>
    <n v="1400"/>
  </r>
  <r>
    <x v="13"/>
    <x v="5"/>
    <n v="1"/>
    <n v="1000"/>
    <n v="1000"/>
  </r>
  <r>
    <x v="14"/>
    <x v="6"/>
    <n v="0.4"/>
    <n v="1000"/>
    <n v="400"/>
  </r>
  <r>
    <x v="14"/>
    <x v="9"/>
    <n v="0.45"/>
    <n v="1500"/>
    <n v="675"/>
  </r>
  <r>
    <x v="14"/>
    <x v="4"/>
    <n v="0.4"/>
    <n v="2800"/>
    <n v="1120"/>
  </r>
  <r>
    <x v="14"/>
    <x v="0"/>
    <n v="0.5"/>
    <n v="500"/>
    <n v="250"/>
  </r>
  <r>
    <x v="14"/>
    <x v="1"/>
    <n v="0.95"/>
    <n v="300"/>
    <n v="285"/>
  </r>
  <r>
    <x v="9"/>
    <x v="5"/>
    <n v="1.3"/>
    <n v="1000"/>
    <n v="1300"/>
  </r>
  <r>
    <x v="9"/>
    <x v="7"/>
    <n v="2.2999999999999998"/>
    <n v="500"/>
    <n v="1150"/>
  </r>
  <r>
    <x v="9"/>
    <x v="9"/>
    <n v="0.1"/>
    <n v="1500"/>
    <n v="150"/>
  </r>
  <r>
    <x v="9"/>
    <x v="14"/>
    <n v="0.35"/>
    <n v="1800"/>
    <n v="630"/>
  </r>
  <r>
    <x v="9"/>
    <x v="2"/>
    <n v="1.1499999999999999"/>
    <n v="150"/>
    <n v="173"/>
  </r>
  <r>
    <x v="9"/>
    <x v="6"/>
    <n v="3.25"/>
    <n v="1000"/>
    <n v="3250"/>
  </r>
  <r>
    <x v="9"/>
    <x v="15"/>
    <n v="0.55000000000000004"/>
    <n v="1600"/>
    <n v="880"/>
  </r>
  <r>
    <x v="9"/>
    <x v="4"/>
    <n v="1.05"/>
    <n v="2800"/>
    <n v="2940"/>
  </r>
  <r>
    <x v="15"/>
    <x v="6"/>
    <n v="2.7"/>
    <n v="1000"/>
    <n v="2700"/>
  </r>
  <r>
    <x v="15"/>
    <x v="3"/>
    <n v="0.65"/>
    <n v="1000"/>
    <n v="650"/>
  </r>
  <r>
    <x v="15"/>
    <x v="0"/>
    <n v="0.3"/>
    <n v="500"/>
    <n v="150"/>
  </r>
  <r>
    <x v="15"/>
    <x v="1"/>
    <n v="0.7"/>
    <n v="300"/>
    <n v="210"/>
  </r>
  <r>
    <x v="15"/>
    <x v="4"/>
    <n v="1.05"/>
    <n v="2800"/>
    <n v="2940"/>
  </r>
  <r>
    <x v="15"/>
    <x v="5"/>
    <n v="4.4000000000000004"/>
    <n v="1000"/>
    <n v="4400"/>
  </r>
  <r>
    <x v="15"/>
    <x v="16"/>
    <n v="0.1"/>
    <n v="400"/>
    <n v="40"/>
  </r>
  <r>
    <x v="16"/>
    <x v="12"/>
    <n v="5.55"/>
    <n v="5000"/>
    <n v="27750"/>
  </r>
  <r>
    <x v="16"/>
    <x v="1"/>
    <n v="2.85"/>
    <n v="300"/>
    <n v="855"/>
  </r>
  <r>
    <x v="16"/>
    <x v="3"/>
    <n v="1.05"/>
    <n v="1000"/>
    <n v="1050"/>
  </r>
  <r>
    <x v="16"/>
    <x v="7"/>
    <n v="0.4"/>
    <n v="500"/>
    <n v="200"/>
  </r>
  <r>
    <x v="16"/>
    <x v="5"/>
    <n v="1.3"/>
    <n v="1000"/>
    <n v="1300"/>
  </r>
  <r>
    <x v="16"/>
    <x v="11"/>
    <n v="0.35"/>
    <n v="2500"/>
    <n v="875"/>
  </r>
  <r>
    <x v="17"/>
    <x v="1"/>
    <n v="0.9"/>
    <n v="300"/>
    <n v="270"/>
  </r>
  <r>
    <x v="17"/>
    <x v="17"/>
    <n v="2.85"/>
    <n v="1600"/>
    <n v="4560"/>
  </r>
  <r>
    <x v="18"/>
    <x v="5"/>
    <n v="12.85"/>
    <n v="1000"/>
    <n v="12850"/>
  </r>
  <r>
    <x v="18"/>
    <x v="1"/>
    <n v="0.75"/>
    <n v="300"/>
    <n v="225"/>
  </r>
  <r>
    <x v="18"/>
    <x v="4"/>
    <n v="0.25"/>
    <n v="2800"/>
    <n v="700"/>
  </r>
  <r>
    <x v="18"/>
    <x v="12"/>
    <n v="1.85"/>
    <n v="5000"/>
    <n v="9250"/>
  </r>
  <r>
    <x v="18"/>
    <x v="9"/>
    <n v="0.6"/>
    <n v="1500"/>
    <n v="900"/>
  </r>
  <r>
    <x v="18"/>
    <x v="6"/>
    <n v="1.1000000000000001"/>
    <n v="1000"/>
    <n v="1100"/>
  </r>
  <r>
    <x v="19"/>
    <x v="3"/>
    <n v="0.3"/>
    <n v="1000"/>
    <n v="300"/>
  </r>
  <r>
    <x v="19"/>
    <x v="11"/>
    <n v="0.15"/>
    <n v="2500"/>
    <n v="375"/>
  </r>
  <r>
    <x v="19"/>
    <x v="5"/>
    <n v="0.65"/>
    <n v="1000"/>
    <n v="650"/>
  </r>
  <r>
    <x v="19"/>
    <x v="7"/>
    <n v="0.9"/>
    <n v="500"/>
    <n v="450"/>
  </r>
  <r>
    <x v="19"/>
    <x v="6"/>
    <n v="0.8"/>
    <n v="1000"/>
    <n v="800"/>
  </r>
  <r>
    <x v="19"/>
    <x v="1"/>
    <n v="0.95"/>
    <n v="300"/>
    <n v="285"/>
  </r>
  <r>
    <x v="19"/>
    <x v="9"/>
    <n v="0.3"/>
    <n v="1500"/>
    <n v="450"/>
  </r>
  <r>
    <x v="19"/>
    <x v="4"/>
    <n v="0.9"/>
    <n v="2800"/>
    <n v="2520"/>
  </r>
  <r>
    <x v="19"/>
    <x v="15"/>
    <n v="0.25"/>
    <n v="1600"/>
    <n v="400"/>
  </r>
  <r>
    <x v="20"/>
    <x v="6"/>
    <n v="0.2"/>
    <n v="1000"/>
    <n v="200"/>
  </r>
  <r>
    <x v="20"/>
    <x v="2"/>
    <n v="0.8"/>
    <n v="150"/>
    <n v="120"/>
  </r>
  <r>
    <x v="20"/>
    <x v="9"/>
    <n v="0.9"/>
    <n v="1500"/>
    <n v="1350"/>
  </r>
  <r>
    <x v="20"/>
    <x v="0"/>
    <n v="0.45"/>
    <n v="500"/>
    <n v="225"/>
  </r>
  <r>
    <x v="20"/>
    <x v="18"/>
    <n v="0.5"/>
    <n v="3500"/>
    <n v="1750"/>
  </r>
  <r>
    <x v="20"/>
    <x v="7"/>
    <n v="2.5"/>
    <n v="500"/>
    <n v="1250"/>
  </r>
  <r>
    <x v="20"/>
    <x v="17"/>
    <n v="0.55000000000000004"/>
    <n v="1600"/>
    <n v="880"/>
  </r>
  <r>
    <x v="20"/>
    <x v="1"/>
    <n v="0.5"/>
    <n v="300"/>
    <n v="150"/>
  </r>
  <r>
    <x v="20"/>
    <x v="4"/>
    <n v="0.95"/>
    <n v="2800"/>
    <n v="2660"/>
  </r>
  <r>
    <x v="20"/>
    <x v="13"/>
    <n v="0.05"/>
    <n v="8000"/>
    <n v="400"/>
  </r>
  <r>
    <x v="21"/>
    <x v="3"/>
    <n v="3"/>
    <n v="1000"/>
    <n v="3000"/>
  </r>
  <r>
    <x v="21"/>
    <x v="1"/>
    <n v="1"/>
    <n v="300"/>
    <n v="300"/>
  </r>
  <r>
    <x v="21"/>
    <x v="2"/>
    <n v="1.5"/>
    <n v="150"/>
    <n v="225"/>
  </r>
  <r>
    <x v="21"/>
    <x v="19"/>
    <n v="0.35"/>
    <n v="1000"/>
    <n v="350"/>
  </r>
  <r>
    <x v="21"/>
    <x v="7"/>
    <n v="1.05"/>
    <n v="500"/>
    <n v="525"/>
  </r>
  <r>
    <x v="21"/>
    <x v="5"/>
    <n v="1.6"/>
    <n v="1000"/>
    <n v="1600"/>
  </r>
  <r>
    <x v="21"/>
    <x v="4"/>
    <n v="0.85"/>
    <n v="2800"/>
    <n v="2380"/>
  </r>
  <r>
    <x v="21"/>
    <x v="10"/>
    <n v="4.0999999999999996"/>
    <n v="800"/>
    <n v="3280"/>
  </r>
  <r>
    <x v="21"/>
    <x v="20"/>
    <n v="21.55"/>
    <n v="1400"/>
    <n v="30170"/>
  </r>
  <r>
    <x v="7"/>
    <x v="12"/>
    <n v="1.9"/>
    <n v="5000"/>
    <n v="9500"/>
  </r>
  <r>
    <x v="7"/>
    <x v="2"/>
    <n v="0.45"/>
    <n v="150"/>
    <n v="68"/>
  </r>
  <r>
    <x v="7"/>
    <x v="5"/>
    <n v="1.45"/>
    <n v="1000"/>
    <n v="1450"/>
  </r>
  <r>
    <x v="7"/>
    <x v="7"/>
    <n v="0.8"/>
    <n v="500"/>
    <n v="400"/>
  </r>
  <r>
    <x v="7"/>
    <x v="11"/>
    <n v="0.2"/>
    <n v="2500"/>
    <n v="500"/>
  </r>
  <r>
    <x v="7"/>
    <x v="0"/>
    <n v="0.7"/>
    <n v="500"/>
    <n v="350"/>
  </r>
  <r>
    <x v="7"/>
    <x v="1"/>
    <n v="0.9"/>
    <n v="300"/>
    <n v="270"/>
  </r>
  <r>
    <x v="7"/>
    <x v="9"/>
    <n v="0.15"/>
    <n v="1500"/>
    <n v="225"/>
  </r>
  <r>
    <x v="7"/>
    <x v="6"/>
    <n v="0.8"/>
    <n v="1000"/>
    <n v="800"/>
  </r>
  <r>
    <x v="7"/>
    <x v="4"/>
    <n v="2.5499999999999998"/>
    <n v="2800"/>
    <n v="7140"/>
  </r>
  <r>
    <x v="6"/>
    <x v="2"/>
    <n v="0.95"/>
    <n v="150"/>
    <n v="143"/>
  </r>
  <r>
    <x v="6"/>
    <x v="10"/>
    <n v="1.1000000000000001"/>
    <n v="800"/>
    <n v="880"/>
  </r>
  <r>
    <x v="6"/>
    <x v="0"/>
    <n v="0.7"/>
    <n v="500"/>
    <n v="350"/>
  </r>
  <r>
    <x v="6"/>
    <x v="1"/>
    <n v="1.3"/>
    <n v="300"/>
    <n v="390"/>
  </r>
  <r>
    <x v="6"/>
    <x v="18"/>
    <n v="0.25"/>
    <n v="3500"/>
    <n v="875"/>
  </r>
  <r>
    <x v="6"/>
    <x v="15"/>
    <n v="0.9"/>
    <n v="1600"/>
    <n v="1440"/>
  </r>
  <r>
    <x v="6"/>
    <x v="6"/>
    <n v="5.3"/>
    <n v="1000"/>
    <n v="5300"/>
  </r>
  <r>
    <x v="6"/>
    <x v="7"/>
    <n v="2"/>
    <n v="500"/>
    <n v="1000"/>
  </r>
  <r>
    <x v="6"/>
    <x v="5"/>
    <n v="19.8"/>
    <n v="1000"/>
    <n v="19800"/>
  </r>
  <r>
    <x v="6"/>
    <x v="11"/>
    <n v="0.35"/>
    <n v="2500"/>
    <n v="875"/>
  </r>
  <r>
    <x v="6"/>
    <x v="8"/>
    <n v="0.1"/>
    <n v="3500"/>
    <n v="350"/>
  </r>
  <r>
    <x v="6"/>
    <x v="4"/>
    <n v="3.05"/>
    <n v="2800"/>
    <n v="8540"/>
  </r>
  <r>
    <x v="6"/>
    <x v="12"/>
    <n v="4.5"/>
    <n v="5000"/>
    <n v="22500"/>
  </r>
  <r>
    <x v="22"/>
    <x v="0"/>
    <n v="0.25"/>
    <n v="500"/>
    <n v="125"/>
  </r>
  <r>
    <x v="22"/>
    <x v="1"/>
    <n v="0.4"/>
    <n v="300"/>
    <n v="120"/>
  </r>
  <r>
    <x v="22"/>
    <x v="11"/>
    <n v="0.05"/>
    <n v="2500"/>
    <n v="125"/>
  </r>
  <r>
    <x v="22"/>
    <x v="8"/>
    <n v="0.1"/>
    <n v="3500"/>
    <n v="350"/>
  </r>
  <r>
    <x v="22"/>
    <x v="7"/>
    <n v="0.45"/>
    <n v="500"/>
    <n v="225"/>
  </r>
  <r>
    <x v="22"/>
    <x v="15"/>
    <n v="0.5"/>
    <n v="1600"/>
    <n v="800"/>
  </r>
  <r>
    <x v="22"/>
    <x v="20"/>
    <n v="8.25"/>
    <n v="1400"/>
    <n v="11550"/>
  </r>
  <r>
    <x v="22"/>
    <x v="10"/>
    <n v="2.2999999999999998"/>
    <n v="800"/>
    <n v="1840"/>
  </r>
  <r>
    <x v="22"/>
    <x v="5"/>
    <n v="3.15"/>
    <n v="1000"/>
    <n v="3150"/>
  </r>
  <r>
    <x v="22"/>
    <x v="17"/>
    <n v="0.7"/>
    <n v="1600"/>
    <n v="1120"/>
  </r>
  <r>
    <x v="22"/>
    <x v="6"/>
    <n v="0.9"/>
    <n v="1000"/>
    <n v="900"/>
  </r>
  <r>
    <x v="22"/>
    <x v="4"/>
    <n v="0.55000000000000004"/>
    <n v="2800"/>
    <n v="1540"/>
  </r>
  <r>
    <x v="23"/>
    <x v="11"/>
    <n v="0.05"/>
    <n v="2500"/>
    <n v="125"/>
  </r>
  <r>
    <x v="23"/>
    <x v="5"/>
    <n v="2.7"/>
    <n v="1000"/>
    <n v="2700"/>
  </r>
  <r>
    <x v="23"/>
    <x v="6"/>
    <n v="1.6"/>
    <n v="1000"/>
    <n v="1600"/>
  </r>
  <r>
    <x v="23"/>
    <x v="2"/>
    <n v="0.8"/>
    <n v="150"/>
    <n v="120"/>
  </r>
  <r>
    <x v="23"/>
    <x v="1"/>
    <n v="0.35"/>
    <n v="300"/>
    <n v="105"/>
  </r>
  <r>
    <x v="23"/>
    <x v="4"/>
    <n v="0.5"/>
    <n v="2800"/>
    <n v="1400"/>
  </r>
  <r>
    <x v="24"/>
    <x v="5"/>
    <n v="1.65"/>
    <n v="1000"/>
    <n v="1650"/>
  </r>
  <r>
    <x v="24"/>
    <x v="12"/>
    <n v="1.6"/>
    <n v="5000"/>
    <n v="8000"/>
  </r>
  <r>
    <x v="24"/>
    <x v="3"/>
    <n v="0.65"/>
    <n v="1000"/>
    <n v="650"/>
  </r>
  <r>
    <x v="24"/>
    <x v="2"/>
    <n v="0.8"/>
    <n v="150"/>
    <n v="120"/>
  </r>
  <r>
    <x v="24"/>
    <x v="0"/>
    <n v="0.35"/>
    <n v="500"/>
    <n v="175"/>
  </r>
  <r>
    <x v="24"/>
    <x v="7"/>
    <n v="0.95"/>
    <n v="500"/>
    <n v="475"/>
  </r>
  <r>
    <x v="24"/>
    <x v="1"/>
    <n v="0.1"/>
    <n v="300"/>
    <n v="30"/>
  </r>
  <r>
    <x v="24"/>
    <x v="6"/>
    <n v="15.45"/>
    <n v="1000"/>
    <n v="15450"/>
  </r>
  <r>
    <x v="8"/>
    <x v="6"/>
    <n v="1.45"/>
    <n v="1000"/>
    <n v="1450"/>
  </r>
  <r>
    <x v="8"/>
    <x v="11"/>
    <n v="0.2"/>
    <n v="2500"/>
    <n v="500"/>
  </r>
  <r>
    <x v="8"/>
    <x v="5"/>
    <n v="1.25"/>
    <n v="1000"/>
    <n v="1250"/>
  </r>
  <r>
    <x v="8"/>
    <x v="1"/>
    <n v="4.3"/>
    <n v="300"/>
    <n v="1290"/>
  </r>
  <r>
    <x v="8"/>
    <x v="4"/>
    <n v="3"/>
    <n v="2800"/>
    <n v="8400"/>
  </r>
  <r>
    <x v="25"/>
    <x v="2"/>
    <n v="0.65"/>
    <n v="150"/>
    <n v="98"/>
  </r>
  <r>
    <x v="25"/>
    <x v="6"/>
    <n v="0.4"/>
    <n v="1000"/>
    <n v="400"/>
  </r>
  <r>
    <x v="25"/>
    <x v="9"/>
    <n v="0.3"/>
    <n v="1500"/>
    <n v="450"/>
  </r>
  <r>
    <x v="25"/>
    <x v="11"/>
    <n v="0.1"/>
    <n v="2500"/>
    <n v="250"/>
  </r>
  <r>
    <x v="25"/>
    <x v="8"/>
    <n v="0.1"/>
    <n v="3500"/>
    <n v="350"/>
  </r>
  <r>
    <x v="25"/>
    <x v="12"/>
    <n v="3.25"/>
    <n v="5000"/>
    <n v="16250"/>
  </r>
  <r>
    <x v="25"/>
    <x v="1"/>
    <n v="1.95"/>
    <n v="300"/>
    <n v="585"/>
  </r>
  <r>
    <x v="25"/>
    <x v="18"/>
    <n v="1.1499999999999999"/>
    <n v="3500"/>
    <n v="4025"/>
  </r>
  <r>
    <x v="25"/>
    <x v="4"/>
    <n v="0.5"/>
    <n v="2800"/>
    <n v="1400"/>
  </r>
  <r>
    <x v="25"/>
    <x v="5"/>
    <n v="10.45"/>
    <n v="1000"/>
    <n v="10450"/>
  </r>
  <r>
    <x v="26"/>
    <x v="11"/>
    <n v="0.1"/>
    <n v="2500"/>
    <n v="250"/>
  </r>
  <r>
    <x v="26"/>
    <x v="20"/>
    <n v="2.25"/>
    <n v="1400"/>
    <n v="3150"/>
  </r>
  <r>
    <x v="26"/>
    <x v="0"/>
    <n v="0.8"/>
    <n v="500"/>
    <n v="400"/>
  </r>
  <r>
    <x v="26"/>
    <x v="3"/>
    <n v="1.9"/>
    <n v="1000"/>
    <n v="1900"/>
  </r>
  <r>
    <x v="26"/>
    <x v="2"/>
    <n v="1"/>
    <n v="150"/>
    <n v="150"/>
  </r>
  <r>
    <x v="26"/>
    <x v="1"/>
    <n v="0.35"/>
    <n v="300"/>
    <n v="105"/>
  </r>
  <r>
    <x v="26"/>
    <x v="21"/>
    <n v="0.2"/>
    <n v="700"/>
    <n v="140"/>
  </r>
  <r>
    <x v="26"/>
    <x v="4"/>
    <n v="0.75"/>
    <n v="2800"/>
    <n v="2100"/>
  </r>
  <r>
    <x v="27"/>
    <x v="1"/>
    <n v="1.4"/>
    <n v="300"/>
    <n v="420"/>
  </r>
  <r>
    <x v="27"/>
    <x v="6"/>
    <n v="1"/>
    <n v="1000"/>
    <n v="1000"/>
  </r>
  <r>
    <x v="27"/>
    <x v="4"/>
    <n v="1.55"/>
    <n v="2800"/>
    <n v="4340"/>
  </r>
  <r>
    <x v="28"/>
    <x v="22"/>
    <n v="1.4"/>
    <n v="2500"/>
    <n v="3500"/>
  </r>
  <r>
    <x v="28"/>
    <x v="0"/>
    <n v="0.15"/>
    <n v="500"/>
    <n v="75"/>
  </r>
  <r>
    <x v="28"/>
    <x v="2"/>
    <n v="0.55000000000000004"/>
    <n v="150"/>
    <n v="83"/>
  </r>
  <r>
    <x v="28"/>
    <x v="12"/>
    <n v="1.4"/>
    <n v="5000"/>
    <n v="7000"/>
  </r>
  <r>
    <x v="28"/>
    <x v="6"/>
    <n v="2.95"/>
    <n v="1000"/>
    <n v="2950"/>
  </r>
  <r>
    <x v="28"/>
    <x v="1"/>
    <n v="1"/>
    <n v="300"/>
    <n v="300"/>
  </r>
  <r>
    <x v="28"/>
    <x v="7"/>
    <n v="0.9"/>
    <n v="500"/>
    <n v="450"/>
  </r>
  <r>
    <x v="28"/>
    <x v="5"/>
    <n v="4.8"/>
    <n v="1000"/>
    <n v="4800"/>
  </r>
  <r>
    <x v="29"/>
    <x v="5"/>
    <n v="17.350000000000001"/>
    <n v="1000"/>
    <n v="17350"/>
  </r>
  <r>
    <x v="29"/>
    <x v="6"/>
    <n v="2.2999999999999998"/>
    <n v="1000"/>
    <n v="2300"/>
  </r>
  <r>
    <x v="29"/>
    <x v="2"/>
    <n v="2.0499999999999998"/>
    <n v="150"/>
    <n v="308"/>
  </r>
  <r>
    <x v="29"/>
    <x v="11"/>
    <n v="0.5"/>
    <n v="2500"/>
    <n v="1250"/>
  </r>
  <r>
    <x v="29"/>
    <x v="4"/>
    <n v="4.45"/>
    <n v="2800"/>
    <n v="12460"/>
  </r>
  <r>
    <x v="29"/>
    <x v="14"/>
    <n v="1.55"/>
    <n v="1800"/>
    <n v="2790"/>
  </r>
  <r>
    <x v="29"/>
    <x v="17"/>
    <n v="1.5"/>
    <n v="1600"/>
    <n v="2400"/>
  </r>
  <r>
    <x v="29"/>
    <x v="20"/>
    <n v="2.95"/>
    <n v="1400"/>
    <n v="4130"/>
  </r>
  <r>
    <x v="29"/>
    <x v="7"/>
    <n v="7.5"/>
    <n v="500"/>
    <n v="3750"/>
  </r>
  <r>
    <x v="29"/>
    <x v="3"/>
    <n v="5.0999999999999996"/>
    <n v="1000"/>
    <n v="5100"/>
  </r>
  <r>
    <x v="29"/>
    <x v="0"/>
    <n v="0.45"/>
    <n v="500"/>
    <n v="225"/>
  </r>
  <r>
    <x v="29"/>
    <x v="1"/>
    <n v="2.75"/>
    <n v="300"/>
    <n v="825"/>
  </r>
  <r>
    <x v="30"/>
    <x v="6"/>
    <n v="1.45"/>
    <n v="1000"/>
    <n v="1450"/>
  </r>
  <r>
    <x v="30"/>
    <x v="0"/>
    <n v="0.35"/>
    <n v="500"/>
    <n v="175"/>
  </r>
  <r>
    <x v="30"/>
    <x v="3"/>
    <n v="0.3"/>
    <n v="1000"/>
    <n v="300"/>
  </r>
  <r>
    <x v="30"/>
    <x v="1"/>
    <n v="2.1"/>
    <n v="300"/>
    <n v="630"/>
  </r>
  <r>
    <x v="30"/>
    <x v="7"/>
    <n v="0.25"/>
    <n v="500"/>
    <n v="125"/>
  </r>
  <r>
    <x v="31"/>
    <x v="11"/>
    <n v="0.1"/>
    <n v="2500"/>
    <n v="250"/>
  </r>
  <r>
    <x v="31"/>
    <x v="1"/>
    <n v="0.55000000000000004"/>
    <n v="300"/>
    <n v="165"/>
  </r>
  <r>
    <x v="31"/>
    <x v="14"/>
    <n v="0.7"/>
    <n v="1800"/>
    <n v="1260"/>
  </r>
  <r>
    <x v="31"/>
    <x v="3"/>
    <n v="1.9"/>
    <n v="1000"/>
    <n v="1900"/>
  </r>
  <r>
    <x v="31"/>
    <x v="17"/>
    <n v="1.1000000000000001"/>
    <n v="1600"/>
    <n v="1760"/>
  </r>
  <r>
    <x v="32"/>
    <x v="22"/>
    <n v="8.6999999999999993"/>
    <n v="2500"/>
    <n v="21750"/>
  </r>
  <r>
    <x v="32"/>
    <x v="1"/>
    <n v="0.85"/>
    <n v="300"/>
    <n v="255"/>
  </r>
  <r>
    <x v="32"/>
    <x v="6"/>
    <n v="4.25"/>
    <n v="1000"/>
    <n v="4250"/>
  </r>
  <r>
    <x v="32"/>
    <x v="2"/>
    <n v="1.4"/>
    <n v="150"/>
    <n v="210"/>
  </r>
  <r>
    <x v="32"/>
    <x v="0"/>
    <n v="0.7"/>
    <n v="500"/>
    <n v="350"/>
  </r>
  <r>
    <x v="32"/>
    <x v="8"/>
    <n v="0.55000000000000004"/>
    <n v="3500"/>
    <n v="1925"/>
  </r>
  <r>
    <x v="32"/>
    <x v="4"/>
    <n v="3.2"/>
    <n v="2800"/>
    <n v="8960"/>
  </r>
  <r>
    <x v="32"/>
    <x v="5"/>
    <n v="13.05"/>
    <n v="1000"/>
    <n v="13050"/>
  </r>
  <r>
    <x v="33"/>
    <x v="9"/>
    <n v="0.55000000000000004"/>
    <n v="1500"/>
    <n v="825"/>
  </r>
  <r>
    <x v="33"/>
    <x v="2"/>
    <n v="1.4"/>
    <n v="150"/>
    <n v="210"/>
  </r>
  <r>
    <x v="33"/>
    <x v="5"/>
    <n v="0.95"/>
    <n v="1000"/>
    <n v="950"/>
  </r>
  <r>
    <x v="33"/>
    <x v="6"/>
    <n v="0.85"/>
    <n v="1000"/>
    <n v="850"/>
  </r>
  <r>
    <x v="33"/>
    <x v="0"/>
    <n v="0.15"/>
    <n v="500"/>
    <n v="75"/>
  </r>
  <r>
    <x v="33"/>
    <x v="4"/>
    <n v="1.05"/>
    <n v="2800"/>
    <n v="2940"/>
  </r>
  <r>
    <x v="34"/>
    <x v="1"/>
    <n v="6.15"/>
    <n v="300"/>
    <n v="1845"/>
  </r>
  <r>
    <x v="34"/>
    <x v="18"/>
    <n v="0.35"/>
    <n v="3500"/>
    <n v="1225"/>
  </r>
  <r>
    <x v="34"/>
    <x v="4"/>
    <n v="2.35"/>
    <n v="2800"/>
    <n v="6580"/>
  </r>
  <r>
    <x v="34"/>
    <x v="9"/>
    <n v="1.45"/>
    <n v="1500"/>
    <n v="2175"/>
  </r>
  <r>
    <x v="34"/>
    <x v="3"/>
    <n v="1.3"/>
    <n v="1000"/>
    <n v="1300"/>
  </r>
  <r>
    <x v="34"/>
    <x v="6"/>
    <n v="1.4"/>
    <n v="1000"/>
    <n v="1400"/>
  </r>
  <r>
    <x v="34"/>
    <x v="7"/>
    <n v="9.6"/>
    <n v="500"/>
    <n v="4800"/>
  </r>
  <r>
    <x v="34"/>
    <x v="5"/>
    <n v="14.55"/>
    <n v="1000"/>
    <n v="14550"/>
  </r>
  <r>
    <x v="35"/>
    <x v="23"/>
    <n v="0.3"/>
    <n v="800"/>
    <n v="240"/>
  </r>
  <r>
    <x v="35"/>
    <x v="1"/>
    <n v="0.35"/>
    <n v="300"/>
    <n v="105"/>
  </r>
  <r>
    <x v="35"/>
    <x v="7"/>
    <n v="0.8"/>
    <n v="500"/>
    <n v="400"/>
  </r>
  <r>
    <x v="35"/>
    <x v="6"/>
    <n v="0.75"/>
    <n v="1000"/>
    <n v="750"/>
  </r>
  <r>
    <x v="35"/>
    <x v="5"/>
    <n v="4.25"/>
    <n v="1000"/>
    <n v="4250"/>
  </r>
  <r>
    <x v="35"/>
    <x v="4"/>
    <n v="0.7"/>
    <n v="2800"/>
    <n v="1960"/>
  </r>
  <r>
    <x v="36"/>
    <x v="3"/>
    <n v="0.2"/>
    <n v="1000"/>
    <n v="200"/>
  </r>
  <r>
    <x v="36"/>
    <x v="9"/>
    <n v="0.7"/>
    <n v="1500"/>
    <n v="1050"/>
  </r>
  <r>
    <x v="36"/>
    <x v="4"/>
    <n v="0.75"/>
    <n v="2800"/>
    <n v="2100"/>
  </r>
  <r>
    <x v="36"/>
    <x v="0"/>
    <n v="0.95"/>
    <n v="500"/>
    <n v="475"/>
  </r>
  <r>
    <x v="36"/>
    <x v="6"/>
    <n v="1.6"/>
    <n v="1000"/>
    <n v="1600"/>
  </r>
  <r>
    <x v="36"/>
    <x v="1"/>
    <n v="1.35"/>
    <n v="300"/>
    <n v="405"/>
  </r>
  <r>
    <x v="36"/>
    <x v="7"/>
    <n v="1.95"/>
    <n v="500"/>
    <n v="975"/>
  </r>
  <r>
    <x v="36"/>
    <x v="5"/>
    <n v="4.3"/>
    <n v="1000"/>
    <n v="4300"/>
  </r>
  <r>
    <x v="37"/>
    <x v="9"/>
    <n v="0.15"/>
    <n v="1500"/>
    <n v="225"/>
  </r>
  <r>
    <x v="37"/>
    <x v="18"/>
    <n v="0.1"/>
    <n v="3500"/>
    <n v="350"/>
  </r>
  <r>
    <x v="37"/>
    <x v="2"/>
    <n v="0.75"/>
    <n v="150"/>
    <n v="113"/>
  </r>
  <r>
    <x v="37"/>
    <x v="11"/>
    <n v="0.1"/>
    <n v="2500"/>
    <n v="250"/>
  </r>
  <r>
    <x v="37"/>
    <x v="6"/>
    <n v="0.6"/>
    <n v="1000"/>
    <n v="600"/>
  </r>
  <r>
    <x v="37"/>
    <x v="5"/>
    <n v="3"/>
    <n v="1000"/>
    <n v="3000"/>
  </r>
  <r>
    <x v="37"/>
    <x v="7"/>
    <n v="0.7"/>
    <n v="500"/>
    <n v="350"/>
  </r>
  <r>
    <x v="37"/>
    <x v="4"/>
    <n v="1.4"/>
    <n v="2800"/>
    <n v="3920"/>
  </r>
  <r>
    <x v="37"/>
    <x v="1"/>
    <n v="0.75"/>
    <n v="300"/>
    <n v="225"/>
  </r>
  <r>
    <x v="38"/>
    <x v="5"/>
    <n v="3.75"/>
    <n v="1000"/>
    <n v="3750"/>
  </r>
  <r>
    <x v="38"/>
    <x v="11"/>
    <n v="0.1"/>
    <n v="2500"/>
    <n v="250"/>
  </r>
  <r>
    <x v="38"/>
    <x v="6"/>
    <n v="0.35"/>
    <n v="1000"/>
    <n v="350"/>
  </r>
  <r>
    <x v="38"/>
    <x v="3"/>
    <n v="0.6"/>
    <n v="1000"/>
    <n v="600"/>
  </r>
  <r>
    <x v="38"/>
    <x v="1"/>
    <n v="0.65"/>
    <n v="300"/>
    <n v="195"/>
  </r>
  <r>
    <x v="38"/>
    <x v="23"/>
    <n v="0.2"/>
    <n v="800"/>
    <n v="160"/>
  </r>
  <r>
    <x v="38"/>
    <x v="6"/>
    <n v="0.25"/>
    <n v="1000"/>
    <n v="250"/>
  </r>
  <r>
    <x v="38"/>
    <x v="0"/>
    <n v="0.3"/>
    <n v="500"/>
    <n v="150"/>
  </r>
  <r>
    <x v="38"/>
    <x v="7"/>
    <n v="0.25"/>
    <n v="500"/>
    <n v="125"/>
  </r>
  <r>
    <x v="39"/>
    <x v="6"/>
    <n v="1.25"/>
    <n v="1000"/>
    <n v="1250"/>
  </r>
  <r>
    <x v="39"/>
    <x v="11"/>
    <n v="0.45"/>
    <n v="2500"/>
    <n v="1125"/>
  </r>
  <r>
    <x v="39"/>
    <x v="7"/>
    <n v="0.75"/>
    <n v="500"/>
    <n v="375"/>
  </r>
  <r>
    <x v="39"/>
    <x v="1"/>
    <n v="0.55000000000000004"/>
    <n v="300"/>
    <n v="165"/>
  </r>
  <r>
    <x v="39"/>
    <x v="4"/>
    <n v="4.45"/>
    <n v="2800"/>
    <n v="12460"/>
  </r>
  <r>
    <x v="40"/>
    <x v="5"/>
    <n v="5.2"/>
    <n v="1000"/>
    <n v="5200"/>
  </r>
  <r>
    <x v="40"/>
    <x v="6"/>
    <n v="0.35"/>
    <n v="1000"/>
    <n v="350"/>
  </r>
  <r>
    <x v="40"/>
    <x v="11"/>
    <n v="0.1"/>
    <n v="2500"/>
    <n v="250"/>
  </r>
  <r>
    <x v="40"/>
    <x v="7"/>
    <n v="0.65"/>
    <n v="500"/>
    <n v="325"/>
  </r>
  <r>
    <x v="40"/>
    <x v="4"/>
    <n v="1.4"/>
    <n v="2800"/>
    <n v="3920"/>
  </r>
  <r>
    <x v="40"/>
    <x v="0"/>
    <n v="0.65"/>
    <n v="500"/>
    <n v="325"/>
  </r>
  <r>
    <x v="40"/>
    <x v="1"/>
    <n v="2.5"/>
    <n v="300"/>
    <n v="750"/>
  </r>
  <r>
    <x v="41"/>
    <x v="6"/>
    <n v="1.3"/>
    <n v="1000"/>
    <n v="1300"/>
  </r>
  <r>
    <x v="41"/>
    <x v="0"/>
    <n v="0.1"/>
    <n v="500"/>
    <n v="50"/>
  </r>
  <r>
    <x v="41"/>
    <x v="2"/>
    <n v="1.35"/>
    <n v="150"/>
    <n v="203"/>
  </r>
  <r>
    <x v="41"/>
    <x v="12"/>
    <n v="0.85"/>
    <n v="5000"/>
    <n v="4250"/>
  </r>
  <r>
    <x v="42"/>
    <x v="0"/>
    <n v="0.25"/>
    <n v="500"/>
    <n v="125"/>
  </r>
  <r>
    <x v="42"/>
    <x v="1"/>
    <n v="0.45"/>
    <n v="300"/>
    <n v="135"/>
  </r>
  <r>
    <x v="42"/>
    <x v="11"/>
    <n v="0.25"/>
    <n v="2500"/>
    <n v="625"/>
  </r>
  <r>
    <x v="42"/>
    <x v="18"/>
    <n v="0.15"/>
    <n v="3500"/>
    <n v="525"/>
  </r>
  <r>
    <x v="42"/>
    <x v="4"/>
    <n v="1.2"/>
    <n v="2800"/>
    <n v="3360"/>
  </r>
  <r>
    <x v="42"/>
    <x v="5"/>
    <n v="3.95"/>
    <n v="1000"/>
    <n v="3950"/>
  </r>
  <r>
    <x v="43"/>
    <x v="5"/>
    <n v="4.05"/>
    <n v="1000"/>
    <n v="4050"/>
  </r>
  <r>
    <x v="43"/>
    <x v="7"/>
    <n v="1.1000000000000001"/>
    <n v="500"/>
    <n v="550"/>
  </r>
  <r>
    <x v="43"/>
    <x v="9"/>
    <n v="0.6"/>
    <n v="1500"/>
    <n v="900"/>
  </r>
  <r>
    <x v="43"/>
    <x v="2"/>
    <n v="2.6"/>
    <n v="150"/>
    <n v="390"/>
  </r>
  <r>
    <x v="43"/>
    <x v="11"/>
    <n v="0.25"/>
    <n v="2500"/>
    <n v="625"/>
  </r>
  <r>
    <x v="43"/>
    <x v="4"/>
    <n v="1.85"/>
    <n v="2800"/>
    <n v="5180"/>
  </r>
  <r>
    <x v="43"/>
    <x v="6"/>
    <n v="1.45"/>
    <n v="1000"/>
    <n v="1450"/>
  </r>
  <r>
    <x v="43"/>
    <x v="1"/>
    <n v="1.9"/>
    <n v="300"/>
    <n v="570"/>
  </r>
  <r>
    <x v="44"/>
    <x v="5"/>
    <n v="3.65"/>
    <n v="1000"/>
    <n v="3650"/>
  </r>
  <r>
    <x v="44"/>
    <x v="22"/>
    <n v="7.15"/>
    <n v="2500"/>
    <n v="17875"/>
  </r>
  <r>
    <x v="44"/>
    <x v="0"/>
    <n v="0.15"/>
    <n v="500"/>
    <n v="75"/>
  </r>
  <r>
    <x v="44"/>
    <x v="9"/>
    <n v="0.5"/>
    <n v="1500"/>
    <n v="750"/>
  </r>
  <r>
    <x v="44"/>
    <x v="11"/>
    <n v="0.2"/>
    <n v="2500"/>
    <n v="500"/>
  </r>
  <r>
    <x v="44"/>
    <x v="1"/>
    <n v="0.2"/>
    <n v="300"/>
    <n v="60"/>
  </r>
  <r>
    <x v="44"/>
    <x v="12"/>
    <n v="1.05"/>
    <n v="5000"/>
    <n v="5250"/>
  </r>
  <r>
    <x v="44"/>
    <x v="6"/>
    <n v="0.4"/>
    <n v="1000"/>
    <n v="400"/>
  </r>
  <r>
    <x v="44"/>
    <x v="4"/>
    <n v="2.1"/>
    <n v="2800"/>
    <n v="5880"/>
  </r>
  <r>
    <x v="45"/>
    <x v="1"/>
    <n v="18"/>
    <n v="300"/>
    <n v="5400"/>
  </r>
  <r>
    <x v="45"/>
    <x v="0"/>
    <n v="5.5"/>
    <n v="500"/>
    <n v="2750"/>
  </r>
  <r>
    <x v="46"/>
    <x v="3"/>
    <n v="4.6500000000000004"/>
    <n v="1000"/>
    <n v="4650"/>
  </r>
  <r>
    <x v="46"/>
    <x v="4"/>
    <n v="3.15"/>
    <n v="2800"/>
    <n v="8820"/>
  </r>
  <r>
    <x v="46"/>
    <x v="1"/>
    <n v="0.55000000000000004"/>
    <n v="300"/>
    <n v="165"/>
  </r>
  <r>
    <x v="46"/>
    <x v="7"/>
    <n v="0.65"/>
    <n v="500"/>
    <n v="325"/>
  </r>
  <r>
    <x v="46"/>
    <x v="5"/>
    <n v="13.85"/>
    <n v="1000"/>
    <n v="13850"/>
  </r>
  <r>
    <x v="46"/>
    <x v="6"/>
    <n v="6.45"/>
    <n v="1000"/>
    <n v="6450"/>
  </r>
  <r>
    <x v="46"/>
    <x v="0"/>
    <n v="0.6"/>
    <n v="500"/>
    <n v="300"/>
  </r>
  <r>
    <x v="46"/>
    <x v="9"/>
    <n v="0.4"/>
    <n v="1500"/>
    <n v="600"/>
  </r>
  <r>
    <x v="46"/>
    <x v="2"/>
    <n v="2.9"/>
    <n v="150"/>
    <n v="43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x v="0"/>
    <n v="0.55000000000000004"/>
    <n v="500"/>
    <n v="275"/>
  </r>
  <r>
    <x v="0"/>
    <x v="1"/>
    <n v="0.2"/>
    <n v="2500"/>
    <n v="500"/>
  </r>
  <r>
    <x v="0"/>
    <x v="2"/>
    <n v="0.45"/>
    <n v="2800"/>
    <n v="1260"/>
  </r>
  <r>
    <x v="0"/>
    <x v="3"/>
    <n v="0.55000000000000004"/>
    <n v="150"/>
    <n v="82.5"/>
  </r>
  <r>
    <x v="0"/>
    <x v="4"/>
    <n v="1.05"/>
    <n v="1500"/>
    <n v="1575"/>
  </r>
  <r>
    <x v="0"/>
    <x v="5"/>
    <n v="0.7"/>
    <n v="1000"/>
    <n v="700"/>
  </r>
  <r>
    <x v="0"/>
    <x v="6"/>
    <n v="0.55000000000000004"/>
    <n v="300"/>
    <n v="165"/>
  </r>
  <r>
    <x v="0"/>
    <x v="7"/>
    <n v="0.15"/>
    <n v="500"/>
    <n v="75"/>
  </r>
  <r>
    <x v="1"/>
    <x v="8"/>
    <n v="2.25"/>
    <n v="1600"/>
    <n v="3600"/>
  </r>
  <r>
    <x v="1"/>
    <x v="9"/>
    <n v="1.1499999999999999"/>
    <n v="1600"/>
    <n v="1839.9999999999998"/>
  </r>
  <r>
    <x v="1"/>
    <x v="6"/>
    <n v="1.8"/>
    <n v="300"/>
    <n v="540"/>
  </r>
  <r>
    <x v="2"/>
    <x v="10"/>
    <n v="0.8"/>
    <n v="400"/>
    <n v="320"/>
  </r>
  <r>
    <x v="2"/>
    <x v="11"/>
    <n v="0.4"/>
    <n v="1000"/>
    <n v="400"/>
  </r>
  <r>
    <x v="2"/>
    <x v="7"/>
    <n v="0.5"/>
    <n v="500"/>
    <n v="250"/>
  </r>
  <r>
    <x v="2"/>
    <x v="6"/>
    <n v="1.6"/>
    <n v="300"/>
    <n v="480"/>
  </r>
  <r>
    <x v="2"/>
    <x v="0"/>
    <n v="0.5"/>
    <n v="500"/>
    <n v="250"/>
  </r>
  <r>
    <x v="3"/>
    <x v="2"/>
    <n v="0.45"/>
    <n v="2800"/>
    <n v="1260"/>
  </r>
  <r>
    <x v="3"/>
    <x v="5"/>
    <n v="1.2"/>
    <n v="1000"/>
    <n v="1200"/>
  </r>
  <r>
    <x v="3"/>
    <x v="6"/>
    <n v="0.5"/>
    <n v="300"/>
    <n v="150"/>
  </r>
  <r>
    <x v="4"/>
    <x v="12"/>
    <n v="0.8"/>
    <n v="1800"/>
    <n v="1440"/>
  </r>
  <r>
    <x v="4"/>
    <x v="5"/>
    <n v="1.7"/>
    <n v="1000"/>
    <n v="1700"/>
  </r>
  <r>
    <x v="4"/>
    <x v="7"/>
    <n v="0.85"/>
    <n v="500"/>
    <n v="425"/>
  </r>
  <r>
    <x v="4"/>
    <x v="0"/>
    <n v="2.35"/>
    <n v="500"/>
    <n v="1175"/>
  </r>
  <r>
    <x v="4"/>
    <x v="6"/>
    <n v="1.05"/>
    <n v="300"/>
    <n v="315"/>
  </r>
  <r>
    <x v="4"/>
    <x v="2"/>
    <n v="0.9"/>
    <n v="2800"/>
    <n v="2520"/>
  </r>
  <r>
    <x v="5"/>
    <x v="11"/>
    <n v="3.05"/>
    <n v="1000"/>
    <n v="3050"/>
  </r>
  <r>
    <x v="5"/>
    <x v="13"/>
    <n v="1.7"/>
    <n v="2500"/>
    <n v="4250"/>
  </r>
  <r>
    <x v="5"/>
    <x v="3"/>
    <n v="0.4"/>
    <n v="150"/>
    <n v="60"/>
  </r>
  <r>
    <x v="5"/>
    <x v="2"/>
    <n v="1"/>
    <n v="2800"/>
    <n v="2800"/>
  </r>
  <r>
    <x v="5"/>
    <x v="5"/>
    <n v="1.4"/>
    <n v="1000"/>
    <n v="1400"/>
  </r>
  <r>
    <x v="5"/>
    <x v="0"/>
    <n v="2.2000000000000002"/>
    <n v="500"/>
    <n v="1100"/>
  </r>
  <r>
    <x v="5"/>
    <x v="7"/>
    <n v="0.55000000000000004"/>
    <n v="500"/>
    <n v="275"/>
  </r>
  <r>
    <x v="5"/>
    <x v="14"/>
    <n v="0.9"/>
    <n v="1000"/>
    <n v="900"/>
  </r>
  <r>
    <x v="5"/>
    <x v="6"/>
    <n v="0.8"/>
    <n v="300"/>
    <n v="240"/>
  </r>
  <r>
    <x v="5"/>
    <x v="15"/>
    <n v="0.05"/>
    <n v="8000"/>
    <n v="400"/>
  </r>
  <r>
    <x v="5"/>
    <x v="4"/>
    <n v="0.25"/>
    <n v="1500"/>
    <n v="375"/>
  </r>
  <r>
    <x v="6"/>
    <x v="16"/>
    <n v="1.3"/>
    <n v="5000"/>
    <n v="6500"/>
  </r>
  <r>
    <x v="6"/>
    <x v="4"/>
    <n v="0.15"/>
    <n v="1500"/>
    <n v="225"/>
  </r>
  <r>
    <x v="6"/>
    <x v="2"/>
    <n v="1.45"/>
    <n v="2800"/>
    <n v="4060"/>
  </r>
  <r>
    <x v="6"/>
    <x v="6"/>
    <n v="1.25"/>
    <n v="300"/>
    <n v="375"/>
  </r>
  <r>
    <x v="6"/>
    <x v="5"/>
    <n v="6.8"/>
    <n v="1000"/>
    <n v="6800"/>
  </r>
  <r>
    <x v="7"/>
    <x v="4"/>
    <n v="0.5"/>
    <n v="1500"/>
    <n v="750"/>
  </r>
  <r>
    <x v="7"/>
    <x v="11"/>
    <n v="0.7"/>
    <n v="1000"/>
    <n v="700"/>
  </r>
  <r>
    <x v="7"/>
    <x v="0"/>
    <n v="0.8"/>
    <n v="500"/>
    <n v="400"/>
  </r>
  <r>
    <x v="7"/>
    <x v="6"/>
    <n v="0.4"/>
    <n v="300"/>
    <n v="120"/>
  </r>
  <r>
    <x v="8"/>
    <x v="5"/>
    <n v="0.55000000000000004"/>
    <n v="1000"/>
    <n v="550"/>
  </r>
  <r>
    <x v="8"/>
    <x v="6"/>
    <n v="1.35"/>
    <n v="300"/>
    <n v="405"/>
  </r>
  <r>
    <x v="8"/>
    <x v="1"/>
    <n v="0.25"/>
    <n v="2500"/>
    <n v="625"/>
  </r>
  <r>
    <x v="8"/>
    <x v="3"/>
    <n v="0.8"/>
    <n v="150"/>
    <n v="120"/>
  </r>
  <r>
    <x v="8"/>
    <x v="7"/>
    <n v="0.65"/>
    <n v="500"/>
    <n v="325"/>
  </r>
  <r>
    <x v="9"/>
    <x v="7"/>
    <n v="0.15"/>
    <n v="500"/>
    <n v="75"/>
  </r>
  <r>
    <x v="9"/>
    <x v="6"/>
    <n v="0.45"/>
    <n v="300"/>
    <n v="135"/>
  </r>
  <r>
    <x v="9"/>
    <x v="2"/>
    <n v="1.1000000000000001"/>
    <n v="2800"/>
    <n v="3080.0000000000005"/>
  </r>
  <r>
    <x v="10"/>
    <x v="6"/>
    <n v="0.8"/>
    <n v="300"/>
    <n v="240"/>
  </r>
  <r>
    <x v="10"/>
    <x v="2"/>
    <n v="0.4"/>
    <n v="2800"/>
    <n v="1120"/>
  </r>
  <r>
    <x v="10"/>
    <x v="0"/>
    <n v="0.85"/>
    <n v="500"/>
    <n v="425"/>
  </r>
  <r>
    <x v="11"/>
    <x v="14"/>
    <n v="3.9"/>
    <n v="1000"/>
    <n v="3900"/>
  </r>
  <r>
    <x v="11"/>
    <x v="7"/>
    <n v="1.4"/>
    <n v="500"/>
    <n v="700"/>
  </r>
  <r>
    <x v="11"/>
    <x v="0"/>
    <n v="1"/>
    <n v="500"/>
    <n v="500"/>
  </r>
  <r>
    <x v="11"/>
    <x v="6"/>
    <n v="2.4"/>
    <n v="300"/>
    <n v="720"/>
  </r>
  <r>
    <x v="11"/>
    <x v="2"/>
    <n v="1.55"/>
    <n v="2800"/>
    <n v="4340"/>
  </r>
  <r>
    <x v="11"/>
    <x v="16"/>
    <n v="3.9"/>
    <n v="5000"/>
    <n v="19500"/>
  </r>
  <r>
    <x v="12"/>
    <x v="2"/>
    <n v="2.25"/>
    <n v="2800"/>
    <n v="6300"/>
  </r>
  <r>
    <x v="12"/>
    <x v="5"/>
    <n v="1.35"/>
    <n v="1000"/>
    <n v="1350"/>
  </r>
  <r>
    <x v="13"/>
    <x v="14"/>
    <n v="0.8"/>
    <n v="1000"/>
    <n v="800"/>
  </r>
  <r>
    <x v="13"/>
    <x v="5"/>
    <n v="0.4"/>
    <n v="1000"/>
    <n v="400"/>
  </r>
  <r>
    <x v="13"/>
    <x v="4"/>
    <n v="0.85"/>
    <n v="1500"/>
    <n v="1275"/>
  </r>
  <r>
    <x v="13"/>
    <x v="11"/>
    <n v="0.85"/>
    <n v="1000"/>
    <n v="850"/>
  </r>
  <r>
    <x v="14"/>
    <x v="17"/>
    <n v="0.15"/>
    <n v="3500"/>
    <n v="525"/>
  </r>
  <r>
    <x v="14"/>
    <x v="0"/>
    <n v="0.65"/>
    <n v="500"/>
    <n v="325"/>
  </r>
  <r>
    <x v="14"/>
    <x v="12"/>
    <n v="0.6"/>
    <n v="1800"/>
    <n v="1080"/>
  </r>
  <r>
    <x v="14"/>
    <x v="4"/>
    <n v="0.25"/>
    <n v="1500"/>
    <n v="375"/>
  </r>
  <r>
    <x v="14"/>
    <x v="15"/>
    <n v="0.15"/>
    <n v="8000"/>
    <n v="1200"/>
  </r>
  <r>
    <x v="14"/>
    <x v="6"/>
    <n v="1.1499999999999999"/>
    <n v="300"/>
    <n v="345"/>
  </r>
  <r>
    <x v="14"/>
    <x v="5"/>
    <n v="1.6"/>
    <n v="1000"/>
    <n v="1600"/>
  </r>
  <r>
    <x v="14"/>
    <x v="1"/>
    <n v="0.25"/>
    <n v="2500"/>
    <n v="625"/>
  </r>
  <r>
    <x v="14"/>
    <x v="2"/>
    <n v="3.3"/>
    <n v="2800"/>
    <n v="9240"/>
  </r>
  <r>
    <x v="14"/>
    <x v="14"/>
    <n v="3.1"/>
    <n v="1000"/>
    <n v="3100"/>
  </r>
  <r>
    <x v="14"/>
    <x v="7"/>
    <n v="2.4"/>
    <n v="500"/>
    <n v="1200"/>
  </r>
  <r>
    <x v="14"/>
    <x v="18"/>
    <n v="0.35"/>
    <n v="150"/>
    <n v="52.5"/>
  </r>
  <r>
    <x v="15"/>
    <x v="19"/>
    <n v="0.3"/>
    <n v="3500"/>
    <n v="1050"/>
  </r>
  <r>
    <x v="15"/>
    <x v="3"/>
    <n v="1.05"/>
    <n v="150"/>
    <n v="157.5"/>
  </r>
  <r>
    <x v="15"/>
    <x v="20"/>
    <n v="2.2999999999999998"/>
    <n v="800"/>
    <n v="1839.9999999999998"/>
  </r>
  <r>
    <x v="15"/>
    <x v="0"/>
    <n v="1.5"/>
    <n v="500"/>
    <n v="750"/>
  </r>
  <r>
    <x v="15"/>
    <x v="6"/>
    <n v="1.4"/>
    <n v="300"/>
    <n v="420"/>
  </r>
  <r>
    <x v="16"/>
    <x v="11"/>
    <n v="0.65"/>
    <n v="1000"/>
    <n v="650"/>
  </r>
  <r>
    <x v="16"/>
    <x v="14"/>
    <n v="8.8000000000000007"/>
    <n v="1000"/>
    <n v="8800"/>
  </r>
  <r>
    <x v="16"/>
    <x v="2"/>
    <n v="2.4"/>
    <n v="2800"/>
    <n v="6720"/>
  </r>
  <r>
    <x v="17"/>
    <x v="5"/>
    <n v="0.85"/>
    <n v="1000"/>
    <n v="850"/>
  </r>
  <r>
    <x v="17"/>
    <x v="9"/>
    <n v="1.35"/>
    <n v="1600"/>
    <n v="2160"/>
  </r>
  <r>
    <x v="18"/>
    <x v="4"/>
    <n v="0.15"/>
    <n v="1500"/>
    <n v="225"/>
  </r>
  <r>
    <x v="18"/>
    <x v="6"/>
    <n v="0.25"/>
    <n v="300"/>
    <n v="75"/>
  </r>
  <r>
    <x v="18"/>
    <x v="3"/>
    <n v="1"/>
    <n v="150"/>
    <n v="150"/>
  </r>
  <r>
    <x v="18"/>
    <x v="11"/>
    <n v="0.6"/>
    <n v="1000"/>
    <n v="600"/>
  </r>
  <r>
    <x v="18"/>
    <x v="7"/>
    <n v="0.25"/>
    <n v="500"/>
    <n v="125"/>
  </r>
  <r>
    <x v="19"/>
    <x v="5"/>
    <n v="0.25"/>
    <n v="1000"/>
    <n v="250"/>
  </r>
  <r>
    <x v="19"/>
    <x v="14"/>
    <n v="1.45"/>
    <n v="1000"/>
    <n v="1450"/>
  </r>
  <r>
    <x v="19"/>
    <x v="6"/>
    <n v="0.35"/>
    <n v="300"/>
    <n v="105"/>
  </r>
  <r>
    <x v="19"/>
    <x v="2"/>
    <n v="1.1499999999999999"/>
    <n v="2800"/>
    <n v="3219.9999999999995"/>
  </r>
  <r>
    <x v="20"/>
    <x v="11"/>
    <n v="0.3"/>
    <n v="1000"/>
    <n v="300"/>
  </r>
  <r>
    <x v="20"/>
    <x v="7"/>
    <n v="0.2"/>
    <n v="500"/>
    <n v="100"/>
  </r>
  <r>
    <x v="20"/>
    <x v="6"/>
    <n v="1.45"/>
    <n v="300"/>
    <n v="435"/>
  </r>
  <r>
    <x v="20"/>
    <x v="14"/>
    <n v="2.7"/>
    <n v="1000"/>
    <n v="2700"/>
  </r>
  <r>
    <x v="21"/>
    <x v="2"/>
    <n v="4.55"/>
    <n v="2800"/>
    <n v="12740"/>
  </r>
  <r>
    <x v="21"/>
    <x v="7"/>
    <n v="2.2999999999999998"/>
    <n v="500"/>
    <n v="1150"/>
  </r>
  <r>
    <x v="21"/>
    <x v="6"/>
    <n v="0.85"/>
    <n v="300"/>
    <n v="255"/>
  </r>
  <r>
    <x v="21"/>
    <x v="4"/>
    <n v="2"/>
    <n v="1500"/>
    <n v="3000"/>
  </r>
  <r>
    <x v="21"/>
    <x v="14"/>
    <n v="7.9"/>
    <n v="1000"/>
    <n v="7900"/>
  </r>
  <r>
    <x v="21"/>
    <x v="20"/>
    <n v="6.1"/>
    <n v="800"/>
    <n v="4880"/>
  </r>
  <r>
    <x v="22"/>
    <x v="5"/>
    <n v="0.3"/>
    <n v="1000"/>
    <n v="300"/>
  </r>
  <r>
    <x v="22"/>
    <x v="4"/>
    <n v="0.7"/>
    <n v="1500"/>
    <n v="1050"/>
  </r>
  <r>
    <x v="22"/>
    <x v="14"/>
    <n v="0.8"/>
    <n v="1000"/>
    <n v="800"/>
  </r>
  <r>
    <x v="22"/>
    <x v="9"/>
    <n v="0.8"/>
    <n v="1600"/>
    <n v="1280"/>
  </r>
  <r>
    <x v="22"/>
    <x v="6"/>
    <n v="0.15"/>
    <n v="300"/>
    <n v="45"/>
  </r>
  <r>
    <x v="23"/>
    <x v="21"/>
    <n v="0.6"/>
    <n v="1400"/>
    <n v="840"/>
  </r>
  <r>
    <x v="23"/>
    <x v="1"/>
    <n v="0.45"/>
    <n v="2500"/>
    <n v="1125"/>
  </r>
  <r>
    <x v="23"/>
    <x v="3"/>
    <n v="3.55"/>
    <n v="150"/>
    <n v="532.5"/>
  </r>
  <r>
    <x v="23"/>
    <x v="7"/>
    <n v="1.25"/>
    <n v="500"/>
    <n v="625"/>
  </r>
  <r>
    <x v="23"/>
    <x v="19"/>
    <n v="0.45"/>
    <n v="3500"/>
    <n v="1575"/>
  </r>
  <r>
    <x v="23"/>
    <x v="22"/>
    <n v="0.75"/>
    <n v="1000"/>
    <n v="750"/>
  </r>
  <r>
    <x v="23"/>
    <x v="14"/>
    <n v="4.8499999999999996"/>
    <n v="1000"/>
    <n v="4850"/>
  </r>
  <r>
    <x v="23"/>
    <x v="10"/>
    <n v="0.25"/>
    <n v="400"/>
    <n v="100"/>
  </r>
  <r>
    <x v="23"/>
    <x v="0"/>
    <n v="3.55"/>
    <n v="500"/>
    <n v="1775"/>
  </r>
  <r>
    <x v="23"/>
    <x v="6"/>
    <n v="1.45"/>
    <n v="300"/>
    <n v="435"/>
  </r>
  <r>
    <x v="23"/>
    <x v="5"/>
    <n v="2.35"/>
    <n v="1000"/>
    <n v="2350"/>
  </r>
  <r>
    <x v="23"/>
    <x v="18"/>
    <n v="0.15"/>
    <n v="150"/>
    <n v="22.5"/>
  </r>
  <r>
    <x v="23"/>
    <x v="2"/>
    <n v="1.5"/>
    <n v="2800"/>
    <n v="4200"/>
  </r>
  <r>
    <x v="24"/>
    <x v="2"/>
    <n v="1.2"/>
    <n v="2800"/>
    <n v="3360"/>
  </r>
  <r>
    <x v="24"/>
    <x v="6"/>
    <n v="3.2"/>
    <n v="300"/>
    <n v="960"/>
  </r>
  <r>
    <x v="24"/>
    <x v="7"/>
    <n v="0.4"/>
    <n v="500"/>
    <n v="200"/>
  </r>
  <r>
    <x v="24"/>
    <x v="5"/>
    <n v="3.15"/>
    <n v="1000"/>
    <n v="3150"/>
  </r>
  <r>
    <x v="24"/>
    <x v="14"/>
    <n v="1.35"/>
    <n v="1000"/>
    <n v="1350"/>
  </r>
  <r>
    <x v="25"/>
    <x v="3"/>
    <n v="0.2"/>
    <n v="150"/>
    <n v="30"/>
  </r>
  <r>
    <x v="25"/>
    <x v="11"/>
    <n v="1.05"/>
    <n v="1000"/>
    <n v="1050"/>
  </r>
  <r>
    <x v="25"/>
    <x v="7"/>
    <n v="0.25"/>
    <n v="500"/>
    <n v="125"/>
  </r>
  <r>
    <x v="25"/>
    <x v="19"/>
    <n v="0.1"/>
    <n v="3500"/>
    <n v="350"/>
  </r>
  <r>
    <x v="25"/>
    <x v="1"/>
    <n v="0.1"/>
    <n v="2500"/>
    <n v="250"/>
  </r>
  <r>
    <x v="25"/>
    <x v="4"/>
    <n v="0.7"/>
    <n v="1500"/>
    <n v="1050"/>
  </r>
  <r>
    <x v="25"/>
    <x v="2"/>
    <n v="2.15"/>
    <n v="2800"/>
    <n v="6020"/>
  </r>
  <r>
    <x v="25"/>
    <x v="6"/>
    <n v="1.4"/>
    <n v="300"/>
    <n v="420"/>
  </r>
  <r>
    <x v="25"/>
    <x v="17"/>
    <n v="0.6"/>
    <n v="3500"/>
    <n v="2100"/>
  </r>
  <r>
    <x v="25"/>
    <x v="14"/>
    <n v="10.55"/>
    <n v="1000"/>
    <n v="10550"/>
  </r>
  <r>
    <x v="26"/>
    <x v="14"/>
    <n v="0.2"/>
    <n v="1000"/>
    <n v="200"/>
  </r>
  <r>
    <x v="26"/>
    <x v="5"/>
    <n v="12.3"/>
    <n v="1000"/>
    <n v="12300"/>
  </r>
  <r>
    <x v="26"/>
    <x v="2"/>
    <n v="5.2"/>
    <n v="2800"/>
    <n v="14560"/>
  </r>
  <r>
    <x v="26"/>
    <x v="1"/>
    <n v="0.6"/>
    <n v="2500"/>
    <n v="1500"/>
  </r>
  <r>
    <x v="26"/>
    <x v="3"/>
    <n v="3.7"/>
    <n v="150"/>
    <n v="555"/>
  </r>
  <r>
    <x v="26"/>
    <x v="4"/>
    <n v="2.35"/>
    <n v="1500"/>
    <n v="3525"/>
  </r>
  <r>
    <x v="26"/>
    <x v="7"/>
    <n v="1.3"/>
    <n v="500"/>
    <n v="650"/>
  </r>
  <r>
    <x v="26"/>
    <x v="20"/>
    <n v="7.05"/>
    <n v="800"/>
    <n v="5640"/>
  </r>
  <r>
    <x v="26"/>
    <x v="6"/>
    <n v="4.45"/>
    <n v="300"/>
    <n v="1335"/>
  </r>
  <r>
    <x v="26"/>
    <x v="0"/>
    <n v="2.85"/>
    <n v="500"/>
    <n v="1425"/>
  </r>
  <r>
    <x v="27"/>
    <x v="7"/>
    <n v="0.3"/>
    <n v="500"/>
    <n v="150"/>
  </r>
  <r>
    <x v="27"/>
    <x v="6"/>
    <n v="0.2"/>
    <n v="300"/>
    <n v="60"/>
  </r>
  <r>
    <x v="27"/>
    <x v="14"/>
    <n v="0.45"/>
    <n v="1000"/>
    <n v="450"/>
  </r>
  <r>
    <x v="27"/>
    <x v="2"/>
    <n v="0.45"/>
    <n v="2800"/>
    <n v="1260"/>
  </r>
  <r>
    <x v="27"/>
    <x v="1"/>
    <n v="0.1"/>
    <n v="2500"/>
    <n v="250"/>
  </r>
  <r>
    <x v="27"/>
    <x v="5"/>
    <n v="3.15"/>
    <n v="1000"/>
    <n v="3150"/>
  </r>
  <r>
    <x v="28"/>
    <x v="4"/>
    <n v="0.35"/>
    <n v="1500"/>
    <n v="525"/>
  </r>
  <r>
    <x v="28"/>
    <x v="7"/>
    <n v="1.2"/>
    <n v="500"/>
    <n v="600"/>
  </r>
  <r>
    <x v="28"/>
    <x v="5"/>
    <n v="0.05"/>
    <n v="1000"/>
    <n v="50"/>
  </r>
  <r>
    <x v="28"/>
    <x v="2"/>
    <n v="0.5"/>
    <n v="2800"/>
    <n v="1400"/>
  </r>
  <r>
    <x v="28"/>
    <x v="14"/>
    <n v="3.45"/>
    <n v="1000"/>
    <n v="3450"/>
  </r>
  <r>
    <x v="28"/>
    <x v="0"/>
    <n v="1.35"/>
    <n v="500"/>
    <n v="675"/>
  </r>
  <r>
    <x v="28"/>
    <x v="6"/>
    <n v="1.35"/>
    <n v="300"/>
    <n v="405"/>
  </r>
  <r>
    <x v="29"/>
    <x v="18"/>
    <n v="1.75"/>
    <n v="150"/>
    <n v="262.5"/>
  </r>
  <r>
    <x v="30"/>
    <x v="3"/>
    <n v="0.1"/>
    <n v="150"/>
    <n v="15"/>
  </r>
  <r>
    <x v="30"/>
    <x v="4"/>
    <n v="0.75"/>
    <n v="1500"/>
    <n v="1125"/>
  </r>
  <r>
    <x v="30"/>
    <x v="0"/>
    <n v="0.15"/>
    <n v="500"/>
    <n v="75"/>
  </r>
  <r>
    <x v="30"/>
    <x v="5"/>
    <n v="0.45"/>
    <n v="1000"/>
    <n v="450"/>
  </r>
  <r>
    <x v="30"/>
    <x v="1"/>
    <n v="0.15"/>
    <n v="2500"/>
    <n v="375"/>
  </r>
  <r>
    <x v="30"/>
    <x v="6"/>
    <n v="1.25"/>
    <n v="300"/>
    <n v="375"/>
  </r>
  <r>
    <x v="30"/>
    <x v="2"/>
    <n v="3.4"/>
    <n v="2800"/>
    <n v="9520"/>
  </r>
  <r>
    <x v="31"/>
    <x v="1"/>
    <n v="0.15"/>
    <n v="2500"/>
    <n v="375"/>
  </r>
  <r>
    <x v="31"/>
    <x v="23"/>
    <n v="0.35"/>
    <n v="1400"/>
    <n v="489.99999999999994"/>
  </r>
  <r>
    <x v="31"/>
    <x v="14"/>
    <n v="1.35"/>
    <n v="1000"/>
    <n v="1350"/>
  </r>
  <r>
    <x v="31"/>
    <x v="5"/>
    <n v="0.45"/>
    <n v="1000"/>
    <n v="450"/>
  </r>
  <r>
    <x v="31"/>
    <x v="6"/>
    <n v="1.05"/>
    <n v="300"/>
    <n v="315"/>
  </r>
  <r>
    <x v="31"/>
    <x v="13"/>
    <n v="9.0500000000000007"/>
    <n v="2500"/>
    <n v="22625"/>
  </r>
  <r>
    <x v="31"/>
    <x v="7"/>
    <n v="0.8"/>
    <n v="500"/>
    <n v="400"/>
  </r>
  <r>
    <x v="31"/>
    <x v="0"/>
    <n v="1.35"/>
    <n v="500"/>
    <n v="675"/>
  </r>
  <r>
    <x v="31"/>
    <x v="2"/>
    <n v="0.7"/>
    <n v="2800"/>
    <n v="1959.9999999999998"/>
  </r>
  <r>
    <x v="31"/>
    <x v="11"/>
    <n v="0.7"/>
    <n v="1000"/>
    <n v="700"/>
  </r>
  <r>
    <x v="31"/>
    <x v="4"/>
    <n v="0.85"/>
    <n v="1500"/>
    <n v="1275"/>
  </r>
  <r>
    <x v="31"/>
    <x v="16"/>
    <n v="2.4500000000000002"/>
    <n v="5000"/>
    <n v="12250"/>
  </r>
  <r>
    <x v="32"/>
    <x v="14"/>
    <n v="15.7"/>
    <n v="1000"/>
    <n v="15700"/>
  </r>
  <r>
    <x v="32"/>
    <x v="1"/>
    <n v="0.45"/>
    <n v="2500"/>
    <n v="1125"/>
  </r>
  <r>
    <x v="32"/>
    <x v="19"/>
    <n v="0.25"/>
    <n v="3500"/>
    <n v="875"/>
  </r>
  <r>
    <x v="32"/>
    <x v="6"/>
    <n v="1.55"/>
    <n v="300"/>
    <n v="465"/>
  </r>
  <r>
    <x v="32"/>
    <x v="24"/>
    <n v="0.55000000000000004"/>
    <n v="800"/>
    <n v="440.00000000000006"/>
  </r>
  <r>
    <x v="32"/>
    <x v="5"/>
    <n v="2.35"/>
    <n v="1000"/>
    <n v="2350"/>
  </r>
  <r>
    <x v="32"/>
    <x v="3"/>
    <n v="2.8"/>
    <n v="150"/>
    <n v="420"/>
  </r>
  <r>
    <x v="32"/>
    <x v="11"/>
    <n v="1.9"/>
    <n v="1000"/>
    <n v="1900"/>
  </r>
  <r>
    <x v="32"/>
    <x v="17"/>
    <n v="1.05"/>
    <n v="3500"/>
    <n v="3675"/>
  </r>
  <r>
    <x v="32"/>
    <x v="2"/>
    <n v="5.35"/>
    <n v="2800"/>
    <n v="14979.999999999998"/>
  </r>
  <r>
    <x v="32"/>
    <x v="16"/>
    <n v="4.5"/>
    <n v="5000"/>
    <n v="22500"/>
  </r>
  <r>
    <x v="33"/>
    <x v="16"/>
    <n v="6.65"/>
    <n v="5000"/>
    <n v="33250"/>
  </r>
  <r>
    <x v="33"/>
    <x v="7"/>
    <n v="1.1499999999999999"/>
    <n v="500"/>
    <n v="575"/>
  </r>
  <r>
    <x v="33"/>
    <x v="3"/>
    <n v="1"/>
    <n v="150"/>
    <n v="150"/>
  </r>
  <r>
    <x v="33"/>
    <x v="13"/>
    <n v="1.55"/>
    <n v="2500"/>
    <n v="3875"/>
  </r>
  <r>
    <x v="33"/>
    <x v="2"/>
    <n v="2.8"/>
    <n v="2800"/>
    <n v="7839.9999999999991"/>
  </r>
  <r>
    <x v="33"/>
    <x v="8"/>
    <n v="0.25"/>
    <n v="1600"/>
    <n v="400"/>
  </r>
  <r>
    <x v="33"/>
    <x v="4"/>
    <n v="0.15"/>
    <n v="1500"/>
    <n v="225"/>
  </r>
  <r>
    <x v="33"/>
    <x v="5"/>
    <n v="0.95"/>
    <n v="1000"/>
    <n v="950"/>
  </r>
  <r>
    <x v="33"/>
    <x v="14"/>
    <n v="6.6"/>
    <n v="1000"/>
    <n v="6600"/>
  </r>
  <r>
    <x v="33"/>
    <x v="6"/>
    <n v="3.35"/>
    <n v="300"/>
    <n v="1005"/>
  </r>
  <r>
    <x v="33"/>
    <x v="0"/>
    <n v="3.85"/>
    <n v="500"/>
    <n v="1925"/>
  </r>
  <r>
    <x v="33"/>
    <x v="17"/>
    <n v="0.3"/>
    <n v="3500"/>
    <n v="1050"/>
  </r>
  <r>
    <x v="28"/>
    <x v="16"/>
    <n v="7.65"/>
    <n v="5000"/>
    <n v="38250"/>
  </r>
  <r>
    <x v="34"/>
    <x v="0"/>
    <n v="1.55"/>
    <n v="500"/>
    <n v="775"/>
  </r>
  <r>
    <x v="34"/>
    <x v="11"/>
    <n v="1.1000000000000001"/>
    <n v="1000"/>
    <n v="1100"/>
  </r>
  <r>
    <x v="34"/>
    <x v="6"/>
    <n v="0.15"/>
    <n v="300"/>
    <n v="45"/>
  </r>
  <r>
    <x v="34"/>
    <x v="23"/>
    <n v="1.55"/>
    <n v="1400"/>
    <n v="2170"/>
  </r>
  <r>
    <x v="34"/>
    <x v="5"/>
    <n v="4.7"/>
    <n v="1000"/>
    <n v="4700"/>
  </r>
  <r>
    <x v="35"/>
    <x v="4"/>
    <n v="0.2"/>
    <n v="1500"/>
    <n v="300"/>
  </r>
  <r>
    <x v="35"/>
    <x v="5"/>
    <n v="0.9"/>
    <n v="1000"/>
    <n v="900"/>
  </r>
  <r>
    <x v="35"/>
    <x v="0"/>
    <n v="1.1499999999999999"/>
    <n v="500"/>
    <n v="575"/>
  </r>
  <r>
    <x v="35"/>
    <x v="1"/>
    <n v="0.25"/>
    <n v="2500"/>
    <n v="625"/>
  </r>
  <r>
    <x v="35"/>
    <x v="14"/>
    <n v="3"/>
    <n v="1000"/>
    <n v="3000"/>
  </r>
  <r>
    <x v="35"/>
    <x v="9"/>
    <n v="0.3"/>
    <n v="1600"/>
    <n v="480"/>
  </r>
  <r>
    <x v="35"/>
    <x v="2"/>
    <n v="1.2"/>
    <n v="2800"/>
    <n v="3360"/>
  </r>
  <r>
    <x v="35"/>
    <x v="6"/>
    <n v="0.55000000000000004"/>
    <n v="300"/>
    <n v="165"/>
  </r>
  <r>
    <x v="35"/>
    <x v="7"/>
    <n v="0.15"/>
    <n v="500"/>
    <n v="75"/>
  </r>
  <r>
    <x v="35"/>
    <x v="16"/>
    <n v="7.1"/>
    <n v="5000"/>
    <n v="35500"/>
  </r>
  <r>
    <x v="36"/>
    <x v="7"/>
    <n v="0.35"/>
    <n v="500"/>
    <n v="175"/>
  </r>
  <r>
    <x v="36"/>
    <x v="0"/>
    <n v="0.4"/>
    <n v="500"/>
    <n v="200"/>
  </r>
  <r>
    <x v="36"/>
    <x v="6"/>
    <n v="0.7"/>
    <n v="300"/>
    <n v="210"/>
  </r>
  <r>
    <x v="36"/>
    <x v="17"/>
    <n v="0.15"/>
    <n v="3500"/>
    <n v="525"/>
  </r>
  <r>
    <x v="36"/>
    <x v="5"/>
    <n v="0.5"/>
    <n v="1000"/>
    <n v="500"/>
  </r>
  <r>
    <x v="36"/>
    <x v="1"/>
    <n v="0.2"/>
    <n v="2500"/>
    <n v="500"/>
  </r>
  <r>
    <x v="36"/>
    <x v="2"/>
    <n v="0.6"/>
    <n v="2800"/>
    <n v="1680"/>
  </r>
  <r>
    <x v="37"/>
    <x v="2"/>
    <n v="0.4"/>
    <n v="2800"/>
    <n v="1120"/>
  </r>
  <r>
    <x v="37"/>
    <x v="7"/>
    <n v="0.2"/>
    <n v="500"/>
    <n v="100"/>
  </r>
  <r>
    <x v="37"/>
    <x v="0"/>
    <n v="0.15"/>
    <n v="500"/>
    <n v="75"/>
  </r>
  <r>
    <x v="37"/>
    <x v="6"/>
    <n v="1"/>
    <n v="300"/>
    <n v="300"/>
  </r>
  <r>
    <x v="37"/>
    <x v="5"/>
    <n v="1.1000000000000001"/>
    <n v="1000"/>
    <n v="1100"/>
  </r>
  <r>
    <x v="38"/>
    <x v="0"/>
    <n v="2.6"/>
    <n v="500"/>
    <n v="1300"/>
  </r>
  <r>
    <x v="38"/>
    <x v="4"/>
    <n v="0.4"/>
    <n v="1500"/>
    <n v="600"/>
  </r>
  <r>
    <x v="38"/>
    <x v="2"/>
    <n v="0.95"/>
    <n v="2800"/>
    <n v="2660"/>
  </r>
  <r>
    <x v="38"/>
    <x v="7"/>
    <n v="0.25"/>
    <n v="500"/>
    <n v="125"/>
  </r>
  <r>
    <x v="38"/>
    <x v="3"/>
    <n v="1.4"/>
    <n v="150"/>
    <n v="210"/>
  </r>
  <r>
    <x v="38"/>
    <x v="5"/>
    <n v="1.75"/>
    <n v="1000"/>
    <n v="1750"/>
  </r>
  <r>
    <x v="38"/>
    <x v="6"/>
    <n v="0.65"/>
    <n v="300"/>
    <n v="195"/>
  </r>
  <r>
    <x v="38"/>
    <x v="21"/>
    <n v="0.15"/>
    <n v="1400"/>
    <n v="210"/>
  </r>
  <r>
    <x v="38"/>
    <x v="12"/>
    <n v="1.95"/>
    <n v="1800"/>
    <n v="3510"/>
  </r>
  <r>
    <x v="38"/>
    <x v="15"/>
    <n v="0.15"/>
    <n v="8000"/>
    <n v="1200"/>
  </r>
  <r>
    <x v="38"/>
    <x v="8"/>
    <n v="0.4"/>
    <n v="1600"/>
    <n v="640"/>
  </r>
  <r>
    <x v="39"/>
    <x v="13"/>
    <n v="2.15"/>
    <n v="2500"/>
    <n v="5375"/>
  </r>
  <r>
    <x v="39"/>
    <x v="21"/>
    <n v="0.2"/>
    <n v="1400"/>
    <n v="280"/>
  </r>
  <r>
    <x v="39"/>
    <x v="14"/>
    <n v="1.65"/>
    <n v="1000"/>
    <n v="1650"/>
  </r>
  <r>
    <x v="40"/>
    <x v="7"/>
    <n v="0.25"/>
    <n v="500"/>
    <n v="125"/>
  </r>
  <r>
    <x v="40"/>
    <x v="20"/>
    <n v="1.65"/>
    <n v="800"/>
    <n v="1320"/>
  </r>
  <r>
    <x v="40"/>
    <x v="6"/>
    <n v="0.6"/>
    <n v="300"/>
    <n v="180"/>
  </r>
  <r>
    <x v="40"/>
    <x v="15"/>
    <n v="0.25"/>
    <n v="8000"/>
    <n v="2000"/>
  </r>
  <r>
    <x v="40"/>
    <x v="1"/>
    <n v="0.5"/>
    <n v="2500"/>
    <n v="1250"/>
  </r>
  <r>
    <x v="40"/>
    <x v="5"/>
    <n v="2.5499999999999998"/>
    <n v="1000"/>
    <n v="2550"/>
  </r>
  <r>
    <x v="40"/>
    <x v="11"/>
    <n v="2.25"/>
    <n v="1000"/>
    <n v="2250"/>
  </r>
  <r>
    <x v="40"/>
    <x v="3"/>
    <n v="1.25"/>
    <n v="150"/>
    <n v="187.5"/>
  </r>
  <r>
    <x v="40"/>
    <x v="13"/>
    <n v="0.9"/>
    <n v="2500"/>
    <n v="2250"/>
  </r>
  <r>
    <x v="40"/>
    <x v="2"/>
    <n v="3.6"/>
    <n v="2800"/>
    <n v="10080"/>
  </r>
  <r>
    <x v="40"/>
    <x v="16"/>
    <n v="2.7"/>
    <n v="5000"/>
    <n v="13500"/>
  </r>
  <r>
    <x v="41"/>
    <x v="20"/>
    <n v="1.55"/>
    <n v="800"/>
    <n v="1240"/>
  </r>
  <r>
    <x v="41"/>
    <x v="16"/>
    <n v="1.65"/>
    <n v="5000"/>
    <n v="8250"/>
  </r>
  <r>
    <x v="41"/>
    <x v="14"/>
    <n v="1.05"/>
    <n v="1000"/>
    <n v="1050"/>
  </r>
  <r>
    <x v="41"/>
    <x v="6"/>
    <n v="0.15"/>
    <n v="300"/>
    <n v="45"/>
  </r>
  <r>
    <x v="41"/>
    <x v="1"/>
    <n v="0.15"/>
    <n v="2500"/>
    <n v="375"/>
  </r>
  <r>
    <x v="41"/>
    <x v="7"/>
    <n v="0.1"/>
    <n v="500"/>
    <n v="50"/>
  </r>
  <r>
    <x v="41"/>
    <x v="11"/>
    <n v="0.55000000000000004"/>
    <n v="1000"/>
    <n v="550"/>
  </r>
  <r>
    <x v="29"/>
    <x v="5"/>
    <n v="0.6"/>
    <n v="1000"/>
    <n v="600"/>
  </r>
  <r>
    <x v="29"/>
    <x v="7"/>
    <n v="1.1000000000000001"/>
    <n v="500"/>
    <n v="550"/>
  </r>
  <r>
    <x v="29"/>
    <x v="19"/>
    <n v="0.3"/>
    <n v="3500"/>
    <n v="1050"/>
  </r>
  <r>
    <x v="29"/>
    <x v="0"/>
    <n v="0.65"/>
    <n v="500"/>
    <n v="325"/>
  </r>
  <r>
    <x v="29"/>
    <x v="14"/>
    <n v="0.7"/>
    <n v="1000"/>
    <n v="700"/>
  </r>
  <r>
    <x v="29"/>
    <x v="6"/>
    <n v="1.6"/>
    <n v="300"/>
    <n v="480"/>
  </r>
  <r>
    <x v="29"/>
    <x v="3"/>
    <n v="1.25"/>
    <n v="150"/>
    <n v="187.5"/>
  </r>
  <r>
    <x v="29"/>
    <x v="4"/>
    <n v="1.9"/>
    <n v="1500"/>
    <n v="2850"/>
  </r>
  <r>
    <x v="29"/>
    <x v="11"/>
    <n v="0.4"/>
    <n v="1000"/>
    <n v="400"/>
  </r>
  <r>
    <x v="29"/>
    <x v="16"/>
    <n v="1.7"/>
    <n v="5000"/>
    <n v="8500"/>
  </r>
  <r>
    <x v="42"/>
    <x v="6"/>
    <n v="0.4"/>
    <n v="300"/>
    <n v="120"/>
  </r>
  <r>
    <x v="42"/>
    <x v="5"/>
    <n v="0.7"/>
    <n v="1000"/>
    <n v="700"/>
  </r>
  <r>
    <x v="42"/>
    <x v="4"/>
    <n v="0.4"/>
    <n v="1500"/>
    <n v="600"/>
  </r>
  <r>
    <x v="42"/>
    <x v="8"/>
    <n v="0.25"/>
    <n v="1600"/>
    <n v="400"/>
  </r>
  <r>
    <x v="42"/>
    <x v="2"/>
    <n v="0.6"/>
    <n v="2800"/>
    <n v="1680"/>
  </r>
  <r>
    <x v="42"/>
    <x v="1"/>
    <n v="0.05"/>
    <n v="2500"/>
    <n v="125"/>
  </r>
  <r>
    <x v="42"/>
    <x v="19"/>
    <n v="0.1"/>
    <n v="3500"/>
    <n v="350"/>
  </r>
  <r>
    <x v="42"/>
    <x v="14"/>
    <n v="1.25"/>
    <n v="1000"/>
    <n v="1250"/>
  </r>
  <r>
    <x v="42"/>
    <x v="16"/>
    <n v="0.85"/>
    <n v="5000"/>
    <n v="4250"/>
  </r>
  <r>
    <x v="42"/>
    <x v="13"/>
    <n v="5.15"/>
    <n v="2500"/>
    <n v="12875"/>
  </r>
  <r>
    <x v="43"/>
    <x v="3"/>
    <n v="0.35"/>
    <n v="150"/>
    <n v="52.5"/>
  </r>
  <r>
    <x v="43"/>
    <x v="12"/>
    <n v="0.25"/>
    <n v="1800"/>
    <n v="450"/>
  </r>
  <r>
    <x v="43"/>
    <x v="9"/>
    <n v="0.3"/>
    <n v="1600"/>
    <n v="480"/>
  </r>
  <r>
    <x v="43"/>
    <x v="22"/>
    <n v="1.75"/>
    <n v="1000"/>
    <n v="1750"/>
  </r>
  <r>
    <x v="43"/>
    <x v="21"/>
    <n v="1.25"/>
    <n v="1400"/>
    <n v="1750"/>
  </r>
  <r>
    <x v="43"/>
    <x v="5"/>
    <n v="10.25"/>
    <n v="1000"/>
    <n v="10250"/>
  </r>
  <r>
    <x v="43"/>
    <x v="6"/>
    <n v="1.1000000000000001"/>
    <n v="300"/>
    <n v="330"/>
  </r>
  <r>
    <x v="43"/>
    <x v="14"/>
    <n v="5.25"/>
    <n v="1000"/>
    <n v="5250"/>
  </r>
  <r>
    <x v="43"/>
    <x v="1"/>
    <n v="0.3"/>
    <n v="2500"/>
    <n v="750"/>
  </r>
  <r>
    <x v="43"/>
    <x v="2"/>
    <n v="4.5999999999999996"/>
    <n v="2800"/>
    <n v="12879.999999999998"/>
  </r>
  <r>
    <x v="43"/>
    <x v="4"/>
    <n v="0.95"/>
    <n v="1500"/>
    <n v="1425"/>
  </r>
  <r>
    <x v="44"/>
    <x v="4"/>
    <n v="2.5"/>
    <n v="1500"/>
    <n v="3750"/>
  </r>
  <r>
    <x v="44"/>
    <x v="1"/>
    <n v="0.2"/>
    <n v="2500"/>
    <n v="500"/>
  </r>
  <r>
    <x v="44"/>
    <x v="5"/>
    <n v="1.95"/>
    <n v="1000"/>
    <n v="1950"/>
  </r>
  <r>
    <x v="44"/>
    <x v="2"/>
    <n v="2.0499999999999998"/>
    <n v="2800"/>
    <n v="5739.9999999999991"/>
  </r>
  <r>
    <x v="44"/>
    <x v="6"/>
    <n v="1.1000000000000001"/>
    <n v="300"/>
    <n v="330"/>
  </r>
  <r>
    <x v="44"/>
    <x v="7"/>
    <n v="0.3"/>
    <n v="500"/>
    <n v="150"/>
  </r>
  <r>
    <x v="44"/>
    <x v="14"/>
    <n v="3.3"/>
    <n v="1000"/>
    <n v="3300"/>
  </r>
  <r>
    <x v="45"/>
    <x v="1"/>
    <n v="0.15"/>
    <n v="2500"/>
    <n v="375"/>
  </r>
  <r>
    <x v="45"/>
    <x v="2"/>
    <n v="1.6"/>
    <n v="2800"/>
    <n v="4480"/>
  </r>
  <r>
    <x v="45"/>
    <x v="16"/>
    <n v="3.15"/>
    <n v="5000"/>
    <n v="15750"/>
  </r>
  <r>
    <x v="45"/>
    <x v="11"/>
    <n v="2.15"/>
    <n v="1000"/>
    <n v="2150"/>
  </r>
  <r>
    <x v="45"/>
    <x v="7"/>
    <n v="0.2"/>
    <n v="500"/>
    <n v="100"/>
  </r>
  <r>
    <x v="45"/>
    <x v="6"/>
    <n v="0.4"/>
    <n v="300"/>
    <n v="120"/>
  </r>
  <r>
    <x v="45"/>
    <x v="14"/>
    <n v="3.1"/>
    <n v="1000"/>
    <n v="3100"/>
  </r>
  <r>
    <x v="46"/>
    <x v="1"/>
    <n v="0.15"/>
    <n v="2500"/>
    <n v="375"/>
  </r>
  <r>
    <x v="46"/>
    <x v="0"/>
    <n v="0.1"/>
    <n v="500"/>
    <n v="50"/>
  </r>
  <r>
    <x v="46"/>
    <x v="6"/>
    <n v="0.7"/>
    <n v="300"/>
    <n v="210"/>
  </r>
  <r>
    <x v="46"/>
    <x v="14"/>
    <n v="5"/>
    <n v="1000"/>
    <n v="5000"/>
  </r>
  <r>
    <x v="46"/>
    <x v="13"/>
    <n v="1"/>
    <n v="2500"/>
    <n v="2500"/>
  </r>
  <r>
    <x v="46"/>
    <x v="12"/>
    <n v="1.1000000000000001"/>
    <n v="1800"/>
    <n v="1980.0000000000002"/>
  </r>
  <r>
    <x v="46"/>
    <x v="5"/>
    <n v="0.3"/>
    <n v="1000"/>
    <n v="300"/>
  </r>
  <r>
    <x v="46"/>
    <x v="9"/>
    <n v="0.2"/>
    <n v="1600"/>
    <n v="320"/>
  </r>
  <r>
    <x v="46"/>
    <x v="12"/>
    <n v="0.9"/>
    <n v="1800"/>
    <n v="1620"/>
  </r>
  <r>
    <x v="46"/>
    <x v="2"/>
    <n v="1.7"/>
    <n v="2800"/>
    <n v="4760"/>
  </r>
  <r>
    <x v="47"/>
    <x v="25"/>
    <n v="0.7"/>
    <n v="2700"/>
    <n v="1889.9999999999998"/>
  </r>
  <r>
    <x v="47"/>
    <x v="16"/>
    <n v="0.6"/>
    <n v="5000"/>
    <n v="3000"/>
  </r>
  <r>
    <x v="47"/>
    <x v="21"/>
    <n v="0.5"/>
    <n v="1400"/>
    <n v="700"/>
  </r>
  <r>
    <x v="47"/>
    <x v="4"/>
    <n v="0.7"/>
    <n v="1500"/>
    <n v="1050"/>
  </r>
  <r>
    <x v="47"/>
    <x v="6"/>
    <n v="0.15"/>
    <n v="300"/>
    <n v="45"/>
  </r>
  <r>
    <x v="47"/>
    <x v="7"/>
    <n v="0.2"/>
    <n v="500"/>
    <n v="100"/>
  </r>
  <r>
    <x v="47"/>
    <x v="11"/>
    <n v="1.8"/>
    <n v="1000"/>
    <n v="1800"/>
  </r>
  <r>
    <x v="47"/>
    <x v="1"/>
    <n v="0.15"/>
    <n v="2500"/>
    <n v="375"/>
  </r>
  <r>
    <x v="47"/>
    <x v="2"/>
    <n v="1.7"/>
    <n v="2800"/>
    <n v="4760"/>
  </r>
  <r>
    <x v="47"/>
    <x v="14"/>
    <n v="4"/>
    <n v="1000"/>
    <n v="4000"/>
  </r>
  <r>
    <x v="48"/>
    <x v="0"/>
    <n v="2.4"/>
    <n v="500"/>
    <n v="1200"/>
  </r>
  <r>
    <x v="48"/>
    <x v="17"/>
    <n v="0.4"/>
    <n v="3500"/>
    <n v="1400"/>
  </r>
  <r>
    <x v="48"/>
    <x v="6"/>
    <n v="1.3"/>
    <n v="300"/>
    <n v="390"/>
  </r>
  <r>
    <x v="48"/>
    <x v="11"/>
    <n v="0.65"/>
    <n v="1000"/>
    <n v="650"/>
  </r>
  <r>
    <x v="48"/>
    <x v="2"/>
    <n v="1.6"/>
    <n v="2800"/>
    <n v="4480"/>
  </r>
  <r>
    <x v="49"/>
    <x v="6"/>
    <n v="26.7"/>
    <n v="300"/>
    <n v="8010"/>
  </r>
  <r>
    <x v="49"/>
    <x v="7"/>
    <n v="10.7"/>
    <n v="500"/>
    <n v="5350"/>
  </r>
  <r>
    <x v="49"/>
    <x v="0"/>
    <n v="0.95"/>
    <n v="500"/>
    <n v="475"/>
  </r>
  <r>
    <x v="50"/>
    <x v="2"/>
    <n v="1.95"/>
    <n v="2800"/>
    <n v="5460"/>
  </r>
  <r>
    <x v="50"/>
    <x v="11"/>
    <n v="2.25"/>
    <n v="1000"/>
    <n v="2250"/>
  </r>
  <r>
    <x v="50"/>
    <x v="6"/>
    <n v="4"/>
    <n v="300"/>
    <n v="1200"/>
  </r>
  <r>
    <x v="50"/>
    <x v="16"/>
    <n v="1.5"/>
    <n v="5000"/>
    <n v="7500"/>
  </r>
  <r>
    <x v="50"/>
    <x v="15"/>
    <n v="0.15"/>
    <n v="8000"/>
    <n v="1200"/>
  </r>
  <r>
    <x v="50"/>
    <x v="4"/>
    <n v="1.25"/>
    <n v="1500"/>
    <n v="1875"/>
  </r>
  <r>
    <x v="50"/>
    <x v="0"/>
    <n v="5.0999999999999996"/>
    <n v="500"/>
    <n v="2550"/>
  </r>
  <r>
    <x v="51"/>
    <x v="6"/>
    <n v="0.6"/>
    <n v="300"/>
    <n v="180"/>
  </r>
  <r>
    <x v="51"/>
    <x v="15"/>
    <n v="0.25"/>
    <n v="8000"/>
    <n v="2000"/>
  </r>
  <r>
    <x v="51"/>
    <x v="4"/>
    <n v="0.25"/>
    <n v="1500"/>
    <n v="375"/>
  </r>
  <r>
    <x v="51"/>
    <x v="5"/>
    <n v="0.5"/>
    <n v="1000"/>
    <n v="500"/>
  </r>
  <r>
    <x v="51"/>
    <x v="17"/>
    <n v="0.15"/>
    <n v="3500"/>
    <n v="525"/>
  </r>
  <r>
    <x v="51"/>
    <x v="0"/>
    <n v="0.85"/>
    <n v="500"/>
    <n v="425"/>
  </r>
  <r>
    <x v="51"/>
    <x v="2"/>
    <n v="0.85"/>
    <n v="2800"/>
    <n v="23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A205A-98E6-4443-9747-4DFA1453184A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56" firstHeaderRow="0" firstDataRow="1" firstDataCol="1"/>
  <pivotFields count="5">
    <pivotField axis="axisRow" showAll="0">
      <items count="55">
        <item x="13"/>
        <item x="7"/>
        <item x="51"/>
        <item x="19"/>
        <item x="41"/>
        <item x="45"/>
        <item x="12"/>
        <item x="1"/>
        <item x="25"/>
        <item x="11"/>
        <item x="4"/>
        <item x="17"/>
        <item x="24"/>
        <item x="38"/>
        <item x="35"/>
        <item x="16"/>
        <item x="3"/>
        <item x="14"/>
        <item x="44"/>
        <item x="22"/>
        <item x="33"/>
        <item x="21"/>
        <item x="30"/>
        <item x="2"/>
        <item x="9"/>
        <item x="37"/>
        <item x="43"/>
        <item x="28"/>
        <item x="34"/>
        <item x="6"/>
        <item x="20"/>
        <item x="26"/>
        <item x="39"/>
        <item x="29"/>
        <item x="42"/>
        <item x="40"/>
        <item x="23"/>
        <item x="48"/>
        <item x="27"/>
        <item x="5"/>
        <item x="18"/>
        <item x="0"/>
        <item x="36"/>
        <item x="47"/>
        <item x="15"/>
        <item x="10"/>
        <item x="50"/>
        <item x="32"/>
        <item x="46"/>
        <item x="8"/>
        <item x="31"/>
        <item x="49"/>
        <item m="1" x="53"/>
        <item x="52"/>
        <item t="default"/>
      </items>
    </pivotField>
    <pivotField showAll="0"/>
    <pivotField dataField="1" numFmtId="43" showAll="0"/>
    <pivotField numFmtId="166" showAll="0"/>
    <pivotField dataField="1"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 numFmtId="43"/>
    <dataField name="Sum of Total" fld="4" baseField="0" baseItem="0" numFmtId="166"/>
  </dataFields>
  <formats count="2">
    <format dxfId="10">
      <pivotArea outline="0" collapsedLevelsAreSubtotals="1" fieldPosition="0"/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0FEFE-290B-4E2F-AE36-BEE72653AB7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33" firstHeaderRow="1" firstDataRow="1" firstDataCol="1"/>
  <pivotFields count="5">
    <pivotField showAll="0"/>
    <pivotField axis="axisRow" showAll="0">
      <items count="31">
        <item x="27"/>
        <item x="20"/>
        <item x="6"/>
        <item x="0"/>
        <item x="25"/>
        <item x="10"/>
        <item x="13"/>
        <item x="21"/>
        <item x="7"/>
        <item x="5"/>
        <item x="2"/>
        <item x="29"/>
        <item x="18"/>
        <item x="28"/>
        <item x="4"/>
        <item x="19"/>
        <item x="17"/>
        <item x="9"/>
        <item x="22"/>
        <item x="15"/>
        <item x="8"/>
        <item x="3"/>
        <item x="11"/>
        <item x="14"/>
        <item x="26"/>
        <item x="1"/>
        <item x="23"/>
        <item x="16"/>
        <item x="12"/>
        <item x="24"/>
        <item t="default"/>
      </items>
    </pivotField>
    <pivotField dataField="1" numFmtId="43" showAll="0"/>
    <pivotField numFmtId="166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Berat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4E40E-5B21-4552-81B4-12015E58A1C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64" firstHeaderRow="0" firstDataRow="1" firstDataCol="1"/>
  <pivotFields count="5">
    <pivotField axis="axisRow" showAll="0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61"/>
        <item x="41"/>
        <item x="42"/>
        <item x="43"/>
        <item x="44"/>
        <item x="45"/>
        <item x="46"/>
        <item x="47"/>
        <item x="48"/>
        <item x="49"/>
        <item x="50"/>
        <item m="1" x="62"/>
        <item x="52"/>
        <item x="53"/>
        <item x="54"/>
        <item x="55"/>
        <item x="56"/>
        <item x="59"/>
        <item x="60"/>
        <item x="57"/>
        <item x="58"/>
        <item x="40"/>
        <item x="51"/>
        <item t="default"/>
      </items>
    </pivotField>
    <pivotField showAll="0"/>
    <pivotField dataField="1" showAll="0"/>
    <pivotField numFmtId="166" showAll="0"/>
    <pivotField dataField="1" numFmtId="166" showAll="0"/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/>
    <dataField name="Sum of Total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AA9B7-08A4-46B4-90EC-3DAABFD9E6A6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B20" firstHeaderRow="1" firstDataRow="1" firstDataCol="0"/>
  <pivotFields count="5">
    <pivotField showAll="0"/>
    <pivotField showAll="0"/>
    <pivotField showAll="0"/>
    <pivotField numFmtId="166" showAll="0"/>
    <pivotField numFmtId="166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8AA51-EBA7-4F08-BD75-BA3A60D9447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32" firstHeaderRow="1" firstDataRow="1" firstDataCol="1"/>
  <pivotFields count="5">
    <pivotField showAll="0"/>
    <pivotField axis="axisRow" showAll="0">
      <items count="30">
        <item x="16"/>
        <item x="9"/>
        <item x="15"/>
        <item x="6"/>
        <item x="27"/>
        <item x="28"/>
        <item x="5"/>
        <item x="13"/>
        <item x="14"/>
        <item x="10"/>
        <item x="11"/>
        <item x="19"/>
        <item x="2"/>
        <item x="26"/>
        <item x="0"/>
        <item x="21"/>
        <item x="8"/>
        <item x="1"/>
        <item x="22"/>
        <item x="25"/>
        <item x="24"/>
        <item x="3"/>
        <item x="4"/>
        <item x="20"/>
        <item x="7"/>
        <item x="17"/>
        <item x="23"/>
        <item x="12"/>
        <item x="18"/>
        <item t="default"/>
      </items>
    </pivotField>
    <pivotField dataField="1" showAll="0"/>
    <pivotField numFmtId="166" showAll="0"/>
    <pivotField numFmtId="166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Bera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F8E3E-6047-417F-AB54-EE2A941E2A54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55" firstHeaderRow="0" firstDataRow="1" firstDataCol="1"/>
  <pivotFields count="5">
    <pivotField axis="axisRow" showAll="0">
      <items count="53">
        <item x="49"/>
        <item x="51"/>
        <item x="31"/>
        <item x="38"/>
        <item x="15"/>
        <item x="50"/>
        <item x="39"/>
        <item x="25"/>
        <item x="17"/>
        <item x="18"/>
        <item x="32"/>
        <item x="27"/>
        <item x="29"/>
        <item x="33"/>
        <item x="13"/>
        <item x="9"/>
        <item x="24"/>
        <item x="6"/>
        <item x="10"/>
        <item x="3"/>
        <item x="28"/>
        <item x="47"/>
        <item x="35"/>
        <item x="44"/>
        <item x="34"/>
        <item x="19"/>
        <item x="41"/>
        <item x="46"/>
        <item x="4"/>
        <item x="40"/>
        <item x="11"/>
        <item x="20"/>
        <item x="36"/>
        <item x="22"/>
        <item x="8"/>
        <item x="14"/>
        <item x="23"/>
        <item x="21"/>
        <item x="48"/>
        <item x="1"/>
        <item x="2"/>
        <item x="43"/>
        <item x="42"/>
        <item x="30"/>
        <item x="26"/>
        <item x="45"/>
        <item x="7"/>
        <item x="16"/>
        <item x="37"/>
        <item x="5"/>
        <item x="12"/>
        <item x="0"/>
        <item t="default"/>
      </items>
    </pivotField>
    <pivotField showAll="0">
      <items count="27">
        <item x="15"/>
        <item x="7"/>
        <item x="13"/>
        <item x="3"/>
        <item x="2"/>
        <item x="9"/>
        <item x="20"/>
        <item x="5"/>
        <item x="11"/>
        <item x="17"/>
        <item x="8"/>
        <item x="23"/>
        <item x="16"/>
        <item x="21"/>
        <item x="4"/>
        <item x="14"/>
        <item x="10"/>
        <item x="25"/>
        <item x="0"/>
        <item x="6"/>
        <item x="24"/>
        <item x="22"/>
        <item x="12"/>
        <item x="18"/>
        <item x="1"/>
        <item x="19"/>
        <item t="default"/>
      </items>
    </pivotField>
    <pivotField dataField="1" showAll="0"/>
    <pivotField numFmtId="166" showAll="0"/>
    <pivotField dataField="1" numFmtId="166" showAl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/>
    <dataField name="Sum of Total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2D8B2-7EA5-476D-9F56-8082CC2EED4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29" firstHeaderRow="1" firstDataRow="1" firstDataCol="1"/>
  <pivotFields count="5">
    <pivotField showAll="0"/>
    <pivotField axis="axisRow" showAll="0">
      <items count="27">
        <item x="15"/>
        <item x="7"/>
        <item x="13"/>
        <item x="3"/>
        <item x="2"/>
        <item x="9"/>
        <item x="20"/>
        <item x="5"/>
        <item x="11"/>
        <item x="17"/>
        <item x="8"/>
        <item x="23"/>
        <item x="16"/>
        <item x="21"/>
        <item x="4"/>
        <item x="14"/>
        <item x="10"/>
        <item x="25"/>
        <item x="0"/>
        <item x="6"/>
        <item x="24"/>
        <item x="22"/>
        <item x="12"/>
        <item x="18"/>
        <item x="1"/>
        <item x="19"/>
        <item t="default"/>
      </items>
    </pivotField>
    <pivotField dataField="1" showAll="0"/>
    <pivotField numFmtId="166" showAll="0"/>
    <pivotField numFmtId="166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Bera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84787-94DB-4FA8-BEFC-0A0944CDDA4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27" firstHeaderRow="1" firstDataRow="1" firstDataCol="1"/>
  <pivotFields count="5">
    <pivotField showAll="0"/>
    <pivotField axis="axisRow" showAll="0">
      <items count="25">
        <item x="13"/>
        <item x="0"/>
        <item x="22"/>
        <item x="2"/>
        <item x="4"/>
        <item x="17"/>
        <item x="10"/>
        <item x="6"/>
        <item x="3"/>
        <item x="18"/>
        <item x="15"/>
        <item x="20"/>
        <item x="12"/>
        <item x="9"/>
        <item x="5"/>
        <item x="16"/>
        <item x="7"/>
        <item x="1"/>
        <item x="23"/>
        <item x="19"/>
        <item x="14"/>
        <item x="11"/>
        <item x="8"/>
        <item x="21"/>
        <item t="default"/>
      </items>
    </pivotField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Bera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2DF03-981E-4878-9CD4-5E8275C7571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50" firstHeaderRow="0" firstDataRow="1" firstDataCol="1"/>
  <pivotFields count="5">
    <pivotField axis="axisRow" showAll="0">
      <items count="48">
        <item x="19"/>
        <item x="35"/>
        <item x="7"/>
        <item x="20"/>
        <item x="34"/>
        <item x="21"/>
        <item x="25"/>
        <item x="6"/>
        <item x="23"/>
        <item x="13"/>
        <item x="41"/>
        <item x="9"/>
        <item x="40"/>
        <item x="14"/>
        <item x="43"/>
        <item x="31"/>
        <item x="5"/>
        <item x="10"/>
        <item x="36"/>
        <item x="44"/>
        <item x="24"/>
        <item x="4"/>
        <item x="38"/>
        <item x="26"/>
        <item x="18"/>
        <item x="33"/>
        <item x="28"/>
        <item x="32"/>
        <item x="42"/>
        <item x="37"/>
        <item x="8"/>
        <item x="46"/>
        <item x="27"/>
        <item x="16"/>
        <item x="3"/>
        <item x="17"/>
        <item x="30"/>
        <item x="39"/>
        <item x="22"/>
        <item x="29"/>
        <item x="0"/>
        <item x="15"/>
        <item x="2"/>
        <item x="12"/>
        <item x="1"/>
        <item x="11"/>
        <item x="45"/>
        <item t="default"/>
      </items>
    </pivotField>
    <pivotField showAll="0"/>
    <pivotField dataField="1" showAll="0"/>
    <pivotField showAll="0"/>
    <pivotField dataField="1" showAl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 numFmtId="43"/>
    <dataField name="Sum of Total" fld="4" baseField="0" baseItem="0" numFmtId="166"/>
  </dataFields>
  <formats count="3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BC099-9FEE-446E-8B41-144F6CFF649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31" firstHeaderRow="1" firstDataRow="1" firstDataCol="1"/>
  <pivotFields count="5">
    <pivotField showAll="0"/>
    <pivotField axis="axisRow" showAll="0">
      <items count="29">
        <item x="12"/>
        <item x="14"/>
        <item x="2"/>
        <item x="1"/>
        <item x="10"/>
        <item x="18"/>
        <item x="6"/>
        <item x="0"/>
        <item x="15"/>
        <item x="27"/>
        <item x="8"/>
        <item x="11"/>
        <item x="7"/>
        <item x="24"/>
        <item x="17"/>
        <item x="4"/>
        <item x="22"/>
        <item x="25"/>
        <item x="26"/>
        <item x="5"/>
        <item x="9"/>
        <item x="19"/>
        <item x="21"/>
        <item x="16"/>
        <item x="3"/>
        <item x="23"/>
        <item x="13"/>
        <item x="20"/>
        <item t="default"/>
      </items>
    </pivotField>
    <pivotField dataField="1" numFmtId="43" showAll="0"/>
    <pivotField numFmtId="166" showAll="0"/>
    <pivotField numFmtId="166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Berat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1A60F-B39E-414A-AB1A-1C22569C5A4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50" firstHeaderRow="0" firstDataRow="1" firstDataCol="1"/>
  <pivotFields count="5">
    <pivotField axis="axisRow" showAll="0">
      <items count="48">
        <item x="39"/>
        <item x="10"/>
        <item x="26"/>
        <item x="38"/>
        <item x="42"/>
        <item x="29"/>
        <item x="7"/>
        <item x="12"/>
        <item x="4"/>
        <item x="2"/>
        <item x="11"/>
        <item x="5"/>
        <item x="14"/>
        <item x="23"/>
        <item x="22"/>
        <item x="15"/>
        <item x="1"/>
        <item x="36"/>
        <item x="19"/>
        <item x="30"/>
        <item x="31"/>
        <item x="6"/>
        <item x="18"/>
        <item x="13"/>
        <item x="28"/>
        <item x="25"/>
        <item x="35"/>
        <item x="17"/>
        <item x="9"/>
        <item n="BU TUTI RT 17" x="16"/>
        <item x="41"/>
        <item x="8"/>
        <item x="32"/>
        <item x="43"/>
        <item x="0"/>
        <item x="3"/>
        <item x="33"/>
        <item x="40"/>
        <item x="37"/>
        <item x="34"/>
        <item x="27"/>
        <item x="45"/>
        <item x="24"/>
        <item x="20"/>
        <item x="21"/>
        <item x="44"/>
        <item x="46"/>
        <item t="default"/>
      </items>
    </pivotField>
    <pivotField showAll="0"/>
    <pivotField dataField="1" numFmtId="43" showAll="0"/>
    <pivotField numFmtId="166" showAll="0"/>
    <pivotField dataField="1" numFmtId="166" showAl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 numFmtId="43"/>
    <dataField name="Sum of Total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81C3C-D131-4434-B117-8EA8CDED6BB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33" firstHeaderRow="1" firstDataRow="1" firstDataCol="1"/>
  <pivotFields count="5">
    <pivotField showAll="0"/>
    <pivotField axis="axisRow" showAll="0">
      <items count="31">
        <item x="27"/>
        <item x="20"/>
        <item x="6"/>
        <item x="0"/>
        <item x="25"/>
        <item x="10"/>
        <item x="13"/>
        <item x="21"/>
        <item x="7"/>
        <item x="5"/>
        <item x="2"/>
        <item x="29"/>
        <item x="18"/>
        <item x="28"/>
        <item x="4"/>
        <item x="19"/>
        <item x="17"/>
        <item x="9"/>
        <item x="22"/>
        <item x="15"/>
        <item x="8"/>
        <item x="3"/>
        <item x="11"/>
        <item x="14"/>
        <item x="26"/>
        <item x="1"/>
        <item x="23"/>
        <item x="16"/>
        <item x="12"/>
        <item x="24"/>
        <item t="default"/>
      </items>
    </pivotField>
    <pivotField dataField="1" numFmtId="43" showAll="0"/>
    <pivotField numFmtId="166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Berat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B3BD4-446A-48E0-9DB8-A63C75916A36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56" firstHeaderRow="0" firstDataRow="1" firstDataCol="1"/>
  <pivotFields count="5">
    <pivotField axis="axisRow" showAll="0">
      <items count="55">
        <item x="13"/>
        <item x="7"/>
        <item x="51"/>
        <item x="19"/>
        <item x="41"/>
        <item x="45"/>
        <item x="12"/>
        <item x="1"/>
        <item x="25"/>
        <item x="11"/>
        <item x="4"/>
        <item x="17"/>
        <item x="24"/>
        <item x="38"/>
        <item x="35"/>
        <item x="16"/>
        <item x="3"/>
        <item n="BU RATIH" x="14"/>
        <item x="44"/>
        <item x="22"/>
        <item x="33"/>
        <item x="21"/>
        <item x="30"/>
        <item x="2"/>
        <item x="9"/>
        <item x="37"/>
        <item x="43"/>
        <item x="28"/>
        <item x="34"/>
        <item x="6"/>
        <item x="20"/>
        <item x="26"/>
        <item x="39"/>
        <item x="29"/>
        <item x="42"/>
        <item x="40"/>
        <item x="23"/>
        <item x="48"/>
        <item x="27"/>
        <item x="5"/>
        <item x="18"/>
        <item x="0"/>
        <item x="36"/>
        <item x="47"/>
        <item x="15"/>
        <item x="10"/>
        <item x="50"/>
        <item x="32"/>
        <item x="46"/>
        <item x="8"/>
        <item n="VINA" x="31"/>
        <item x="49"/>
        <item m="1" x="53"/>
        <item x="52"/>
        <item t="default"/>
      </items>
    </pivotField>
    <pivotField showAll="0"/>
    <pivotField dataField="1" numFmtId="43" showAll="0"/>
    <pivotField numFmtId="166" showAll="0"/>
    <pivotField dataField="1"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 numFmtId="43"/>
    <dataField name="Sum of Total" fld="4" baseField="0" baseItem="0" numFmtId="166"/>
  </dataFields>
  <formats count="2">
    <format dxfId="5">
      <pivotArea outline="0" collapsedLevelsAreSubtotals="1" fieldPosition="0"/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3B9ED-DEC8-46BD-A389-A92CD6E4C71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64" firstHeaderRow="0" firstDataRow="1" firstDataCol="1"/>
  <pivotFields count="5">
    <pivotField axis="axisRow" showAll="0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61"/>
        <item x="41"/>
        <item x="42"/>
        <item x="43"/>
        <item x="44"/>
        <item x="45"/>
        <item x="46"/>
        <item x="47"/>
        <item x="48"/>
        <item x="49"/>
        <item x="50"/>
        <item m="1" x="62"/>
        <item x="52"/>
        <item x="53"/>
        <item x="54"/>
        <item x="55"/>
        <item x="56"/>
        <item x="59"/>
        <item x="60"/>
        <item x="57"/>
        <item x="58"/>
        <item x="40"/>
        <item x="51"/>
        <item t="default"/>
      </items>
    </pivotField>
    <pivotField showAll="0"/>
    <pivotField dataField="1" showAll="0"/>
    <pivotField numFmtId="166" showAll="0"/>
    <pivotField dataField="1" numFmtId="166" showAll="0"/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/>
    <dataField name="Sum of Total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7BCE4-1834-4AED-BB5E-5B51CC6EB27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32" firstHeaderRow="1" firstDataRow="1" firstDataCol="1"/>
  <pivotFields count="5">
    <pivotField showAll="0"/>
    <pivotField axis="axisRow" showAll="0">
      <items count="30">
        <item x="16"/>
        <item x="9"/>
        <item x="15"/>
        <item x="6"/>
        <item x="27"/>
        <item x="28"/>
        <item x="5"/>
        <item x="13"/>
        <item x="14"/>
        <item x="10"/>
        <item x="11"/>
        <item x="19"/>
        <item x="2"/>
        <item x="26"/>
        <item x="0"/>
        <item x="21"/>
        <item x="8"/>
        <item x="1"/>
        <item x="22"/>
        <item x="25"/>
        <item x="24"/>
        <item x="3"/>
        <item x="4"/>
        <item x="20"/>
        <item x="7"/>
        <item x="17"/>
        <item x="23"/>
        <item x="12"/>
        <item x="18"/>
        <item t="default"/>
      </items>
    </pivotField>
    <pivotField dataField="1" showAll="0"/>
    <pivotField numFmtId="166" showAll="0"/>
    <pivotField numFmtId="166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Bera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73701-2702-4AEF-B7BD-407445539B89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B20" firstHeaderRow="1" firstDataRow="1" firstDataCol="0"/>
  <pivotFields count="5">
    <pivotField showAll="0"/>
    <pivotField showAll="0"/>
    <pivotField showAll="0"/>
    <pivotField numFmtId="166" showAll="0"/>
    <pivotField numFmtId="166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15CFE-E5A5-4624-B847-252D4B5AAF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N31" firstHeaderRow="0" firstDataRow="1" firstDataCol="1"/>
  <pivotFields count="7">
    <pivotField showAll="0"/>
    <pivotField showAll="0"/>
    <pivotField showAll="0"/>
    <pivotField axis="axisRow" showAll="0">
      <items count="33">
        <item m="1" x="31"/>
        <item x="6"/>
        <item x="7"/>
        <item x="3"/>
        <item x="2"/>
        <item x="11"/>
        <item x="10"/>
        <item x="4"/>
        <item x="8"/>
        <item x="22"/>
        <item m="1" x="29"/>
        <item x="20"/>
        <item x="24"/>
        <item x="17"/>
        <item x="19"/>
        <item x="14"/>
        <item x="0"/>
        <item x="27"/>
        <item x="13"/>
        <item x="16"/>
        <item x="1"/>
        <item x="5"/>
        <item x="25"/>
        <item x="26"/>
        <item x="15"/>
        <item x="9"/>
        <item x="12"/>
        <item x="23"/>
        <item n="alumunium" m="1" x="30"/>
        <item n="alumunium2" x="21"/>
        <item x="18"/>
        <item m="1" x="28"/>
        <item t="default"/>
      </items>
    </pivotField>
    <pivotField numFmtId="166" showAll="0"/>
    <pivotField dataField="1" showAll="0"/>
    <pivotField dataField="1"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6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A6A57-B67B-4871-AFBC-C4CA629393D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60" firstHeaderRow="1" firstDataRow="1" firstDataCol="1"/>
  <pivotFields count="7">
    <pivotField showAll="0"/>
    <pivotField axis="axisRow" showAll="0">
      <items count="59">
        <item x="12"/>
        <item x="35"/>
        <item x="40"/>
        <item x="48"/>
        <item x="5"/>
        <item x="15"/>
        <item x="1"/>
        <item x="31"/>
        <item x="37"/>
        <item x="45"/>
        <item x="28"/>
        <item x="41"/>
        <item x="7"/>
        <item x="0"/>
        <item x="46"/>
        <item x="29"/>
        <item x="17"/>
        <item x="23"/>
        <item x="13"/>
        <item x="9"/>
        <item x="22"/>
        <item x="19"/>
        <item x="18"/>
        <item x="16"/>
        <item x="43"/>
        <item x="3"/>
        <item x="2"/>
        <item x="44"/>
        <item x="39"/>
        <item x="32"/>
        <item x="21"/>
        <item x="47"/>
        <item x="36"/>
        <item x="25"/>
        <item x="8"/>
        <item x="42"/>
        <item x="24"/>
        <item x="10"/>
        <item x="6"/>
        <item x="49"/>
        <item x="20"/>
        <item x="56"/>
        <item x="33"/>
        <item x="26"/>
        <item x="11"/>
        <item x="27"/>
        <item x="34"/>
        <item x="38"/>
        <item x="4"/>
        <item x="52"/>
        <item x="51"/>
        <item x="30"/>
        <item x="14"/>
        <item x="54"/>
        <item x="55"/>
        <item x="53"/>
        <item x="50"/>
        <item m="1" x="57"/>
        <item t="default"/>
      </items>
    </pivotField>
    <pivotField showAll="0"/>
    <pivotField showAll="0"/>
    <pivotField numFmtId="166" showAll="0"/>
    <pivotField showAll="0"/>
    <pivotField dataField="1" showAll="0"/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Sum of Total Harga" fld="6" baseField="0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DFD26-8E83-4CBC-A47D-2321755FE4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29" firstHeaderRow="1" firstDataRow="1" firstDataCol="1"/>
  <pivotFields count="5">
    <pivotField showAll="0"/>
    <pivotField axis="axisRow" showAll="0">
      <items count="27">
        <item x="19"/>
        <item x="15"/>
        <item x="20"/>
        <item x="3"/>
        <item x="9"/>
        <item x="4"/>
        <item x="16"/>
        <item x="8"/>
        <item x="13"/>
        <item x="21"/>
        <item x="7"/>
        <item x="12"/>
        <item x="11"/>
        <item x="23"/>
        <item x="14"/>
        <item x="2"/>
        <item x="10"/>
        <item x="25"/>
        <item x="18"/>
        <item x="0"/>
        <item x="1"/>
        <item x="22"/>
        <item x="17"/>
        <item x="24"/>
        <item x="5"/>
        <item x="6"/>
        <item t="default"/>
      </items>
    </pivotField>
    <pivotField dataField="1" showAll="0"/>
    <pivotField showAll="0"/>
    <pivotField numFmtId="166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Bera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9340B-4C83-46CA-AD31-92181AA80D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I42" firstHeaderRow="0" firstDataRow="1" firstDataCol="1"/>
  <pivotFields count="5">
    <pivotField axis="axisRow" showAll="0">
      <items count="40">
        <item x="26"/>
        <item x="24"/>
        <item x="18"/>
        <item x="38"/>
        <item x="29"/>
        <item x="2"/>
        <item x="31"/>
        <item x="13"/>
        <item x="0"/>
        <item x="12"/>
        <item x="15"/>
        <item x="7"/>
        <item x="11"/>
        <item x="25"/>
        <item x="8"/>
        <item x="3"/>
        <item x="4"/>
        <item x="33"/>
        <item x="23"/>
        <item x="27"/>
        <item x="21"/>
        <item x="28"/>
        <item x="32"/>
        <item x="35"/>
        <item x="16"/>
        <item x="20"/>
        <item x="22"/>
        <item x="30"/>
        <item x="6"/>
        <item x="19"/>
        <item x="34"/>
        <item x="10"/>
        <item x="5"/>
        <item x="9"/>
        <item x="37"/>
        <item x="36"/>
        <item x="1"/>
        <item x="14"/>
        <item x="17"/>
        <item t="default"/>
      </items>
    </pivotField>
    <pivotField showAll="0"/>
    <pivotField dataField="1" showAll="0"/>
    <pivotField showAll="0"/>
    <pivotField dataField="1" numFmtId="166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2" baseField="0" baseItem="0"/>
    <dataField name="Sum of Total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8856B-536F-45F4-B37E-FE78593E620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60" firstHeaderRow="1" firstDataRow="1" firstDataCol="1"/>
  <pivotFields count="7">
    <pivotField showAll="0"/>
    <pivotField axis="axisRow" showAll="0">
      <items count="58">
        <item x="12"/>
        <item x="35"/>
        <item x="40"/>
        <item x="48"/>
        <item x="5"/>
        <item x="15"/>
        <item x="1"/>
        <item x="31"/>
        <item x="37"/>
        <item x="45"/>
        <item x="28"/>
        <item x="41"/>
        <item x="7"/>
        <item x="0"/>
        <item x="46"/>
        <item x="29"/>
        <item x="17"/>
        <item x="23"/>
        <item x="13"/>
        <item x="9"/>
        <item x="22"/>
        <item x="19"/>
        <item x="18"/>
        <item x="16"/>
        <item x="43"/>
        <item x="3"/>
        <item x="2"/>
        <item x="44"/>
        <item x="39"/>
        <item x="32"/>
        <item x="21"/>
        <item x="47"/>
        <item x="36"/>
        <item x="25"/>
        <item x="8"/>
        <item x="42"/>
        <item x="24"/>
        <item x="10"/>
        <item x="6"/>
        <item x="49"/>
        <item x="20"/>
        <item x="56"/>
        <item x="33"/>
        <item x="26"/>
        <item x="50"/>
        <item x="11"/>
        <item x="27"/>
        <item x="34"/>
        <item x="38"/>
        <item x="4"/>
        <item x="52"/>
        <item x="51"/>
        <item x="30"/>
        <item x="14"/>
        <item x="54"/>
        <item x="55"/>
        <item x="53"/>
        <item t="default"/>
      </items>
    </pivotField>
    <pivotField showAll="0"/>
    <pivotField showAll="0"/>
    <pivotField numFmtId="166" showAll="0"/>
    <pivotField showAll="0"/>
    <pivotField dataField="1" showAll="0"/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Sum of Total Harga" fld="6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878C4-9477-451C-B0E3-B98834C373B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N31" firstHeaderRow="0" firstDataRow="1" firstDataCol="1"/>
  <pivotFields count="7">
    <pivotField showAll="0"/>
    <pivotField showAll="0"/>
    <pivotField showAll="0"/>
    <pivotField axis="axisRow" showAll="0">
      <items count="29">
        <item x="21"/>
        <item x="6"/>
        <item x="7"/>
        <item x="3"/>
        <item x="2"/>
        <item x="11"/>
        <item x="10"/>
        <item x="4"/>
        <item x="8"/>
        <item x="22"/>
        <item x="18"/>
        <item x="20"/>
        <item x="24"/>
        <item x="17"/>
        <item x="19"/>
        <item x="14"/>
        <item x="0"/>
        <item x="27"/>
        <item x="13"/>
        <item x="16"/>
        <item x="1"/>
        <item x="5"/>
        <item x="25"/>
        <item x="26"/>
        <item x="15"/>
        <item x="9"/>
        <item x="12"/>
        <item x="23"/>
        <item t="default"/>
      </items>
    </pivotField>
    <pivotField numFmtId="166" showAll="0"/>
    <pivotField dataField="1" showAll="0"/>
    <pivotField dataField="1" showAll="0"/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6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8AD7-5A18-452C-AA16-696EF7E87FB4}">
  <dimension ref="A2:F19"/>
  <sheetViews>
    <sheetView zoomScale="85" zoomScaleNormal="85" workbookViewId="0">
      <selection activeCell="B14" sqref="B14"/>
    </sheetView>
  </sheetViews>
  <sheetFormatPr defaultRowHeight="14.5" x14ac:dyDescent="0.35"/>
  <cols>
    <col min="1" max="1" width="11" bestFit="1" customWidth="1"/>
    <col min="2" max="2" width="37" customWidth="1"/>
    <col min="3" max="3" width="9.1796875" style="11" bestFit="1" customWidth="1"/>
    <col min="4" max="5" width="10.81640625" style="11" bestFit="1" customWidth="1"/>
    <col min="6" max="6" width="11.81640625" bestFit="1" customWidth="1"/>
  </cols>
  <sheetData>
    <row r="2" spans="1:6" x14ac:dyDescent="0.35">
      <c r="A2" s="6" t="s">
        <v>67</v>
      </c>
      <c r="B2" s="7" t="s">
        <v>68</v>
      </c>
      <c r="C2" s="10" t="s">
        <v>69</v>
      </c>
      <c r="D2" s="10" t="s">
        <v>70</v>
      </c>
      <c r="E2" s="10" t="s">
        <v>6</v>
      </c>
      <c r="F2" s="8" t="s">
        <v>71</v>
      </c>
    </row>
    <row r="3" spans="1:6" x14ac:dyDescent="0.35">
      <c r="B3" t="s">
        <v>72</v>
      </c>
      <c r="E3" s="11">
        <v>0</v>
      </c>
    </row>
    <row r="4" spans="1:6" x14ac:dyDescent="0.35">
      <c r="A4" s="53">
        <v>45893</v>
      </c>
      <c r="B4" t="s">
        <v>281</v>
      </c>
      <c r="D4" s="11">
        <v>2000000</v>
      </c>
      <c r="E4" s="11">
        <f>IF(AND(C4="",D4=""),"",E3+C4-D4)</f>
        <v>-2000000</v>
      </c>
    </row>
    <row r="5" spans="1:6" x14ac:dyDescent="0.35">
      <c r="A5" s="9">
        <v>46168</v>
      </c>
      <c r="B5" t="s">
        <v>281</v>
      </c>
      <c r="D5" s="11">
        <v>2000000</v>
      </c>
      <c r="E5" s="11">
        <f t="shared" ref="E5:E19" si="0">IF(AND(C5="",D5=""),"",E4+C5-D5)</f>
        <v>-4000000</v>
      </c>
    </row>
    <row r="6" spans="1:6" x14ac:dyDescent="0.35">
      <c r="A6" s="9">
        <v>46173</v>
      </c>
      <c r="B6" t="s">
        <v>282</v>
      </c>
      <c r="D6" s="11">
        <v>4400000</v>
      </c>
      <c r="E6" s="11">
        <f t="shared" si="0"/>
        <v>-8400000</v>
      </c>
    </row>
    <row r="7" spans="1:6" x14ac:dyDescent="0.35">
      <c r="A7" s="9"/>
      <c r="E7" s="11" t="str">
        <f t="shared" si="0"/>
        <v/>
      </c>
    </row>
    <row r="8" spans="1:6" x14ac:dyDescent="0.35">
      <c r="A8" s="9"/>
      <c r="E8" s="11" t="str">
        <f t="shared" si="0"/>
        <v/>
      </c>
    </row>
    <row r="9" spans="1:6" x14ac:dyDescent="0.35">
      <c r="A9" s="9"/>
      <c r="E9" s="11" t="str">
        <f t="shared" si="0"/>
        <v/>
      </c>
    </row>
    <row r="10" spans="1:6" x14ac:dyDescent="0.35">
      <c r="A10" s="9"/>
      <c r="E10" s="11" t="str">
        <f t="shared" si="0"/>
        <v/>
      </c>
    </row>
    <row r="11" spans="1:6" x14ac:dyDescent="0.35">
      <c r="A11" s="9"/>
      <c r="E11" s="11" t="str">
        <f t="shared" si="0"/>
        <v/>
      </c>
    </row>
    <row r="12" spans="1:6" x14ac:dyDescent="0.35">
      <c r="A12" s="9"/>
      <c r="E12" s="11" t="str">
        <f t="shared" si="0"/>
        <v/>
      </c>
    </row>
    <row r="13" spans="1:6" x14ac:dyDescent="0.35">
      <c r="A13" s="9"/>
      <c r="E13" s="11" t="str">
        <f t="shared" si="0"/>
        <v/>
      </c>
    </row>
    <row r="14" spans="1:6" x14ac:dyDescent="0.35">
      <c r="A14" s="9"/>
      <c r="E14" s="11" t="str">
        <f t="shared" si="0"/>
        <v/>
      </c>
    </row>
    <row r="15" spans="1:6" x14ac:dyDescent="0.35">
      <c r="A15" s="9"/>
      <c r="E15" s="11" t="str">
        <f t="shared" si="0"/>
        <v/>
      </c>
    </row>
    <row r="16" spans="1:6" x14ac:dyDescent="0.35">
      <c r="E16" s="11" t="str">
        <f t="shared" si="0"/>
        <v/>
      </c>
    </row>
    <row r="17" spans="5:5" x14ac:dyDescent="0.35">
      <c r="E17" s="11" t="str">
        <f t="shared" si="0"/>
        <v/>
      </c>
    </row>
    <row r="18" spans="5:5" x14ac:dyDescent="0.35">
      <c r="E18" s="11" t="str">
        <f t="shared" si="0"/>
        <v/>
      </c>
    </row>
    <row r="19" spans="5:5" x14ac:dyDescent="0.35">
      <c r="E19" s="11" t="str">
        <f t="shared" si="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0ADD-A511-424E-91F5-8736051595E8}">
  <sheetPr>
    <tabColor rgb="FFFF0000"/>
  </sheetPr>
  <dimension ref="A2:AF352"/>
  <sheetViews>
    <sheetView topLeftCell="Q1" zoomScale="80" zoomScaleNormal="60" zoomScaleSheetLayoutView="100" workbookViewId="0">
      <selection activeCell="AD13" sqref="AD13"/>
    </sheetView>
  </sheetViews>
  <sheetFormatPr defaultRowHeight="14.5" x14ac:dyDescent="0.35"/>
  <cols>
    <col min="1" max="2" width="25" customWidth="1"/>
    <col min="3" max="3" width="14.90625" customWidth="1"/>
    <col min="4" max="5" width="14.90625" style="63" customWidth="1"/>
    <col min="7" max="7" width="21.36328125" bestFit="1" customWidth="1"/>
    <col min="8" max="8" width="12.1796875" bestFit="1" customWidth="1"/>
    <col min="9" max="9" width="11.90625" bestFit="1" customWidth="1"/>
    <col min="10" max="10" width="11.90625" customWidth="1"/>
    <col min="11" max="11" width="25" bestFit="1" customWidth="1"/>
    <col min="12" max="12" width="12.1796875" bestFit="1" customWidth="1"/>
    <col min="15" max="15" width="26.7265625" bestFit="1" customWidth="1"/>
    <col min="18" max="18" width="11.81640625" bestFit="1" customWidth="1"/>
    <col min="21" max="21" width="26.7265625" bestFit="1" customWidth="1"/>
    <col min="24" max="24" width="11.81640625" bestFit="1" customWidth="1"/>
    <col min="25" max="25" width="9.26953125" bestFit="1" customWidth="1"/>
    <col min="27" max="27" width="26.7265625" bestFit="1" customWidth="1"/>
    <col min="30" max="30" width="11.81640625" bestFit="1" customWidth="1"/>
    <col min="31" max="31" width="9.26953125" bestFit="1" customWidth="1"/>
    <col min="32" max="32" width="18.36328125" bestFit="1" customWidth="1"/>
  </cols>
  <sheetData>
    <row r="2" spans="1:32" x14ac:dyDescent="0.35">
      <c r="A2" s="56" t="s">
        <v>82</v>
      </c>
      <c r="B2" s="56" t="s">
        <v>83</v>
      </c>
      <c r="C2" s="56" t="s">
        <v>65</v>
      </c>
      <c r="D2" s="56" t="s">
        <v>66</v>
      </c>
      <c r="E2" s="56" t="s">
        <v>6</v>
      </c>
      <c r="G2" s="15" t="s">
        <v>85</v>
      </c>
      <c r="H2" t="s">
        <v>137</v>
      </c>
      <c r="I2" t="s">
        <v>129</v>
      </c>
      <c r="K2" s="15" t="s">
        <v>85</v>
      </c>
      <c r="L2" t="s">
        <v>137</v>
      </c>
      <c r="N2" s="20" t="s">
        <v>132</v>
      </c>
      <c r="Q2" t="s">
        <v>374</v>
      </c>
      <c r="T2" s="20" t="s">
        <v>298</v>
      </c>
      <c r="W2" t="s">
        <v>374</v>
      </c>
      <c r="Z2" s="20" t="s">
        <v>298</v>
      </c>
      <c r="AC2" t="s">
        <v>374</v>
      </c>
    </row>
    <row r="3" spans="1:32" x14ac:dyDescent="0.35">
      <c r="A3" s="13" t="s">
        <v>318</v>
      </c>
      <c r="B3" s="13" t="s">
        <v>319</v>
      </c>
      <c r="C3" s="43">
        <v>0.55000000000000004</v>
      </c>
      <c r="D3" s="17">
        <v>1</v>
      </c>
      <c r="E3" s="17">
        <f>C3*D3</f>
        <v>0.55000000000000004</v>
      </c>
      <c r="G3" s="14" t="s">
        <v>333</v>
      </c>
      <c r="H3" s="29">
        <v>12.200000000000001</v>
      </c>
      <c r="I3" s="19">
        <v>16305</v>
      </c>
      <c r="J3" s="19"/>
      <c r="K3" s="14" t="s">
        <v>9</v>
      </c>
      <c r="L3" s="29">
        <v>2.7</v>
      </c>
      <c r="N3" s="21" t="s">
        <v>0</v>
      </c>
      <c r="O3" s="22" t="s">
        <v>64</v>
      </c>
      <c r="P3" s="23" t="s">
        <v>133</v>
      </c>
      <c r="Q3" s="22" t="s">
        <v>65</v>
      </c>
      <c r="R3" s="23" t="s">
        <v>134</v>
      </c>
      <c r="T3" s="21" t="s">
        <v>0</v>
      </c>
      <c r="U3" s="22" t="s">
        <v>64</v>
      </c>
      <c r="V3" s="23" t="s">
        <v>133</v>
      </c>
      <c r="W3" s="22" t="s">
        <v>65</v>
      </c>
      <c r="X3" s="23" t="s">
        <v>134</v>
      </c>
      <c r="Z3" s="21" t="s">
        <v>0</v>
      </c>
      <c r="AA3" s="22" t="s">
        <v>64</v>
      </c>
      <c r="AB3" s="23" t="s">
        <v>133</v>
      </c>
      <c r="AC3" s="22" t="s">
        <v>65</v>
      </c>
      <c r="AD3" s="23" t="s">
        <v>134</v>
      </c>
      <c r="AF3" t="s">
        <v>378</v>
      </c>
    </row>
    <row r="4" spans="1:32" x14ac:dyDescent="0.35">
      <c r="A4" s="13" t="s">
        <v>320</v>
      </c>
      <c r="B4" s="13" t="s">
        <v>321</v>
      </c>
      <c r="C4" s="43">
        <v>1.1000000000000001</v>
      </c>
      <c r="D4" s="17">
        <v>400</v>
      </c>
      <c r="E4" s="17">
        <f>C4*D4</f>
        <v>440.00000000000006</v>
      </c>
      <c r="G4" s="14" t="s">
        <v>327</v>
      </c>
      <c r="H4" s="29">
        <v>6</v>
      </c>
      <c r="I4" s="19">
        <v>6513</v>
      </c>
      <c r="J4" s="19"/>
      <c r="K4" s="14" t="s">
        <v>127</v>
      </c>
      <c r="L4" s="29">
        <v>0.45</v>
      </c>
      <c r="N4" s="22">
        <v>1</v>
      </c>
      <c r="O4" s="24" t="s">
        <v>7</v>
      </c>
      <c r="P4" s="25">
        <f>VLOOKUP(O4,KamiBox!$C$2:$F$58,4,0)</f>
        <v>200000</v>
      </c>
      <c r="Q4" s="26">
        <f>SUMIF($B$3:$B$346,O4,$C$3:$C$346)</f>
        <v>0</v>
      </c>
      <c r="R4" s="25">
        <f>P4*Q4</f>
        <v>0</v>
      </c>
      <c r="T4" s="22">
        <v>1</v>
      </c>
      <c r="U4" s="77" t="s">
        <v>13</v>
      </c>
      <c r="V4" s="78">
        <f>VLOOKUP(U4,KamiBox!$C$2:$F$58,4,0)</f>
        <v>1500</v>
      </c>
      <c r="W4" s="79">
        <f t="shared" ref="W4:W6" si="0">SUMIF($B$3:$B$346,U4,$C$3:$C$346)</f>
        <v>19.7</v>
      </c>
      <c r="X4" s="78">
        <f>V4*W4</f>
        <v>29550</v>
      </c>
      <c r="Z4" s="22">
        <v>1</v>
      </c>
      <c r="AA4" s="24" t="s">
        <v>34</v>
      </c>
      <c r="AB4" s="25">
        <v>8800</v>
      </c>
      <c r="AC4" s="26">
        <f>(17*9)+15</f>
        <v>168</v>
      </c>
      <c r="AD4" s="25">
        <v>1482000</v>
      </c>
      <c r="AE4" s="63">
        <v>1080250</v>
      </c>
      <c r="AF4" s="82">
        <f>AD4-AE4</f>
        <v>401750</v>
      </c>
    </row>
    <row r="5" spans="1:32" x14ac:dyDescent="0.35">
      <c r="A5" s="13" t="s">
        <v>322</v>
      </c>
      <c r="B5" s="13" t="s">
        <v>26</v>
      </c>
      <c r="C5" s="43">
        <v>0.3</v>
      </c>
      <c r="D5" s="17">
        <v>1000</v>
      </c>
      <c r="E5" s="17">
        <v>300</v>
      </c>
      <c r="G5" s="14" t="s">
        <v>373</v>
      </c>
      <c r="H5" s="29">
        <v>15.2</v>
      </c>
      <c r="I5" s="19">
        <v>106400</v>
      </c>
      <c r="J5" s="19"/>
      <c r="K5" s="14" t="s">
        <v>13</v>
      </c>
      <c r="L5" s="29">
        <v>19.7</v>
      </c>
      <c r="M5" s="76">
        <f>2.7+4.15</f>
        <v>6.8500000000000005</v>
      </c>
      <c r="N5" s="22">
        <v>2</v>
      </c>
      <c r="O5" s="24" t="s">
        <v>9</v>
      </c>
      <c r="P5" s="25">
        <f>VLOOKUP(O5,KamiBox!$C$2:$F$58,4,0)</f>
        <v>9000</v>
      </c>
      <c r="Q5" s="26">
        <f t="shared" ref="Q5:Q59" si="1">SUMIF($B$3:$B$346,O5,$C$3:$C$346)</f>
        <v>2.7</v>
      </c>
      <c r="R5" s="25">
        <f t="shared" ref="R5:R59" si="2">P5*Q5</f>
        <v>24300</v>
      </c>
      <c r="T5" s="22">
        <v>2</v>
      </c>
      <c r="U5" s="77" t="s">
        <v>54</v>
      </c>
      <c r="V5" s="78">
        <v>1700</v>
      </c>
      <c r="W5" s="79">
        <f t="shared" si="0"/>
        <v>0.60000000000000009</v>
      </c>
      <c r="X5" s="78">
        <f>V5*W5</f>
        <v>1020.0000000000001</v>
      </c>
      <c r="Z5" s="1"/>
      <c r="AB5" s="51"/>
      <c r="AC5" s="83"/>
      <c r="AD5" s="51"/>
    </row>
    <row r="6" spans="1:32" x14ac:dyDescent="0.35">
      <c r="A6" s="13" t="s">
        <v>322</v>
      </c>
      <c r="B6" s="13" t="s">
        <v>53</v>
      </c>
      <c r="C6" s="43">
        <v>0.4</v>
      </c>
      <c r="D6" s="17">
        <v>300</v>
      </c>
      <c r="E6" s="17">
        <v>120</v>
      </c>
      <c r="G6" s="14" t="s">
        <v>339</v>
      </c>
      <c r="H6" s="29">
        <v>5.73</v>
      </c>
      <c r="I6" s="19">
        <v>6345</v>
      </c>
      <c r="J6" s="19"/>
      <c r="K6" s="14" t="s">
        <v>319</v>
      </c>
      <c r="L6" s="29">
        <v>0.55000000000000004</v>
      </c>
      <c r="N6" s="22">
        <v>3</v>
      </c>
      <c r="O6" t="s">
        <v>10</v>
      </c>
      <c r="P6" s="25">
        <f>VLOOKUP(O6,KamiBox!$C$2:$F$58,4,0)</f>
        <v>4000</v>
      </c>
      <c r="Q6" s="26">
        <f t="shared" si="1"/>
        <v>0</v>
      </c>
      <c r="R6" s="25">
        <f t="shared" si="2"/>
        <v>0</v>
      </c>
      <c r="T6" s="22">
        <v>3</v>
      </c>
      <c r="U6" s="77" t="s">
        <v>266</v>
      </c>
      <c r="V6" s="78">
        <v>1700</v>
      </c>
      <c r="W6" s="79">
        <f t="shared" si="0"/>
        <v>4.1500000000000004</v>
      </c>
      <c r="X6" s="78">
        <f>V6*W6</f>
        <v>7055.0000000000009</v>
      </c>
      <c r="Z6" s="1"/>
      <c r="AB6" s="51"/>
      <c r="AC6" s="83"/>
      <c r="AD6" s="51"/>
    </row>
    <row r="7" spans="1:32" x14ac:dyDescent="0.35">
      <c r="A7" s="13" t="s">
        <v>322</v>
      </c>
      <c r="B7" s="13" t="s">
        <v>34</v>
      </c>
      <c r="C7" s="43">
        <v>2.15</v>
      </c>
      <c r="D7" s="17">
        <v>5000</v>
      </c>
      <c r="E7" s="17">
        <v>10750</v>
      </c>
      <c r="G7" s="14" t="s">
        <v>361</v>
      </c>
      <c r="H7" s="29">
        <v>12.3</v>
      </c>
      <c r="I7" s="19">
        <v>16223</v>
      </c>
      <c r="J7" s="19"/>
      <c r="K7" s="14" t="s">
        <v>15</v>
      </c>
      <c r="L7" s="29">
        <v>9.4</v>
      </c>
      <c r="N7" s="22">
        <v>4</v>
      </c>
      <c r="O7" s="24" t="s">
        <v>11</v>
      </c>
      <c r="P7" s="25">
        <f>VLOOKUP(O7,KamiBox!$C$2:$F$58,4,0)</f>
        <v>10000</v>
      </c>
      <c r="Q7" s="26">
        <f>GETPIVOTDATA("Berat",$K$2,"Material","Aluminium Rongsok")</f>
        <v>0.45</v>
      </c>
      <c r="R7" s="25">
        <f t="shared" si="2"/>
        <v>4500</v>
      </c>
      <c r="T7" s="22"/>
      <c r="U7" s="86" t="s">
        <v>135</v>
      </c>
      <c r="V7" s="25"/>
      <c r="W7" s="87">
        <f>SUM(W4:W6)</f>
        <v>24.450000000000003</v>
      </c>
      <c r="X7" s="88">
        <f>SUM(X4:X6)</f>
        <v>37625</v>
      </c>
      <c r="Z7" s="1"/>
      <c r="AB7" s="51"/>
      <c r="AC7" s="83"/>
      <c r="AD7" s="51"/>
    </row>
    <row r="8" spans="1:32" x14ac:dyDescent="0.35">
      <c r="A8" s="13" t="s">
        <v>322</v>
      </c>
      <c r="B8" s="13" t="s">
        <v>25</v>
      </c>
      <c r="C8" s="43">
        <v>0.55000000000000004</v>
      </c>
      <c r="D8" s="17">
        <v>1000</v>
      </c>
      <c r="E8" s="17">
        <v>550</v>
      </c>
      <c r="G8" s="14" t="s">
        <v>365</v>
      </c>
      <c r="H8" s="29">
        <v>31.049999999999997</v>
      </c>
      <c r="I8" s="19">
        <v>34575</v>
      </c>
      <c r="J8" s="19"/>
      <c r="K8" s="14" t="s">
        <v>18</v>
      </c>
      <c r="L8" s="29">
        <v>22.950000000000006</v>
      </c>
      <c r="N8" s="22">
        <v>5</v>
      </c>
      <c r="O8" s="24" t="s">
        <v>12</v>
      </c>
      <c r="P8" s="25">
        <f>VLOOKUP(O8,KamiBox!$C$2:$F$58,4,0)</f>
        <v>1000</v>
      </c>
      <c r="Q8" s="26">
        <f t="shared" si="1"/>
        <v>0</v>
      </c>
      <c r="R8" s="25">
        <f t="shared" si="2"/>
        <v>0</v>
      </c>
      <c r="T8" s="1"/>
      <c r="V8" s="51"/>
      <c r="W8" s="83"/>
      <c r="X8" s="51"/>
      <c r="Z8" s="1"/>
      <c r="AB8" s="51"/>
      <c r="AC8" s="83"/>
      <c r="AD8" s="51"/>
    </row>
    <row r="9" spans="1:32" x14ac:dyDescent="0.35">
      <c r="A9" s="13" t="s">
        <v>322</v>
      </c>
      <c r="B9" s="13" t="s">
        <v>13</v>
      </c>
      <c r="C9" s="43">
        <v>0.2</v>
      </c>
      <c r="D9" s="17">
        <v>500</v>
      </c>
      <c r="E9" s="17">
        <v>100</v>
      </c>
      <c r="G9" s="14" t="s">
        <v>332</v>
      </c>
      <c r="H9" s="29">
        <v>2.1500000000000004</v>
      </c>
      <c r="I9" s="19">
        <v>2150</v>
      </c>
      <c r="J9" s="19"/>
      <c r="K9" s="14" t="s">
        <v>94</v>
      </c>
      <c r="L9" s="29">
        <v>55.379999999999995</v>
      </c>
      <c r="M9">
        <f>6.35+3.6+2.65+2.85+2.8+3.15+4.05+5.4+4.9+4.2+4+4.9+6.25+3.3+0.1</f>
        <v>58.5</v>
      </c>
      <c r="N9" s="22">
        <v>6</v>
      </c>
      <c r="O9" s="24" t="s">
        <v>13</v>
      </c>
      <c r="P9" s="25"/>
      <c r="Q9" s="26"/>
      <c r="R9" s="25">
        <f t="shared" si="2"/>
        <v>0</v>
      </c>
      <c r="T9" s="1"/>
      <c r="Z9" s="20" t="s">
        <v>298</v>
      </c>
      <c r="AC9" t="s">
        <v>374</v>
      </c>
    </row>
    <row r="10" spans="1:32" x14ac:dyDescent="0.35">
      <c r="A10" s="13" t="s">
        <v>322</v>
      </c>
      <c r="B10" s="13" t="s">
        <v>125</v>
      </c>
      <c r="C10" s="43">
        <v>0.9</v>
      </c>
      <c r="D10" s="17">
        <v>800</v>
      </c>
      <c r="E10" s="17">
        <v>720</v>
      </c>
      <c r="G10" s="14" t="s">
        <v>320</v>
      </c>
      <c r="H10" s="29">
        <v>4.8</v>
      </c>
      <c r="I10" s="19">
        <v>2893</v>
      </c>
      <c r="J10" s="19"/>
      <c r="K10" s="14" t="s">
        <v>22</v>
      </c>
      <c r="L10" s="29">
        <v>13.33</v>
      </c>
      <c r="N10" s="22">
        <v>7</v>
      </c>
      <c r="O10" s="24" t="s">
        <v>15</v>
      </c>
      <c r="P10" s="25">
        <f>VLOOKUP(O10,KamiBox!$C$2:$F$58,4,0)</f>
        <v>4000</v>
      </c>
      <c r="Q10" s="26">
        <f t="shared" si="1"/>
        <v>9.4</v>
      </c>
      <c r="R10" s="25">
        <f t="shared" si="2"/>
        <v>37600</v>
      </c>
      <c r="T10" s="1"/>
      <c r="V10" s="51"/>
      <c r="W10" s="83"/>
      <c r="X10" s="51"/>
      <c r="Z10" s="21" t="s">
        <v>0</v>
      </c>
      <c r="AA10" s="22" t="s">
        <v>64</v>
      </c>
      <c r="AB10" s="23" t="s">
        <v>133</v>
      </c>
      <c r="AC10" s="22" t="s">
        <v>65</v>
      </c>
      <c r="AD10" s="23" t="s">
        <v>134</v>
      </c>
    </row>
    <row r="11" spans="1:32" x14ac:dyDescent="0.35">
      <c r="A11" s="13" t="s">
        <v>322</v>
      </c>
      <c r="B11" s="13" t="s">
        <v>51</v>
      </c>
      <c r="C11" s="43">
        <v>0.2</v>
      </c>
      <c r="D11" s="17">
        <v>500</v>
      </c>
      <c r="E11" s="17">
        <v>100</v>
      </c>
      <c r="G11" s="14" t="s">
        <v>345</v>
      </c>
      <c r="H11" s="29">
        <v>27.15</v>
      </c>
      <c r="I11" s="19">
        <v>47675</v>
      </c>
      <c r="J11" s="19"/>
      <c r="K11" s="14" t="s">
        <v>125</v>
      </c>
      <c r="L11" s="29">
        <v>36.849999999999994</v>
      </c>
      <c r="N11" s="22">
        <v>8</v>
      </c>
      <c r="O11" s="24" t="s">
        <v>16</v>
      </c>
      <c r="P11" s="25">
        <f>VLOOKUP(O11,KamiBox!$C$2:$F$58,4,0)</f>
        <v>400</v>
      </c>
      <c r="Q11" s="26">
        <f t="shared" si="1"/>
        <v>0</v>
      </c>
      <c r="R11" s="25">
        <f t="shared" si="2"/>
        <v>0</v>
      </c>
      <c r="T11" s="1"/>
      <c r="V11" s="51"/>
      <c r="W11" s="83"/>
      <c r="X11" s="51"/>
      <c r="Z11" s="22">
        <v>1</v>
      </c>
      <c r="AA11" s="24" t="s">
        <v>34</v>
      </c>
      <c r="AB11" s="25">
        <v>8800</v>
      </c>
      <c r="AC11" s="26">
        <f t="shared" ref="AC11" si="3">SUMIF($B$3:$B$346,AA11,$C$3:$C$346)</f>
        <v>82.1</v>
      </c>
      <c r="AD11" s="25">
        <f>AB11*AC11</f>
        <v>722480</v>
      </c>
    </row>
    <row r="12" spans="1:32" x14ac:dyDescent="0.35">
      <c r="A12" s="13" t="s">
        <v>322</v>
      </c>
      <c r="B12" s="13" t="s">
        <v>41</v>
      </c>
      <c r="C12" s="43">
        <v>7.85</v>
      </c>
      <c r="D12" s="17">
        <v>1000</v>
      </c>
      <c r="E12" s="17">
        <v>7850</v>
      </c>
      <c r="G12" s="14" t="s">
        <v>331</v>
      </c>
      <c r="H12" s="29">
        <v>14.55</v>
      </c>
      <c r="I12" s="19">
        <v>10828</v>
      </c>
      <c r="J12" s="19"/>
      <c r="K12" s="14" t="s">
        <v>25</v>
      </c>
      <c r="L12" s="29">
        <v>68.649999999999991</v>
      </c>
      <c r="N12" s="22">
        <v>9</v>
      </c>
      <c r="O12" s="24" t="s">
        <v>17</v>
      </c>
      <c r="P12" s="25">
        <f>VLOOKUP(O12,KamiBox!$C$2:$F$58,4,0)</f>
        <v>100</v>
      </c>
      <c r="Q12" s="26">
        <f t="shared" si="1"/>
        <v>0</v>
      </c>
      <c r="R12" s="25">
        <f t="shared" si="2"/>
        <v>0</v>
      </c>
      <c r="T12" s="1"/>
      <c r="V12" s="51"/>
      <c r="W12" s="83"/>
      <c r="X12" s="51"/>
      <c r="Z12" s="1"/>
      <c r="AB12" s="51"/>
      <c r="AC12" s="83">
        <v>91.45</v>
      </c>
      <c r="AD12" s="51">
        <v>804760</v>
      </c>
    </row>
    <row r="13" spans="1:32" x14ac:dyDescent="0.35">
      <c r="A13" s="13" t="s">
        <v>323</v>
      </c>
      <c r="B13" s="13" t="s">
        <v>13</v>
      </c>
      <c r="C13" s="43">
        <v>0.5</v>
      </c>
      <c r="D13" s="17">
        <v>500</v>
      </c>
      <c r="E13" s="17">
        <v>250</v>
      </c>
      <c r="G13" s="14" t="s">
        <v>324</v>
      </c>
      <c r="H13" s="29">
        <v>5.5</v>
      </c>
      <c r="I13" s="19">
        <v>5235</v>
      </c>
      <c r="J13" s="19"/>
      <c r="K13" s="14" t="s">
        <v>26</v>
      </c>
      <c r="L13" s="29">
        <v>29</v>
      </c>
      <c r="N13" s="22">
        <v>10</v>
      </c>
      <c r="O13" s="24" t="s">
        <v>18</v>
      </c>
      <c r="P13" s="25">
        <f>VLOOKUP(O13,KamiBox!$C$2:$F$58,4,0)</f>
        <v>200</v>
      </c>
      <c r="Q13" s="26">
        <f t="shared" si="1"/>
        <v>22.950000000000006</v>
      </c>
      <c r="R13" s="25">
        <f t="shared" si="2"/>
        <v>4590.0000000000009</v>
      </c>
      <c r="T13" s="1"/>
      <c r="V13" s="51"/>
      <c r="W13" s="83"/>
      <c r="X13" s="51"/>
      <c r="Z13" s="1"/>
      <c r="AB13" s="51"/>
      <c r="AC13" s="83"/>
      <c r="AD13" s="51"/>
    </row>
    <row r="14" spans="1:32" x14ac:dyDescent="0.35">
      <c r="A14" s="13" t="s">
        <v>323</v>
      </c>
      <c r="B14" s="13" t="s">
        <v>18</v>
      </c>
      <c r="C14" s="43">
        <v>0.55000000000000004</v>
      </c>
      <c r="D14" s="17">
        <v>150</v>
      </c>
      <c r="E14" s="17">
        <v>83</v>
      </c>
      <c r="G14" s="14" t="s">
        <v>337</v>
      </c>
      <c r="H14" s="29">
        <v>10.6</v>
      </c>
      <c r="I14" s="19">
        <v>13000</v>
      </c>
      <c r="J14" s="19"/>
      <c r="K14" s="14" t="s">
        <v>128</v>
      </c>
      <c r="L14" s="29">
        <v>0.3</v>
      </c>
      <c r="N14" s="22">
        <v>11</v>
      </c>
      <c r="O14" s="24" t="s">
        <v>19</v>
      </c>
      <c r="P14" s="25">
        <f>VLOOKUP(O14,KamiBox!$C$2:$F$58,4,0)</f>
        <v>100</v>
      </c>
      <c r="Q14" s="26">
        <f t="shared" si="1"/>
        <v>0</v>
      </c>
      <c r="R14" s="25">
        <f t="shared" si="2"/>
        <v>0</v>
      </c>
      <c r="T14" s="1"/>
      <c r="V14" s="51"/>
      <c r="W14" s="83"/>
      <c r="X14" s="51"/>
      <c r="Z14" s="1"/>
      <c r="AB14" s="51"/>
      <c r="AC14" s="83"/>
      <c r="AD14" s="51"/>
    </row>
    <row r="15" spans="1:32" x14ac:dyDescent="0.35">
      <c r="A15" s="13" t="s">
        <v>323</v>
      </c>
      <c r="B15" s="13" t="s">
        <v>51</v>
      </c>
      <c r="C15" s="43">
        <v>0.6</v>
      </c>
      <c r="D15" s="17">
        <v>500</v>
      </c>
      <c r="E15" s="17">
        <v>300</v>
      </c>
      <c r="G15" s="14" t="s">
        <v>344</v>
      </c>
      <c r="H15" s="29">
        <v>2.4499999999999997</v>
      </c>
      <c r="I15" s="19">
        <v>4090</v>
      </c>
      <c r="J15" s="19"/>
      <c r="K15" s="14" t="s">
        <v>29</v>
      </c>
      <c r="L15" s="29">
        <v>2.1500000000000004</v>
      </c>
      <c r="N15" s="22">
        <v>12</v>
      </c>
      <c r="O15" s="24" t="s">
        <v>20</v>
      </c>
      <c r="P15" s="25">
        <f>VLOOKUP(O15,KamiBox!$C$2:$F$58,4,0)</f>
        <v>800</v>
      </c>
      <c r="Q15" s="26">
        <f t="shared" si="1"/>
        <v>0</v>
      </c>
      <c r="R15" s="25">
        <f t="shared" si="2"/>
        <v>0</v>
      </c>
      <c r="T15" s="1"/>
      <c r="V15" s="51"/>
      <c r="W15" s="83"/>
      <c r="X15" s="51"/>
      <c r="Z15" s="1"/>
      <c r="AB15" s="51"/>
      <c r="AC15" s="83"/>
      <c r="AD15" s="51"/>
    </row>
    <row r="16" spans="1:32" x14ac:dyDescent="0.35">
      <c r="A16" s="13" t="s">
        <v>323</v>
      </c>
      <c r="B16" s="13" t="s">
        <v>53</v>
      </c>
      <c r="C16" s="43">
        <v>0.45</v>
      </c>
      <c r="D16" s="17">
        <v>300</v>
      </c>
      <c r="E16" s="17">
        <v>135</v>
      </c>
      <c r="G16" s="14" t="s">
        <v>358</v>
      </c>
      <c r="H16" s="29">
        <v>11</v>
      </c>
      <c r="I16" s="19">
        <v>15258</v>
      </c>
      <c r="J16" s="19"/>
      <c r="K16" s="14" t="s">
        <v>100</v>
      </c>
      <c r="L16" s="29">
        <v>7.15</v>
      </c>
      <c r="N16" s="22">
        <v>13</v>
      </c>
      <c r="O16" s="24" t="s">
        <v>94</v>
      </c>
      <c r="P16" s="25">
        <f>VLOOKUP(O16,KamiBox!$C$2:$F$58,4,0)</f>
        <v>5000</v>
      </c>
      <c r="Q16" s="26">
        <v>58.5</v>
      </c>
      <c r="R16" s="25">
        <f t="shared" si="2"/>
        <v>292500</v>
      </c>
      <c r="T16" s="1"/>
      <c r="V16" s="51"/>
      <c r="W16" s="83"/>
      <c r="X16" s="51"/>
      <c r="Z16" s="1"/>
      <c r="AB16" s="51"/>
      <c r="AC16" s="83"/>
      <c r="AD16" s="51"/>
    </row>
    <row r="17" spans="1:30" x14ac:dyDescent="0.35">
      <c r="A17" s="13" t="s">
        <v>324</v>
      </c>
      <c r="B17" s="13" t="s">
        <v>25</v>
      </c>
      <c r="C17" s="43">
        <v>0.4</v>
      </c>
      <c r="D17" s="17">
        <v>1000</v>
      </c>
      <c r="E17" s="17">
        <v>400</v>
      </c>
      <c r="G17" s="14" t="s">
        <v>355</v>
      </c>
      <c r="H17" s="29">
        <v>10.95</v>
      </c>
      <c r="I17" s="19">
        <v>20150</v>
      </c>
      <c r="J17" s="19"/>
      <c r="K17" s="14" t="s">
        <v>34</v>
      </c>
      <c r="L17" s="29">
        <v>82.1</v>
      </c>
      <c r="M17">
        <v>60.25</v>
      </c>
      <c r="N17" s="22">
        <v>14</v>
      </c>
      <c r="O17" s="24" t="s">
        <v>22</v>
      </c>
      <c r="P17" s="25">
        <f>VLOOKUP(O17,KamiBox!$C$2:$F$58,4,0)</f>
        <v>2500</v>
      </c>
      <c r="Q17" s="26">
        <f t="shared" si="1"/>
        <v>13.33</v>
      </c>
      <c r="R17" s="25">
        <f t="shared" si="2"/>
        <v>33325</v>
      </c>
      <c r="T17" s="1"/>
      <c r="V17" s="51"/>
      <c r="W17" s="83"/>
      <c r="X17" s="51"/>
      <c r="Z17" s="1"/>
      <c r="AB17" s="51"/>
      <c r="AC17" s="83"/>
      <c r="AD17" s="51"/>
    </row>
    <row r="18" spans="1:30" x14ac:dyDescent="0.35">
      <c r="A18" s="13" t="s">
        <v>324</v>
      </c>
      <c r="B18" s="13" t="s">
        <v>54</v>
      </c>
      <c r="C18" s="43">
        <v>0.2</v>
      </c>
      <c r="D18" s="17">
        <v>800</v>
      </c>
      <c r="E18" s="17">
        <v>160</v>
      </c>
      <c r="G18" s="14" t="s">
        <v>336</v>
      </c>
      <c r="H18" s="29">
        <v>5.45</v>
      </c>
      <c r="I18" s="19">
        <v>6855</v>
      </c>
      <c r="J18" s="19"/>
      <c r="K18" s="14" t="s">
        <v>293</v>
      </c>
      <c r="L18" s="29">
        <v>3.5</v>
      </c>
      <c r="M18">
        <f>GETPIVOTDATA("Berat",$K$2,"Material","Jelantah")-M17</f>
        <v>21.849999999999994</v>
      </c>
      <c r="N18" s="22">
        <v>15</v>
      </c>
      <c r="O18" s="24" t="s">
        <v>23</v>
      </c>
      <c r="P18" s="25">
        <f>VLOOKUP(O18,KamiBox!$C$2:$F$58,4,0)</f>
        <v>1000</v>
      </c>
      <c r="Q18" s="26">
        <f t="shared" si="1"/>
        <v>0</v>
      </c>
      <c r="R18" s="25">
        <f t="shared" si="2"/>
        <v>0</v>
      </c>
      <c r="T18" s="1"/>
      <c r="V18" s="51"/>
      <c r="W18" s="83"/>
      <c r="X18" s="51"/>
      <c r="Z18" s="1"/>
      <c r="AB18" s="51"/>
      <c r="AC18" s="83"/>
      <c r="AD18" s="51"/>
    </row>
    <row r="19" spans="1:30" x14ac:dyDescent="0.35">
      <c r="A19" s="13" t="s">
        <v>324</v>
      </c>
      <c r="B19" s="13" t="s">
        <v>41</v>
      </c>
      <c r="C19" s="43">
        <v>0.6</v>
      </c>
      <c r="D19" s="17">
        <v>1000</v>
      </c>
      <c r="E19" s="17">
        <v>600</v>
      </c>
      <c r="G19" s="14" t="s">
        <v>323</v>
      </c>
      <c r="H19" s="29">
        <v>2.1</v>
      </c>
      <c r="I19" s="19">
        <v>768</v>
      </c>
      <c r="J19" s="19"/>
      <c r="K19" s="14" t="s">
        <v>39</v>
      </c>
      <c r="L19" s="29">
        <v>13.449999999999998</v>
      </c>
      <c r="N19" s="22">
        <v>16</v>
      </c>
      <c r="O19" s="24" t="s">
        <v>125</v>
      </c>
      <c r="P19" s="25">
        <f>VLOOKUP(O19,KamiBox!$C$2:$F$58,4,0)</f>
        <v>1000</v>
      </c>
      <c r="Q19" s="26">
        <f t="shared" si="1"/>
        <v>36.849999999999994</v>
      </c>
      <c r="R19" s="25">
        <f t="shared" si="2"/>
        <v>36849.999999999993</v>
      </c>
      <c r="T19" s="1"/>
      <c r="V19" s="51"/>
      <c r="W19" s="83"/>
      <c r="X19" s="51"/>
      <c r="Z19" s="1"/>
      <c r="AB19" s="51"/>
      <c r="AC19" s="83"/>
      <c r="AD19" s="51"/>
    </row>
    <row r="20" spans="1:30" x14ac:dyDescent="0.35">
      <c r="A20" s="13" t="s">
        <v>324</v>
      </c>
      <c r="B20" s="13" t="s">
        <v>125</v>
      </c>
      <c r="C20" s="43">
        <v>3.6</v>
      </c>
      <c r="D20" s="17">
        <v>800</v>
      </c>
      <c r="E20" s="17">
        <v>2880</v>
      </c>
      <c r="G20" s="14" t="s">
        <v>334</v>
      </c>
      <c r="H20" s="29">
        <v>8.0499999999999989</v>
      </c>
      <c r="I20" s="19">
        <v>7825</v>
      </c>
      <c r="J20" s="19"/>
      <c r="K20" s="14" t="s">
        <v>41</v>
      </c>
      <c r="L20" s="29">
        <v>156.9</v>
      </c>
      <c r="N20" s="22">
        <v>17</v>
      </c>
      <c r="O20" s="24" t="s">
        <v>25</v>
      </c>
      <c r="P20" s="25">
        <f>VLOOKUP(O20,KamiBox!$C$2:$F$58,4,0)</f>
        <v>1200</v>
      </c>
      <c r="Q20" s="26">
        <f t="shared" si="1"/>
        <v>68.649999999999991</v>
      </c>
      <c r="R20" s="25">
        <f t="shared" si="2"/>
        <v>82379.999999999985</v>
      </c>
      <c r="T20" s="1"/>
      <c r="V20" s="51"/>
      <c r="W20" s="83"/>
      <c r="X20" s="51"/>
      <c r="Z20" s="1"/>
      <c r="AB20" s="51"/>
      <c r="AC20" s="83"/>
      <c r="AD20" s="51"/>
    </row>
    <row r="21" spans="1:30" x14ac:dyDescent="0.35">
      <c r="A21" s="13" t="s">
        <v>324</v>
      </c>
      <c r="B21" s="13" t="s">
        <v>60</v>
      </c>
      <c r="C21" s="43">
        <v>0.05</v>
      </c>
      <c r="D21" s="17">
        <v>2500</v>
      </c>
      <c r="E21" s="17">
        <v>125</v>
      </c>
      <c r="G21" s="14" t="s">
        <v>364</v>
      </c>
      <c r="H21" s="29">
        <v>1.55</v>
      </c>
      <c r="I21" s="19">
        <v>7750</v>
      </c>
      <c r="J21" s="19"/>
      <c r="K21" s="14" t="s">
        <v>263</v>
      </c>
      <c r="L21" s="29">
        <v>1.3</v>
      </c>
      <c r="N21" s="22">
        <v>18</v>
      </c>
      <c r="O21" s="24" t="s">
        <v>26</v>
      </c>
      <c r="P21" s="25">
        <f>VLOOKUP(O21,KamiBox!$C$2:$F$58,4,0)</f>
        <v>1000</v>
      </c>
      <c r="Q21" s="26">
        <f t="shared" si="1"/>
        <v>29</v>
      </c>
      <c r="R21" s="25">
        <f t="shared" si="2"/>
        <v>29000</v>
      </c>
      <c r="T21" s="1"/>
      <c r="V21" s="51"/>
      <c r="W21" s="83"/>
      <c r="X21" s="51"/>
      <c r="Z21" s="1"/>
      <c r="AB21" s="51"/>
      <c r="AC21" s="83"/>
      <c r="AD21" s="51"/>
    </row>
    <row r="22" spans="1:30" x14ac:dyDescent="0.35">
      <c r="A22" s="13" t="s">
        <v>324</v>
      </c>
      <c r="B22" s="13" t="s">
        <v>53</v>
      </c>
      <c r="C22" s="43">
        <v>0.3</v>
      </c>
      <c r="D22" s="17">
        <v>300</v>
      </c>
      <c r="E22" s="17">
        <v>90</v>
      </c>
      <c r="G22" s="14" t="s">
        <v>342</v>
      </c>
      <c r="H22" s="29">
        <v>5.0500000000000007</v>
      </c>
      <c r="I22" s="19">
        <v>6680</v>
      </c>
      <c r="J22" s="19"/>
      <c r="K22" s="14" t="s">
        <v>46</v>
      </c>
      <c r="L22" s="29">
        <v>0.4</v>
      </c>
      <c r="N22" s="22">
        <v>19</v>
      </c>
      <c r="O22" s="24" t="s">
        <v>27</v>
      </c>
      <c r="P22" s="25">
        <f>VLOOKUP(O22,KamiBox!$C$2:$F$58,4,0)</f>
        <v>3000</v>
      </c>
      <c r="Q22" s="26">
        <f t="shared" si="1"/>
        <v>0</v>
      </c>
      <c r="R22" s="25">
        <f t="shared" si="2"/>
        <v>0</v>
      </c>
      <c r="T22" s="1"/>
      <c r="V22" s="51"/>
      <c r="W22" s="83"/>
      <c r="X22" s="51"/>
      <c r="Z22" s="1"/>
      <c r="AB22" s="51"/>
      <c r="AC22" s="83"/>
      <c r="AD22" s="51"/>
    </row>
    <row r="23" spans="1:30" x14ac:dyDescent="0.35">
      <c r="A23" s="13" t="s">
        <v>324</v>
      </c>
      <c r="B23" s="13" t="s">
        <v>94</v>
      </c>
      <c r="C23" s="43">
        <v>0.35</v>
      </c>
      <c r="D23" s="17">
        <v>2800</v>
      </c>
      <c r="E23" s="17">
        <v>980</v>
      </c>
      <c r="G23" s="14" t="s">
        <v>353</v>
      </c>
      <c r="H23" s="29">
        <v>6.6999999999999993</v>
      </c>
      <c r="I23" s="19">
        <v>9775</v>
      </c>
      <c r="J23" s="19"/>
      <c r="K23" s="14" t="s">
        <v>51</v>
      </c>
      <c r="L23" s="29">
        <v>36.1</v>
      </c>
      <c r="N23" s="22">
        <v>20</v>
      </c>
      <c r="O23" s="24" t="s">
        <v>28</v>
      </c>
      <c r="P23" s="25">
        <f>VLOOKUP(O23,KamiBox!$C$2:$F$58,4,0)</f>
        <v>4000</v>
      </c>
      <c r="Q23" s="26">
        <f>GETPIVOTDATA("Berat",$K$2,"Material","Gelas PP Bersih (bening)")</f>
        <v>0.3</v>
      </c>
      <c r="R23" s="25">
        <f t="shared" si="2"/>
        <v>1200</v>
      </c>
      <c r="T23" s="1"/>
      <c r="V23" s="51"/>
      <c r="W23" s="83"/>
      <c r="X23" s="51"/>
      <c r="Z23" s="1"/>
      <c r="AB23" s="51"/>
      <c r="AC23" s="83"/>
      <c r="AD23" s="51"/>
    </row>
    <row r="24" spans="1:30" x14ac:dyDescent="0.35">
      <c r="A24" s="13" t="s">
        <v>325</v>
      </c>
      <c r="B24" s="13" t="s">
        <v>266</v>
      </c>
      <c r="C24" s="43">
        <v>1.35</v>
      </c>
      <c r="D24" s="17">
        <v>1000</v>
      </c>
      <c r="E24" s="17">
        <v>1350</v>
      </c>
      <c r="G24" s="14" t="s">
        <v>341</v>
      </c>
      <c r="H24" s="29">
        <v>32.930000000000007</v>
      </c>
      <c r="I24" s="19">
        <v>36074</v>
      </c>
      <c r="J24" s="19"/>
      <c r="K24" s="14" t="s">
        <v>53</v>
      </c>
      <c r="L24" s="29">
        <v>33.97</v>
      </c>
      <c r="M24">
        <f>7.9+9.45+6.9+9.25+8.05+8+7.85+6.1</f>
        <v>63.5</v>
      </c>
      <c r="N24" s="22">
        <v>21</v>
      </c>
      <c r="O24" s="24" t="s">
        <v>29</v>
      </c>
      <c r="P24" s="25">
        <f>VLOOKUP(O24,KamiBox!$C$2:$F$58,4,0)</f>
        <v>2000</v>
      </c>
      <c r="Q24" s="26">
        <f t="shared" si="1"/>
        <v>2.1500000000000004</v>
      </c>
      <c r="R24" s="25">
        <f t="shared" si="2"/>
        <v>4300.0000000000009</v>
      </c>
      <c r="T24" s="1"/>
      <c r="V24" s="51"/>
      <c r="W24" s="83"/>
      <c r="X24" s="51"/>
      <c r="Z24" s="1"/>
      <c r="AB24" s="51"/>
      <c r="AC24" s="83"/>
      <c r="AD24" s="51"/>
    </row>
    <row r="25" spans="1:30" x14ac:dyDescent="0.35">
      <c r="A25" s="13" t="s">
        <v>325</v>
      </c>
      <c r="B25" s="13" t="s">
        <v>13</v>
      </c>
      <c r="C25" s="43">
        <v>2.2999999999999998</v>
      </c>
      <c r="D25" s="17">
        <v>500</v>
      </c>
      <c r="E25" s="17">
        <v>1150</v>
      </c>
      <c r="G25" s="14" t="s">
        <v>350</v>
      </c>
      <c r="H25" s="29">
        <v>6.5</v>
      </c>
      <c r="I25" s="19">
        <v>5440</v>
      </c>
      <c r="J25" s="19"/>
      <c r="K25" s="14" t="s">
        <v>54</v>
      </c>
      <c r="L25" s="29">
        <v>0.60000000000000009</v>
      </c>
      <c r="N25" s="22">
        <v>22</v>
      </c>
      <c r="O25" s="24" t="s">
        <v>30</v>
      </c>
      <c r="P25" s="25">
        <f>VLOOKUP(O25,KamiBox!$C$2:$F$58,4,0)</f>
        <v>5000</v>
      </c>
      <c r="Q25" s="26">
        <f t="shared" si="1"/>
        <v>0</v>
      </c>
      <c r="R25" s="25">
        <f t="shared" si="2"/>
        <v>0</v>
      </c>
      <c r="T25" s="1"/>
      <c r="V25" s="51"/>
      <c r="W25" s="83"/>
      <c r="X25" s="51"/>
      <c r="Z25" s="1"/>
      <c r="AB25" s="51"/>
      <c r="AC25" s="83"/>
      <c r="AD25" s="51"/>
    </row>
    <row r="26" spans="1:30" x14ac:dyDescent="0.35">
      <c r="A26" s="13" t="s">
        <v>325</v>
      </c>
      <c r="B26" s="13" t="s">
        <v>46</v>
      </c>
      <c r="C26" s="43">
        <v>0.4</v>
      </c>
      <c r="D26" s="17">
        <v>2700</v>
      </c>
      <c r="E26" s="17">
        <v>1080</v>
      </c>
      <c r="G26" s="14" t="s">
        <v>322</v>
      </c>
      <c r="H26" s="29">
        <v>12.55</v>
      </c>
      <c r="I26" s="19">
        <v>20490</v>
      </c>
      <c r="J26" s="19"/>
      <c r="K26" s="14" t="s">
        <v>266</v>
      </c>
      <c r="L26" s="29">
        <v>4.1500000000000004</v>
      </c>
      <c r="N26" s="22">
        <v>23</v>
      </c>
      <c r="O26" s="24" t="s">
        <v>100</v>
      </c>
      <c r="P26" s="25">
        <f>VLOOKUP(O26,KamiBox!$C$2:$F$58,4,0)</f>
        <v>2000</v>
      </c>
      <c r="Q26" s="26">
        <f t="shared" si="1"/>
        <v>7.15</v>
      </c>
      <c r="R26" s="25">
        <f t="shared" si="2"/>
        <v>14300</v>
      </c>
      <c r="T26" s="1"/>
      <c r="V26" s="51"/>
      <c r="W26" s="83"/>
      <c r="X26" s="51"/>
      <c r="Z26" s="1"/>
      <c r="AB26" s="51"/>
      <c r="AC26" s="83"/>
      <c r="AD26" s="51"/>
    </row>
    <row r="27" spans="1:30" x14ac:dyDescent="0.35">
      <c r="A27" s="13" t="s">
        <v>326</v>
      </c>
      <c r="B27" s="13" t="s">
        <v>126</v>
      </c>
      <c r="C27" s="43">
        <v>0.65</v>
      </c>
      <c r="D27" s="17">
        <v>1800</v>
      </c>
      <c r="E27" s="17">
        <v>1170</v>
      </c>
      <c r="G27" s="14" t="s">
        <v>329</v>
      </c>
      <c r="H27" s="29">
        <v>10.4</v>
      </c>
      <c r="I27" s="19">
        <v>12005</v>
      </c>
      <c r="J27" s="19"/>
      <c r="K27" s="14" t="s">
        <v>55</v>
      </c>
      <c r="L27" s="29">
        <v>2.6</v>
      </c>
      <c r="N27" s="22">
        <v>24</v>
      </c>
      <c r="O27" s="24" t="s">
        <v>33</v>
      </c>
      <c r="P27" s="25">
        <f>VLOOKUP(O27,KamiBox!$C$2:$F$58,4,0)</f>
        <v>700</v>
      </c>
      <c r="Q27" s="26">
        <f t="shared" si="1"/>
        <v>0</v>
      </c>
      <c r="R27" s="25">
        <f t="shared" si="2"/>
        <v>0</v>
      </c>
      <c r="T27" s="1"/>
      <c r="V27" s="51"/>
      <c r="W27" s="83"/>
      <c r="X27" s="51"/>
      <c r="Z27" s="1"/>
      <c r="AB27" s="51"/>
      <c r="AC27" s="83"/>
      <c r="AD27" s="51"/>
    </row>
    <row r="28" spans="1:30" x14ac:dyDescent="0.35">
      <c r="A28" s="13" t="s">
        <v>326</v>
      </c>
      <c r="B28" s="13" t="s">
        <v>53</v>
      </c>
      <c r="C28" s="43">
        <v>1</v>
      </c>
      <c r="D28" s="17">
        <v>300</v>
      </c>
      <c r="E28" s="17">
        <v>300</v>
      </c>
      <c r="G28" s="14" t="s">
        <v>357</v>
      </c>
      <c r="H28" s="29">
        <v>35.349999999999994</v>
      </c>
      <c r="I28" s="19">
        <v>36000</v>
      </c>
      <c r="J28" s="19"/>
      <c r="K28" s="14" t="s">
        <v>321</v>
      </c>
      <c r="L28" s="29">
        <v>1.1000000000000001</v>
      </c>
      <c r="N28" s="22">
        <v>25</v>
      </c>
      <c r="O28" s="24" t="s">
        <v>34</v>
      </c>
      <c r="P28" s="25"/>
      <c r="Q28" s="26"/>
      <c r="R28" s="25"/>
      <c r="T28" s="1"/>
      <c r="V28" s="51"/>
      <c r="W28" s="83"/>
      <c r="X28" s="51"/>
      <c r="Z28" s="1"/>
    </row>
    <row r="29" spans="1:30" x14ac:dyDescent="0.35">
      <c r="A29" s="13" t="s">
        <v>326</v>
      </c>
      <c r="B29" s="13" t="s">
        <v>18</v>
      </c>
      <c r="C29" s="43">
        <v>0.6</v>
      </c>
      <c r="D29" s="17">
        <v>150</v>
      </c>
      <c r="E29" s="17">
        <v>90</v>
      </c>
      <c r="G29" s="14" t="s">
        <v>363</v>
      </c>
      <c r="H29" s="29">
        <v>4.8499999999999996</v>
      </c>
      <c r="I29" s="19">
        <v>5815</v>
      </c>
      <c r="J29" s="19"/>
      <c r="K29" s="14" t="s">
        <v>56</v>
      </c>
      <c r="L29" s="29">
        <v>0.30000000000000004</v>
      </c>
      <c r="N29" s="22">
        <v>26</v>
      </c>
      <c r="O29" s="24" t="s">
        <v>35</v>
      </c>
      <c r="P29" s="25">
        <f>VLOOKUP(O29,KamiBox!$C$2:$F$58,4,0)</f>
        <v>1500</v>
      </c>
      <c r="Q29" s="26">
        <f>GETPIVOTDATA("Berat",$K$2,"Material","Kabel Alumunium")</f>
        <v>3.5</v>
      </c>
      <c r="R29" s="25">
        <f t="shared" si="2"/>
        <v>5250</v>
      </c>
      <c r="T29" s="1"/>
      <c r="V29" s="51"/>
      <c r="W29" s="83"/>
      <c r="X29" s="51"/>
      <c r="Z29" s="1"/>
      <c r="AB29" s="51"/>
      <c r="AC29" s="83"/>
      <c r="AD29" s="51"/>
    </row>
    <row r="30" spans="1:30" x14ac:dyDescent="0.35">
      <c r="A30" s="13" t="s">
        <v>326</v>
      </c>
      <c r="B30" s="13" t="s">
        <v>51</v>
      </c>
      <c r="C30" s="43">
        <v>0.75</v>
      </c>
      <c r="D30" s="17">
        <v>500</v>
      </c>
      <c r="E30" s="17">
        <v>375</v>
      </c>
      <c r="G30" s="14" t="s">
        <v>348</v>
      </c>
      <c r="H30" s="29">
        <v>2.85</v>
      </c>
      <c r="I30" s="19">
        <v>2860</v>
      </c>
      <c r="J30" s="19"/>
      <c r="K30" s="14" t="s">
        <v>126</v>
      </c>
      <c r="L30" s="29">
        <v>9.7000000000000011</v>
      </c>
      <c r="N30" s="22">
        <v>27</v>
      </c>
      <c r="O30" s="24" t="s">
        <v>37</v>
      </c>
      <c r="P30" s="25">
        <f>VLOOKUP(O30,KamiBox!$C$2:$F$58,4,0)</f>
        <v>2000</v>
      </c>
      <c r="Q30" s="26">
        <f>GETPIVOTDATA("Berat",$K$2,"Material","STAL/Kabin/Enamel")</f>
        <v>9.7000000000000011</v>
      </c>
      <c r="R30" s="25">
        <f t="shared" si="2"/>
        <v>19400.000000000004</v>
      </c>
      <c r="T30" s="1"/>
      <c r="V30" s="51"/>
      <c r="W30" s="83"/>
      <c r="X30" s="51"/>
      <c r="Z30" s="1"/>
      <c r="AB30" s="51"/>
      <c r="AC30" s="83"/>
      <c r="AD30" s="51"/>
    </row>
    <row r="31" spans="1:30" x14ac:dyDescent="0.35">
      <c r="A31" s="13" t="s">
        <v>326</v>
      </c>
      <c r="B31" s="13" t="s">
        <v>26</v>
      </c>
      <c r="C31" s="43">
        <v>1.2</v>
      </c>
      <c r="D31" s="17">
        <v>1000</v>
      </c>
      <c r="E31" s="17">
        <v>1200</v>
      </c>
      <c r="G31" s="14" t="s">
        <v>354</v>
      </c>
      <c r="H31" s="29">
        <v>5.55</v>
      </c>
      <c r="I31" s="19">
        <v>9385</v>
      </c>
      <c r="J31" s="19"/>
      <c r="K31" s="14" t="s">
        <v>60</v>
      </c>
      <c r="L31" s="29">
        <v>4.8499999999999996</v>
      </c>
      <c r="M31">
        <f>3.85+11.1</f>
        <v>14.95</v>
      </c>
      <c r="N31" s="22">
        <v>28</v>
      </c>
      <c r="O31" s="24" t="s">
        <v>38</v>
      </c>
      <c r="P31" s="25">
        <f>VLOOKUP(O31,KamiBox!$C$2:$F$58,4,0)</f>
        <v>100</v>
      </c>
      <c r="Q31" s="26">
        <f t="shared" si="1"/>
        <v>0</v>
      </c>
      <c r="R31" s="25">
        <f t="shared" si="2"/>
        <v>0</v>
      </c>
      <c r="T31" s="1"/>
      <c r="V31" s="51"/>
      <c r="W31" s="83"/>
      <c r="X31" s="51"/>
      <c r="Z31" s="1"/>
      <c r="AB31" s="51"/>
      <c r="AC31" s="83"/>
      <c r="AD31" s="51"/>
    </row>
    <row r="32" spans="1:30" x14ac:dyDescent="0.35">
      <c r="A32" s="13" t="s">
        <v>326</v>
      </c>
      <c r="B32" s="13" t="s">
        <v>25</v>
      </c>
      <c r="C32" s="43">
        <v>0.4</v>
      </c>
      <c r="D32" s="17">
        <v>1000</v>
      </c>
      <c r="E32" s="17">
        <v>400</v>
      </c>
      <c r="G32" s="14" t="s">
        <v>326</v>
      </c>
      <c r="H32" s="29">
        <v>14.9</v>
      </c>
      <c r="I32" s="19">
        <v>14260</v>
      </c>
      <c r="J32" s="19"/>
      <c r="K32" s="14" t="s">
        <v>61</v>
      </c>
      <c r="L32" s="29">
        <v>1.63</v>
      </c>
      <c r="M32">
        <v>2.4</v>
      </c>
      <c r="N32" s="22">
        <v>29</v>
      </c>
      <c r="O32" s="24" t="s">
        <v>39</v>
      </c>
      <c r="P32" s="25">
        <f>VLOOKUP(O32,KamiBox!$C$2:$F$58,4,0)</f>
        <v>2000</v>
      </c>
      <c r="Q32" s="26">
        <f t="shared" si="1"/>
        <v>13.449999999999998</v>
      </c>
      <c r="R32" s="25">
        <f t="shared" si="2"/>
        <v>26899.999999999996</v>
      </c>
      <c r="T32" s="1"/>
      <c r="V32" s="51"/>
      <c r="W32" s="83"/>
      <c r="X32" s="51"/>
      <c r="Z32" s="1"/>
      <c r="AB32" s="51"/>
      <c r="AC32" s="83"/>
      <c r="AD32" s="51"/>
    </row>
    <row r="33" spans="1:30" x14ac:dyDescent="0.35">
      <c r="A33" s="13" t="s">
        <v>326</v>
      </c>
      <c r="B33" s="13" t="s">
        <v>60</v>
      </c>
      <c r="C33" s="43">
        <v>0.1</v>
      </c>
      <c r="D33" s="17">
        <v>2500</v>
      </c>
      <c r="E33" s="17">
        <v>250</v>
      </c>
      <c r="G33" s="14" t="s">
        <v>340</v>
      </c>
      <c r="H33" s="29">
        <v>26.7</v>
      </c>
      <c r="I33" s="19">
        <v>32480</v>
      </c>
      <c r="J33" s="19"/>
      <c r="K33" s="14" t="s">
        <v>124</v>
      </c>
      <c r="L33" s="29">
        <v>621.21</v>
      </c>
      <c r="N33" s="22">
        <v>30</v>
      </c>
      <c r="O33" s="24" t="s">
        <v>40</v>
      </c>
      <c r="P33" s="25">
        <f>VLOOKUP(O33,KamiBox!$C$2:$F$58,4,0)</f>
        <v>1800</v>
      </c>
      <c r="Q33" s="26">
        <f t="shared" si="1"/>
        <v>0</v>
      </c>
      <c r="R33" s="25">
        <f t="shared" si="2"/>
        <v>0</v>
      </c>
      <c r="T33" s="1"/>
      <c r="V33" s="51"/>
      <c r="W33" s="83"/>
      <c r="X33" s="51"/>
      <c r="Z33" s="1"/>
      <c r="AB33" s="51"/>
      <c r="AC33" s="83"/>
      <c r="AD33" s="51"/>
    </row>
    <row r="34" spans="1:30" x14ac:dyDescent="0.35">
      <c r="A34" s="13" t="s">
        <v>326</v>
      </c>
      <c r="B34" s="13" t="s">
        <v>39</v>
      </c>
      <c r="C34" s="43">
        <v>0.55000000000000004</v>
      </c>
      <c r="D34" s="17">
        <v>1500</v>
      </c>
      <c r="E34" s="17">
        <v>825</v>
      </c>
      <c r="G34" s="14" t="s">
        <v>346</v>
      </c>
      <c r="H34" s="29">
        <v>2.75</v>
      </c>
      <c r="I34" s="19">
        <v>6758</v>
      </c>
      <c r="J34" s="19"/>
      <c r="N34" s="22">
        <v>31</v>
      </c>
      <c r="O34" s="24" t="s">
        <v>41</v>
      </c>
      <c r="P34" s="25">
        <f>VLOOKUP(O34,KamiBox!$C$2:$F$58,4,0)</f>
        <v>1800</v>
      </c>
      <c r="Q34" s="26">
        <f t="shared" si="1"/>
        <v>156.9</v>
      </c>
      <c r="R34" s="25">
        <f t="shared" si="2"/>
        <v>282420</v>
      </c>
      <c r="T34" s="1"/>
      <c r="V34" s="51"/>
      <c r="W34" s="83"/>
      <c r="X34" s="51"/>
      <c r="Z34" s="1"/>
      <c r="AB34" s="51"/>
      <c r="AC34" s="83"/>
      <c r="AD34" s="51"/>
    </row>
    <row r="35" spans="1:30" x14ac:dyDescent="0.35">
      <c r="A35" s="13" t="s">
        <v>326</v>
      </c>
      <c r="B35" s="13" t="s">
        <v>41</v>
      </c>
      <c r="C35" s="43">
        <v>9.65</v>
      </c>
      <c r="D35" s="17">
        <v>1000</v>
      </c>
      <c r="E35" s="17">
        <v>9650</v>
      </c>
      <c r="G35" s="14" t="s">
        <v>359</v>
      </c>
      <c r="H35" s="29">
        <v>12.549999999999999</v>
      </c>
      <c r="I35" s="19">
        <v>17353</v>
      </c>
      <c r="J35" s="19"/>
      <c r="N35" s="22">
        <v>32</v>
      </c>
      <c r="O35" s="24" t="s">
        <v>42</v>
      </c>
      <c r="P35" s="25">
        <f>VLOOKUP(O35,KamiBox!$C$2:$F$58,4,0)</f>
        <v>4000</v>
      </c>
      <c r="Q35" s="26">
        <f t="shared" si="1"/>
        <v>0</v>
      </c>
      <c r="R35" s="25">
        <f t="shared" si="2"/>
        <v>0</v>
      </c>
      <c r="T35" s="1"/>
      <c r="V35" s="51"/>
      <c r="W35" s="83"/>
      <c r="X35" s="51"/>
      <c r="Z35" s="1"/>
      <c r="AB35" s="51"/>
      <c r="AC35" s="83"/>
      <c r="AD35" s="51"/>
    </row>
    <row r="36" spans="1:30" x14ac:dyDescent="0.35">
      <c r="A36" s="13" t="s">
        <v>327</v>
      </c>
      <c r="B36" s="13" t="s">
        <v>53</v>
      </c>
      <c r="C36" s="43">
        <v>0.7</v>
      </c>
      <c r="D36" s="17">
        <v>300</v>
      </c>
      <c r="E36" s="17">
        <v>210</v>
      </c>
      <c r="G36" s="14" t="s">
        <v>349</v>
      </c>
      <c r="H36" s="29">
        <v>16.400000000000002</v>
      </c>
      <c r="I36" s="19">
        <v>18073</v>
      </c>
      <c r="J36" s="19"/>
      <c r="N36" s="22">
        <v>33</v>
      </c>
      <c r="O36" s="24" t="s">
        <v>43</v>
      </c>
      <c r="P36" s="25">
        <f>VLOOKUP(O36,KamiBox!$C$2:$F$58,4,0)</f>
        <v>60000</v>
      </c>
      <c r="Q36" s="26">
        <f t="shared" si="1"/>
        <v>0</v>
      </c>
      <c r="R36" s="25">
        <f t="shared" si="2"/>
        <v>0</v>
      </c>
      <c r="T36" s="1"/>
      <c r="V36" s="51"/>
      <c r="W36" s="83"/>
      <c r="X36" s="51"/>
      <c r="Z36" s="1"/>
      <c r="AB36" s="51"/>
      <c r="AC36" s="83"/>
      <c r="AD36" s="51"/>
    </row>
    <row r="37" spans="1:30" x14ac:dyDescent="0.35">
      <c r="A37" s="13" t="s">
        <v>327</v>
      </c>
      <c r="B37" s="13" t="s">
        <v>18</v>
      </c>
      <c r="C37" s="43">
        <v>0.85</v>
      </c>
      <c r="D37" s="17">
        <v>150</v>
      </c>
      <c r="E37" s="17">
        <v>128</v>
      </c>
      <c r="G37" s="14" t="s">
        <v>362</v>
      </c>
      <c r="H37" s="29">
        <v>22.5</v>
      </c>
      <c r="I37" s="19">
        <v>26158</v>
      </c>
      <c r="J37" s="19"/>
      <c r="K37" t="s">
        <v>73</v>
      </c>
      <c r="N37" s="22">
        <v>34</v>
      </c>
      <c r="O37" s="24" t="s">
        <v>44</v>
      </c>
      <c r="P37" s="25">
        <f>VLOOKUP(O37,KamiBox!$C$2:$F$58,4,0)</f>
        <v>700</v>
      </c>
      <c r="Q37" s="26">
        <f t="shared" si="1"/>
        <v>0</v>
      </c>
      <c r="R37" s="25">
        <f t="shared" si="2"/>
        <v>0</v>
      </c>
      <c r="T37" s="1"/>
      <c r="V37" s="51"/>
      <c r="W37" s="83"/>
      <c r="X37" s="51"/>
      <c r="Z37" s="1"/>
      <c r="AB37" s="51"/>
      <c r="AC37" s="83"/>
      <c r="AD37" s="51"/>
    </row>
    <row r="38" spans="1:30" x14ac:dyDescent="0.35">
      <c r="A38" s="13" t="s">
        <v>327</v>
      </c>
      <c r="B38" s="13" t="s">
        <v>29</v>
      </c>
      <c r="C38" s="43">
        <v>0.45</v>
      </c>
      <c r="D38" s="17">
        <v>1600</v>
      </c>
      <c r="E38" s="17">
        <v>720</v>
      </c>
      <c r="G38" s="14" t="s">
        <v>360</v>
      </c>
      <c r="H38" s="29">
        <v>10.7</v>
      </c>
      <c r="I38" s="19">
        <v>16705</v>
      </c>
      <c r="J38" s="19"/>
      <c r="K38" s="5" t="e">
        <f>R60+X7+AF4</f>
        <v>#N/A</v>
      </c>
      <c r="N38" s="22">
        <v>35</v>
      </c>
      <c r="O38" s="24" t="s">
        <v>46</v>
      </c>
      <c r="P38" s="25">
        <f>VLOOKUP(O38,KamiBox!$C$2:$F$58,4,0)</f>
        <v>4000</v>
      </c>
      <c r="Q38" s="26">
        <f t="shared" si="1"/>
        <v>0.4</v>
      </c>
      <c r="R38" s="25">
        <f t="shared" si="2"/>
        <v>1600</v>
      </c>
      <c r="T38" s="1"/>
      <c r="V38" s="51"/>
      <c r="W38" s="83"/>
      <c r="X38" s="51"/>
      <c r="Z38" s="1"/>
      <c r="AB38" s="51"/>
      <c r="AC38" s="83"/>
      <c r="AD38" s="51"/>
    </row>
    <row r="39" spans="1:30" x14ac:dyDescent="0.35">
      <c r="A39" s="13" t="s">
        <v>327</v>
      </c>
      <c r="B39" s="13" t="s">
        <v>25</v>
      </c>
      <c r="C39" s="43">
        <v>0.45</v>
      </c>
      <c r="D39" s="17">
        <v>1000</v>
      </c>
      <c r="E39" s="17">
        <v>450</v>
      </c>
      <c r="G39" s="14" t="s">
        <v>343</v>
      </c>
      <c r="H39" s="29">
        <v>26.299999999999997</v>
      </c>
      <c r="I39" s="19">
        <v>46575</v>
      </c>
      <c r="J39" s="19"/>
      <c r="K39" s="5" t="e">
        <f>K38-GETPIVOTDATA("Total",$G$2)</f>
        <v>#N/A</v>
      </c>
      <c r="N39" s="22">
        <v>36</v>
      </c>
      <c r="O39" s="24" t="s">
        <v>47</v>
      </c>
      <c r="P39" s="25">
        <f>VLOOKUP(O39,KamiBox!$C$2:$F$58,4,0)</f>
        <v>50000</v>
      </c>
      <c r="Q39" s="26">
        <f t="shared" si="1"/>
        <v>0</v>
      </c>
      <c r="R39" s="25">
        <f t="shared" si="2"/>
        <v>0</v>
      </c>
      <c r="T39" s="1"/>
      <c r="V39" s="51"/>
      <c r="W39" s="83"/>
      <c r="X39" s="51"/>
      <c r="Z39" s="1"/>
      <c r="AB39" s="51"/>
      <c r="AC39" s="83"/>
      <c r="AD39" s="51"/>
    </row>
    <row r="40" spans="1:30" x14ac:dyDescent="0.35">
      <c r="A40" s="13" t="s">
        <v>327</v>
      </c>
      <c r="B40" s="13" t="s">
        <v>94</v>
      </c>
      <c r="C40" s="43">
        <v>0.85</v>
      </c>
      <c r="D40" s="17">
        <v>2800</v>
      </c>
      <c r="E40" s="17">
        <v>2380</v>
      </c>
      <c r="G40" s="14" t="s">
        <v>370</v>
      </c>
      <c r="H40" s="29">
        <v>1.5</v>
      </c>
      <c r="I40" s="19">
        <v>450</v>
      </c>
      <c r="J40" s="19"/>
      <c r="N40" s="22">
        <v>37</v>
      </c>
      <c r="O40" s="24" t="s">
        <v>48</v>
      </c>
      <c r="P40" s="25">
        <f>VLOOKUP(O40,KamiBox!$C$2:$F$58,4,0)</f>
        <v>35000</v>
      </c>
      <c r="Q40" s="26">
        <f t="shared" si="1"/>
        <v>0</v>
      </c>
      <c r="R40" s="25">
        <f t="shared" si="2"/>
        <v>0</v>
      </c>
      <c r="T40" s="1"/>
      <c r="V40" s="51"/>
      <c r="W40" s="83"/>
      <c r="X40" s="51"/>
      <c r="Z40" s="1"/>
      <c r="AB40" s="51"/>
      <c r="AC40" s="83"/>
      <c r="AD40" s="51"/>
    </row>
    <row r="41" spans="1:30" x14ac:dyDescent="0.35">
      <c r="A41" s="13" t="s">
        <v>327</v>
      </c>
      <c r="B41" s="13" t="s">
        <v>39</v>
      </c>
      <c r="C41" s="43">
        <v>0.95</v>
      </c>
      <c r="D41" s="17">
        <v>1500</v>
      </c>
      <c r="E41" s="17">
        <v>1425</v>
      </c>
      <c r="G41" s="14" t="s">
        <v>347</v>
      </c>
      <c r="H41" s="29">
        <v>15.299999999999999</v>
      </c>
      <c r="I41" s="19">
        <v>45770</v>
      </c>
      <c r="J41" s="19"/>
      <c r="N41" s="22">
        <v>38</v>
      </c>
      <c r="O41" s="24" t="s">
        <v>49</v>
      </c>
      <c r="P41" s="25">
        <f>VLOOKUP(O41,KamiBox!$C$2:$F$58,4,0)</f>
        <v>50000</v>
      </c>
      <c r="Q41" s="26">
        <f t="shared" si="1"/>
        <v>0</v>
      </c>
      <c r="R41" s="25">
        <f t="shared" si="2"/>
        <v>0</v>
      </c>
      <c r="T41" s="1"/>
      <c r="V41" s="51"/>
      <c r="W41" s="83"/>
      <c r="X41" s="51"/>
      <c r="Z41" s="1"/>
      <c r="AB41" s="51"/>
      <c r="AC41" s="83"/>
      <c r="AD41" s="51"/>
    </row>
    <row r="42" spans="1:30" x14ac:dyDescent="0.35">
      <c r="A42" s="13" t="s">
        <v>327</v>
      </c>
      <c r="B42" s="13" t="s">
        <v>51</v>
      </c>
      <c r="C42" s="43">
        <v>1.1000000000000001</v>
      </c>
      <c r="D42" s="17">
        <v>500</v>
      </c>
      <c r="E42" s="17">
        <v>550</v>
      </c>
      <c r="G42" s="14" t="s">
        <v>325</v>
      </c>
      <c r="H42" s="29">
        <v>4.05</v>
      </c>
      <c r="I42" s="19">
        <v>3580</v>
      </c>
      <c r="J42" s="19"/>
      <c r="N42" s="22">
        <v>39</v>
      </c>
      <c r="O42" s="24" t="s">
        <v>50</v>
      </c>
      <c r="P42" s="25"/>
      <c r="Q42" s="26">
        <f t="shared" si="1"/>
        <v>0</v>
      </c>
      <c r="R42" s="25">
        <f t="shared" si="2"/>
        <v>0</v>
      </c>
      <c r="T42" s="1"/>
      <c r="V42" s="51"/>
      <c r="W42" s="83"/>
      <c r="X42" s="51"/>
      <c r="Z42" s="1"/>
      <c r="AB42" s="51"/>
      <c r="AC42" s="83"/>
      <c r="AD42" s="51"/>
    </row>
    <row r="43" spans="1:30" x14ac:dyDescent="0.35">
      <c r="A43" s="13" t="s">
        <v>327</v>
      </c>
      <c r="B43" s="13" t="s">
        <v>41</v>
      </c>
      <c r="C43" s="43">
        <v>0.65</v>
      </c>
      <c r="D43" s="17">
        <v>1000</v>
      </c>
      <c r="E43" s="17">
        <v>650</v>
      </c>
      <c r="G43" s="14" t="s">
        <v>338</v>
      </c>
      <c r="H43" s="29">
        <v>6.8000000000000007</v>
      </c>
      <c r="I43" s="19">
        <v>6335</v>
      </c>
      <c r="J43" s="19"/>
      <c r="K43" s="5" t="e">
        <f>R60+X7+AD11-GETPIVOTDATA("Sum of Total",$G$2)</f>
        <v>#N/A</v>
      </c>
      <c r="N43" s="22">
        <v>40</v>
      </c>
      <c r="O43" s="24" t="s">
        <v>51</v>
      </c>
      <c r="P43" s="25">
        <f>VLOOKUP(O43,KamiBox!$C$2:$F$58,4,0)</f>
        <v>700</v>
      </c>
      <c r="Q43" s="26">
        <f t="shared" si="1"/>
        <v>36.1</v>
      </c>
      <c r="R43" s="25">
        <f t="shared" si="2"/>
        <v>25270</v>
      </c>
      <c r="T43" s="1"/>
      <c r="V43" s="51"/>
      <c r="W43" s="83"/>
      <c r="X43" s="51"/>
      <c r="Z43" s="1"/>
      <c r="AB43" s="51"/>
      <c r="AC43" s="83"/>
      <c r="AD43" s="51"/>
    </row>
    <row r="44" spans="1:30" x14ac:dyDescent="0.35">
      <c r="A44" s="13" t="s">
        <v>320</v>
      </c>
      <c r="B44" s="13" t="s">
        <v>41</v>
      </c>
      <c r="C44" s="43">
        <v>1.2</v>
      </c>
      <c r="D44" s="17">
        <v>1000</v>
      </c>
      <c r="E44" s="17">
        <v>1200</v>
      </c>
      <c r="G44" s="14" t="s">
        <v>318</v>
      </c>
      <c r="H44" s="29">
        <v>17.149999999999999</v>
      </c>
      <c r="I44" s="19">
        <v>31965</v>
      </c>
      <c r="J44" s="19"/>
      <c r="N44" s="22">
        <v>41</v>
      </c>
      <c r="O44" s="24" t="s">
        <v>52</v>
      </c>
      <c r="P44" s="25"/>
      <c r="Q44" s="26">
        <f t="shared" si="1"/>
        <v>0</v>
      </c>
      <c r="R44" s="25">
        <f t="shared" si="2"/>
        <v>0</v>
      </c>
      <c r="T44" s="1"/>
      <c r="V44" s="51"/>
      <c r="W44" s="83"/>
      <c r="X44" s="51"/>
      <c r="Z44" s="1"/>
      <c r="AB44" s="51"/>
      <c r="AC44" s="83"/>
      <c r="AD44" s="51"/>
    </row>
    <row r="45" spans="1:30" x14ac:dyDescent="0.35">
      <c r="A45" s="13" t="s">
        <v>320</v>
      </c>
      <c r="B45" s="13" t="s">
        <v>18</v>
      </c>
      <c r="C45" s="43">
        <v>1.25</v>
      </c>
      <c r="D45" s="17">
        <v>150</v>
      </c>
      <c r="E45" s="17">
        <v>188</v>
      </c>
      <c r="G45" s="14" t="s">
        <v>356</v>
      </c>
      <c r="H45" s="29">
        <v>14.549999999999997</v>
      </c>
      <c r="I45" s="19">
        <v>16898</v>
      </c>
      <c r="J45" s="19"/>
      <c r="N45" s="22">
        <v>42</v>
      </c>
      <c r="O45" s="24" t="s">
        <v>53</v>
      </c>
      <c r="P45" s="25">
        <f>VLOOKUP(O45,KamiBox!$C$2:$F$58,4,0)</f>
        <v>500</v>
      </c>
      <c r="Q45" s="26">
        <v>63.5</v>
      </c>
      <c r="R45" s="25">
        <f t="shared" si="2"/>
        <v>31750</v>
      </c>
      <c r="T45" s="1"/>
      <c r="V45" s="51"/>
      <c r="W45" s="83"/>
      <c r="X45" s="51"/>
      <c r="Z45" s="1"/>
      <c r="AB45" s="51"/>
      <c r="AC45" s="83"/>
      <c r="AD45" s="51"/>
    </row>
    <row r="46" spans="1:30" x14ac:dyDescent="0.35">
      <c r="A46" s="13" t="s">
        <v>320</v>
      </c>
      <c r="B46" s="13" t="s">
        <v>53</v>
      </c>
      <c r="C46" s="43">
        <v>0.25</v>
      </c>
      <c r="D46" s="17">
        <v>300</v>
      </c>
      <c r="E46" s="17">
        <v>75</v>
      </c>
      <c r="G46" s="14" t="s">
        <v>369</v>
      </c>
      <c r="H46" s="29">
        <v>2.73</v>
      </c>
      <c r="I46" s="19">
        <v>3068</v>
      </c>
      <c r="J46" s="19"/>
      <c r="N46" s="22">
        <v>43</v>
      </c>
      <c r="O46" s="24" t="s">
        <v>54</v>
      </c>
      <c r="P46" s="25"/>
      <c r="Q46" s="26"/>
      <c r="R46" s="25">
        <f t="shared" si="2"/>
        <v>0</v>
      </c>
      <c r="T46" s="1"/>
      <c r="Z46" s="1"/>
      <c r="AB46" s="51"/>
      <c r="AC46" s="83"/>
      <c r="AD46" s="51"/>
    </row>
    <row r="47" spans="1:30" x14ac:dyDescent="0.35">
      <c r="A47" s="13" t="s">
        <v>320</v>
      </c>
      <c r="B47" s="13" t="s">
        <v>25</v>
      </c>
      <c r="C47" s="43">
        <v>0.5</v>
      </c>
      <c r="D47" s="17">
        <v>1000</v>
      </c>
      <c r="E47" s="17">
        <v>500</v>
      </c>
      <c r="G47" s="14" t="s">
        <v>335</v>
      </c>
      <c r="H47" s="29">
        <v>4.4000000000000004</v>
      </c>
      <c r="I47" s="19">
        <v>6070</v>
      </c>
      <c r="J47" s="19"/>
      <c r="N47" s="22">
        <v>44</v>
      </c>
      <c r="O47" s="24" t="s">
        <v>266</v>
      </c>
      <c r="P47" s="25"/>
      <c r="Q47" s="26"/>
      <c r="R47" s="25">
        <f t="shared" si="2"/>
        <v>0</v>
      </c>
      <c r="T47" s="1"/>
      <c r="Z47" s="1"/>
      <c r="AB47" s="51"/>
      <c r="AC47" s="83"/>
      <c r="AD47" s="51"/>
    </row>
    <row r="48" spans="1:30" x14ac:dyDescent="0.35">
      <c r="A48" s="13" t="s">
        <v>320</v>
      </c>
      <c r="B48" s="13" t="s">
        <v>293</v>
      </c>
      <c r="C48" s="43">
        <v>0.15</v>
      </c>
      <c r="D48" s="17">
        <v>1400</v>
      </c>
      <c r="E48" s="17">
        <v>210</v>
      </c>
      <c r="G48" s="14" t="s">
        <v>330</v>
      </c>
      <c r="H48" s="29">
        <v>6.5500000000000007</v>
      </c>
      <c r="I48" s="19">
        <v>12580</v>
      </c>
      <c r="J48" s="19"/>
      <c r="N48" s="22">
        <v>45</v>
      </c>
      <c r="O48" s="24" t="s">
        <v>55</v>
      </c>
      <c r="P48" s="25">
        <f>VLOOKUP(O48,KamiBox!$C$2:$F$58,4,0)</f>
        <v>900</v>
      </c>
      <c r="Q48" s="26">
        <f t="shared" si="1"/>
        <v>2.6</v>
      </c>
      <c r="R48" s="25">
        <f t="shared" si="2"/>
        <v>2340</v>
      </c>
      <c r="T48" s="1"/>
      <c r="V48" s="51"/>
      <c r="W48" s="83"/>
      <c r="X48" s="51"/>
      <c r="Z48" s="1"/>
      <c r="AB48" s="51"/>
      <c r="AC48" s="83"/>
      <c r="AD48" s="51"/>
    </row>
    <row r="49" spans="1:30" x14ac:dyDescent="0.35">
      <c r="A49" s="13" t="s">
        <v>320</v>
      </c>
      <c r="B49" s="13" t="s">
        <v>54</v>
      </c>
      <c r="C49" s="43">
        <v>0.35</v>
      </c>
      <c r="D49" s="17">
        <v>800</v>
      </c>
      <c r="E49" s="17">
        <v>280</v>
      </c>
      <c r="G49" s="14" t="s">
        <v>372</v>
      </c>
      <c r="H49" s="29">
        <v>0.5</v>
      </c>
      <c r="I49" s="19">
        <v>150</v>
      </c>
      <c r="J49" s="19"/>
      <c r="N49" s="22">
        <v>46</v>
      </c>
      <c r="O49" s="24" t="s">
        <v>321</v>
      </c>
      <c r="P49" s="25" t="e">
        <f>VLOOKUP(O49,KamiBox!$C$2:$F$58,4,0)</f>
        <v>#N/A</v>
      </c>
      <c r="Q49" s="26">
        <f t="shared" si="1"/>
        <v>1.1000000000000001</v>
      </c>
      <c r="R49" s="25" t="e">
        <f t="shared" si="2"/>
        <v>#N/A</v>
      </c>
      <c r="T49" s="1"/>
      <c r="V49" s="51"/>
      <c r="W49" s="83"/>
      <c r="X49" s="51"/>
      <c r="Z49" s="1"/>
      <c r="AB49" s="51"/>
      <c r="AC49" s="83"/>
      <c r="AD49" s="51"/>
    </row>
    <row r="50" spans="1:30" x14ac:dyDescent="0.35">
      <c r="A50" s="13" t="s">
        <v>328</v>
      </c>
      <c r="B50" s="13" t="s">
        <v>41</v>
      </c>
      <c r="C50" s="43">
        <v>0.35</v>
      </c>
      <c r="D50" s="17">
        <v>1000</v>
      </c>
      <c r="E50" s="17">
        <v>350</v>
      </c>
      <c r="G50" s="14" t="s">
        <v>352</v>
      </c>
      <c r="H50" s="29">
        <v>17.05</v>
      </c>
      <c r="I50" s="19">
        <v>16180</v>
      </c>
      <c r="J50" s="19"/>
      <c r="N50" s="22">
        <v>46</v>
      </c>
      <c r="O50" s="24" t="s">
        <v>56</v>
      </c>
      <c r="P50" s="25">
        <f>VLOOKUP(O50,KamiBox!$C$2:$F$58,4,0)</f>
        <v>700</v>
      </c>
      <c r="Q50" s="26">
        <f t="shared" si="1"/>
        <v>0.30000000000000004</v>
      </c>
      <c r="R50" s="25">
        <f t="shared" si="2"/>
        <v>210.00000000000003</v>
      </c>
      <c r="T50" s="1"/>
      <c r="V50" s="51"/>
      <c r="W50" s="83"/>
      <c r="X50" s="51"/>
      <c r="Z50" s="1"/>
      <c r="AB50" s="51"/>
      <c r="AC50" s="83"/>
      <c r="AD50" s="51"/>
    </row>
    <row r="51" spans="1:30" x14ac:dyDescent="0.35">
      <c r="A51" s="13" t="s">
        <v>328</v>
      </c>
      <c r="B51" s="13" t="s">
        <v>94</v>
      </c>
      <c r="C51" s="43">
        <v>0.2</v>
      </c>
      <c r="D51" s="17">
        <v>2800</v>
      </c>
      <c r="E51" s="17">
        <v>560</v>
      </c>
      <c r="G51" s="14" t="s">
        <v>366</v>
      </c>
      <c r="H51" s="29">
        <v>29.42</v>
      </c>
      <c r="I51" s="19">
        <v>36629</v>
      </c>
      <c r="J51" s="19"/>
      <c r="N51" s="22">
        <v>47</v>
      </c>
      <c r="O51" s="24" t="s">
        <v>57</v>
      </c>
      <c r="P51" s="25">
        <f>VLOOKUP(O51,KamiBox!$C$2:$F$58,4,0)</f>
        <v>400</v>
      </c>
      <c r="Q51" s="26">
        <f t="shared" si="1"/>
        <v>0</v>
      </c>
      <c r="R51" s="25">
        <f t="shared" si="2"/>
        <v>0</v>
      </c>
      <c r="T51" s="1"/>
      <c r="V51" s="51"/>
      <c r="W51" s="83"/>
      <c r="X51" s="51"/>
      <c r="Z51" s="1"/>
      <c r="AB51" s="51"/>
      <c r="AC51" s="83"/>
      <c r="AD51" s="51"/>
    </row>
    <row r="52" spans="1:30" x14ac:dyDescent="0.35">
      <c r="A52" s="13" t="s">
        <v>328</v>
      </c>
      <c r="B52" s="13" t="s">
        <v>127</v>
      </c>
      <c r="C52" s="43">
        <v>0.1</v>
      </c>
      <c r="D52" s="17">
        <v>8000</v>
      </c>
      <c r="E52" s="17">
        <v>800</v>
      </c>
      <c r="G52" s="14" t="s">
        <v>328</v>
      </c>
      <c r="H52" s="29">
        <v>3.45</v>
      </c>
      <c r="I52" s="19">
        <v>3465</v>
      </c>
      <c r="J52" s="19"/>
      <c r="N52" s="22">
        <v>48</v>
      </c>
      <c r="O52" s="24" t="s">
        <v>58</v>
      </c>
      <c r="P52" s="25">
        <f>VLOOKUP(O52,KamiBox!$C$2:$F$58,4,0)</f>
        <v>60000</v>
      </c>
      <c r="Q52" s="26">
        <f t="shared" si="1"/>
        <v>0</v>
      </c>
      <c r="R52" s="25">
        <f t="shared" si="2"/>
        <v>0</v>
      </c>
      <c r="T52" s="1"/>
      <c r="V52" s="51"/>
      <c r="W52" s="83"/>
      <c r="X52" s="51"/>
      <c r="Z52" s="1"/>
      <c r="AB52" s="51"/>
      <c r="AC52" s="83"/>
      <c r="AD52" s="51"/>
    </row>
    <row r="53" spans="1:30" x14ac:dyDescent="0.35">
      <c r="A53" s="13" t="s">
        <v>328</v>
      </c>
      <c r="B53" s="13" t="s">
        <v>13</v>
      </c>
      <c r="C53" s="43">
        <v>0.1</v>
      </c>
      <c r="D53" s="17">
        <v>500</v>
      </c>
      <c r="E53" s="17">
        <v>50</v>
      </c>
      <c r="G53" s="14" t="s">
        <v>351</v>
      </c>
      <c r="H53" s="29">
        <v>3.9000000000000004</v>
      </c>
      <c r="I53" s="19">
        <v>3878</v>
      </c>
      <c r="J53" s="19"/>
      <c r="N53" s="22">
        <v>49</v>
      </c>
      <c r="O53" s="24" t="s">
        <v>59</v>
      </c>
      <c r="P53" s="25">
        <f>VLOOKUP(O53,KamiBox!$C$2:$F$58,4,0)</f>
        <v>150</v>
      </c>
      <c r="Q53" s="26">
        <f t="shared" si="1"/>
        <v>0</v>
      </c>
      <c r="R53" s="25">
        <f t="shared" si="2"/>
        <v>0</v>
      </c>
      <c r="T53" s="1"/>
      <c r="V53" s="51"/>
      <c r="W53" s="83"/>
      <c r="X53" s="51"/>
      <c r="Z53" s="1"/>
      <c r="AB53" s="51"/>
      <c r="AC53" s="83"/>
      <c r="AD53" s="51"/>
    </row>
    <row r="54" spans="1:30" x14ac:dyDescent="0.35">
      <c r="A54" s="13" t="s">
        <v>328</v>
      </c>
      <c r="B54" s="13" t="s">
        <v>53</v>
      </c>
      <c r="C54" s="43">
        <v>0.6</v>
      </c>
      <c r="D54" s="17">
        <v>300</v>
      </c>
      <c r="E54" s="17">
        <v>180</v>
      </c>
      <c r="G54" s="14" t="s">
        <v>371</v>
      </c>
      <c r="H54" s="29">
        <v>4.5</v>
      </c>
      <c r="I54" s="19">
        <v>4500</v>
      </c>
      <c r="J54" s="19"/>
      <c r="N54" s="22">
        <v>50</v>
      </c>
      <c r="O54" s="24" t="s">
        <v>60</v>
      </c>
      <c r="P54" s="25">
        <f>VLOOKUP(O54,KamiBox!$C$2:$F$58,4,0)</f>
        <v>3000</v>
      </c>
      <c r="Q54" s="26">
        <v>14.95</v>
      </c>
      <c r="R54" s="25">
        <f t="shared" si="2"/>
        <v>44850</v>
      </c>
      <c r="T54" s="1"/>
      <c r="V54" s="51"/>
      <c r="W54" s="83"/>
      <c r="X54" s="51"/>
      <c r="Z54" s="1"/>
      <c r="AB54" s="51"/>
      <c r="AC54" s="83"/>
      <c r="AD54" s="51"/>
    </row>
    <row r="55" spans="1:30" x14ac:dyDescent="0.35">
      <c r="A55" s="13" t="s">
        <v>328</v>
      </c>
      <c r="B55" s="13" t="s">
        <v>51</v>
      </c>
      <c r="C55" s="43">
        <v>1.1499999999999999</v>
      </c>
      <c r="D55" s="17">
        <v>500</v>
      </c>
      <c r="E55" s="17">
        <v>575</v>
      </c>
      <c r="G55" s="14" t="s">
        <v>264</v>
      </c>
      <c r="H55" s="29">
        <v>45.050000000000004</v>
      </c>
      <c r="I55" s="19">
        <v>315350.00000000006</v>
      </c>
      <c r="J55" s="19"/>
      <c r="N55" s="22">
        <v>51</v>
      </c>
      <c r="O55" s="24" t="s">
        <v>61</v>
      </c>
      <c r="P55" s="25">
        <f>VLOOKUP(O55,KamiBox!$C$2:$F$58,4,0)</f>
        <v>4500</v>
      </c>
      <c r="Q55" s="26">
        <v>2.4</v>
      </c>
      <c r="R55" s="25">
        <f t="shared" si="2"/>
        <v>10800</v>
      </c>
      <c r="T55" s="1"/>
      <c r="V55" s="51"/>
      <c r="W55" s="83"/>
      <c r="X55" s="51"/>
      <c r="Z55" s="1"/>
      <c r="AB55" s="51"/>
      <c r="AC55" s="83"/>
      <c r="AD55" s="51"/>
    </row>
    <row r="56" spans="1:30" x14ac:dyDescent="0.35">
      <c r="A56" s="13" t="s">
        <v>328</v>
      </c>
      <c r="B56" s="13" t="s">
        <v>25</v>
      </c>
      <c r="C56" s="43">
        <v>0.95</v>
      </c>
      <c r="D56" s="17">
        <v>1000</v>
      </c>
      <c r="E56" s="17">
        <v>950</v>
      </c>
      <c r="G56" s="14" t="s">
        <v>124</v>
      </c>
      <c r="H56" s="29">
        <v>621.20999999999992</v>
      </c>
      <c r="I56" s="19">
        <v>1160592</v>
      </c>
      <c r="J56" s="19"/>
      <c r="N56" s="22">
        <v>52</v>
      </c>
      <c r="O56" s="24" t="s">
        <v>62</v>
      </c>
      <c r="P56" s="25">
        <f>VLOOKUP(O56,KamiBox!$C$2:$F$58,4,0)</f>
        <v>20000</v>
      </c>
      <c r="Q56" s="26">
        <f t="shared" si="1"/>
        <v>0</v>
      </c>
      <c r="R56" s="25">
        <f t="shared" si="2"/>
        <v>0</v>
      </c>
      <c r="T56" s="1"/>
      <c r="V56" s="51"/>
      <c r="W56" s="83"/>
      <c r="X56" s="51"/>
      <c r="Z56" s="1"/>
      <c r="AB56" s="51"/>
      <c r="AC56" s="83"/>
      <c r="AD56" s="51"/>
    </row>
    <row r="57" spans="1:30" x14ac:dyDescent="0.35">
      <c r="A57" s="13" t="s">
        <v>329</v>
      </c>
      <c r="B57" s="13" t="s">
        <v>13</v>
      </c>
      <c r="C57" s="43">
        <v>1.85</v>
      </c>
      <c r="D57" s="17">
        <v>500</v>
      </c>
      <c r="E57" s="17">
        <v>925</v>
      </c>
      <c r="N57" s="22">
        <v>53</v>
      </c>
      <c r="O57" s="24" t="s">
        <v>63</v>
      </c>
      <c r="P57" s="25">
        <f>VLOOKUP(O57,KamiBox!$C$2:$F$58,4,0)</f>
        <v>1000</v>
      </c>
      <c r="Q57" s="26">
        <f t="shared" si="1"/>
        <v>0</v>
      </c>
      <c r="R57" s="25">
        <f t="shared" si="2"/>
        <v>0</v>
      </c>
      <c r="T57" s="1"/>
      <c r="V57" s="51"/>
      <c r="W57" s="83"/>
      <c r="X57" s="51"/>
      <c r="Z57" s="1"/>
      <c r="AB57" s="51"/>
      <c r="AC57" s="83"/>
      <c r="AD57" s="51"/>
    </row>
    <row r="58" spans="1:30" x14ac:dyDescent="0.35">
      <c r="A58" s="13" t="s">
        <v>329</v>
      </c>
      <c r="B58" s="13" t="s">
        <v>22</v>
      </c>
      <c r="C58" s="43">
        <v>0.7</v>
      </c>
      <c r="D58" s="17">
        <v>1600</v>
      </c>
      <c r="E58" s="17">
        <v>1120</v>
      </c>
      <c r="N58" s="22">
        <v>54</v>
      </c>
      <c r="O58" s="24" t="s">
        <v>263</v>
      </c>
      <c r="P58" s="25">
        <f>VLOOKUP(O58,KamiBox!$C$2:$F$58,4,0)</f>
        <v>1200</v>
      </c>
      <c r="Q58" s="26">
        <f t="shared" si="1"/>
        <v>1.3</v>
      </c>
      <c r="R58" s="25">
        <f t="shared" si="2"/>
        <v>1560</v>
      </c>
      <c r="T58" s="1"/>
      <c r="V58" s="51"/>
      <c r="W58" s="83"/>
      <c r="X58" s="51"/>
      <c r="Z58" s="1"/>
      <c r="AB58" s="51"/>
      <c r="AC58" s="83"/>
      <c r="AD58" s="51"/>
    </row>
    <row r="59" spans="1:30" x14ac:dyDescent="0.35">
      <c r="A59" s="13" t="s">
        <v>329</v>
      </c>
      <c r="B59" s="13" t="s">
        <v>53</v>
      </c>
      <c r="C59" s="43">
        <v>0.85</v>
      </c>
      <c r="D59" s="17">
        <v>300</v>
      </c>
      <c r="E59" s="17">
        <v>255</v>
      </c>
      <c r="N59" s="22">
        <v>54</v>
      </c>
      <c r="O59" s="24" t="s">
        <v>319</v>
      </c>
      <c r="P59" s="25">
        <f>VLOOKUP(O59,KamiBox!$C$2:$F$58,4,0)</f>
        <v>2000</v>
      </c>
      <c r="Q59" s="26">
        <f t="shared" si="1"/>
        <v>0.55000000000000004</v>
      </c>
      <c r="R59" s="25">
        <f t="shared" si="2"/>
        <v>1100</v>
      </c>
      <c r="T59" s="1"/>
      <c r="V59" s="51"/>
      <c r="W59" s="83"/>
      <c r="X59" s="51"/>
      <c r="Z59" s="1"/>
      <c r="AB59" s="51"/>
      <c r="AC59" s="83"/>
      <c r="AD59" s="51"/>
    </row>
    <row r="60" spans="1:30" x14ac:dyDescent="0.35">
      <c r="A60" s="13" t="s">
        <v>329</v>
      </c>
      <c r="B60" s="13" t="s">
        <v>125</v>
      </c>
      <c r="C60" s="43">
        <v>0.85</v>
      </c>
      <c r="D60" s="17">
        <v>800</v>
      </c>
      <c r="E60" s="17">
        <v>680</v>
      </c>
      <c r="N60" s="24"/>
      <c r="O60" s="24"/>
      <c r="P60" s="27" t="s">
        <v>135</v>
      </c>
      <c r="Q60" s="27">
        <f>SUM(Q4:Q59)</f>
        <v>558.17999999999995</v>
      </c>
      <c r="R60" s="28" t="e">
        <f>SUM(R6:R59)</f>
        <v>#N/A</v>
      </c>
      <c r="V60" s="84"/>
      <c r="W60" s="84"/>
      <c r="X60" s="85"/>
      <c r="AB60" s="84"/>
      <c r="AC60" s="84"/>
      <c r="AD60" s="85"/>
    </row>
    <row r="61" spans="1:30" x14ac:dyDescent="0.35">
      <c r="A61" s="13" t="s">
        <v>329</v>
      </c>
      <c r="B61" s="13" t="s">
        <v>126</v>
      </c>
      <c r="C61" s="43">
        <v>2.0499999999999998</v>
      </c>
      <c r="D61" s="17">
        <v>1800</v>
      </c>
      <c r="E61" s="17">
        <v>3690</v>
      </c>
    </row>
    <row r="62" spans="1:30" x14ac:dyDescent="0.35">
      <c r="A62" s="13" t="s">
        <v>329</v>
      </c>
      <c r="B62" s="13" t="s">
        <v>51</v>
      </c>
      <c r="C62" s="43">
        <v>1.85</v>
      </c>
      <c r="D62" s="17">
        <v>500</v>
      </c>
      <c r="E62" s="17">
        <v>925</v>
      </c>
    </row>
    <row r="63" spans="1:30" x14ac:dyDescent="0.35">
      <c r="A63" s="13" t="s">
        <v>329</v>
      </c>
      <c r="B63" s="13" t="s">
        <v>41</v>
      </c>
      <c r="C63" s="43">
        <v>1.05</v>
      </c>
      <c r="D63" s="17">
        <v>1000</v>
      </c>
      <c r="E63" s="17">
        <v>1050</v>
      </c>
    </row>
    <row r="64" spans="1:30" x14ac:dyDescent="0.35">
      <c r="A64" s="13" t="s">
        <v>329</v>
      </c>
      <c r="B64" s="13" t="s">
        <v>94</v>
      </c>
      <c r="C64" s="43">
        <v>1.2</v>
      </c>
      <c r="D64" s="17">
        <v>2800</v>
      </c>
      <c r="E64" s="17">
        <v>3360</v>
      </c>
    </row>
    <row r="65" spans="1:5" x14ac:dyDescent="0.35">
      <c r="A65" s="13" t="s">
        <v>330</v>
      </c>
      <c r="B65" s="13" t="s">
        <v>41</v>
      </c>
      <c r="C65" s="43">
        <v>3.2</v>
      </c>
      <c r="D65" s="17">
        <v>1000</v>
      </c>
      <c r="E65" s="17">
        <v>3200</v>
      </c>
    </row>
    <row r="66" spans="1:5" x14ac:dyDescent="0.35">
      <c r="A66" s="13" t="s">
        <v>330</v>
      </c>
      <c r="B66" s="13" t="s">
        <v>94</v>
      </c>
      <c r="C66" s="43">
        <v>3.35</v>
      </c>
      <c r="D66" s="17">
        <v>2800</v>
      </c>
      <c r="E66" s="17">
        <v>9380</v>
      </c>
    </row>
    <row r="67" spans="1:5" x14ac:dyDescent="0.35">
      <c r="A67" s="13" t="s">
        <v>331</v>
      </c>
      <c r="B67" s="13" t="s">
        <v>18</v>
      </c>
      <c r="C67" s="43">
        <v>2.65</v>
      </c>
      <c r="D67" s="17">
        <v>150</v>
      </c>
      <c r="E67" s="17">
        <v>398</v>
      </c>
    </row>
    <row r="68" spans="1:5" x14ac:dyDescent="0.35">
      <c r="A68" s="13" t="s">
        <v>331</v>
      </c>
      <c r="B68" s="13" t="s">
        <v>39</v>
      </c>
      <c r="C68" s="43">
        <v>0.45</v>
      </c>
      <c r="D68" s="17">
        <v>1500</v>
      </c>
      <c r="E68" s="17">
        <v>675</v>
      </c>
    </row>
    <row r="69" spans="1:5" x14ac:dyDescent="0.35">
      <c r="A69" s="13" t="s">
        <v>331</v>
      </c>
      <c r="B69" s="13" t="s">
        <v>25</v>
      </c>
      <c r="C69" s="43">
        <v>3.45</v>
      </c>
      <c r="D69" s="17">
        <v>1000</v>
      </c>
      <c r="E69" s="17">
        <v>3450</v>
      </c>
    </row>
    <row r="70" spans="1:5" x14ac:dyDescent="0.35">
      <c r="A70" s="13" t="s">
        <v>331</v>
      </c>
      <c r="B70" s="13" t="s">
        <v>126</v>
      </c>
      <c r="C70" s="43">
        <v>1.1000000000000001</v>
      </c>
      <c r="D70" s="17">
        <v>1800</v>
      </c>
      <c r="E70" s="17">
        <v>1980</v>
      </c>
    </row>
    <row r="71" spans="1:5" x14ac:dyDescent="0.35">
      <c r="A71" s="13" t="s">
        <v>331</v>
      </c>
      <c r="B71" s="13" t="s">
        <v>26</v>
      </c>
      <c r="C71" s="43">
        <v>0.35</v>
      </c>
      <c r="D71" s="17">
        <v>1000</v>
      </c>
      <c r="E71" s="17">
        <v>350</v>
      </c>
    </row>
    <row r="72" spans="1:5" x14ac:dyDescent="0.35">
      <c r="A72" s="13" t="s">
        <v>331</v>
      </c>
      <c r="B72" s="13" t="s">
        <v>53</v>
      </c>
      <c r="C72" s="43">
        <v>0.6</v>
      </c>
      <c r="D72" s="17">
        <v>300</v>
      </c>
      <c r="E72" s="17">
        <v>180</v>
      </c>
    </row>
    <row r="73" spans="1:5" x14ac:dyDescent="0.35">
      <c r="A73" s="13" t="s">
        <v>331</v>
      </c>
      <c r="B73" s="13" t="s">
        <v>51</v>
      </c>
      <c r="C73" s="43">
        <v>0.4</v>
      </c>
      <c r="D73" s="17">
        <v>500</v>
      </c>
      <c r="E73" s="17">
        <v>200</v>
      </c>
    </row>
    <row r="74" spans="1:5" x14ac:dyDescent="0.35">
      <c r="A74" s="13" t="s">
        <v>331</v>
      </c>
      <c r="B74" s="13" t="s">
        <v>13</v>
      </c>
      <c r="C74" s="43">
        <v>2.35</v>
      </c>
      <c r="D74" s="17">
        <v>500</v>
      </c>
      <c r="E74" s="17">
        <v>1175</v>
      </c>
    </row>
    <row r="75" spans="1:5" x14ac:dyDescent="0.35">
      <c r="A75" s="13" t="s">
        <v>331</v>
      </c>
      <c r="B75" s="13" t="s">
        <v>263</v>
      </c>
      <c r="C75" s="43">
        <v>1.3</v>
      </c>
      <c r="D75" s="17">
        <v>400</v>
      </c>
      <c r="E75" s="17">
        <v>520</v>
      </c>
    </row>
    <row r="76" spans="1:5" x14ac:dyDescent="0.35">
      <c r="A76" s="13" t="s">
        <v>331</v>
      </c>
      <c r="B76" s="13" t="s">
        <v>41</v>
      </c>
      <c r="C76" s="43">
        <v>1.9</v>
      </c>
      <c r="D76" s="17">
        <v>1000</v>
      </c>
      <c r="E76" s="17">
        <v>1900</v>
      </c>
    </row>
    <row r="77" spans="1:5" x14ac:dyDescent="0.35">
      <c r="A77" s="13" t="s">
        <v>332</v>
      </c>
      <c r="B77" s="13" t="s">
        <v>26</v>
      </c>
      <c r="C77" s="43">
        <v>1.05</v>
      </c>
      <c r="D77" s="17">
        <v>1000</v>
      </c>
      <c r="E77" s="17">
        <v>1050</v>
      </c>
    </row>
    <row r="78" spans="1:5" x14ac:dyDescent="0.35">
      <c r="A78" s="13" t="s">
        <v>332</v>
      </c>
      <c r="B78" s="13" t="s">
        <v>41</v>
      </c>
      <c r="C78" s="43">
        <v>1.1000000000000001</v>
      </c>
      <c r="D78" s="17">
        <v>1000</v>
      </c>
      <c r="E78" s="17">
        <v>1100</v>
      </c>
    </row>
    <row r="79" spans="1:5" x14ac:dyDescent="0.35">
      <c r="A79" s="13" t="s">
        <v>333</v>
      </c>
      <c r="B79" s="13" t="s">
        <v>94</v>
      </c>
      <c r="C79" s="43">
        <v>3</v>
      </c>
      <c r="D79" s="17">
        <v>2800</v>
      </c>
      <c r="E79" s="17">
        <v>8400</v>
      </c>
    </row>
    <row r="80" spans="1:5" x14ac:dyDescent="0.35">
      <c r="A80" s="13" t="s">
        <v>333</v>
      </c>
      <c r="B80" s="13" t="s">
        <v>18</v>
      </c>
      <c r="C80" s="43">
        <v>1.4</v>
      </c>
      <c r="D80" s="17">
        <v>150</v>
      </c>
      <c r="E80" s="17">
        <v>210</v>
      </c>
    </row>
    <row r="81" spans="1:5" x14ac:dyDescent="0.35">
      <c r="A81" s="13" t="s">
        <v>333</v>
      </c>
      <c r="B81" s="13" t="s">
        <v>53</v>
      </c>
      <c r="C81" s="43">
        <v>1.95</v>
      </c>
      <c r="D81" s="17">
        <v>300</v>
      </c>
      <c r="E81" s="17">
        <v>585</v>
      </c>
    </row>
    <row r="82" spans="1:5" x14ac:dyDescent="0.35">
      <c r="A82" s="13" t="s">
        <v>333</v>
      </c>
      <c r="B82" s="13" t="s">
        <v>51</v>
      </c>
      <c r="C82" s="43">
        <v>1.25</v>
      </c>
      <c r="D82" s="17">
        <v>500</v>
      </c>
      <c r="E82" s="17">
        <v>625</v>
      </c>
    </row>
    <row r="83" spans="1:5" x14ac:dyDescent="0.35">
      <c r="A83" s="13" t="s">
        <v>333</v>
      </c>
      <c r="B83" s="13" t="s">
        <v>127</v>
      </c>
      <c r="C83" s="43">
        <v>0.15</v>
      </c>
      <c r="D83" s="17">
        <v>8000</v>
      </c>
      <c r="E83" s="17">
        <v>1200</v>
      </c>
    </row>
    <row r="84" spans="1:5" x14ac:dyDescent="0.35">
      <c r="A84" s="13" t="s">
        <v>333</v>
      </c>
      <c r="B84" s="13" t="s">
        <v>39</v>
      </c>
      <c r="C84" s="43">
        <v>0.05</v>
      </c>
      <c r="D84" s="17">
        <v>1500</v>
      </c>
      <c r="E84" s="17">
        <v>75</v>
      </c>
    </row>
    <row r="85" spans="1:5" x14ac:dyDescent="0.35">
      <c r="A85" s="13" t="s">
        <v>333</v>
      </c>
      <c r="B85" s="13" t="s">
        <v>25</v>
      </c>
      <c r="C85" s="43">
        <v>2.8</v>
      </c>
      <c r="D85" s="17">
        <v>1000</v>
      </c>
      <c r="E85" s="17">
        <v>2800</v>
      </c>
    </row>
    <row r="86" spans="1:5" x14ac:dyDescent="0.35">
      <c r="A86" s="13" t="s">
        <v>333</v>
      </c>
      <c r="B86" s="13" t="s">
        <v>22</v>
      </c>
      <c r="C86" s="43">
        <v>0.6</v>
      </c>
      <c r="D86" s="17">
        <v>1600</v>
      </c>
      <c r="E86" s="17">
        <v>960</v>
      </c>
    </row>
    <row r="87" spans="1:5" x14ac:dyDescent="0.35">
      <c r="A87" s="13" t="s">
        <v>333</v>
      </c>
      <c r="B87" s="13" t="s">
        <v>41</v>
      </c>
      <c r="C87" s="43">
        <v>0.7</v>
      </c>
      <c r="D87" s="17">
        <v>1000</v>
      </c>
      <c r="E87" s="17">
        <v>700</v>
      </c>
    </row>
    <row r="88" spans="1:5" x14ac:dyDescent="0.35">
      <c r="A88" s="13" t="s">
        <v>333</v>
      </c>
      <c r="B88" s="13" t="s">
        <v>60</v>
      </c>
      <c r="C88" s="43">
        <v>0.3</v>
      </c>
      <c r="D88" s="17">
        <v>2500</v>
      </c>
      <c r="E88" s="17">
        <v>750</v>
      </c>
    </row>
    <row r="89" spans="1:5" x14ac:dyDescent="0.35">
      <c r="A89" s="13" t="s">
        <v>334</v>
      </c>
      <c r="B89" s="13" t="s">
        <v>51</v>
      </c>
      <c r="C89" s="43">
        <v>0.35</v>
      </c>
      <c r="D89" s="17">
        <v>500</v>
      </c>
      <c r="E89" s="17">
        <v>175</v>
      </c>
    </row>
    <row r="90" spans="1:5" x14ac:dyDescent="0.35">
      <c r="A90" s="13" t="s">
        <v>334</v>
      </c>
      <c r="B90" s="13" t="s">
        <v>56</v>
      </c>
      <c r="C90" s="43">
        <v>0.1</v>
      </c>
      <c r="D90" s="17">
        <v>500</v>
      </c>
      <c r="E90" s="17">
        <v>50</v>
      </c>
    </row>
    <row r="91" spans="1:5" x14ac:dyDescent="0.35">
      <c r="A91" s="13" t="s">
        <v>334</v>
      </c>
      <c r="B91" s="13" t="s">
        <v>41</v>
      </c>
      <c r="C91" s="43">
        <v>7.6</v>
      </c>
      <c r="D91" s="17">
        <v>1000</v>
      </c>
      <c r="E91" s="17">
        <v>7600</v>
      </c>
    </row>
    <row r="92" spans="1:5" x14ac:dyDescent="0.35">
      <c r="A92" s="13" t="s">
        <v>335</v>
      </c>
      <c r="B92" s="13" t="s">
        <v>41</v>
      </c>
      <c r="C92" s="43">
        <v>1.5</v>
      </c>
      <c r="D92" s="17">
        <v>1000</v>
      </c>
      <c r="E92" s="17">
        <v>1500</v>
      </c>
    </row>
    <row r="93" spans="1:5" x14ac:dyDescent="0.35">
      <c r="A93" s="13" t="s">
        <v>335</v>
      </c>
      <c r="B93" s="13" t="s">
        <v>26</v>
      </c>
      <c r="C93" s="43">
        <v>1.1499999999999999</v>
      </c>
      <c r="D93" s="17">
        <v>1000</v>
      </c>
      <c r="E93" s="17">
        <v>1150</v>
      </c>
    </row>
    <row r="94" spans="1:5" x14ac:dyDescent="0.35">
      <c r="A94" s="13" t="s">
        <v>335</v>
      </c>
      <c r="B94" s="13" t="s">
        <v>53</v>
      </c>
      <c r="C94" s="43">
        <v>0.5</v>
      </c>
      <c r="D94" s="17">
        <v>300</v>
      </c>
      <c r="E94" s="17">
        <v>150</v>
      </c>
    </row>
    <row r="95" spans="1:5" x14ac:dyDescent="0.35">
      <c r="A95" s="13" t="s">
        <v>335</v>
      </c>
      <c r="B95" s="13" t="s">
        <v>13</v>
      </c>
      <c r="C95" s="43">
        <v>0.1</v>
      </c>
      <c r="D95" s="17">
        <v>500</v>
      </c>
      <c r="E95" s="17">
        <v>50</v>
      </c>
    </row>
    <row r="96" spans="1:5" x14ac:dyDescent="0.35">
      <c r="A96" s="13" t="s">
        <v>335</v>
      </c>
      <c r="B96" s="13" t="s">
        <v>94</v>
      </c>
      <c r="C96" s="43">
        <v>1.1499999999999999</v>
      </c>
      <c r="D96" s="17">
        <v>2800</v>
      </c>
      <c r="E96" s="17">
        <v>3220</v>
      </c>
    </row>
    <row r="97" spans="1:5" x14ac:dyDescent="0.35">
      <c r="A97" s="13" t="s">
        <v>336</v>
      </c>
      <c r="B97" s="13" t="s">
        <v>41</v>
      </c>
      <c r="C97" s="43">
        <v>2.35</v>
      </c>
      <c r="D97" s="17">
        <v>1000</v>
      </c>
      <c r="E97" s="17">
        <v>2350</v>
      </c>
    </row>
    <row r="98" spans="1:5" x14ac:dyDescent="0.35">
      <c r="A98" s="13" t="s">
        <v>336</v>
      </c>
      <c r="B98" s="13" t="s">
        <v>13</v>
      </c>
      <c r="C98" s="43">
        <v>0.2</v>
      </c>
      <c r="D98" s="17">
        <v>500</v>
      </c>
      <c r="E98" s="17">
        <v>100</v>
      </c>
    </row>
    <row r="99" spans="1:5" x14ac:dyDescent="0.35">
      <c r="A99" s="13" t="s">
        <v>336</v>
      </c>
      <c r="B99" s="13" t="s">
        <v>51</v>
      </c>
      <c r="C99" s="43">
        <v>0.1</v>
      </c>
      <c r="D99" s="17">
        <v>500</v>
      </c>
      <c r="E99" s="17">
        <v>50</v>
      </c>
    </row>
    <row r="100" spans="1:5" x14ac:dyDescent="0.35">
      <c r="A100" s="13" t="s">
        <v>336</v>
      </c>
      <c r="B100" s="13" t="s">
        <v>60</v>
      </c>
      <c r="C100" s="43">
        <v>0.05</v>
      </c>
      <c r="D100" s="17">
        <v>2500</v>
      </c>
      <c r="E100" s="17">
        <v>125</v>
      </c>
    </row>
    <row r="101" spans="1:5" x14ac:dyDescent="0.35">
      <c r="A101" s="13" t="s">
        <v>336</v>
      </c>
      <c r="B101" s="13" t="s">
        <v>53</v>
      </c>
      <c r="C101" s="43">
        <v>0.2</v>
      </c>
      <c r="D101" s="17">
        <v>300</v>
      </c>
      <c r="E101" s="17">
        <v>60</v>
      </c>
    </row>
    <row r="102" spans="1:5" x14ac:dyDescent="0.35">
      <c r="A102" s="13" t="s">
        <v>336</v>
      </c>
      <c r="B102" s="13" t="s">
        <v>25</v>
      </c>
      <c r="C102" s="43">
        <v>0.85</v>
      </c>
      <c r="D102" s="17">
        <v>1000</v>
      </c>
      <c r="E102" s="17">
        <v>850</v>
      </c>
    </row>
    <row r="103" spans="1:5" x14ac:dyDescent="0.35">
      <c r="A103" s="13" t="s">
        <v>336</v>
      </c>
      <c r="B103" s="13" t="s">
        <v>22</v>
      </c>
      <c r="C103" s="43">
        <v>1.2</v>
      </c>
      <c r="D103" s="17">
        <v>1600</v>
      </c>
      <c r="E103" s="17">
        <v>1920</v>
      </c>
    </row>
    <row r="104" spans="1:5" x14ac:dyDescent="0.35">
      <c r="A104" s="13" t="s">
        <v>336</v>
      </c>
      <c r="B104" s="13" t="s">
        <v>94</v>
      </c>
      <c r="C104" s="43">
        <v>0.5</v>
      </c>
      <c r="D104" s="17">
        <v>2800</v>
      </c>
      <c r="E104" s="17">
        <v>1400</v>
      </c>
    </row>
    <row r="105" spans="1:5" x14ac:dyDescent="0.35">
      <c r="A105" s="13" t="s">
        <v>337</v>
      </c>
      <c r="B105" s="13" t="s">
        <v>60</v>
      </c>
      <c r="C105" s="43">
        <v>0.15</v>
      </c>
      <c r="D105" s="17">
        <v>2500</v>
      </c>
      <c r="E105" s="17">
        <v>375</v>
      </c>
    </row>
    <row r="106" spans="1:5" x14ac:dyDescent="0.35">
      <c r="A106" s="13" t="s">
        <v>337</v>
      </c>
      <c r="B106" s="13" t="s">
        <v>53</v>
      </c>
      <c r="C106" s="43">
        <v>1.2</v>
      </c>
      <c r="D106" s="17">
        <v>300</v>
      </c>
      <c r="E106" s="17">
        <v>360</v>
      </c>
    </row>
    <row r="107" spans="1:5" x14ac:dyDescent="0.35">
      <c r="A107" s="13" t="s">
        <v>337</v>
      </c>
      <c r="B107" s="13" t="s">
        <v>51</v>
      </c>
      <c r="C107" s="43">
        <v>0.15</v>
      </c>
      <c r="D107" s="17">
        <v>500</v>
      </c>
      <c r="E107" s="17">
        <v>75</v>
      </c>
    </row>
    <row r="108" spans="1:5" x14ac:dyDescent="0.35">
      <c r="A108" s="13" t="s">
        <v>337</v>
      </c>
      <c r="B108" s="13" t="s">
        <v>22</v>
      </c>
      <c r="C108" s="43">
        <v>0.8</v>
      </c>
      <c r="D108" s="17">
        <v>1600</v>
      </c>
      <c r="E108" s="17">
        <v>1280</v>
      </c>
    </row>
    <row r="109" spans="1:5" x14ac:dyDescent="0.35">
      <c r="A109" s="13" t="s">
        <v>337</v>
      </c>
      <c r="B109" s="13" t="s">
        <v>94</v>
      </c>
      <c r="C109" s="43">
        <v>1.45</v>
      </c>
      <c r="D109" s="17">
        <v>2800</v>
      </c>
      <c r="E109" s="17">
        <v>4060</v>
      </c>
    </row>
    <row r="110" spans="1:5" x14ac:dyDescent="0.35">
      <c r="A110" s="13" t="s">
        <v>337</v>
      </c>
      <c r="B110" s="13" t="s">
        <v>41</v>
      </c>
      <c r="C110" s="43">
        <v>6.85</v>
      </c>
      <c r="D110" s="17">
        <v>1000</v>
      </c>
      <c r="E110" s="17">
        <v>6850</v>
      </c>
    </row>
    <row r="111" spans="1:5" x14ac:dyDescent="0.35">
      <c r="A111" s="13" t="s">
        <v>338</v>
      </c>
      <c r="B111" s="13" t="s">
        <v>26</v>
      </c>
      <c r="C111" s="43">
        <v>0.8</v>
      </c>
      <c r="D111" s="17">
        <v>1000</v>
      </c>
      <c r="E111" s="17">
        <v>800</v>
      </c>
    </row>
    <row r="112" spans="1:5" x14ac:dyDescent="0.35">
      <c r="A112" s="13" t="s">
        <v>338</v>
      </c>
      <c r="B112" s="13" t="s">
        <v>22</v>
      </c>
      <c r="C112" s="43">
        <v>0.8</v>
      </c>
      <c r="D112" s="17">
        <v>1600</v>
      </c>
      <c r="E112" s="17">
        <v>1280</v>
      </c>
    </row>
    <row r="113" spans="1:5" x14ac:dyDescent="0.35">
      <c r="A113" s="13" t="s">
        <v>338</v>
      </c>
      <c r="B113" s="13" t="s">
        <v>53</v>
      </c>
      <c r="C113" s="43">
        <v>1.35</v>
      </c>
      <c r="D113" s="17">
        <v>300</v>
      </c>
      <c r="E113" s="17">
        <v>405</v>
      </c>
    </row>
    <row r="114" spans="1:5" x14ac:dyDescent="0.35">
      <c r="A114" s="13" t="s">
        <v>338</v>
      </c>
      <c r="B114" s="13" t="s">
        <v>41</v>
      </c>
      <c r="C114" s="43">
        <v>3.85</v>
      </c>
      <c r="D114" s="17">
        <v>1000</v>
      </c>
      <c r="E114" s="17">
        <v>3850</v>
      </c>
    </row>
    <row r="115" spans="1:5" x14ac:dyDescent="0.35">
      <c r="A115" s="13" t="s">
        <v>339</v>
      </c>
      <c r="B115" s="13" t="s">
        <v>51</v>
      </c>
      <c r="C115" s="43">
        <v>1.8</v>
      </c>
      <c r="D115" s="17">
        <v>500</v>
      </c>
      <c r="E115" s="17">
        <v>900</v>
      </c>
    </row>
    <row r="116" spans="1:5" x14ac:dyDescent="0.35">
      <c r="A116" s="13" t="s">
        <v>339</v>
      </c>
      <c r="B116" s="13" t="s">
        <v>26</v>
      </c>
      <c r="C116" s="43">
        <v>0.85</v>
      </c>
      <c r="D116" s="17">
        <v>1000</v>
      </c>
      <c r="E116" s="17">
        <v>850</v>
      </c>
    </row>
    <row r="117" spans="1:5" x14ac:dyDescent="0.35">
      <c r="A117" s="13" t="s">
        <v>339</v>
      </c>
      <c r="B117" s="13" t="s">
        <v>13</v>
      </c>
      <c r="C117" s="43">
        <v>0.2</v>
      </c>
      <c r="D117" s="17">
        <v>500</v>
      </c>
      <c r="E117" s="17">
        <v>100</v>
      </c>
    </row>
    <row r="118" spans="1:5" x14ac:dyDescent="0.35">
      <c r="A118" s="13" t="s">
        <v>339</v>
      </c>
      <c r="B118" s="13" t="s">
        <v>53</v>
      </c>
      <c r="C118" s="43">
        <v>0.9</v>
      </c>
      <c r="D118" s="17">
        <v>300</v>
      </c>
      <c r="E118" s="17">
        <v>270</v>
      </c>
    </row>
    <row r="119" spans="1:5" x14ac:dyDescent="0.35">
      <c r="A119" s="13" t="s">
        <v>339</v>
      </c>
      <c r="B119" s="13" t="s">
        <v>293</v>
      </c>
      <c r="C119" s="43">
        <v>0.7</v>
      </c>
      <c r="D119" s="17">
        <v>1400</v>
      </c>
      <c r="E119" s="17">
        <v>980</v>
      </c>
    </row>
    <row r="120" spans="1:5" x14ac:dyDescent="0.35">
      <c r="A120" s="13" t="s">
        <v>339</v>
      </c>
      <c r="B120" s="13" t="s">
        <v>61</v>
      </c>
      <c r="C120" s="43">
        <v>0.63</v>
      </c>
      <c r="D120" s="17">
        <v>3500</v>
      </c>
      <c r="E120" s="17">
        <v>2205</v>
      </c>
    </row>
    <row r="121" spans="1:5" x14ac:dyDescent="0.35">
      <c r="A121" s="13" t="s">
        <v>339</v>
      </c>
      <c r="B121" s="13" t="s">
        <v>29</v>
      </c>
      <c r="C121" s="43">
        <v>0.65</v>
      </c>
      <c r="D121" s="17">
        <v>1600</v>
      </c>
      <c r="E121" s="17">
        <v>1040</v>
      </c>
    </row>
    <row r="122" spans="1:5" x14ac:dyDescent="0.35">
      <c r="A122" s="13" t="s">
        <v>340</v>
      </c>
      <c r="B122" s="13" t="s">
        <v>41</v>
      </c>
      <c r="C122" s="43">
        <v>13.65</v>
      </c>
      <c r="D122" s="17">
        <v>1000</v>
      </c>
      <c r="E122" s="17">
        <v>13650</v>
      </c>
    </row>
    <row r="123" spans="1:5" x14ac:dyDescent="0.35">
      <c r="A123" s="13" t="s">
        <v>340</v>
      </c>
      <c r="B123" s="13" t="s">
        <v>293</v>
      </c>
      <c r="C123" s="43">
        <v>1.4</v>
      </c>
      <c r="D123" s="17">
        <v>1400</v>
      </c>
      <c r="E123" s="17">
        <v>1960</v>
      </c>
    </row>
    <row r="124" spans="1:5" x14ac:dyDescent="0.35">
      <c r="A124" s="13" t="s">
        <v>340</v>
      </c>
      <c r="B124" s="13" t="s">
        <v>18</v>
      </c>
      <c r="C124" s="43">
        <v>0.4</v>
      </c>
      <c r="D124" s="17">
        <v>150</v>
      </c>
      <c r="E124" s="17">
        <v>60</v>
      </c>
    </row>
    <row r="125" spans="1:5" x14ac:dyDescent="0.35">
      <c r="A125" s="13" t="s">
        <v>340</v>
      </c>
      <c r="B125" s="13" t="s">
        <v>266</v>
      </c>
      <c r="C125" s="43">
        <v>1.05</v>
      </c>
      <c r="D125" s="17">
        <v>1000</v>
      </c>
      <c r="E125" s="17">
        <v>1050</v>
      </c>
    </row>
    <row r="126" spans="1:5" x14ac:dyDescent="0.35">
      <c r="A126" s="13" t="s">
        <v>340</v>
      </c>
      <c r="B126" s="13" t="s">
        <v>39</v>
      </c>
      <c r="C126" s="43">
        <v>0.2</v>
      </c>
      <c r="D126" s="17">
        <v>1500</v>
      </c>
      <c r="E126" s="17">
        <v>300</v>
      </c>
    </row>
    <row r="127" spans="1:5" x14ac:dyDescent="0.35">
      <c r="A127" s="13" t="s">
        <v>340</v>
      </c>
      <c r="B127" s="13" t="s">
        <v>25</v>
      </c>
      <c r="C127" s="43">
        <v>1.3</v>
      </c>
      <c r="D127" s="17">
        <v>1000</v>
      </c>
      <c r="E127" s="17">
        <v>1300</v>
      </c>
    </row>
    <row r="128" spans="1:5" x14ac:dyDescent="0.35">
      <c r="A128" s="13" t="s">
        <v>340</v>
      </c>
      <c r="B128" s="13" t="s">
        <v>15</v>
      </c>
      <c r="C128" s="43">
        <v>0.45</v>
      </c>
      <c r="D128" s="17">
        <v>2500</v>
      </c>
      <c r="E128" s="17">
        <v>1125</v>
      </c>
    </row>
    <row r="129" spans="1:5" x14ac:dyDescent="0.35">
      <c r="A129" s="13" t="s">
        <v>340</v>
      </c>
      <c r="B129" s="13" t="s">
        <v>13</v>
      </c>
      <c r="C129" s="43">
        <v>1.95</v>
      </c>
      <c r="D129" s="17">
        <v>500</v>
      </c>
      <c r="E129" s="17">
        <v>975</v>
      </c>
    </row>
    <row r="130" spans="1:5" x14ac:dyDescent="0.35">
      <c r="A130" s="13" t="s">
        <v>340</v>
      </c>
      <c r="B130" s="13" t="s">
        <v>60</v>
      </c>
      <c r="C130" s="43">
        <v>0.5</v>
      </c>
      <c r="D130" s="17">
        <v>2500</v>
      </c>
      <c r="E130" s="17">
        <v>1250</v>
      </c>
    </row>
    <row r="131" spans="1:5" x14ac:dyDescent="0.35">
      <c r="A131" s="13" t="s">
        <v>340</v>
      </c>
      <c r="B131" s="13" t="s">
        <v>26</v>
      </c>
      <c r="C131" s="43">
        <v>2.65</v>
      </c>
      <c r="D131" s="17">
        <v>1000</v>
      </c>
      <c r="E131" s="17">
        <v>2650</v>
      </c>
    </row>
    <row r="132" spans="1:5" x14ac:dyDescent="0.35">
      <c r="A132" s="13" t="s">
        <v>340</v>
      </c>
      <c r="B132" s="13" t="s">
        <v>29</v>
      </c>
      <c r="C132" s="43">
        <v>0.55000000000000004</v>
      </c>
      <c r="D132" s="17">
        <v>1600</v>
      </c>
      <c r="E132" s="17">
        <v>880</v>
      </c>
    </row>
    <row r="133" spans="1:5" x14ac:dyDescent="0.35">
      <c r="A133" s="13" t="s">
        <v>340</v>
      </c>
      <c r="B133" s="13" t="s">
        <v>94</v>
      </c>
      <c r="C133" s="43">
        <v>2.6</v>
      </c>
      <c r="D133" s="17">
        <v>2800</v>
      </c>
      <c r="E133" s="17">
        <v>7280</v>
      </c>
    </row>
    <row r="134" spans="1:5" x14ac:dyDescent="0.35">
      <c r="A134" s="13" t="s">
        <v>341</v>
      </c>
      <c r="B134" s="13" t="s">
        <v>51</v>
      </c>
      <c r="C134" s="43">
        <v>1.1499999999999999</v>
      </c>
      <c r="D134" s="17">
        <v>500</v>
      </c>
      <c r="E134" s="17">
        <v>575</v>
      </c>
    </row>
    <row r="135" spans="1:5" x14ac:dyDescent="0.35">
      <c r="A135" s="13" t="s">
        <v>341</v>
      </c>
      <c r="B135" s="13" t="s">
        <v>60</v>
      </c>
      <c r="C135" s="43">
        <v>0.35</v>
      </c>
      <c r="D135" s="17">
        <v>2500</v>
      </c>
      <c r="E135" s="17">
        <v>875</v>
      </c>
    </row>
    <row r="136" spans="1:5" x14ac:dyDescent="0.35">
      <c r="A136" s="13" t="s">
        <v>341</v>
      </c>
      <c r="B136" s="13" t="s">
        <v>53</v>
      </c>
      <c r="C136" s="43">
        <v>0.2</v>
      </c>
      <c r="D136" s="17">
        <v>300</v>
      </c>
      <c r="E136" s="17">
        <v>60</v>
      </c>
    </row>
    <row r="137" spans="1:5" x14ac:dyDescent="0.35">
      <c r="A137" s="13" t="s">
        <v>341</v>
      </c>
      <c r="B137" s="13" t="s">
        <v>13</v>
      </c>
      <c r="C137" s="43">
        <v>0.6</v>
      </c>
      <c r="D137" s="17">
        <v>500</v>
      </c>
      <c r="E137" s="17">
        <v>300</v>
      </c>
    </row>
    <row r="138" spans="1:5" x14ac:dyDescent="0.35">
      <c r="A138" s="13" t="s">
        <v>341</v>
      </c>
      <c r="B138" s="13" t="s">
        <v>94</v>
      </c>
      <c r="C138" s="43">
        <v>0.63</v>
      </c>
      <c r="D138" s="17">
        <v>2800</v>
      </c>
      <c r="E138" s="17">
        <v>1764</v>
      </c>
    </row>
    <row r="139" spans="1:5" x14ac:dyDescent="0.35">
      <c r="A139" s="13" t="s">
        <v>341</v>
      </c>
      <c r="B139" s="13" t="s">
        <v>266</v>
      </c>
      <c r="C139" s="43">
        <v>0.55000000000000004</v>
      </c>
      <c r="D139" s="17">
        <v>1000</v>
      </c>
      <c r="E139" s="17">
        <v>550</v>
      </c>
    </row>
    <row r="140" spans="1:5" x14ac:dyDescent="0.35">
      <c r="A140" s="13" t="s">
        <v>341</v>
      </c>
      <c r="B140" s="13" t="s">
        <v>18</v>
      </c>
      <c r="C140" s="43">
        <v>0.9</v>
      </c>
      <c r="D140" s="17">
        <v>150</v>
      </c>
      <c r="E140" s="17">
        <v>135</v>
      </c>
    </row>
    <row r="141" spans="1:5" x14ac:dyDescent="0.35">
      <c r="A141" s="13" t="s">
        <v>341</v>
      </c>
      <c r="B141" s="13" t="s">
        <v>25</v>
      </c>
      <c r="C141" s="43">
        <v>6.05</v>
      </c>
      <c r="D141" s="17">
        <v>1000</v>
      </c>
      <c r="E141" s="17">
        <v>6050</v>
      </c>
    </row>
    <row r="142" spans="1:5" x14ac:dyDescent="0.35">
      <c r="A142" s="13" t="s">
        <v>341</v>
      </c>
      <c r="B142" s="13" t="s">
        <v>39</v>
      </c>
      <c r="C142" s="43">
        <v>0.65</v>
      </c>
      <c r="D142" s="17">
        <v>1500</v>
      </c>
      <c r="E142" s="17">
        <v>975</v>
      </c>
    </row>
    <row r="143" spans="1:5" x14ac:dyDescent="0.35">
      <c r="A143" s="13" t="s">
        <v>341</v>
      </c>
      <c r="B143" s="13" t="s">
        <v>125</v>
      </c>
      <c r="C143" s="43">
        <v>5.15</v>
      </c>
      <c r="D143" s="17">
        <v>800</v>
      </c>
      <c r="E143" s="17">
        <v>4120</v>
      </c>
    </row>
    <row r="144" spans="1:5" x14ac:dyDescent="0.35">
      <c r="A144" s="13" t="s">
        <v>341</v>
      </c>
      <c r="B144" s="13" t="s">
        <v>126</v>
      </c>
      <c r="C144" s="43">
        <v>0.25</v>
      </c>
      <c r="D144" s="17">
        <v>1800</v>
      </c>
      <c r="E144" s="17">
        <v>450</v>
      </c>
    </row>
    <row r="145" spans="1:5" x14ac:dyDescent="0.35">
      <c r="A145" s="13" t="s">
        <v>341</v>
      </c>
      <c r="B145" s="13" t="s">
        <v>56</v>
      </c>
      <c r="C145" s="43">
        <v>0.2</v>
      </c>
      <c r="D145" s="17">
        <v>500</v>
      </c>
      <c r="E145" s="17">
        <v>100</v>
      </c>
    </row>
    <row r="146" spans="1:5" x14ac:dyDescent="0.35">
      <c r="A146" s="13" t="s">
        <v>341</v>
      </c>
      <c r="B146" s="13" t="s">
        <v>55</v>
      </c>
      <c r="C146" s="43">
        <v>2.6</v>
      </c>
      <c r="D146" s="17">
        <v>700</v>
      </c>
      <c r="E146" s="17">
        <v>1820</v>
      </c>
    </row>
    <row r="147" spans="1:5" x14ac:dyDescent="0.35">
      <c r="A147" s="13" t="s">
        <v>341</v>
      </c>
      <c r="B147" s="13" t="s">
        <v>15</v>
      </c>
      <c r="C147" s="43">
        <v>3.1</v>
      </c>
      <c r="D147" s="17">
        <v>2500</v>
      </c>
      <c r="E147" s="17">
        <v>7750</v>
      </c>
    </row>
    <row r="148" spans="1:5" x14ac:dyDescent="0.35">
      <c r="A148" s="13" t="s">
        <v>341</v>
      </c>
      <c r="B148" s="13" t="s">
        <v>41</v>
      </c>
      <c r="C148" s="43">
        <v>10.55</v>
      </c>
      <c r="D148" s="17">
        <v>1000</v>
      </c>
      <c r="E148" s="17">
        <v>10550</v>
      </c>
    </row>
    <row r="149" spans="1:5" x14ac:dyDescent="0.35">
      <c r="A149" s="13" t="s">
        <v>342</v>
      </c>
      <c r="B149" s="13" t="s">
        <v>22</v>
      </c>
      <c r="C149" s="43">
        <v>1.35</v>
      </c>
      <c r="D149" s="17">
        <v>1600</v>
      </c>
      <c r="E149" s="17">
        <v>2160</v>
      </c>
    </row>
    <row r="150" spans="1:5" x14ac:dyDescent="0.35">
      <c r="A150" s="13" t="s">
        <v>342</v>
      </c>
      <c r="B150" s="13" t="s">
        <v>15</v>
      </c>
      <c r="C150" s="43">
        <v>0.8</v>
      </c>
      <c r="D150" s="17">
        <v>2500</v>
      </c>
      <c r="E150" s="17">
        <v>2000</v>
      </c>
    </row>
    <row r="151" spans="1:5" x14ac:dyDescent="0.35">
      <c r="A151" s="13" t="s">
        <v>342</v>
      </c>
      <c r="B151" s="13" t="s">
        <v>51</v>
      </c>
      <c r="C151" s="43">
        <v>0.8</v>
      </c>
      <c r="D151" s="17">
        <v>500</v>
      </c>
      <c r="E151" s="17">
        <v>400</v>
      </c>
    </row>
    <row r="152" spans="1:5" x14ac:dyDescent="0.35">
      <c r="A152" s="13" t="s">
        <v>342</v>
      </c>
      <c r="B152" s="13" t="s">
        <v>25</v>
      </c>
      <c r="C152" s="43">
        <v>1.25</v>
      </c>
      <c r="D152" s="17">
        <v>1000</v>
      </c>
      <c r="E152" s="17">
        <v>1250</v>
      </c>
    </row>
    <row r="153" spans="1:5" x14ac:dyDescent="0.35">
      <c r="A153" s="13" t="s">
        <v>342</v>
      </c>
      <c r="B153" s="13" t="s">
        <v>126</v>
      </c>
      <c r="C153" s="43">
        <v>0.45</v>
      </c>
      <c r="D153" s="17">
        <v>1800</v>
      </c>
      <c r="E153" s="17">
        <v>810</v>
      </c>
    </row>
    <row r="154" spans="1:5" x14ac:dyDescent="0.35">
      <c r="A154" s="13" t="s">
        <v>342</v>
      </c>
      <c r="B154" s="13" t="s">
        <v>18</v>
      </c>
      <c r="C154" s="43">
        <v>0.4</v>
      </c>
      <c r="D154" s="17">
        <v>150</v>
      </c>
      <c r="E154" s="17">
        <v>60</v>
      </c>
    </row>
    <row r="155" spans="1:5" x14ac:dyDescent="0.35">
      <c r="A155" s="13" t="s">
        <v>343</v>
      </c>
      <c r="B155" s="13" t="s">
        <v>34</v>
      </c>
      <c r="C155" s="43">
        <v>6</v>
      </c>
      <c r="D155" s="17">
        <v>5000</v>
      </c>
      <c r="E155" s="17">
        <v>30000</v>
      </c>
    </row>
    <row r="156" spans="1:5" x14ac:dyDescent="0.35">
      <c r="A156" s="13" t="s">
        <v>343</v>
      </c>
      <c r="B156" s="13" t="s">
        <v>51</v>
      </c>
      <c r="C156" s="43">
        <v>0.3</v>
      </c>
      <c r="D156" s="17">
        <v>500</v>
      </c>
      <c r="E156" s="17">
        <v>150</v>
      </c>
    </row>
    <row r="157" spans="1:5" x14ac:dyDescent="0.35">
      <c r="A157" s="13" t="s">
        <v>343</v>
      </c>
      <c r="B157" s="13" t="s">
        <v>41</v>
      </c>
      <c r="C157" s="43">
        <v>1.65</v>
      </c>
      <c r="D157" s="17">
        <v>1000</v>
      </c>
      <c r="E157" s="17">
        <v>1650</v>
      </c>
    </row>
    <row r="158" spans="1:5" x14ac:dyDescent="0.35">
      <c r="A158" s="13" t="s">
        <v>343</v>
      </c>
      <c r="B158" s="13" t="s">
        <v>125</v>
      </c>
      <c r="C158" s="43">
        <v>10.5</v>
      </c>
      <c r="D158" s="17">
        <v>800</v>
      </c>
      <c r="E158" s="17">
        <v>8400</v>
      </c>
    </row>
    <row r="159" spans="1:5" x14ac:dyDescent="0.35">
      <c r="A159" s="13" t="s">
        <v>343</v>
      </c>
      <c r="B159" s="13" t="s">
        <v>25</v>
      </c>
      <c r="C159" s="43">
        <v>4.2</v>
      </c>
      <c r="D159" s="17">
        <v>1000</v>
      </c>
      <c r="E159" s="17">
        <v>4200</v>
      </c>
    </row>
    <row r="160" spans="1:5" x14ac:dyDescent="0.35">
      <c r="A160" s="13" t="s">
        <v>343</v>
      </c>
      <c r="B160" s="13" t="s">
        <v>53</v>
      </c>
      <c r="C160" s="43">
        <v>2.75</v>
      </c>
      <c r="D160" s="17">
        <v>300</v>
      </c>
      <c r="E160" s="17">
        <v>825</v>
      </c>
    </row>
    <row r="161" spans="1:5" x14ac:dyDescent="0.35">
      <c r="A161" s="13" t="s">
        <v>343</v>
      </c>
      <c r="B161" s="13" t="s">
        <v>39</v>
      </c>
      <c r="C161" s="43">
        <v>0.9</v>
      </c>
      <c r="D161" s="17">
        <v>1500</v>
      </c>
      <c r="E161" s="17">
        <v>1350</v>
      </c>
    </row>
    <row r="162" spans="1:5" x14ac:dyDescent="0.35">
      <c r="A162" s="13" t="s">
        <v>344</v>
      </c>
      <c r="B162" s="13" t="s">
        <v>94</v>
      </c>
      <c r="C162" s="43">
        <v>0.85</v>
      </c>
      <c r="D162" s="17">
        <v>2800</v>
      </c>
      <c r="E162" s="17">
        <v>2380</v>
      </c>
    </row>
    <row r="163" spans="1:5" x14ac:dyDescent="0.35">
      <c r="A163" s="13" t="s">
        <v>344</v>
      </c>
      <c r="B163" s="13" t="s">
        <v>25</v>
      </c>
      <c r="C163" s="43">
        <v>0.4</v>
      </c>
      <c r="D163" s="17">
        <v>1000</v>
      </c>
      <c r="E163" s="17">
        <v>400</v>
      </c>
    </row>
    <row r="164" spans="1:5" x14ac:dyDescent="0.35">
      <c r="A164" s="13" t="s">
        <v>344</v>
      </c>
      <c r="B164" s="13" t="s">
        <v>53</v>
      </c>
      <c r="C164" s="43">
        <v>0.45</v>
      </c>
      <c r="D164" s="17">
        <v>300</v>
      </c>
      <c r="E164" s="17">
        <v>135</v>
      </c>
    </row>
    <row r="165" spans="1:5" x14ac:dyDescent="0.35">
      <c r="A165" s="13" t="s">
        <v>344</v>
      </c>
      <c r="B165" s="13" t="s">
        <v>13</v>
      </c>
      <c r="C165" s="43">
        <v>0.1</v>
      </c>
      <c r="D165" s="17">
        <v>500</v>
      </c>
      <c r="E165" s="17">
        <v>50</v>
      </c>
    </row>
    <row r="166" spans="1:5" x14ac:dyDescent="0.35">
      <c r="A166" s="13" t="s">
        <v>344</v>
      </c>
      <c r="B166" s="13" t="s">
        <v>39</v>
      </c>
      <c r="C166" s="43">
        <v>0.5</v>
      </c>
      <c r="D166" s="17">
        <v>1500</v>
      </c>
      <c r="E166" s="17">
        <v>750</v>
      </c>
    </row>
    <row r="167" spans="1:5" x14ac:dyDescent="0.35">
      <c r="A167" s="13" t="s">
        <v>344</v>
      </c>
      <c r="B167" s="13" t="s">
        <v>60</v>
      </c>
      <c r="C167" s="43">
        <v>0.15</v>
      </c>
      <c r="D167" s="17">
        <v>2500</v>
      </c>
      <c r="E167" s="17">
        <v>375</v>
      </c>
    </row>
    <row r="168" spans="1:5" x14ac:dyDescent="0.35">
      <c r="A168" s="13" t="s">
        <v>345</v>
      </c>
      <c r="B168" s="13" t="s">
        <v>13</v>
      </c>
      <c r="C168" s="43">
        <v>0.5</v>
      </c>
      <c r="D168" s="17">
        <v>500</v>
      </c>
      <c r="E168" s="17">
        <v>250</v>
      </c>
    </row>
    <row r="169" spans="1:5" x14ac:dyDescent="0.35">
      <c r="A169" s="13" t="s">
        <v>345</v>
      </c>
      <c r="B169" s="13" t="s">
        <v>61</v>
      </c>
      <c r="C169" s="43">
        <v>0.35</v>
      </c>
      <c r="D169" s="17">
        <v>3500</v>
      </c>
      <c r="E169" s="17">
        <v>1225</v>
      </c>
    </row>
    <row r="170" spans="1:5" x14ac:dyDescent="0.35">
      <c r="A170" s="13" t="s">
        <v>345</v>
      </c>
      <c r="B170" s="13" t="s">
        <v>60</v>
      </c>
      <c r="C170" s="43">
        <v>0.45</v>
      </c>
      <c r="D170" s="17">
        <v>2500</v>
      </c>
      <c r="E170" s="17">
        <v>1125</v>
      </c>
    </row>
    <row r="171" spans="1:5" x14ac:dyDescent="0.35">
      <c r="A171" s="13" t="s">
        <v>345</v>
      </c>
      <c r="B171" s="13" t="s">
        <v>53</v>
      </c>
      <c r="C171" s="43">
        <v>1.1499999999999999</v>
      </c>
      <c r="D171" s="17">
        <v>300</v>
      </c>
      <c r="E171" s="17">
        <v>345</v>
      </c>
    </row>
    <row r="172" spans="1:5" x14ac:dyDescent="0.35">
      <c r="A172" s="13" t="s">
        <v>345</v>
      </c>
      <c r="B172" s="13" t="s">
        <v>25</v>
      </c>
      <c r="C172" s="43">
        <v>1.25</v>
      </c>
      <c r="D172" s="17">
        <v>1000</v>
      </c>
      <c r="E172" s="17">
        <v>1250</v>
      </c>
    </row>
    <row r="173" spans="1:5" x14ac:dyDescent="0.35">
      <c r="A173" s="13" t="s">
        <v>345</v>
      </c>
      <c r="B173" s="13" t="s">
        <v>125</v>
      </c>
      <c r="C173" s="43">
        <v>3.45</v>
      </c>
      <c r="D173" s="17">
        <v>800</v>
      </c>
      <c r="E173" s="17">
        <v>2760</v>
      </c>
    </row>
    <row r="174" spans="1:5" x14ac:dyDescent="0.35">
      <c r="A174" s="13" t="s">
        <v>345</v>
      </c>
      <c r="B174" s="13" t="s">
        <v>26</v>
      </c>
      <c r="C174" s="43">
        <v>2.95</v>
      </c>
      <c r="D174" s="17">
        <v>1000</v>
      </c>
      <c r="E174" s="17">
        <v>2950</v>
      </c>
    </row>
    <row r="175" spans="1:5" x14ac:dyDescent="0.35">
      <c r="A175" s="13" t="s">
        <v>345</v>
      </c>
      <c r="B175" s="13" t="s">
        <v>51</v>
      </c>
      <c r="C175" s="43">
        <v>3.8</v>
      </c>
      <c r="D175" s="17">
        <v>500</v>
      </c>
      <c r="E175" s="17">
        <v>1900</v>
      </c>
    </row>
    <row r="176" spans="1:5" x14ac:dyDescent="0.35">
      <c r="A176" s="13" t="s">
        <v>345</v>
      </c>
      <c r="B176" s="13" t="s">
        <v>34</v>
      </c>
      <c r="C176" s="43">
        <v>2.7</v>
      </c>
      <c r="D176" s="17">
        <v>5000</v>
      </c>
      <c r="E176" s="17">
        <v>13500</v>
      </c>
    </row>
    <row r="177" spans="1:5" x14ac:dyDescent="0.35">
      <c r="A177" s="13" t="s">
        <v>345</v>
      </c>
      <c r="B177" s="13" t="s">
        <v>29</v>
      </c>
      <c r="C177" s="43">
        <v>0.5</v>
      </c>
      <c r="D177" s="17">
        <v>1600</v>
      </c>
      <c r="E177" s="17">
        <v>800</v>
      </c>
    </row>
    <row r="178" spans="1:5" x14ac:dyDescent="0.35">
      <c r="A178" s="13" t="s">
        <v>345</v>
      </c>
      <c r="B178" s="13" t="s">
        <v>41</v>
      </c>
      <c r="C178" s="43">
        <v>3.65</v>
      </c>
      <c r="D178" s="17">
        <v>1000</v>
      </c>
      <c r="E178" s="17">
        <v>3650</v>
      </c>
    </row>
    <row r="179" spans="1:5" x14ac:dyDescent="0.35">
      <c r="A179" s="13" t="s">
        <v>345</v>
      </c>
      <c r="B179" s="13" t="s">
        <v>94</v>
      </c>
      <c r="C179" s="43">
        <v>6.4</v>
      </c>
      <c r="D179" s="17">
        <v>2800</v>
      </c>
      <c r="E179" s="17">
        <v>17920</v>
      </c>
    </row>
    <row r="180" spans="1:5" x14ac:dyDescent="0.35">
      <c r="A180" s="13" t="s">
        <v>346</v>
      </c>
      <c r="B180" s="13" t="s">
        <v>53</v>
      </c>
      <c r="C180" s="43">
        <v>0.25</v>
      </c>
      <c r="D180" s="17">
        <v>300</v>
      </c>
      <c r="E180" s="17">
        <v>75</v>
      </c>
    </row>
    <row r="181" spans="1:5" x14ac:dyDescent="0.35">
      <c r="A181" s="13" t="s">
        <v>346</v>
      </c>
      <c r="B181" s="13" t="s">
        <v>94</v>
      </c>
      <c r="C181" s="43">
        <v>0.25</v>
      </c>
      <c r="D181" s="17">
        <v>2800</v>
      </c>
      <c r="E181" s="17">
        <v>700</v>
      </c>
    </row>
    <row r="182" spans="1:5" x14ac:dyDescent="0.35">
      <c r="A182" s="13" t="s">
        <v>346</v>
      </c>
      <c r="B182" s="13" t="s">
        <v>25</v>
      </c>
      <c r="C182" s="43">
        <v>0.8</v>
      </c>
      <c r="D182" s="17">
        <v>1000</v>
      </c>
      <c r="E182" s="17">
        <v>800</v>
      </c>
    </row>
    <row r="183" spans="1:5" x14ac:dyDescent="0.35">
      <c r="A183" s="13" t="s">
        <v>346</v>
      </c>
      <c r="B183" s="13" t="s">
        <v>34</v>
      </c>
      <c r="C183" s="43">
        <v>0.7</v>
      </c>
      <c r="D183" s="17">
        <v>5000</v>
      </c>
      <c r="E183" s="17">
        <v>3500</v>
      </c>
    </row>
    <row r="184" spans="1:5" x14ac:dyDescent="0.35">
      <c r="A184" s="13" t="s">
        <v>346</v>
      </c>
      <c r="B184" s="13" t="s">
        <v>18</v>
      </c>
      <c r="C184" s="43">
        <v>0.55000000000000004</v>
      </c>
      <c r="D184" s="17">
        <v>150</v>
      </c>
      <c r="E184" s="17">
        <v>83</v>
      </c>
    </row>
    <row r="185" spans="1:5" x14ac:dyDescent="0.35">
      <c r="A185" s="13" t="s">
        <v>346</v>
      </c>
      <c r="B185" s="13" t="s">
        <v>127</v>
      </c>
      <c r="C185" s="43">
        <v>0.2</v>
      </c>
      <c r="D185" s="17">
        <v>8000</v>
      </c>
      <c r="E185" s="17">
        <v>1600</v>
      </c>
    </row>
    <row r="186" spans="1:5" x14ac:dyDescent="0.35">
      <c r="A186" s="13" t="s">
        <v>347</v>
      </c>
      <c r="B186" s="13" t="s">
        <v>26</v>
      </c>
      <c r="C186" s="43">
        <v>5.3</v>
      </c>
      <c r="D186" s="17">
        <v>1000</v>
      </c>
      <c r="E186" s="17">
        <v>5300</v>
      </c>
    </row>
    <row r="187" spans="1:5" x14ac:dyDescent="0.35">
      <c r="A187" s="13" t="s">
        <v>347</v>
      </c>
      <c r="B187" s="13" t="s">
        <v>22</v>
      </c>
      <c r="C187" s="43">
        <v>1.25</v>
      </c>
      <c r="D187" s="17">
        <v>1600</v>
      </c>
      <c r="E187" s="17">
        <v>2000</v>
      </c>
    </row>
    <row r="188" spans="1:5" x14ac:dyDescent="0.35">
      <c r="A188" s="13" t="s">
        <v>347</v>
      </c>
      <c r="B188" s="13" t="s">
        <v>94</v>
      </c>
      <c r="C188" s="43">
        <v>2.4</v>
      </c>
      <c r="D188" s="17">
        <v>2800</v>
      </c>
      <c r="E188" s="17">
        <v>6720</v>
      </c>
    </row>
    <row r="189" spans="1:5" x14ac:dyDescent="0.35">
      <c r="A189" s="13" t="s">
        <v>347</v>
      </c>
      <c r="B189" s="13" t="s">
        <v>34</v>
      </c>
      <c r="C189" s="43">
        <v>6.35</v>
      </c>
      <c r="D189" s="17">
        <v>5000</v>
      </c>
      <c r="E189" s="17">
        <v>31750</v>
      </c>
    </row>
    <row r="190" spans="1:5" x14ac:dyDescent="0.35">
      <c r="A190" s="13" t="s">
        <v>348</v>
      </c>
      <c r="B190" s="13" t="s">
        <v>25</v>
      </c>
      <c r="C190" s="43">
        <v>0.65</v>
      </c>
      <c r="D190" s="17">
        <v>1000</v>
      </c>
      <c r="E190" s="17">
        <v>650</v>
      </c>
    </row>
    <row r="191" spans="1:5" x14ac:dyDescent="0.35">
      <c r="A191" s="13" t="s">
        <v>348</v>
      </c>
      <c r="B191" s="13" t="s">
        <v>60</v>
      </c>
      <c r="C191" s="43">
        <v>0.15</v>
      </c>
      <c r="D191" s="17">
        <v>2500</v>
      </c>
      <c r="E191" s="17">
        <v>375</v>
      </c>
    </row>
    <row r="192" spans="1:5" x14ac:dyDescent="0.35">
      <c r="A192" s="13" t="s">
        <v>348</v>
      </c>
      <c r="B192" s="13" t="s">
        <v>53</v>
      </c>
      <c r="C192" s="43">
        <v>0.55000000000000004</v>
      </c>
      <c r="D192" s="17">
        <v>300</v>
      </c>
      <c r="E192" s="17">
        <v>165</v>
      </c>
    </row>
    <row r="193" spans="1:5" x14ac:dyDescent="0.35">
      <c r="A193" s="13" t="s">
        <v>348</v>
      </c>
      <c r="B193" s="13" t="s">
        <v>13</v>
      </c>
      <c r="C193" s="43">
        <v>0.45</v>
      </c>
      <c r="D193" s="17">
        <v>500</v>
      </c>
      <c r="E193" s="17">
        <v>225</v>
      </c>
    </row>
    <row r="194" spans="1:5" x14ac:dyDescent="0.35">
      <c r="A194" s="13" t="s">
        <v>348</v>
      </c>
      <c r="B194" s="13" t="s">
        <v>51</v>
      </c>
      <c r="C194" s="43">
        <v>0.65</v>
      </c>
      <c r="D194" s="17">
        <v>500</v>
      </c>
      <c r="E194" s="17">
        <v>325</v>
      </c>
    </row>
    <row r="195" spans="1:5" x14ac:dyDescent="0.35">
      <c r="A195" s="13" t="s">
        <v>348</v>
      </c>
      <c r="B195" s="13" t="s">
        <v>94</v>
      </c>
      <c r="C195" s="43">
        <v>0.4</v>
      </c>
      <c r="D195" s="17">
        <v>2800</v>
      </c>
      <c r="E195" s="17">
        <v>1120</v>
      </c>
    </row>
    <row r="196" spans="1:5" x14ac:dyDescent="0.35">
      <c r="A196" s="13" t="s">
        <v>349</v>
      </c>
      <c r="B196" s="13" t="s">
        <v>51</v>
      </c>
      <c r="C196" s="43">
        <v>2.4</v>
      </c>
      <c r="D196" s="17">
        <v>500</v>
      </c>
      <c r="E196" s="17">
        <v>1200</v>
      </c>
    </row>
    <row r="197" spans="1:5" x14ac:dyDescent="0.35">
      <c r="A197" s="13" t="s">
        <v>349</v>
      </c>
      <c r="B197" s="13" t="s">
        <v>26</v>
      </c>
      <c r="C197" s="43">
        <v>3.5</v>
      </c>
      <c r="D197" s="17">
        <v>1000</v>
      </c>
      <c r="E197" s="17">
        <v>3500</v>
      </c>
    </row>
    <row r="198" spans="1:5" x14ac:dyDescent="0.35">
      <c r="A198" s="13" t="s">
        <v>349</v>
      </c>
      <c r="B198" s="13" t="s">
        <v>94</v>
      </c>
      <c r="C198" s="43">
        <v>1.9</v>
      </c>
      <c r="D198" s="17">
        <v>2800</v>
      </c>
      <c r="E198" s="17">
        <v>5320</v>
      </c>
    </row>
    <row r="199" spans="1:5" x14ac:dyDescent="0.35">
      <c r="A199" s="13" t="s">
        <v>349</v>
      </c>
      <c r="B199" s="13" t="s">
        <v>53</v>
      </c>
      <c r="C199" s="43">
        <v>0.35</v>
      </c>
      <c r="D199" s="17">
        <v>300</v>
      </c>
      <c r="E199" s="17">
        <v>105</v>
      </c>
    </row>
    <row r="200" spans="1:5" x14ac:dyDescent="0.35">
      <c r="A200" s="13" t="s">
        <v>349</v>
      </c>
      <c r="B200" s="13" t="s">
        <v>25</v>
      </c>
      <c r="C200" s="43">
        <v>3.45</v>
      </c>
      <c r="D200" s="17">
        <v>1000</v>
      </c>
      <c r="E200" s="17">
        <v>3450</v>
      </c>
    </row>
    <row r="201" spans="1:5" x14ac:dyDescent="0.35">
      <c r="A201" s="13" t="s">
        <v>349</v>
      </c>
      <c r="B201" s="13" t="s">
        <v>39</v>
      </c>
      <c r="C201" s="43">
        <v>0.5</v>
      </c>
      <c r="D201" s="17">
        <v>1500</v>
      </c>
      <c r="E201" s="17">
        <v>750</v>
      </c>
    </row>
    <row r="202" spans="1:5" x14ac:dyDescent="0.35">
      <c r="A202" s="13" t="s">
        <v>349</v>
      </c>
      <c r="B202" s="13" t="s">
        <v>41</v>
      </c>
      <c r="C202" s="43">
        <v>3.65</v>
      </c>
      <c r="D202" s="17">
        <v>1000</v>
      </c>
      <c r="E202" s="17">
        <v>3650</v>
      </c>
    </row>
    <row r="203" spans="1:5" x14ac:dyDescent="0.35">
      <c r="A203" s="13" t="s">
        <v>349</v>
      </c>
      <c r="B203" s="13" t="s">
        <v>18</v>
      </c>
      <c r="C203" s="43">
        <v>0.65</v>
      </c>
      <c r="D203" s="17">
        <v>150</v>
      </c>
      <c r="E203" s="17">
        <v>98</v>
      </c>
    </row>
    <row r="204" spans="1:5" x14ac:dyDescent="0.35">
      <c r="A204" s="13" t="s">
        <v>350</v>
      </c>
      <c r="B204" s="13" t="s">
        <v>26</v>
      </c>
      <c r="C204" s="43">
        <v>0.8</v>
      </c>
      <c r="D204" s="17">
        <v>1000</v>
      </c>
      <c r="E204" s="17">
        <v>800</v>
      </c>
    </row>
    <row r="205" spans="1:5" x14ac:dyDescent="0.35">
      <c r="A205" s="13" t="s">
        <v>350</v>
      </c>
      <c r="B205" s="13" t="s">
        <v>53</v>
      </c>
      <c r="C205" s="43">
        <v>0.35</v>
      </c>
      <c r="D205" s="17">
        <v>300</v>
      </c>
      <c r="E205" s="17">
        <v>105</v>
      </c>
    </row>
    <row r="206" spans="1:5" x14ac:dyDescent="0.35">
      <c r="A206" s="13" t="s">
        <v>350</v>
      </c>
      <c r="B206" s="13" t="s">
        <v>25</v>
      </c>
      <c r="C206" s="43">
        <v>1.65</v>
      </c>
      <c r="D206" s="17">
        <v>1000</v>
      </c>
      <c r="E206" s="17">
        <v>1650</v>
      </c>
    </row>
    <row r="207" spans="1:5" x14ac:dyDescent="0.35">
      <c r="A207" s="13" t="s">
        <v>350</v>
      </c>
      <c r="B207" s="13" t="s">
        <v>39</v>
      </c>
      <c r="C207" s="43">
        <v>0.3</v>
      </c>
      <c r="D207" s="17">
        <v>1500</v>
      </c>
      <c r="E207" s="17">
        <v>450</v>
      </c>
    </row>
    <row r="208" spans="1:5" x14ac:dyDescent="0.35">
      <c r="A208" s="13" t="s">
        <v>350</v>
      </c>
      <c r="B208" s="13" t="s">
        <v>94</v>
      </c>
      <c r="C208" s="43">
        <v>0.2</v>
      </c>
      <c r="D208" s="17">
        <v>2800</v>
      </c>
      <c r="E208" s="17">
        <v>560</v>
      </c>
    </row>
    <row r="209" spans="1:5" x14ac:dyDescent="0.35">
      <c r="A209" s="13" t="s">
        <v>350</v>
      </c>
      <c r="B209" s="13" t="s">
        <v>13</v>
      </c>
      <c r="C209" s="43">
        <v>0.1</v>
      </c>
      <c r="D209" s="17">
        <v>500</v>
      </c>
      <c r="E209" s="17">
        <v>50</v>
      </c>
    </row>
    <row r="210" spans="1:5" x14ac:dyDescent="0.35">
      <c r="A210" s="13" t="s">
        <v>350</v>
      </c>
      <c r="B210" s="13" t="s">
        <v>41</v>
      </c>
      <c r="C210" s="43">
        <v>0.55000000000000004</v>
      </c>
      <c r="D210" s="17">
        <v>1000</v>
      </c>
      <c r="E210" s="17">
        <v>550</v>
      </c>
    </row>
    <row r="211" spans="1:5" x14ac:dyDescent="0.35">
      <c r="A211" s="13" t="s">
        <v>350</v>
      </c>
      <c r="B211" s="13" t="s">
        <v>51</v>
      </c>
      <c r="C211" s="43">
        <v>2.5499999999999998</v>
      </c>
      <c r="D211" s="17">
        <v>500</v>
      </c>
      <c r="E211" s="17">
        <v>1275</v>
      </c>
    </row>
    <row r="212" spans="1:5" x14ac:dyDescent="0.35">
      <c r="A212" s="13" t="s">
        <v>351</v>
      </c>
      <c r="B212" s="13" t="s">
        <v>18</v>
      </c>
      <c r="C212" s="43">
        <v>0.15</v>
      </c>
      <c r="D212" s="17">
        <v>150</v>
      </c>
      <c r="E212" s="17">
        <v>23</v>
      </c>
    </row>
    <row r="213" spans="1:5" x14ac:dyDescent="0.35">
      <c r="A213" s="13" t="s">
        <v>351</v>
      </c>
      <c r="B213" s="13" t="s">
        <v>94</v>
      </c>
      <c r="C213" s="43">
        <v>0.1</v>
      </c>
      <c r="D213" s="17">
        <v>2800</v>
      </c>
      <c r="E213" s="17">
        <v>280</v>
      </c>
    </row>
    <row r="214" spans="1:5" x14ac:dyDescent="0.35">
      <c r="A214" s="13" t="s">
        <v>351</v>
      </c>
      <c r="B214" s="13" t="s">
        <v>25</v>
      </c>
      <c r="C214" s="43">
        <v>0.5</v>
      </c>
      <c r="D214" s="17">
        <v>1000</v>
      </c>
      <c r="E214" s="17">
        <v>500</v>
      </c>
    </row>
    <row r="215" spans="1:5" x14ac:dyDescent="0.35">
      <c r="A215" s="13" t="s">
        <v>351</v>
      </c>
      <c r="B215" s="13" t="s">
        <v>13</v>
      </c>
      <c r="C215" s="43">
        <v>0.7</v>
      </c>
      <c r="D215" s="17">
        <v>500</v>
      </c>
      <c r="E215" s="17">
        <v>350</v>
      </c>
    </row>
    <row r="216" spans="1:5" x14ac:dyDescent="0.35">
      <c r="A216" s="13" t="s">
        <v>351</v>
      </c>
      <c r="B216" s="13" t="s">
        <v>39</v>
      </c>
      <c r="C216" s="43">
        <v>1.5</v>
      </c>
      <c r="D216" s="17">
        <v>1500</v>
      </c>
      <c r="E216" s="17">
        <v>2250</v>
      </c>
    </row>
    <row r="217" spans="1:5" x14ac:dyDescent="0.35">
      <c r="A217" s="13" t="s">
        <v>351</v>
      </c>
      <c r="B217" s="13" t="s">
        <v>51</v>
      </c>
      <c r="C217" s="43">
        <v>0.95</v>
      </c>
      <c r="D217" s="17">
        <v>500</v>
      </c>
      <c r="E217" s="17">
        <v>475</v>
      </c>
    </row>
    <row r="218" spans="1:5" x14ac:dyDescent="0.35">
      <c r="A218" s="13" t="s">
        <v>318</v>
      </c>
      <c r="B218" s="13" t="s">
        <v>18</v>
      </c>
      <c r="C218" s="43">
        <v>0.3</v>
      </c>
      <c r="D218" s="17">
        <v>150</v>
      </c>
      <c r="E218" s="17">
        <v>45</v>
      </c>
    </row>
    <row r="219" spans="1:5" x14ac:dyDescent="0.35">
      <c r="A219" s="13" t="s">
        <v>318</v>
      </c>
      <c r="B219" s="13" t="s">
        <v>39</v>
      </c>
      <c r="C219" s="43">
        <v>0.85</v>
      </c>
      <c r="D219" s="17">
        <v>1500</v>
      </c>
      <c r="E219" s="17">
        <v>1275</v>
      </c>
    </row>
    <row r="220" spans="1:5" x14ac:dyDescent="0.35">
      <c r="A220" s="13" t="s">
        <v>318</v>
      </c>
      <c r="B220" s="13" t="s">
        <v>53</v>
      </c>
      <c r="C220" s="43">
        <v>0.45</v>
      </c>
      <c r="D220" s="17">
        <v>300</v>
      </c>
      <c r="E220" s="17">
        <v>135</v>
      </c>
    </row>
    <row r="221" spans="1:5" x14ac:dyDescent="0.35">
      <c r="A221" s="13" t="s">
        <v>318</v>
      </c>
      <c r="B221" s="13" t="s">
        <v>94</v>
      </c>
      <c r="C221" s="43">
        <v>2.7</v>
      </c>
      <c r="D221" s="17">
        <v>2800</v>
      </c>
      <c r="E221" s="17">
        <v>7560</v>
      </c>
    </row>
    <row r="222" spans="1:5" x14ac:dyDescent="0.35">
      <c r="A222" s="13" t="s">
        <v>318</v>
      </c>
      <c r="B222" s="13" t="s">
        <v>9</v>
      </c>
      <c r="C222" s="43">
        <v>1</v>
      </c>
      <c r="D222" s="17">
        <v>6000</v>
      </c>
      <c r="E222" s="17">
        <v>6000</v>
      </c>
    </row>
    <row r="223" spans="1:5" x14ac:dyDescent="0.35">
      <c r="A223" s="13" t="s">
        <v>318</v>
      </c>
      <c r="B223" s="13" t="s">
        <v>51</v>
      </c>
      <c r="C223" s="43">
        <v>1.3</v>
      </c>
      <c r="D223" s="17">
        <v>500</v>
      </c>
      <c r="E223" s="17">
        <v>650</v>
      </c>
    </row>
    <row r="224" spans="1:5" x14ac:dyDescent="0.35">
      <c r="A224" s="13" t="s">
        <v>318</v>
      </c>
      <c r="B224" s="13" t="s">
        <v>22</v>
      </c>
      <c r="C224" s="43">
        <v>1</v>
      </c>
      <c r="D224" s="17">
        <v>1600</v>
      </c>
      <c r="E224" s="17">
        <v>1600</v>
      </c>
    </row>
    <row r="225" spans="1:5" x14ac:dyDescent="0.35">
      <c r="A225" s="13" t="s">
        <v>318</v>
      </c>
      <c r="B225" s="13" t="s">
        <v>60</v>
      </c>
      <c r="C225" s="43">
        <v>0.25</v>
      </c>
      <c r="D225" s="17">
        <v>2500</v>
      </c>
      <c r="E225" s="17">
        <v>625</v>
      </c>
    </row>
    <row r="226" spans="1:5" x14ac:dyDescent="0.35">
      <c r="A226" s="13" t="s">
        <v>318</v>
      </c>
      <c r="B226" s="13" t="s">
        <v>15</v>
      </c>
      <c r="C226" s="43">
        <v>2.2000000000000002</v>
      </c>
      <c r="D226" s="17">
        <v>2500</v>
      </c>
      <c r="E226" s="17">
        <v>5500</v>
      </c>
    </row>
    <row r="227" spans="1:5" x14ac:dyDescent="0.35">
      <c r="A227" s="13" t="s">
        <v>318</v>
      </c>
      <c r="B227" s="13" t="s">
        <v>25</v>
      </c>
      <c r="C227" s="43">
        <v>4.7</v>
      </c>
      <c r="D227" s="17">
        <v>1000</v>
      </c>
      <c r="E227" s="17">
        <v>4700</v>
      </c>
    </row>
    <row r="228" spans="1:5" x14ac:dyDescent="0.35">
      <c r="A228" s="13" t="s">
        <v>318</v>
      </c>
      <c r="B228" s="13" t="s">
        <v>126</v>
      </c>
      <c r="C228" s="43">
        <v>1.1499999999999999</v>
      </c>
      <c r="D228" s="17">
        <v>1800</v>
      </c>
      <c r="E228" s="17">
        <v>2070</v>
      </c>
    </row>
    <row r="229" spans="1:5" x14ac:dyDescent="0.35">
      <c r="A229" s="13" t="s">
        <v>318</v>
      </c>
      <c r="B229" s="13" t="s">
        <v>293</v>
      </c>
      <c r="C229" s="43">
        <v>0.7</v>
      </c>
      <c r="D229" s="17">
        <v>1400</v>
      </c>
      <c r="E229" s="17">
        <v>980</v>
      </c>
    </row>
    <row r="230" spans="1:5" x14ac:dyDescent="0.35">
      <c r="A230" s="13" t="s">
        <v>352</v>
      </c>
      <c r="B230" s="13" t="s">
        <v>39</v>
      </c>
      <c r="C230" s="43">
        <v>0.3</v>
      </c>
      <c r="D230" s="17">
        <v>1500</v>
      </c>
      <c r="E230" s="17">
        <v>450</v>
      </c>
    </row>
    <row r="231" spans="1:5" x14ac:dyDescent="0.35">
      <c r="A231" s="13" t="s">
        <v>352</v>
      </c>
      <c r="B231" s="13" t="s">
        <v>41</v>
      </c>
      <c r="C231" s="43">
        <v>2.4</v>
      </c>
      <c r="D231" s="17">
        <v>1000</v>
      </c>
      <c r="E231" s="17">
        <v>2400</v>
      </c>
    </row>
    <row r="232" spans="1:5" x14ac:dyDescent="0.35">
      <c r="A232" s="13" t="s">
        <v>352</v>
      </c>
      <c r="B232" s="13" t="s">
        <v>53</v>
      </c>
      <c r="C232" s="43">
        <v>0.6</v>
      </c>
      <c r="D232" s="17">
        <v>300</v>
      </c>
      <c r="E232" s="17">
        <v>180</v>
      </c>
    </row>
    <row r="233" spans="1:5" x14ac:dyDescent="0.35">
      <c r="A233" s="13" t="s">
        <v>352</v>
      </c>
      <c r="B233" s="13" t="s">
        <v>25</v>
      </c>
      <c r="C233" s="43">
        <v>12.55</v>
      </c>
      <c r="D233" s="17">
        <v>1000</v>
      </c>
      <c r="E233" s="17">
        <v>12550</v>
      </c>
    </row>
    <row r="234" spans="1:5" x14ac:dyDescent="0.35">
      <c r="A234" s="13" t="s">
        <v>352</v>
      </c>
      <c r="B234" s="13" t="s">
        <v>51</v>
      </c>
      <c r="C234" s="43">
        <v>1.2</v>
      </c>
      <c r="D234" s="17">
        <v>500</v>
      </c>
      <c r="E234" s="17">
        <v>600</v>
      </c>
    </row>
    <row r="235" spans="1:5" x14ac:dyDescent="0.35">
      <c r="A235" s="13" t="s">
        <v>353</v>
      </c>
      <c r="B235" s="13" t="s">
        <v>41</v>
      </c>
      <c r="C235" s="43">
        <v>2.5499999999999998</v>
      </c>
      <c r="D235" s="17">
        <v>1000</v>
      </c>
      <c r="E235" s="17">
        <v>2550</v>
      </c>
    </row>
    <row r="236" spans="1:5" x14ac:dyDescent="0.35">
      <c r="A236" s="13" t="s">
        <v>353</v>
      </c>
      <c r="B236" s="13" t="s">
        <v>25</v>
      </c>
      <c r="C236" s="43">
        <v>0.85</v>
      </c>
      <c r="D236" s="17">
        <v>1000</v>
      </c>
      <c r="E236" s="17">
        <v>850</v>
      </c>
    </row>
    <row r="237" spans="1:5" x14ac:dyDescent="0.35">
      <c r="A237" s="13" t="s">
        <v>353</v>
      </c>
      <c r="B237" s="13" t="s">
        <v>60</v>
      </c>
      <c r="C237" s="43">
        <v>0.2</v>
      </c>
      <c r="D237" s="17">
        <v>2500</v>
      </c>
      <c r="E237" s="17">
        <v>500</v>
      </c>
    </row>
    <row r="238" spans="1:5" x14ac:dyDescent="0.35">
      <c r="A238" s="13" t="s">
        <v>353</v>
      </c>
      <c r="B238" s="13" t="s">
        <v>94</v>
      </c>
      <c r="C238" s="43">
        <v>1.95</v>
      </c>
      <c r="D238" s="17">
        <v>2800</v>
      </c>
      <c r="E238" s="17">
        <v>5460</v>
      </c>
    </row>
    <row r="239" spans="1:5" x14ac:dyDescent="0.35">
      <c r="A239" s="13" t="s">
        <v>353</v>
      </c>
      <c r="B239" s="13" t="s">
        <v>53</v>
      </c>
      <c r="C239" s="43">
        <v>0.8</v>
      </c>
      <c r="D239" s="17">
        <v>300</v>
      </c>
      <c r="E239" s="17">
        <v>240</v>
      </c>
    </row>
    <row r="240" spans="1:5" x14ac:dyDescent="0.35">
      <c r="A240" s="13" t="s">
        <v>353</v>
      </c>
      <c r="B240" s="13" t="s">
        <v>13</v>
      </c>
      <c r="C240" s="43">
        <v>0.35</v>
      </c>
      <c r="D240" s="17">
        <v>500</v>
      </c>
      <c r="E240" s="17">
        <v>175</v>
      </c>
    </row>
    <row r="241" spans="1:5" x14ac:dyDescent="0.35">
      <c r="A241" s="13" t="s">
        <v>354</v>
      </c>
      <c r="B241" s="13" t="s">
        <v>51</v>
      </c>
      <c r="C241" s="43">
        <v>0.35</v>
      </c>
      <c r="D241" s="17">
        <v>500</v>
      </c>
      <c r="E241" s="17">
        <v>175</v>
      </c>
    </row>
    <row r="242" spans="1:5" x14ac:dyDescent="0.35">
      <c r="A242" s="13" t="s">
        <v>354</v>
      </c>
      <c r="B242" s="13" t="s">
        <v>125</v>
      </c>
      <c r="C242" s="43">
        <v>0.7</v>
      </c>
      <c r="D242" s="17">
        <v>800</v>
      </c>
      <c r="E242" s="17">
        <v>560</v>
      </c>
    </row>
    <row r="243" spans="1:5" x14ac:dyDescent="0.35">
      <c r="A243" s="13" t="s">
        <v>354</v>
      </c>
      <c r="B243" s="13" t="s">
        <v>41</v>
      </c>
      <c r="C243" s="43">
        <v>0.9</v>
      </c>
      <c r="D243" s="17">
        <v>1000</v>
      </c>
      <c r="E243" s="17">
        <v>900</v>
      </c>
    </row>
    <row r="244" spans="1:5" x14ac:dyDescent="0.35">
      <c r="A244" s="13" t="s">
        <v>354</v>
      </c>
      <c r="B244" s="13" t="s">
        <v>13</v>
      </c>
      <c r="C244" s="43">
        <v>0.3</v>
      </c>
      <c r="D244" s="17">
        <v>500</v>
      </c>
      <c r="E244" s="17">
        <v>150</v>
      </c>
    </row>
    <row r="245" spans="1:5" x14ac:dyDescent="0.35">
      <c r="A245" s="13" t="s">
        <v>354</v>
      </c>
      <c r="B245" s="13" t="s">
        <v>39</v>
      </c>
      <c r="C245" s="43">
        <v>0.5</v>
      </c>
      <c r="D245" s="17">
        <v>1500</v>
      </c>
      <c r="E245" s="17">
        <v>750</v>
      </c>
    </row>
    <row r="246" spans="1:5" x14ac:dyDescent="0.35">
      <c r="A246" s="13" t="s">
        <v>354</v>
      </c>
      <c r="B246" s="13" t="s">
        <v>25</v>
      </c>
      <c r="C246" s="43">
        <v>0.55000000000000004</v>
      </c>
      <c r="D246" s="17">
        <v>1000</v>
      </c>
      <c r="E246" s="17">
        <v>550</v>
      </c>
    </row>
    <row r="247" spans="1:5" x14ac:dyDescent="0.35">
      <c r="A247" s="13" t="s">
        <v>354</v>
      </c>
      <c r="B247" s="13" t="s">
        <v>94</v>
      </c>
      <c r="C247" s="43">
        <v>2.25</v>
      </c>
      <c r="D247" s="17">
        <v>2800</v>
      </c>
      <c r="E247" s="17">
        <v>6300</v>
      </c>
    </row>
    <row r="248" spans="1:5" x14ac:dyDescent="0.35">
      <c r="A248" s="13" t="s">
        <v>355</v>
      </c>
      <c r="B248" s="13" t="s">
        <v>13</v>
      </c>
      <c r="C248" s="43">
        <v>0.4</v>
      </c>
      <c r="D248" s="17">
        <v>500</v>
      </c>
      <c r="E248" s="17">
        <v>200</v>
      </c>
    </row>
    <row r="249" spans="1:5" x14ac:dyDescent="0.35">
      <c r="A249" s="13" t="s">
        <v>355</v>
      </c>
      <c r="B249" s="13" t="s">
        <v>53</v>
      </c>
      <c r="C249" s="43">
        <v>2.7</v>
      </c>
      <c r="D249" s="17">
        <v>300</v>
      </c>
      <c r="E249" s="17">
        <v>810</v>
      </c>
    </row>
    <row r="250" spans="1:5" x14ac:dyDescent="0.35">
      <c r="A250" s="13" t="s">
        <v>355</v>
      </c>
      <c r="B250" s="13" t="s">
        <v>9</v>
      </c>
      <c r="C250" s="43">
        <v>1.7</v>
      </c>
      <c r="D250" s="17">
        <v>6000</v>
      </c>
      <c r="E250" s="17">
        <v>10200</v>
      </c>
    </row>
    <row r="251" spans="1:5" x14ac:dyDescent="0.35">
      <c r="A251" s="13" t="s">
        <v>355</v>
      </c>
      <c r="B251" s="13" t="s">
        <v>41</v>
      </c>
      <c r="C251" s="43">
        <v>2.0499999999999998</v>
      </c>
      <c r="D251" s="17">
        <v>1000</v>
      </c>
      <c r="E251" s="17">
        <v>2050</v>
      </c>
    </row>
    <row r="252" spans="1:5" x14ac:dyDescent="0.35">
      <c r="A252" s="13" t="s">
        <v>355</v>
      </c>
      <c r="B252" s="13" t="s">
        <v>25</v>
      </c>
      <c r="C252" s="43">
        <v>2.5499999999999998</v>
      </c>
      <c r="D252" s="17">
        <v>1000</v>
      </c>
      <c r="E252" s="17">
        <v>2550</v>
      </c>
    </row>
    <row r="253" spans="1:5" x14ac:dyDescent="0.35">
      <c r="A253" s="13" t="s">
        <v>355</v>
      </c>
      <c r="B253" s="13" t="s">
        <v>94</v>
      </c>
      <c r="C253" s="43">
        <v>1.55</v>
      </c>
      <c r="D253" s="17">
        <v>2800</v>
      </c>
      <c r="E253" s="17">
        <v>4340</v>
      </c>
    </row>
    <row r="254" spans="1:5" x14ac:dyDescent="0.35">
      <c r="A254" s="13" t="s">
        <v>356</v>
      </c>
      <c r="B254" s="13" t="s">
        <v>41</v>
      </c>
      <c r="C254" s="43">
        <v>6.05</v>
      </c>
      <c r="D254" s="17">
        <v>1000</v>
      </c>
      <c r="E254" s="17">
        <v>6050</v>
      </c>
    </row>
    <row r="255" spans="1:5" x14ac:dyDescent="0.35">
      <c r="A255" s="13" t="s">
        <v>356</v>
      </c>
      <c r="B255" s="13" t="s">
        <v>15</v>
      </c>
      <c r="C255" s="43">
        <v>0.25</v>
      </c>
      <c r="D255" s="17">
        <v>2500</v>
      </c>
      <c r="E255" s="17">
        <v>625</v>
      </c>
    </row>
    <row r="256" spans="1:5" x14ac:dyDescent="0.35">
      <c r="A256" s="13" t="s">
        <v>356</v>
      </c>
      <c r="B256" s="13" t="s">
        <v>13</v>
      </c>
      <c r="C256" s="43">
        <v>0.85</v>
      </c>
      <c r="D256" s="17">
        <v>500</v>
      </c>
      <c r="E256" s="17">
        <v>425</v>
      </c>
    </row>
    <row r="257" spans="1:5" x14ac:dyDescent="0.35">
      <c r="A257" s="13" t="s">
        <v>356</v>
      </c>
      <c r="B257" s="13" t="s">
        <v>25</v>
      </c>
      <c r="C257" s="43">
        <v>1.5</v>
      </c>
      <c r="D257" s="17">
        <v>1000</v>
      </c>
      <c r="E257" s="17">
        <v>1500</v>
      </c>
    </row>
    <row r="258" spans="1:5" x14ac:dyDescent="0.35">
      <c r="A258" s="13" t="s">
        <v>356</v>
      </c>
      <c r="B258" s="13" t="s">
        <v>53</v>
      </c>
      <c r="C258" s="43">
        <v>0.95</v>
      </c>
      <c r="D258" s="17">
        <v>300</v>
      </c>
      <c r="E258" s="17">
        <v>285</v>
      </c>
    </row>
    <row r="259" spans="1:5" x14ac:dyDescent="0.35">
      <c r="A259" s="13" t="s">
        <v>356</v>
      </c>
      <c r="B259" s="13" t="s">
        <v>18</v>
      </c>
      <c r="C259" s="43">
        <v>1.85</v>
      </c>
      <c r="D259" s="17">
        <v>150</v>
      </c>
      <c r="E259" s="17">
        <v>278</v>
      </c>
    </row>
    <row r="260" spans="1:5" x14ac:dyDescent="0.35">
      <c r="A260" s="13" t="s">
        <v>356</v>
      </c>
      <c r="B260" s="13" t="s">
        <v>39</v>
      </c>
      <c r="C260" s="43">
        <v>0.6</v>
      </c>
      <c r="D260" s="17">
        <v>1500</v>
      </c>
      <c r="E260" s="17">
        <v>900</v>
      </c>
    </row>
    <row r="261" spans="1:5" x14ac:dyDescent="0.35">
      <c r="A261" s="13" t="s">
        <v>356</v>
      </c>
      <c r="B261" s="13" t="s">
        <v>60</v>
      </c>
      <c r="C261" s="43">
        <v>0.55000000000000004</v>
      </c>
      <c r="D261" s="17">
        <v>2500</v>
      </c>
      <c r="E261" s="17">
        <v>1375</v>
      </c>
    </row>
    <row r="262" spans="1:5" x14ac:dyDescent="0.35">
      <c r="A262" s="13" t="s">
        <v>356</v>
      </c>
      <c r="B262" s="13" t="s">
        <v>94</v>
      </c>
      <c r="C262" s="43">
        <v>1.95</v>
      </c>
      <c r="D262" s="17">
        <v>2800</v>
      </c>
      <c r="E262" s="17">
        <v>5460</v>
      </c>
    </row>
    <row r="263" spans="1:5" x14ac:dyDescent="0.35">
      <c r="A263" s="13" t="s">
        <v>357</v>
      </c>
      <c r="B263" s="13" t="s">
        <v>126</v>
      </c>
      <c r="C263" s="43">
        <v>0.45</v>
      </c>
      <c r="D263" s="17">
        <v>1800</v>
      </c>
      <c r="E263" s="17">
        <v>810</v>
      </c>
    </row>
    <row r="264" spans="1:5" x14ac:dyDescent="0.35">
      <c r="A264" s="13" t="s">
        <v>357</v>
      </c>
      <c r="B264" s="13" t="s">
        <v>60</v>
      </c>
      <c r="C264" s="43">
        <v>0.55000000000000004</v>
      </c>
      <c r="D264" s="17">
        <v>2500</v>
      </c>
      <c r="E264" s="17">
        <v>1375</v>
      </c>
    </row>
    <row r="265" spans="1:5" x14ac:dyDescent="0.35">
      <c r="A265" s="13" t="s">
        <v>357</v>
      </c>
      <c r="B265" s="13" t="s">
        <v>100</v>
      </c>
      <c r="C265" s="43">
        <v>7.15</v>
      </c>
      <c r="D265" s="17">
        <v>1400</v>
      </c>
      <c r="E265" s="17">
        <v>10010</v>
      </c>
    </row>
    <row r="266" spans="1:5" x14ac:dyDescent="0.35">
      <c r="A266" s="13" t="s">
        <v>357</v>
      </c>
      <c r="B266" s="13" t="s">
        <v>125</v>
      </c>
      <c r="C266" s="43">
        <v>4.4000000000000004</v>
      </c>
      <c r="D266" s="17">
        <v>800</v>
      </c>
      <c r="E266" s="17">
        <v>3520</v>
      </c>
    </row>
    <row r="267" spans="1:5" x14ac:dyDescent="0.35">
      <c r="A267" s="13" t="s">
        <v>357</v>
      </c>
      <c r="B267" s="13" t="s">
        <v>51</v>
      </c>
      <c r="C267" s="43">
        <v>2.1</v>
      </c>
      <c r="D267" s="17">
        <v>500</v>
      </c>
      <c r="E267" s="17">
        <v>1050</v>
      </c>
    </row>
    <row r="268" spans="1:5" x14ac:dyDescent="0.35">
      <c r="A268" s="13" t="s">
        <v>357</v>
      </c>
      <c r="B268" s="13" t="s">
        <v>18</v>
      </c>
      <c r="C268" s="43">
        <v>6.9</v>
      </c>
      <c r="D268" s="17">
        <v>150</v>
      </c>
      <c r="E268" s="17">
        <v>1035</v>
      </c>
    </row>
    <row r="269" spans="1:5" x14ac:dyDescent="0.35">
      <c r="A269" s="13" t="s">
        <v>357</v>
      </c>
      <c r="B269" s="13" t="s">
        <v>41</v>
      </c>
      <c r="C269" s="43">
        <v>6.85</v>
      </c>
      <c r="D269" s="17">
        <v>1000</v>
      </c>
      <c r="E269" s="17">
        <v>6850</v>
      </c>
    </row>
    <row r="270" spans="1:5" x14ac:dyDescent="0.35">
      <c r="A270" s="13" t="s">
        <v>357</v>
      </c>
      <c r="B270" s="13" t="s">
        <v>53</v>
      </c>
      <c r="C270" s="43">
        <v>0.6</v>
      </c>
      <c r="D270" s="17">
        <v>300</v>
      </c>
      <c r="E270" s="17">
        <v>180</v>
      </c>
    </row>
    <row r="271" spans="1:5" x14ac:dyDescent="0.35">
      <c r="A271" s="13" t="s">
        <v>357</v>
      </c>
      <c r="B271" s="13" t="s">
        <v>39</v>
      </c>
      <c r="C271" s="43">
        <v>0.5</v>
      </c>
      <c r="D271" s="17">
        <v>1500</v>
      </c>
      <c r="E271" s="17">
        <v>750</v>
      </c>
    </row>
    <row r="272" spans="1:5" x14ac:dyDescent="0.35">
      <c r="A272" s="13" t="s">
        <v>357</v>
      </c>
      <c r="B272" s="13" t="s">
        <v>13</v>
      </c>
      <c r="C272" s="43">
        <v>0.4</v>
      </c>
      <c r="D272" s="17">
        <v>500</v>
      </c>
      <c r="E272" s="17">
        <v>200</v>
      </c>
    </row>
    <row r="273" spans="1:5" x14ac:dyDescent="0.35">
      <c r="A273" s="13" t="s">
        <v>357</v>
      </c>
      <c r="B273" s="13" t="s">
        <v>25</v>
      </c>
      <c r="C273" s="43">
        <v>2.8</v>
      </c>
      <c r="D273" s="17">
        <v>1000</v>
      </c>
      <c r="E273" s="17">
        <v>2800</v>
      </c>
    </row>
    <row r="274" spans="1:5" x14ac:dyDescent="0.35">
      <c r="A274" s="13" t="s">
        <v>357</v>
      </c>
      <c r="B274" s="13" t="s">
        <v>94</v>
      </c>
      <c r="C274" s="43">
        <v>2.65</v>
      </c>
      <c r="D274" s="17">
        <v>2800</v>
      </c>
      <c r="E274" s="17">
        <v>7420</v>
      </c>
    </row>
    <row r="275" spans="1:5" x14ac:dyDescent="0.35">
      <c r="A275" s="13" t="s">
        <v>358</v>
      </c>
      <c r="B275" s="13" t="s">
        <v>126</v>
      </c>
      <c r="C275" s="43">
        <v>3.05</v>
      </c>
      <c r="D275" s="17">
        <v>1800</v>
      </c>
      <c r="E275" s="17">
        <v>5490</v>
      </c>
    </row>
    <row r="276" spans="1:5" x14ac:dyDescent="0.35">
      <c r="A276" s="13" t="s">
        <v>358</v>
      </c>
      <c r="B276" s="13" t="s">
        <v>18</v>
      </c>
      <c r="C276" s="43">
        <v>0.35</v>
      </c>
      <c r="D276" s="17">
        <v>150</v>
      </c>
      <c r="E276" s="17">
        <v>53</v>
      </c>
    </row>
    <row r="277" spans="1:5" x14ac:dyDescent="0.35">
      <c r="A277" s="13" t="s">
        <v>358</v>
      </c>
      <c r="B277" s="13" t="s">
        <v>60</v>
      </c>
      <c r="C277" s="43">
        <v>0.1</v>
      </c>
      <c r="D277" s="17">
        <v>2500</v>
      </c>
      <c r="E277" s="17">
        <v>250</v>
      </c>
    </row>
    <row r="278" spans="1:5" x14ac:dyDescent="0.35">
      <c r="A278" s="13" t="s">
        <v>358</v>
      </c>
      <c r="B278" s="13" t="s">
        <v>94</v>
      </c>
      <c r="C278" s="43">
        <v>1.8</v>
      </c>
      <c r="D278" s="17">
        <v>2800</v>
      </c>
      <c r="E278" s="17">
        <v>5040</v>
      </c>
    </row>
    <row r="279" spans="1:5" x14ac:dyDescent="0.35">
      <c r="A279" s="13" t="s">
        <v>358</v>
      </c>
      <c r="B279" s="13" t="s">
        <v>41</v>
      </c>
      <c r="C279" s="43">
        <v>3.15</v>
      </c>
      <c r="D279" s="17">
        <v>1000</v>
      </c>
      <c r="E279" s="17">
        <v>3150</v>
      </c>
    </row>
    <row r="280" spans="1:5" x14ac:dyDescent="0.35">
      <c r="A280" s="13" t="s">
        <v>358</v>
      </c>
      <c r="B280" s="13" t="s">
        <v>51</v>
      </c>
      <c r="C280" s="43">
        <v>2.5499999999999998</v>
      </c>
      <c r="D280" s="17">
        <v>500</v>
      </c>
      <c r="E280" s="17">
        <v>1275</v>
      </c>
    </row>
    <row r="281" spans="1:5" x14ac:dyDescent="0.35">
      <c r="A281" s="13" t="s">
        <v>359</v>
      </c>
      <c r="B281" s="13" t="s">
        <v>53</v>
      </c>
      <c r="C281" s="43">
        <v>1.1499999999999999</v>
      </c>
      <c r="D281" s="17">
        <v>300</v>
      </c>
      <c r="E281" s="17">
        <v>345</v>
      </c>
    </row>
    <row r="282" spans="1:5" x14ac:dyDescent="0.35">
      <c r="A282" s="13" t="s">
        <v>359</v>
      </c>
      <c r="B282" s="13" t="s">
        <v>25</v>
      </c>
      <c r="C282" s="43">
        <v>0.65</v>
      </c>
      <c r="D282" s="17">
        <v>1000</v>
      </c>
      <c r="E282" s="17">
        <v>650</v>
      </c>
    </row>
    <row r="283" spans="1:5" x14ac:dyDescent="0.35">
      <c r="A283" s="13" t="s">
        <v>359</v>
      </c>
      <c r="B283" s="13" t="s">
        <v>18</v>
      </c>
      <c r="C283" s="43">
        <v>0.55000000000000004</v>
      </c>
      <c r="D283" s="17">
        <v>150</v>
      </c>
      <c r="E283" s="17">
        <v>83</v>
      </c>
    </row>
    <row r="284" spans="1:5" x14ac:dyDescent="0.35">
      <c r="A284" s="13" t="s">
        <v>359</v>
      </c>
      <c r="B284" s="13" t="s">
        <v>60</v>
      </c>
      <c r="C284" s="43">
        <v>0.3</v>
      </c>
      <c r="D284" s="17">
        <v>2500</v>
      </c>
      <c r="E284" s="17">
        <v>750</v>
      </c>
    </row>
    <row r="285" spans="1:5" x14ac:dyDescent="0.35">
      <c r="A285" s="13" t="s">
        <v>359</v>
      </c>
      <c r="B285" s="13" t="s">
        <v>41</v>
      </c>
      <c r="C285" s="43">
        <v>5.3</v>
      </c>
      <c r="D285" s="17">
        <v>1000</v>
      </c>
      <c r="E285" s="17">
        <v>5300</v>
      </c>
    </row>
    <row r="286" spans="1:5" x14ac:dyDescent="0.35">
      <c r="A286" s="13" t="s">
        <v>359</v>
      </c>
      <c r="B286" s="13" t="s">
        <v>39</v>
      </c>
      <c r="C286" s="43">
        <v>0.45</v>
      </c>
      <c r="D286" s="17">
        <v>1500</v>
      </c>
      <c r="E286" s="17">
        <v>675</v>
      </c>
    </row>
    <row r="287" spans="1:5" x14ac:dyDescent="0.35">
      <c r="A287" s="13" t="s">
        <v>359</v>
      </c>
      <c r="B287" s="13" t="s">
        <v>51</v>
      </c>
      <c r="C287" s="43">
        <v>0.9</v>
      </c>
      <c r="D287" s="17">
        <v>500</v>
      </c>
      <c r="E287" s="17">
        <v>450</v>
      </c>
    </row>
    <row r="288" spans="1:5" x14ac:dyDescent="0.35">
      <c r="A288" s="13" t="s">
        <v>359</v>
      </c>
      <c r="B288" s="13" t="s">
        <v>94</v>
      </c>
      <c r="C288" s="43">
        <v>3.25</v>
      </c>
      <c r="D288" s="17">
        <v>2800</v>
      </c>
      <c r="E288" s="17">
        <v>9100</v>
      </c>
    </row>
    <row r="289" spans="1:5" x14ac:dyDescent="0.35">
      <c r="A289" s="13" t="s">
        <v>360</v>
      </c>
      <c r="B289" s="13" t="s">
        <v>15</v>
      </c>
      <c r="C289" s="43">
        <v>2.6</v>
      </c>
      <c r="D289" s="17">
        <v>2500</v>
      </c>
      <c r="E289" s="17">
        <v>6500</v>
      </c>
    </row>
    <row r="290" spans="1:5" x14ac:dyDescent="0.35">
      <c r="A290" s="13" t="s">
        <v>360</v>
      </c>
      <c r="B290" s="13" t="s">
        <v>51</v>
      </c>
      <c r="C290" s="43">
        <v>1.2</v>
      </c>
      <c r="D290" s="17">
        <v>500</v>
      </c>
      <c r="E290" s="17">
        <v>600</v>
      </c>
    </row>
    <row r="291" spans="1:5" x14ac:dyDescent="0.35">
      <c r="A291" s="13" t="s">
        <v>360</v>
      </c>
      <c r="B291" s="13" t="s">
        <v>25</v>
      </c>
      <c r="C291" s="43">
        <v>1.9</v>
      </c>
      <c r="D291" s="17">
        <v>1000</v>
      </c>
      <c r="E291" s="17">
        <v>1900</v>
      </c>
    </row>
    <row r="292" spans="1:5" x14ac:dyDescent="0.35">
      <c r="A292" s="13" t="s">
        <v>360</v>
      </c>
      <c r="B292" s="13" t="s">
        <v>39</v>
      </c>
      <c r="C292" s="43">
        <v>0.6</v>
      </c>
      <c r="D292" s="17">
        <v>1500</v>
      </c>
      <c r="E292" s="17">
        <v>900</v>
      </c>
    </row>
    <row r="293" spans="1:5" x14ac:dyDescent="0.35">
      <c r="A293" s="13" t="s">
        <v>360</v>
      </c>
      <c r="B293" s="13" t="s">
        <v>53</v>
      </c>
      <c r="C293" s="43">
        <v>1.7</v>
      </c>
      <c r="D293" s="17">
        <v>300</v>
      </c>
      <c r="E293" s="17">
        <v>510</v>
      </c>
    </row>
    <row r="294" spans="1:5" x14ac:dyDescent="0.35">
      <c r="A294" s="13" t="s">
        <v>360</v>
      </c>
      <c r="B294" s="13" t="s">
        <v>94</v>
      </c>
      <c r="C294" s="43">
        <v>2.15</v>
      </c>
      <c r="D294" s="17">
        <v>2800</v>
      </c>
      <c r="E294" s="17">
        <v>6020</v>
      </c>
    </row>
    <row r="295" spans="1:5" x14ac:dyDescent="0.35">
      <c r="A295" s="13" t="s">
        <v>360</v>
      </c>
      <c r="B295" s="13" t="s">
        <v>13</v>
      </c>
      <c r="C295" s="43">
        <v>0.55000000000000004</v>
      </c>
      <c r="D295" s="17">
        <v>500</v>
      </c>
      <c r="E295" s="17">
        <v>275</v>
      </c>
    </row>
    <row r="296" spans="1:5" x14ac:dyDescent="0.35">
      <c r="A296" s="13" t="s">
        <v>361</v>
      </c>
      <c r="B296" s="13" t="s">
        <v>26</v>
      </c>
      <c r="C296" s="43">
        <v>1.95</v>
      </c>
      <c r="D296" s="17">
        <v>1000</v>
      </c>
      <c r="E296" s="17">
        <v>1950</v>
      </c>
    </row>
    <row r="297" spans="1:5" x14ac:dyDescent="0.35">
      <c r="A297" s="13" t="s">
        <v>361</v>
      </c>
      <c r="B297" s="13" t="s">
        <v>41</v>
      </c>
      <c r="C297" s="43">
        <v>2.8</v>
      </c>
      <c r="D297" s="17">
        <v>1000</v>
      </c>
      <c r="E297" s="17">
        <v>2800</v>
      </c>
    </row>
    <row r="298" spans="1:5" x14ac:dyDescent="0.35">
      <c r="A298" s="13" t="s">
        <v>361</v>
      </c>
      <c r="B298" s="13" t="s">
        <v>51</v>
      </c>
      <c r="C298" s="43">
        <v>1.2</v>
      </c>
      <c r="D298" s="17">
        <v>500</v>
      </c>
      <c r="E298" s="17">
        <v>600</v>
      </c>
    </row>
    <row r="299" spans="1:5" x14ac:dyDescent="0.35">
      <c r="A299" s="13" t="s">
        <v>361</v>
      </c>
      <c r="B299" s="13" t="s">
        <v>53</v>
      </c>
      <c r="C299" s="43">
        <v>2</v>
      </c>
      <c r="D299" s="17">
        <v>300</v>
      </c>
      <c r="E299" s="17">
        <v>600</v>
      </c>
    </row>
    <row r="300" spans="1:5" x14ac:dyDescent="0.35">
      <c r="A300" s="13" t="s">
        <v>361</v>
      </c>
      <c r="B300" s="13" t="s">
        <v>94</v>
      </c>
      <c r="C300" s="43">
        <v>1.3</v>
      </c>
      <c r="D300" s="17">
        <v>2800</v>
      </c>
      <c r="E300" s="17">
        <v>3640</v>
      </c>
    </row>
    <row r="301" spans="1:5" x14ac:dyDescent="0.35">
      <c r="A301" s="13" t="s">
        <v>361</v>
      </c>
      <c r="B301" s="13" t="s">
        <v>39</v>
      </c>
      <c r="C301" s="43">
        <v>1.7</v>
      </c>
      <c r="D301" s="17">
        <v>1500</v>
      </c>
      <c r="E301" s="17">
        <v>2550</v>
      </c>
    </row>
    <row r="302" spans="1:5" x14ac:dyDescent="0.35">
      <c r="A302" s="13" t="s">
        <v>361</v>
      </c>
      <c r="B302" s="13" t="s">
        <v>34</v>
      </c>
      <c r="C302" s="43">
        <v>0.8</v>
      </c>
      <c r="D302" s="17">
        <v>5000</v>
      </c>
      <c r="E302" s="17">
        <v>4000</v>
      </c>
    </row>
    <row r="303" spans="1:5" x14ac:dyDescent="0.35">
      <c r="A303" s="13" t="s">
        <v>361</v>
      </c>
      <c r="B303" s="13" t="s">
        <v>18</v>
      </c>
      <c r="C303" s="43">
        <v>0.55000000000000004</v>
      </c>
      <c r="D303" s="17">
        <v>150</v>
      </c>
      <c r="E303" s="17">
        <v>83</v>
      </c>
    </row>
    <row r="304" spans="1:5" x14ac:dyDescent="0.35">
      <c r="A304" s="13" t="s">
        <v>362</v>
      </c>
      <c r="B304" s="13" t="s">
        <v>18</v>
      </c>
      <c r="C304" s="43">
        <v>1.1499999999999999</v>
      </c>
      <c r="D304" s="17">
        <v>150</v>
      </c>
      <c r="E304" s="17">
        <v>173</v>
      </c>
    </row>
    <row r="305" spans="1:5" x14ac:dyDescent="0.35">
      <c r="A305" s="13" t="s">
        <v>362</v>
      </c>
      <c r="B305" s="13" t="s">
        <v>25</v>
      </c>
      <c r="C305" s="43">
        <v>1.25</v>
      </c>
      <c r="D305" s="17">
        <v>1000</v>
      </c>
      <c r="E305" s="17">
        <v>1250</v>
      </c>
    </row>
    <row r="306" spans="1:5" x14ac:dyDescent="0.35">
      <c r="A306" s="13" t="s">
        <v>362</v>
      </c>
      <c r="B306" s="13" t="s">
        <v>13</v>
      </c>
      <c r="C306" s="43">
        <v>4.6500000000000004</v>
      </c>
      <c r="D306" s="17">
        <v>500</v>
      </c>
      <c r="E306" s="17">
        <v>2325</v>
      </c>
    </row>
    <row r="307" spans="1:5" x14ac:dyDescent="0.35">
      <c r="A307" s="13" t="s">
        <v>362</v>
      </c>
      <c r="B307" s="13" t="s">
        <v>53</v>
      </c>
      <c r="C307" s="43">
        <v>1.5</v>
      </c>
      <c r="D307" s="17">
        <v>300</v>
      </c>
      <c r="E307" s="17">
        <v>450</v>
      </c>
    </row>
    <row r="308" spans="1:5" x14ac:dyDescent="0.35">
      <c r="A308" s="13" t="s">
        <v>362</v>
      </c>
      <c r="B308" s="13" t="s">
        <v>266</v>
      </c>
      <c r="C308" s="43">
        <v>0.5</v>
      </c>
      <c r="D308" s="17">
        <v>1000</v>
      </c>
      <c r="E308" s="17">
        <v>500</v>
      </c>
    </row>
    <row r="309" spans="1:5" x14ac:dyDescent="0.35">
      <c r="A309" s="13" t="s">
        <v>362</v>
      </c>
      <c r="B309" s="13" t="s">
        <v>94</v>
      </c>
      <c r="C309" s="43">
        <v>4.45</v>
      </c>
      <c r="D309" s="17">
        <v>2800</v>
      </c>
      <c r="E309" s="17">
        <v>12460</v>
      </c>
    </row>
    <row r="310" spans="1:5" x14ac:dyDescent="0.35">
      <c r="A310" s="13" t="s">
        <v>362</v>
      </c>
      <c r="B310" s="13" t="s">
        <v>41</v>
      </c>
      <c r="C310" s="43">
        <v>9</v>
      </c>
      <c r="D310" s="17">
        <v>1000</v>
      </c>
      <c r="E310" s="17">
        <v>9000</v>
      </c>
    </row>
    <row r="311" spans="1:5" x14ac:dyDescent="0.35">
      <c r="A311" s="13" t="s">
        <v>363</v>
      </c>
      <c r="B311" s="13" t="s">
        <v>53</v>
      </c>
      <c r="C311" s="43">
        <v>0.15</v>
      </c>
      <c r="D311" s="17">
        <v>300</v>
      </c>
      <c r="E311" s="17">
        <v>45</v>
      </c>
    </row>
    <row r="312" spans="1:5" x14ac:dyDescent="0.35">
      <c r="A312" s="13" t="s">
        <v>363</v>
      </c>
      <c r="B312" s="13" t="s">
        <v>51</v>
      </c>
      <c r="C312" s="43">
        <v>0.5</v>
      </c>
      <c r="D312" s="17">
        <v>500</v>
      </c>
      <c r="E312" s="17">
        <v>250</v>
      </c>
    </row>
    <row r="313" spans="1:5" x14ac:dyDescent="0.35">
      <c r="A313" s="13" t="s">
        <v>363</v>
      </c>
      <c r="B313" s="13" t="s">
        <v>25</v>
      </c>
      <c r="C313" s="43">
        <v>0.45</v>
      </c>
      <c r="D313" s="17">
        <v>1000</v>
      </c>
      <c r="E313" s="17">
        <v>450</v>
      </c>
    </row>
    <row r="314" spans="1:5" x14ac:dyDescent="0.35">
      <c r="A314" s="13" t="s">
        <v>363</v>
      </c>
      <c r="B314" s="13" t="s">
        <v>94</v>
      </c>
      <c r="C314" s="43">
        <v>0.65</v>
      </c>
      <c r="D314" s="17">
        <v>2800</v>
      </c>
      <c r="E314" s="17">
        <v>1820</v>
      </c>
    </row>
    <row r="315" spans="1:5" x14ac:dyDescent="0.35">
      <c r="A315" s="13" t="s">
        <v>363</v>
      </c>
      <c r="B315" s="13" t="s">
        <v>60</v>
      </c>
      <c r="C315" s="43">
        <v>0.1</v>
      </c>
      <c r="D315" s="17">
        <v>2500</v>
      </c>
      <c r="E315" s="17">
        <v>250</v>
      </c>
    </row>
    <row r="316" spans="1:5" x14ac:dyDescent="0.35">
      <c r="A316" s="13" t="s">
        <v>363</v>
      </c>
      <c r="B316" s="13" t="s">
        <v>26</v>
      </c>
      <c r="C316" s="43">
        <v>0.45</v>
      </c>
      <c r="D316" s="17">
        <v>1000</v>
      </c>
      <c r="E316" s="17">
        <v>450</v>
      </c>
    </row>
    <row r="317" spans="1:5" x14ac:dyDescent="0.35">
      <c r="A317" s="13" t="s">
        <v>363</v>
      </c>
      <c r="B317" s="13" t="s">
        <v>41</v>
      </c>
      <c r="C317" s="43">
        <v>2.5499999999999998</v>
      </c>
      <c r="D317" s="17">
        <v>1000</v>
      </c>
      <c r="E317" s="17">
        <v>2550</v>
      </c>
    </row>
    <row r="318" spans="1:5" x14ac:dyDescent="0.35">
      <c r="A318" s="13" t="s">
        <v>364</v>
      </c>
      <c r="B318" s="13" t="s">
        <v>34</v>
      </c>
      <c r="C318" s="43">
        <v>1.55</v>
      </c>
      <c r="D318" s="17">
        <v>5000</v>
      </c>
      <c r="E318" s="17">
        <v>7750</v>
      </c>
    </row>
    <row r="319" spans="1:5" x14ac:dyDescent="0.35">
      <c r="A319" s="13" t="s">
        <v>365</v>
      </c>
      <c r="B319" s="13" t="s">
        <v>293</v>
      </c>
      <c r="C319" s="43">
        <v>0.55000000000000004</v>
      </c>
      <c r="D319" s="17">
        <v>1400</v>
      </c>
      <c r="E319" s="17">
        <v>770</v>
      </c>
    </row>
    <row r="320" spans="1:5" x14ac:dyDescent="0.35">
      <c r="A320" s="13" t="s">
        <v>365</v>
      </c>
      <c r="B320" s="13" t="s">
        <v>126</v>
      </c>
      <c r="C320" s="43">
        <v>0.55000000000000004</v>
      </c>
      <c r="D320" s="17">
        <v>1800</v>
      </c>
      <c r="E320" s="17">
        <v>990</v>
      </c>
    </row>
    <row r="321" spans="1:5" x14ac:dyDescent="0.35">
      <c r="A321" s="13" t="s">
        <v>365</v>
      </c>
      <c r="B321" s="13" t="s">
        <v>39</v>
      </c>
      <c r="C321" s="43">
        <v>1.05</v>
      </c>
      <c r="D321" s="17">
        <v>1500</v>
      </c>
      <c r="E321" s="17">
        <v>1575</v>
      </c>
    </row>
    <row r="322" spans="1:5" x14ac:dyDescent="0.35">
      <c r="A322" s="13" t="s">
        <v>365</v>
      </c>
      <c r="B322" s="13" t="s">
        <v>25</v>
      </c>
      <c r="C322" s="43">
        <v>5.05</v>
      </c>
      <c r="D322" s="17">
        <v>1000</v>
      </c>
      <c r="E322" s="17">
        <v>5050</v>
      </c>
    </row>
    <row r="323" spans="1:5" x14ac:dyDescent="0.35">
      <c r="A323" s="13" t="s">
        <v>365</v>
      </c>
      <c r="B323" s="13" t="s">
        <v>22</v>
      </c>
      <c r="C323" s="43">
        <v>3.9</v>
      </c>
      <c r="D323" s="17">
        <v>1600</v>
      </c>
      <c r="E323" s="17">
        <v>6240</v>
      </c>
    </row>
    <row r="324" spans="1:5" x14ac:dyDescent="0.35">
      <c r="A324" s="13" t="s">
        <v>365</v>
      </c>
      <c r="B324" s="13" t="s">
        <v>41</v>
      </c>
      <c r="C324" s="43">
        <v>19.95</v>
      </c>
      <c r="D324" s="17">
        <v>1000</v>
      </c>
      <c r="E324" s="17">
        <v>19950</v>
      </c>
    </row>
    <row r="325" spans="1:5" x14ac:dyDescent="0.35">
      <c r="A325" s="13" t="s">
        <v>366</v>
      </c>
      <c r="B325" s="13" t="s">
        <v>41</v>
      </c>
      <c r="C325" s="43">
        <v>9.25</v>
      </c>
      <c r="D325" s="17">
        <v>1000</v>
      </c>
      <c r="E325" s="17">
        <v>9250</v>
      </c>
    </row>
    <row r="326" spans="1:5" x14ac:dyDescent="0.35">
      <c r="A326" s="13" t="s">
        <v>366</v>
      </c>
      <c r="B326" s="13" t="s">
        <v>51</v>
      </c>
      <c r="C326" s="43">
        <v>2.5</v>
      </c>
      <c r="D326" s="17">
        <v>500</v>
      </c>
      <c r="E326" s="17">
        <v>1250</v>
      </c>
    </row>
    <row r="327" spans="1:5" x14ac:dyDescent="0.35">
      <c r="A327" s="13" t="s">
        <v>366</v>
      </c>
      <c r="B327" s="13" t="s">
        <v>54</v>
      </c>
      <c r="C327" s="43">
        <v>0.05</v>
      </c>
      <c r="D327" s="17">
        <v>800</v>
      </c>
      <c r="E327" s="17">
        <v>40</v>
      </c>
    </row>
    <row r="328" spans="1:5" x14ac:dyDescent="0.35">
      <c r="A328" s="13" t="s">
        <v>366</v>
      </c>
      <c r="B328" s="13" t="s">
        <v>53</v>
      </c>
      <c r="C328" s="43">
        <v>1.07</v>
      </c>
      <c r="D328" s="17">
        <v>300</v>
      </c>
      <c r="E328" s="17">
        <v>321</v>
      </c>
    </row>
    <row r="329" spans="1:5" x14ac:dyDescent="0.35">
      <c r="A329" s="13" t="s">
        <v>366</v>
      </c>
      <c r="B329" s="13" t="s">
        <v>266</v>
      </c>
      <c r="C329" s="43">
        <v>0.7</v>
      </c>
      <c r="D329" s="17">
        <v>1000</v>
      </c>
      <c r="E329" s="17">
        <v>700</v>
      </c>
    </row>
    <row r="330" spans="1:5" x14ac:dyDescent="0.35">
      <c r="A330" s="13" t="s">
        <v>366</v>
      </c>
      <c r="B330" s="13" t="s">
        <v>125</v>
      </c>
      <c r="C330" s="43">
        <v>7.3</v>
      </c>
      <c r="D330" s="17">
        <v>800</v>
      </c>
      <c r="E330" s="17">
        <v>5840</v>
      </c>
    </row>
    <row r="331" spans="1:5" x14ac:dyDescent="0.35">
      <c r="A331" s="13" t="s">
        <v>366</v>
      </c>
      <c r="B331" s="13" t="s">
        <v>25</v>
      </c>
      <c r="C331" s="43">
        <v>2</v>
      </c>
      <c r="D331" s="17">
        <v>1000</v>
      </c>
      <c r="E331" s="17">
        <v>2000</v>
      </c>
    </row>
    <row r="332" spans="1:5" x14ac:dyDescent="0.35">
      <c r="A332" s="13" t="s">
        <v>366</v>
      </c>
      <c r="B332" s="13" t="s">
        <v>18</v>
      </c>
      <c r="C332" s="43">
        <v>0.95</v>
      </c>
      <c r="D332" s="17">
        <v>150</v>
      </c>
      <c r="E332" s="17">
        <v>143</v>
      </c>
    </row>
    <row r="333" spans="1:5" x14ac:dyDescent="0.35">
      <c r="A333" s="13" t="s">
        <v>366</v>
      </c>
      <c r="B333" s="13" t="s">
        <v>26</v>
      </c>
      <c r="C333" s="43">
        <v>1.2</v>
      </c>
      <c r="D333" s="17">
        <v>1000</v>
      </c>
      <c r="E333" s="17">
        <v>1200</v>
      </c>
    </row>
    <row r="334" spans="1:5" x14ac:dyDescent="0.35">
      <c r="A334" s="13" t="s">
        <v>366</v>
      </c>
      <c r="B334" s="13" t="s">
        <v>61</v>
      </c>
      <c r="C334" s="43">
        <v>0.65</v>
      </c>
      <c r="D334" s="17">
        <v>3500</v>
      </c>
      <c r="E334" s="17">
        <v>2275</v>
      </c>
    </row>
    <row r="335" spans="1:5" x14ac:dyDescent="0.35">
      <c r="A335" s="13" t="s">
        <v>366</v>
      </c>
      <c r="B335" s="13" t="s">
        <v>60</v>
      </c>
      <c r="C335" s="43">
        <v>0.55000000000000004</v>
      </c>
      <c r="D335" s="17">
        <v>2500</v>
      </c>
      <c r="E335" s="17">
        <v>1375</v>
      </c>
    </row>
    <row r="336" spans="1:5" x14ac:dyDescent="0.35">
      <c r="A336" s="13" t="s">
        <v>366</v>
      </c>
      <c r="B336" s="13" t="s">
        <v>39</v>
      </c>
      <c r="C336" s="43">
        <v>0.35</v>
      </c>
      <c r="D336" s="17">
        <v>1500</v>
      </c>
      <c r="E336" s="17">
        <v>525</v>
      </c>
    </row>
    <row r="337" spans="1:6" x14ac:dyDescent="0.35">
      <c r="A337" s="13" t="s">
        <v>366</v>
      </c>
      <c r="B337" s="13" t="s">
        <v>34</v>
      </c>
      <c r="C337" s="43">
        <v>1.6</v>
      </c>
      <c r="D337" s="17">
        <v>5000</v>
      </c>
      <c r="E337" s="17">
        <v>8000</v>
      </c>
    </row>
    <row r="338" spans="1:6" x14ac:dyDescent="0.35">
      <c r="A338" s="13" t="s">
        <v>366</v>
      </c>
      <c r="B338" s="13" t="s">
        <v>94</v>
      </c>
      <c r="C338" s="43">
        <v>0.95</v>
      </c>
      <c r="D338" s="17">
        <v>2800</v>
      </c>
      <c r="E338" s="17">
        <v>2660</v>
      </c>
    </row>
    <row r="339" spans="1:6" x14ac:dyDescent="0.35">
      <c r="A339" s="13" t="s">
        <v>366</v>
      </c>
      <c r="B339" s="13" t="s">
        <v>128</v>
      </c>
      <c r="C339" s="43">
        <v>0.3</v>
      </c>
      <c r="D339" s="17">
        <v>3500</v>
      </c>
      <c r="E339" s="17">
        <v>1050</v>
      </c>
    </row>
    <row r="340" spans="1:6" x14ac:dyDescent="0.35">
      <c r="A340" s="13" t="s">
        <v>369</v>
      </c>
      <c r="B340" s="13" t="s">
        <v>53</v>
      </c>
      <c r="C340" s="73">
        <v>1</v>
      </c>
      <c r="D340" s="17">
        <v>300</v>
      </c>
      <c r="E340" s="74">
        <f>C340*D340</f>
        <v>300</v>
      </c>
      <c r="F340" t="s">
        <v>308</v>
      </c>
    </row>
    <row r="341" spans="1:6" x14ac:dyDescent="0.35">
      <c r="A341" s="13" t="s">
        <v>369</v>
      </c>
      <c r="B341" s="13" t="s">
        <v>22</v>
      </c>
      <c r="C341" s="75">
        <f>1+0.73</f>
        <v>1.73</v>
      </c>
      <c r="D341" s="17">
        <v>1600</v>
      </c>
      <c r="E341" s="74">
        <f t="shared" ref="E341:E346" si="4">C341*D341</f>
        <v>2768</v>
      </c>
      <c r="F341" t="s">
        <v>308</v>
      </c>
    </row>
    <row r="342" spans="1:6" x14ac:dyDescent="0.35">
      <c r="A342" s="24" t="s">
        <v>370</v>
      </c>
      <c r="B342" s="13" t="s">
        <v>53</v>
      </c>
      <c r="C342" s="75">
        <v>1.5</v>
      </c>
      <c r="D342" s="17">
        <v>300</v>
      </c>
      <c r="E342" s="74">
        <f t="shared" si="4"/>
        <v>450</v>
      </c>
      <c r="F342" t="s">
        <v>308</v>
      </c>
    </row>
    <row r="343" spans="1:6" x14ac:dyDescent="0.35">
      <c r="A343" s="13" t="s">
        <v>371</v>
      </c>
      <c r="B343" s="13" t="s">
        <v>26</v>
      </c>
      <c r="C343" s="75">
        <v>4.5</v>
      </c>
      <c r="D343" s="17">
        <v>1000</v>
      </c>
      <c r="E343" s="74">
        <f t="shared" si="4"/>
        <v>4500</v>
      </c>
      <c r="F343" t="s">
        <v>308</v>
      </c>
    </row>
    <row r="344" spans="1:6" x14ac:dyDescent="0.35">
      <c r="A344" s="13" t="s">
        <v>372</v>
      </c>
      <c r="B344" s="24" t="s">
        <v>53</v>
      </c>
      <c r="C344" s="75">
        <v>0.5</v>
      </c>
      <c r="D344" s="17">
        <v>300</v>
      </c>
      <c r="E344" s="74">
        <f t="shared" si="4"/>
        <v>150</v>
      </c>
      <c r="F344" t="s">
        <v>308</v>
      </c>
    </row>
    <row r="345" spans="1:6" x14ac:dyDescent="0.35">
      <c r="A345" s="77" t="s">
        <v>373</v>
      </c>
      <c r="B345" s="13" t="s">
        <v>34</v>
      </c>
      <c r="C345" s="75">
        <v>15.2</v>
      </c>
      <c r="D345" s="17">
        <v>7000</v>
      </c>
      <c r="E345" s="74">
        <f t="shared" si="4"/>
        <v>106400</v>
      </c>
    </row>
    <row r="346" spans="1:6" x14ac:dyDescent="0.35">
      <c r="A346" s="80" t="s">
        <v>264</v>
      </c>
      <c r="B346" s="13" t="s">
        <v>34</v>
      </c>
      <c r="C346" s="75">
        <f>14.2+13.9+13.85+3.1</f>
        <v>45.050000000000004</v>
      </c>
      <c r="D346" s="17">
        <v>7000</v>
      </c>
      <c r="E346" s="74">
        <f t="shared" si="4"/>
        <v>315350.00000000006</v>
      </c>
    </row>
    <row r="347" spans="1:6" x14ac:dyDescent="0.35">
      <c r="A347" s="4" t="s">
        <v>251</v>
      </c>
      <c r="B347" s="4"/>
      <c r="C347" s="81">
        <v>46</v>
      </c>
    </row>
    <row r="349" spans="1:6" x14ac:dyDescent="0.35">
      <c r="D349" s="63" t="s">
        <v>377</v>
      </c>
    </row>
    <row r="350" spans="1:6" x14ac:dyDescent="0.35">
      <c r="D350" t="s">
        <v>375</v>
      </c>
      <c r="E350" s="63" t="s">
        <v>376</v>
      </c>
    </row>
    <row r="351" spans="1:6" x14ac:dyDescent="0.35">
      <c r="D351" s="63">
        <f>(46+15.2+45.05)*7000</f>
        <v>743750</v>
      </c>
      <c r="E351" s="63">
        <f>(45.45+21.85)*5000</f>
        <v>336500.00000000006</v>
      </c>
    </row>
    <row r="352" spans="1:6" x14ac:dyDescent="0.35">
      <c r="E352" s="63">
        <f>D351+E351</f>
        <v>1080250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AFC0-4FC4-411B-AA16-38C5F1A4D49B}">
  <sheetPr>
    <tabColor rgb="FFFF0000"/>
  </sheetPr>
  <dimension ref="A2:AB395"/>
  <sheetViews>
    <sheetView topLeftCell="L19" zoomScale="67" zoomScaleNormal="80" zoomScaleSheetLayoutView="100" workbookViewId="0">
      <selection activeCell="L40" sqref="L40"/>
    </sheetView>
  </sheetViews>
  <sheetFormatPr defaultRowHeight="14.5" x14ac:dyDescent="0.35"/>
  <cols>
    <col min="1" max="2" width="25" customWidth="1"/>
    <col min="3" max="3" width="14.90625" customWidth="1"/>
    <col min="4" max="5" width="14.90625" style="11" customWidth="1"/>
    <col min="7" max="7" width="21.81640625" bestFit="1" customWidth="1"/>
    <col min="8" max="8" width="11.6328125" bestFit="1" customWidth="1"/>
    <col min="9" max="9" width="11.36328125" bestFit="1" customWidth="1"/>
    <col min="11" max="11" width="25.36328125" bestFit="1" customWidth="1"/>
    <col min="12" max="12" width="11.6328125" bestFit="1" customWidth="1"/>
    <col min="14" max="14" width="7.54296875" customWidth="1"/>
    <col min="15" max="15" width="26.7265625" bestFit="1" customWidth="1"/>
    <col min="18" max="18" width="11.81640625" bestFit="1" customWidth="1"/>
    <col min="21" max="21" width="26.7265625" bestFit="1" customWidth="1"/>
    <col min="24" max="24" width="11.81640625" bestFit="1" customWidth="1"/>
  </cols>
  <sheetData>
    <row r="2" spans="1:28" x14ac:dyDescent="0.35">
      <c r="A2" s="56" t="s">
        <v>82</v>
      </c>
      <c r="B2" s="56" t="s">
        <v>83</v>
      </c>
      <c r="C2" s="56" t="s">
        <v>65</v>
      </c>
      <c r="D2" s="58" t="s">
        <v>66</v>
      </c>
      <c r="E2" s="58" t="s">
        <v>6</v>
      </c>
      <c r="G2" t="s">
        <v>85</v>
      </c>
      <c r="H2" t="s">
        <v>137</v>
      </c>
      <c r="I2" t="s">
        <v>129</v>
      </c>
      <c r="K2" t="s">
        <v>85</v>
      </c>
      <c r="L2" t="s">
        <v>137</v>
      </c>
      <c r="N2" s="20" t="s">
        <v>132</v>
      </c>
      <c r="Q2" t="s">
        <v>295</v>
      </c>
      <c r="T2" s="20" t="s">
        <v>298</v>
      </c>
      <c r="W2" t="s">
        <v>295</v>
      </c>
    </row>
    <row r="3" spans="1:28" x14ac:dyDescent="0.35">
      <c r="A3" s="13" t="s">
        <v>296</v>
      </c>
      <c r="B3" s="13" t="s">
        <v>34</v>
      </c>
      <c r="C3" s="13">
        <v>8.9499999999999993</v>
      </c>
      <c r="D3" s="17">
        <v>5000</v>
      </c>
      <c r="E3" s="17">
        <v>44750</v>
      </c>
      <c r="G3" s="14" t="s">
        <v>296</v>
      </c>
      <c r="H3">
        <v>8.9499999999999993</v>
      </c>
      <c r="I3" s="19">
        <v>44750</v>
      </c>
      <c r="K3" s="14" t="s">
        <v>127</v>
      </c>
      <c r="L3">
        <v>0.4</v>
      </c>
      <c r="N3" s="21" t="s">
        <v>0</v>
      </c>
      <c r="O3" s="22" t="s">
        <v>64</v>
      </c>
      <c r="P3" s="23" t="s">
        <v>133</v>
      </c>
      <c r="Q3" s="22" t="s">
        <v>65</v>
      </c>
      <c r="R3" s="23" t="s">
        <v>134</v>
      </c>
      <c r="T3" s="21" t="s">
        <v>0</v>
      </c>
      <c r="U3" s="22" t="s">
        <v>64</v>
      </c>
      <c r="V3" s="23" t="s">
        <v>133</v>
      </c>
      <c r="W3" s="22" t="s">
        <v>65</v>
      </c>
      <c r="X3" s="23" t="s">
        <v>134</v>
      </c>
      <c r="Z3" s="64"/>
      <c r="AA3" s="65"/>
      <c r="AB3" s="66"/>
    </row>
    <row r="4" spans="1:28" x14ac:dyDescent="0.35">
      <c r="A4" s="13" t="s">
        <v>158</v>
      </c>
      <c r="B4" s="13" t="s">
        <v>41</v>
      </c>
      <c r="C4" s="13">
        <v>1.2</v>
      </c>
      <c r="D4" s="17">
        <v>1000</v>
      </c>
      <c r="E4" s="17">
        <v>1200</v>
      </c>
      <c r="G4" s="14" t="s">
        <v>158</v>
      </c>
      <c r="H4">
        <v>6.6</v>
      </c>
      <c r="I4" s="19">
        <v>7200</v>
      </c>
      <c r="K4" s="14" t="s">
        <v>13</v>
      </c>
      <c r="L4">
        <v>13.1</v>
      </c>
      <c r="N4" s="22">
        <v>1</v>
      </c>
      <c r="O4" s="24" t="s">
        <v>7</v>
      </c>
      <c r="P4" s="25">
        <f>VLOOKUP(O4,KamiBox!$C$2:$F$58,4,0)</f>
        <v>200000</v>
      </c>
      <c r="Q4" s="26">
        <f>SUMIF($B$3:$B$394,O4,$C$3:$C$394)</f>
        <v>0</v>
      </c>
      <c r="R4" s="25">
        <f>P4*Q4</f>
        <v>0</v>
      </c>
      <c r="T4" s="22">
        <v>1</v>
      </c>
      <c r="U4" s="24" t="s">
        <v>7</v>
      </c>
      <c r="V4" s="25">
        <f>VLOOKUP(U4,KamiBox!$C$2:$F$58,4,0)</f>
        <v>200000</v>
      </c>
      <c r="W4" s="26"/>
      <c r="X4" s="25">
        <f>V4*W4</f>
        <v>0</v>
      </c>
      <c r="Z4" s="67"/>
      <c r="AA4" s="68"/>
      <c r="AB4" s="69"/>
    </row>
    <row r="5" spans="1:28" x14ac:dyDescent="0.35">
      <c r="A5" s="13" t="s">
        <v>158</v>
      </c>
      <c r="B5" s="13" t="s">
        <v>29</v>
      </c>
      <c r="C5" s="13">
        <v>0.9</v>
      </c>
      <c r="D5" s="17">
        <v>1600</v>
      </c>
      <c r="E5" s="17">
        <v>1440</v>
      </c>
      <c r="G5" s="14" t="s">
        <v>176</v>
      </c>
      <c r="H5">
        <v>10.7</v>
      </c>
      <c r="I5" s="19">
        <v>26193</v>
      </c>
      <c r="K5" s="14" t="s">
        <v>15</v>
      </c>
      <c r="L5">
        <v>25.849999999999998</v>
      </c>
      <c r="N5" s="22">
        <v>2</v>
      </c>
      <c r="O5" s="24" t="s">
        <v>9</v>
      </c>
      <c r="P5" s="25">
        <f>VLOOKUP(O5,KamiBox!$C$2:$F$58,4,0)</f>
        <v>9000</v>
      </c>
      <c r="Q5" s="26">
        <f t="shared" ref="Q5:Q57" si="0">SUMIF($B$3:$B$394,O5,$C$3:$C$394)</f>
        <v>0</v>
      </c>
      <c r="R5" s="25">
        <f t="shared" ref="R5:R57" si="1">P5*Q5</f>
        <v>0</v>
      </c>
      <c r="T5" s="22">
        <v>2</v>
      </c>
      <c r="U5" s="24" t="s">
        <v>9</v>
      </c>
      <c r="V5" s="25">
        <f>VLOOKUP(U5,KamiBox!$C$2:$F$58,4,0)</f>
        <v>9000</v>
      </c>
      <c r="W5" s="26"/>
      <c r="X5" s="25">
        <f t="shared" ref="X5:X46" si="2">V5*W5</f>
        <v>0</v>
      </c>
      <c r="Z5" s="67"/>
      <c r="AA5" s="68"/>
      <c r="AB5" s="69"/>
    </row>
    <row r="6" spans="1:28" x14ac:dyDescent="0.35">
      <c r="A6" s="13" t="s">
        <v>158</v>
      </c>
      <c r="B6" s="13" t="s">
        <v>51</v>
      </c>
      <c r="C6" s="13">
        <v>2.2999999999999998</v>
      </c>
      <c r="D6" s="17">
        <v>500</v>
      </c>
      <c r="E6" s="17">
        <v>1150</v>
      </c>
      <c r="G6" s="14" t="s">
        <v>86</v>
      </c>
      <c r="H6">
        <v>9.15</v>
      </c>
      <c r="I6" s="19">
        <v>9943</v>
      </c>
      <c r="K6" s="14" t="s">
        <v>18</v>
      </c>
      <c r="L6">
        <v>23.65</v>
      </c>
      <c r="N6" s="22">
        <v>3</v>
      </c>
      <c r="O6" t="s">
        <v>10</v>
      </c>
      <c r="P6" s="25">
        <f>VLOOKUP(O6,KamiBox!$C$2:$F$58,4,0)</f>
        <v>4000</v>
      </c>
      <c r="Q6" s="26">
        <f t="shared" si="0"/>
        <v>0</v>
      </c>
      <c r="R6" s="25">
        <f t="shared" si="1"/>
        <v>0</v>
      </c>
      <c r="T6" s="22">
        <v>3</v>
      </c>
      <c r="U6" t="s">
        <v>10</v>
      </c>
      <c r="V6" s="25">
        <f>VLOOKUP(U6,KamiBox!$C$2:$F$58,4,0)</f>
        <v>4000</v>
      </c>
      <c r="W6" s="26"/>
      <c r="X6" s="25">
        <f t="shared" si="2"/>
        <v>0</v>
      </c>
      <c r="Z6" s="67"/>
      <c r="AA6" s="68"/>
      <c r="AB6" s="69"/>
    </row>
    <row r="7" spans="1:28" x14ac:dyDescent="0.35">
      <c r="A7" s="13" t="s">
        <v>158</v>
      </c>
      <c r="B7" s="13" t="s">
        <v>53</v>
      </c>
      <c r="C7" s="13">
        <v>1.1000000000000001</v>
      </c>
      <c r="D7" s="17">
        <v>300</v>
      </c>
      <c r="E7" s="17">
        <v>330</v>
      </c>
      <c r="G7" s="14" t="s">
        <v>88</v>
      </c>
      <c r="H7">
        <v>20.950000000000003</v>
      </c>
      <c r="I7" s="19">
        <v>19083</v>
      </c>
      <c r="K7" s="14" t="s">
        <v>20</v>
      </c>
      <c r="L7">
        <v>0.8</v>
      </c>
      <c r="N7" s="22">
        <v>4</v>
      </c>
      <c r="O7" s="24" t="s">
        <v>11</v>
      </c>
      <c r="P7" s="25">
        <f>VLOOKUP(O7,KamiBox!$C$2:$F$58,4,0)</f>
        <v>10000</v>
      </c>
      <c r="Q7" s="26">
        <v>0.4</v>
      </c>
      <c r="R7" s="25">
        <f t="shared" si="1"/>
        <v>4000</v>
      </c>
      <c r="T7" s="22">
        <v>4</v>
      </c>
      <c r="U7" s="24" t="s">
        <v>11</v>
      </c>
      <c r="V7" s="25">
        <f>VLOOKUP(U7,KamiBox!$C$2:$F$58,4,0)</f>
        <v>10000</v>
      </c>
      <c r="W7" s="26"/>
      <c r="X7" s="25">
        <f t="shared" si="2"/>
        <v>0</v>
      </c>
      <c r="Z7" s="67"/>
      <c r="AA7" s="68"/>
      <c r="AB7" s="69"/>
    </row>
    <row r="8" spans="1:28" x14ac:dyDescent="0.35">
      <c r="A8" s="13" t="s">
        <v>158</v>
      </c>
      <c r="B8" s="13" t="s">
        <v>94</v>
      </c>
      <c r="C8" s="13">
        <v>1.1000000000000001</v>
      </c>
      <c r="D8" s="17">
        <v>2800</v>
      </c>
      <c r="E8" s="17">
        <v>3080</v>
      </c>
      <c r="G8" s="14" t="s">
        <v>220</v>
      </c>
      <c r="H8">
        <v>15.999999999999998</v>
      </c>
      <c r="I8" s="19">
        <v>25413</v>
      </c>
      <c r="K8" s="14" t="s">
        <v>17</v>
      </c>
      <c r="L8">
        <v>8</v>
      </c>
      <c r="N8" s="22">
        <v>5</v>
      </c>
      <c r="O8" s="24" t="s">
        <v>12</v>
      </c>
      <c r="P8" s="25">
        <f>VLOOKUP(O8,KamiBox!$C$2:$F$58,4,0)</f>
        <v>1000</v>
      </c>
      <c r="Q8" s="26">
        <f t="shared" si="0"/>
        <v>0</v>
      </c>
      <c r="R8" s="25">
        <f t="shared" si="1"/>
        <v>0</v>
      </c>
      <c r="T8" s="22">
        <v>5</v>
      </c>
      <c r="U8" s="24" t="s">
        <v>12</v>
      </c>
      <c r="V8" s="25">
        <f>VLOOKUP(U8,KamiBox!$C$2:$F$58,4,0)</f>
        <v>1000</v>
      </c>
      <c r="W8" s="26"/>
      <c r="X8" s="25">
        <f t="shared" si="2"/>
        <v>0</v>
      </c>
      <c r="Z8" s="67"/>
      <c r="AA8" s="68"/>
      <c r="AB8" s="69"/>
    </row>
    <row r="9" spans="1:28" x14ac:dyDescent="0.35">
      <c r="A9" s="13" t="s">
        <v>176</v>
      </c>
      <c r="B9" s="13" t="s">
        <v>18</v>
      </c>
      <c r="C9" s="13">
        <v>0.35</v>
      </c>
      <c r="D9" s="17">
        <v>150</v>
      </c>
      <c r="E9" s="17">
        <v>53</v>
      </c>
      <c r="G9" s="14" t="s">
        <v>89</v>
      </c>
      <c r="H9">
        <v>17</v>
      </c>
      <c r="I9" s="19">
        <v>21273</v>
      </c>
      <c r="K9" s="14" t="s">
        <v>94</v>
      </c>
      <c r="L9">
        <v>57.449999999999996</v>
      </c>
      <c r="N9" s="22">
        <v>6</v>
      </c>
      <c r="O9" s="24" t="s">
        <v>13</v>
      </c>
      <c r="P9" s="25"/>
      <c r="Q9" s="26">
        <v>0</v>
      </c>
      <c r="R9" s="25">
        <f t="shared" si="1"/>
        <v>0</v>
      </c>
      <c r="S9" s="29">
        <f>W9-Q9</f>
        <v>16.05</v>
      </c>
      <c r="T9" s="22">
        <v>6</v>
      </c>
      <c r="U9" s="24" t="s">
        <v>13</v>
      </c>
      <c r="V9" s="25">
        <f>VLOOKUP(U9,KamiBox!$C$2:$F$58,4,0)</f>
        <v>1500</v>
      </c>
      <c r="W9" s="26">
        <v>16.05</v>
      </c>
      <c r="X9" s="25">
        <v>24825</v>
      </c>
      <c r="Y9" t="s">
        <v>301</v>
      </c>
      <c r="Z9" s="67"/>
      <c r="AA9" s="68"/>
      <c r="AB9" s="69"/>
    </row>
    <row r="10" spans="1:28" x14ac:dyDescent="0.35">
      <c r="A10" s="13" t="s">
        <v>176</v>
      </c>
      <c r="B10" s="13" t="s">
        <v>266</v>
      </c>
      <c r="C10" s="13">
        <v>0.1</v>
      </c>
      <c r="D10" s="17">
        <v>1000</v>
      </c>
      <c r="E10" s="17">
        <v>100</v>
      </c>
      <c r="G10" s="14" t="s">
        <v>91</v>
      </c>
      <c r="H10">
        <v>13.95</v>
      </c>
      <c r="I10" s="19">
        <v>15150</v>
      </c>
      <c r="K10" s="14" t="s">
        <v>22</v>
      </c>
      <c r="L10">
        <v>4.8499999999999996</v>
      </c>
      <c r="N10" s="22">
        <v>7</v>
      </c>
      <c r="O10" s="24" t="s">
        <v>15</v>
      </c>
      <c r="P10" s="25">
        <f>VLOOKUP(O10,KamiBox!$C$2:$F$58,4,0)</f>
        <v>4000</v>
      </c>
      <c r="Q10" s="26">
        <f t="shared" si="0"/>
        <v>25.849999999999998</v>
      </c>
      <c r="R10" s="25">
        <f t="shared" si="1"/>
        <v>103399.99999999999</v>
      </c>
      <c r="S10" s="29">
        <f>S9-1.95</f>
        <v>14.100000000000001</v>
      </c>
      <c r="T10" s="22">
        <v>7</v>
      </c>
      <c r="U10" s="24" t="s">
        <v>15</v>
      </c>
      <c r="V10" s="25">
        <f>VLOOKUP(U10,KamiBox!$C$2:$F$58,4,0)</f>
        <v>4000</v>
      </c>
      <c r="W10" s="26"/>
      <c r="X10" s="25">
        <f t="shared" si="2"/>
        <v>0</v>
      </c>
      <c r="Z10" s="67"/>
      <c r="AA10" s="68"/>
      <c r="AB10" s="69"/>
    </row>
    <row r="11" spans="1:28" x14ac:dyDescent="0.35">
      <c r="A11" s="13" t="s">
        <v>176</v>
      </c>
      <c r="B11" s="13" t="s">
        <v>39</v>
      </c>
      <c r="C11" s="13">
        <v>0.75</v>
      </c>
      <c r="D11" s="17">
        <v>1500</v>
      </c>
      <c r="E11" s="17">
        <v>1125</v>
      </c>
      <c r="G11" s="14" t="s">
        <v>93</v>
      </c>
      <c r="H11">
        <v>10.55</v>
      </c>
      <c r="I11" s="19">
        <v>11880</v>
      </c>
      <c r="K11" s="14" t="s">
        <v>125</v>
      </c>
      <c r="L11">
        <v>98.15</v>
      </c>
      <c r="N11" s="22">
        <v>8</v>
      </c>
      <c r="O11" s="24" t="s">
        <v>16</v>
      </c>
      <c r="P11" s="25">
        <f>VLOOKUP(O11,KamiBox!$C$2:$F$58,4,0)</f>
        <v>400</v>
      </c>
      <c r="Q11" s="26">
        <f t="shared" si="0"/>
        <v>0</v>
      </c>
      <c r="R11" s="25">
        <f t="shared" si="1"/>
        <v>0</v>
      </c>
      <c r="T11" s="22">
        <v>8</v>
      </c>
      <c r="U11" s="24" t="s">
        <v>16</v>
      </c>
      <c r="V11" s="25">
        <f>VLOOKUP(U11,KamiBox!$C$2:$F$58,4,0)</f>
        <v>400</v>
      </c>
      <c r="W11" s="26"/>
      <c r="X11" s="25">
        <f t="shared" si="2"/>
        <v>0</v>
      </c>
      <c r="Z11" s="67"/>
      <c r="AA11" s="68"/>
      <c r="AB11" s="69"/>
    </row>
    <row r="12" spans="1:28" x14ac:dyDescent="0.35">
      <c r="A12" s="13" t="s">
        <v>176</v>
      </c>
      <c r="B12" s="13" t="s">
        <v>13</v>
      </c>
      <c r="C12" s="13">
        <v>0.1</v>
      </c>
      <c r="D12" s="17">
        <v>500</v>
      </c>
      <c r="E12" s="17">
        <v>50</v>
      </c>
      <c r="G12" s="14" t="s">
        <v>84</v>
      </c>
      <c r="H12">
        <v>59.7</v>
      </c>
      <c r="I12" s="19">
        <v>86060</v>
      </c>
      <c r="K12" s="14" t="s">
        <v>25</v>
      </c>
      <c r="L12">
        <v>93.679999999999993</v>
      </c>
      <c r="N12" s="22">
        <v>9</v>
      </c>
      <c r="O12" s="24" t="s">
        <v>17</v>
      </c>
      <c r="P12" s="25">
        <f>VLOOKUP(O12,KamiBox!$C$2:$F$58,4,0)</f>
        <v>100</v>
      </c>
      <c r="Q12" s="26">
        <f t="shared" si="0"/>
        <v>8</v>
      </c>
      <c r="R12" s="25">
        <f t="shared" si="1"/>
        <v>800</v>
      </c>
      <c r="T12" s="22">
        <v>9</v>
      </c>
      <c r="U12" s="24" t="s">
        <v>17</v>
      </c>
      <c r="V12" s="25">
        <f>VLOOKUP(U12,KamiBox!$C$2:$F$58,4,0)</f>
        <v>100</v>
      </c>
      <c r="W12" s="26"/>
      <c r="X12" s="25">
        <f t="shared" si="2"/>
        <v>0</v>
      </c>
      <c r="Z12" s="67"/>
      <c r="AA12" s="68"/>
      <c r="AB12" s="69"/>
    </row>
    <row r="13" spans="1:28" x14ac:dyDescent="0.35">
      <c r="A13" s="13" t="s">
        <v>176</v>
      </c>
      <c r="B13" s="13" t="s">
        <v>53</v>
      </c>
      <c r="C13" s="13">
        <v>0.7</v>
      </c>
      <c r="D13" s="17">
        <v>300</v>
      </c>
      <c r="E13" s="17">
        <v>210</v>
      </c>
      <c r="G13" s="14" t="s">
        <v>95</v>
      </c>
      <c r="H13">
        <v>6.8</v>
      </c>
      <c r="I13" s="19">
        <v>8945</v>
      </c>
      <c r="K13" s="14" t="s">
        <v>26</v>
      </c>
      <c r="L13">
        <v>37.700000000000003</v>
      </c>
      <c r="N13" s="22">
        <v>10</v>
      </c>
      <c r="O13" s="24" t="s">
        <v>18</v>
      </c>
      <c r="P13" s="25">
        <f>VLOOKUP(O13,KamiBox!$C$2:$F$58,4,0)</f>
        <v>200</v>
      </c>
      <c r="Q13" s="26">
        <f t="shared" si="0"/>
        <v>23.65</v>
      </c>
      <c r="R13" s="25">
        <f t="shared" si="1"/>
        <v>4730</v>
      </c>
      <c r="T13" s="22">
        <v>10</v>
      </c>
      <c r="U13" s="24" t="s">
        <v>18</v>
      </c>
      <c r="V13" s="25">
        <f>VLOOKUP(U13,KamiBox!$C$2:$F$58,4,0)</f>
        <v>200</v>
      </c>
      <c r="W13" s="26"/>
      <c r="X13" s="25">
        <f t="shared" si="2"/>
        <v>0</v>
      </c>
      <c r="Z13" s="67"/>
      <c r="AA13" s="68"/>
      <c r="AB13" s="69"/>
    </row>
    <row r="14" spans="1:28" x14ac:dyDescent="0.35">
      <c r="A14" s="13" t="s">
        <v>176</v>
      </c>
      <c r="B14" s="13" t="s">
        <v>34</v>
      </c>
      <c r="C14" s="13">
        <v>3.75</v>
      </c>
      <c r="D14" s="17">
        <v>5000</v>
      </c>
      <c r="E14" s="17">
        <v>18750</v>
      </c>
      <c r="G14" s="14" t="s">
        <v>179</v>
      </c>
      <c r="H14">
        <v>12.6</v>
      </c>
      <c r="I14" s="19">
        <v>11160</v>
      </c>
      <c r="K14" s="14" t="s">
        <v>128</v>
      </c>
      <c r="L14">
        <v>3.8000000000000007</v>
      </c>
      <c r="N14" s="22">
        <v>11</v>
      </c>
      <c r="O14" s="24" t="s">
        <v>19</v>
      </c>
      <c r="P14" s="25">
        <f>VLOOKUP(O14,KamiBox!$C$2:$F$58,4,0)</f>
        <v>100</v>
      </c>
      <c r="Q14" s="26">
        <f t="shared" si="0"/>
        <v>0</v>
      </c>
      <c r="R14" s="25">
        <f t="shared" si="1"/>
        <v>0</v>
      </c>
      <c r="T14" s="22">
        <v>11</v>
      </c>
      <c r="U14" s="24" t="s">
        <v>19</v>
      </c>
      <c r="V14" s="25">
        <f>VLOOKUP(U14,KamiBox!$C$2:$F$58,4,0)</f>
        <v>100</v>
      </c>
      <c r="W14" s="26"/>
      <c r="X14" s="25">
        <f t="shared" si="2"/>
        <v>0</v>
      </c>
      <c r="Z14" s="67"/>
      <c r="AA14" s="68"/>
      <c r="AB14" s="69"/>
    </row>
    <row r="15" spans="1:28" x14ac:dyDescent="0.35">
      <c r="A15" s="13" t="s">
        <v>176</v>
      </c>
      <c r="B15" s="13" t="s">
        <v>25</v>
      </c>
      <c r="C15" s="13">
        <v>0.25</v>
      </c>
      <c r="D15" s="17">
        <v>1000</v>
      </c>
      <c r="E15" s="17">
        <v>250</v>
      </c>
      <c r="G15" s="14" t="s">
        <v>98</v>
      </c>
      <c r="H15">
        <v>6.6499999999999995</v>
      </c>
      <c r="I15" s="19">
        <v>7288</v>
      </c>
      <c r="K15" s="14" t="s">
        <v>29</v>
      </c>
      <c r="L15">
        <v>4.55</v>
      </c>
      <c r="N15" s="22">
        <v>12</v>
      </c>
      <c r="O15" s="24" t="s">
        <v>20</v>
      </c>
      <c r="P15" s="25">
        <f>VLOOKUP(O15,KamiBox!$C$2:$F$58,4,0)</f>
        <v>800</v>
      </c>
      <c r="Q15" s="26">
        <f t="shared" si="0"/>
        <v>0.8</v>
      </c>
      <c r="R15" s="25">
        <f t="shared" si="1"/>
        <v>640</v>
      </c>
      <c r="T15" s="22">
        <v>12</v>
      </c>
      <c r="U15" s="24" t="s">
        <v>20</v>
      </c>
      <c r="V15" s="25">
        <f>VLOOKUP(U15,KamiBox!$C$2:$F$58,4,0)</f>
        <v>800</v>
      </c>
      <c r="W15" s="26"/>
      <c r="X15" s="25">
        <f t="shared" si="2"/>
        <v>0</v>
      </c>
      <c r="Z15" s="67"/>
      <c r="AA15" s="68"/>
      <c r="AB15" s="69"/>
    </row>
    <row r="16" spans="1:28" x14ac:dyDescent="0.35">
      <c r="A16" s="13" t="s">
        <v>176</v>
      </c>
      <c r="B16" s="13" t="s">
        <v>51</v>
      </c>
      <c r="C16" s="13">
        <v>1.45</v>
      </c>
      <c r="D16" s="17">
        <v>500</v>
      </c>
      <c r="E16" s="17">
        <v>725</v>
      </c>
      <c r="G16" s="14" t="s">
        <v>99</v>
      </c>
      <c r="H16">
        <v>3.1</v>
      </c>
      <c r="I16" s="19">
        <v>2230</v>
      </c>
      <c r="K16" s="14" t="s">
        <v>100</v>
      </c>
      <c r="L16">
        <v>1.8</v>
      </c>
      <c r="N16" s="22">
        <v>13</v>
      </c>
      <c r="O16" s="24" t="s">
        <v>94</v>
      </c>
      <c r="P16" s="25">
        <f>VLOOKUP(O16,KamiBox!$C$2:$F$58,4,0)</f>
        <v>5000</v>
      </c>
      <c r="Q16" s="26">
        <v>4.3</v>
      </c>
      <c r="R16" s="25">
        <f t="shared" si="1"/>
        <v>21500</v>
      </c>
      <c r="S16">
        <v>57.449999999999996</v>
      </c>
      <c r="T16" s="22">
        <v>13</v>
      </c>
      <c r="U16" s="24" t="s">
        <v>94</v>
      </c>
      <c r="V16" s="25">
        <v>5500</v>
      </c>
      <c r="W16" s="26">
        <v>62</v>
      </c>
      <c r="X16" s="25">
        <v>342000</v>
      </c>
      <c r="Y16" t="s">
        <v>299</v>
      </c>
      <c r="Z16" s="67"/>
      <c r="AA16" s="68"/>
      <c r="AB16" s="69"/>
    </row>
    <row r="17" spans="1:28" x14ac:dyDescent="0.35">
      <c r="A17" s="13" t="s">
        <v>176</v>
      </c>
      <c r="B17" s="13" t="s">
        <v>41</v>
      </c>
      <c r="C17" s="13">
        <v>0.9</v>
      </c>
      <c r="D17" s="17">
        <v>1000</v>
      </c>
      <c r="E17" s="17">
        <v>900</v>
      </c>
      <c r="G17" s="14" t="s">
        <v>101</v>
      </c>
      <c r="H17">
        <v>7.6499999999999995</v>
      </c>
      <c r="I17" s="19">
        <v>15285</v>
      </c>
      <c r="K17" s="14" t="s">
        <v>34</v>
      </c>
      <c r="L17">
        <v>91.45</v>
      </c>
      <c r="M17">
        <f>C383</f>
        <v>46</v>
      </c>
      <c r="N17" s="22">
        <v>14</v>
      </c>
      <c r="O17" s="24" t="s">
        <v>22</v>
      </c>
      <c r="P17" s="25">
        <f>VLOOKUP(O17,KamiBox!$C$2:$F$58,4,0)</f>
        <v>2500</v>
      </c>
      <c r="Q17" s="26">
        <f t="shared" si="0"/>
        <v>4.8499999999999996</v>
      </c>
      <c r="R17" s="25">
        <f t="shared" si="1"/>
        <v>12125</v>
      </c>
      <c r="T17" s="22">
        <v>14</v>
      </c>
      <c r="U17" s="24" t="s">
        <v>22</v>
      </c>
      <c r="V17" s="25">
        <f>VLOOKUP(U17,KamiBox!$C$2:$F$58,4,0)</f>
        <v>2500</v>
      </c>
      <c r="W17" s="26"/>
      <c r="X17" s="25">
        <f t="shared" si="2"/>
        <v>0</v>
      </c>
      <c r="Z17" s="67"/>
      <c r="AA17" s="68"/>
      <c r="AB17" s="69"/>
    </row>
    <row r="18" spans="1:28" x14ac:dyDescent="0.35">
      <c r="A18" s="13" t="s">
        <v>176</v>
      </c>
      <c r="B18" s="13" t="s">
        <v>94</v>
      </c>
      <c r="C18" s="13">
        <v>0.85</v>
      </c>
      <c r="D18" s="17">
        <v>2800</v>
      </c>
      <c r="E18" s="17">
        <v>2380</v>
      </c>
      <c r="G18" s="14" t="s">
        <v>225</v>
      </c>
      <c r="H18">
        <v>44.399999999999991</v>
      </c>
      <c r="I18" s="19">
        <v>53002</v>
      </c>
      <c r="K18" s="14" t="s">
        <v>293</v>
      </c>
      <c r="L18">
        <v>2.25</v>
      </c>
      <c r="M18">
        <f>GETPIVOTDATA("Berat",$K$2,"Material","Jelantah")-M17</f>
        <v>45.45</v>
      </c>
      <c r="N18" s="22">
        <v>15</v>
      </c>
      <c r="O18" s="24" t="s">
        <v>23</v>
      </c>
      <c r="P18" s="25">
        <f>VLOOKUP(O18,KamiBox!$C$2:$F$58,4,0)</f>
        <v>1000</v>
      </c>
      <c r="Q18" s="26">
        <f t="shared" si="0"/>
        <v>0</v>
      </c>
      <c r="R18" s="25">
        <f t="shared" si="1"/>
        <v>0</v>
      </c>
      <c r="T18" s="22">
        <v>15</v>
      </c>
      <c r="U18" s="24" t="s">
        <v>23</v>
      </c>
      <c r="V18" s="25">
        <f>VLOOKUP(U18,KamiBox!$C$2:$F$58,4,0)</f>
        <v>1000</v>
      </c>
      <c r="W18" s="26"/>
      <c r="X18" s="25">
        <f t="shared" si="2"/>
        <v>0</v>
      </c>
      <c r="Z18" s="67"/>
      <c r="AA18" s="68"/>
      <c r="AB18" s="69"/>
    </row>
    <row r="19" spans="1:28" x14ac:dyDescent="0.35">
      <c r="A19" s="13" t="s">
        <v>176</v>
      </c>
      <c r="B19" s="13" t="s">
        <v>26</v>
      </c>
      <c r="C19" s="13">
        <v>1.4</v>
      </c>
      <c r="D19" s="17">
        <v>1000</v>
      </c>
      <c r="E19" s="17">
        <v>1400</v>
      </c>
      <c r="G19" s="14" t="s">
        <v>102</v>
      </c>
      <c r="H19">
        <v>5.0500000000000007</v>
      </c>
      <c r="I19" s="19">
        <v>6130</v>
      </c>
      <c r="K19" s="14" t="s">
        <v>39</v>
      </c>
      <c r="L19">
        <v>12.900000000000004</v>
      </c>
      <c r="M19">
        <f>M18*5000</f>
        <v>227250</v>
      </c>
      <c r="N19" s="22">
        <v>16</v>
      </c>
      <c r="O19" s="24" t="s">
        <v>125</v>
      </c>
      <c r="P19" s="25">
        <f>VLOOKUP(O19,KamiBox!$C$2:$F$58,4,0)</f>
        <v>1000</v>
      </c>
      <c r="Q19" s="26">
        <f t="shared" si="0"/>
        <v>98.15</v>
      </c>
      <c r="R19" s="25">
        <f t="shared" si="1"/>
        <v>98150</v>
      </c>
      <c r="T19" s="22">
        <v>16</v>
      </c>
      <c r="U19" s="24" t="s">
        <v>125</v>
      </c>
      <c r="V19" s="25">
        <f>VLOOKUP(U19,KamiBox!$C$2:$F$58,4,0)</f>
        <v>1000</v>
      </c>
      <c r="W19" s="26"/>
      <c r="X19" s="25">
        <f t="shared" si="2"/>
        <v>0</v>
      </c>
      <c r="Z19" s="67"/>
      <c r="AA19" s="68"/>
      <c r="AB19" s="69"/>
    </row>
    <row r="20" spans="1:28" x14ac:dyDescent="0.35">
      <c r="A20" s="13" t="s">
        <v>176</v>
      </c>
      <c r="B20" s="13" t="s">
        <v>60</v>
      </c>
      <c r="C20" s="13">
        <v>0.1</v>
      </c>
      <c r="D20" s="17">
        <v>2500</v>
      </c>
      <c r="E20" s="17">
        <v>250</v>
      </c>
      <c r="G20" s="14" t="s">
        <v>195</v>
      </c>
      <c r="H20">
        <v>1.5</v>
      </c>
      <c r="I20" s="19">
        <v>1970</v>
      </c>
      <c r="K20" s="14" t="s">
        <v>41</v>
      </c>
      <c r="L20">
        <v>168.69999999999993</v>
      </c>
      <c r="N20" s="22">
        <v>17</v>
      </c>
      <c r="O20" s="24" t="s">
        <v>25</v>
      </c>
      <c r="P20" s="25">
        <f>VLOOKUP(O20,KamiBox!$C$2:$F$58,4,0)</f>
        <v>1200</v>
      </c>
      <c r="Q20" s="26">
        <f t="shared" si="0"/>
        <v>93.679999999999993</v>
      </c>
      <c r="R20" s="25">
        <f t="shared" si="1"/>
        <v>112415.99999999999</v>
      </c>
      <c r="T20" s="22">
        <v>17</v>
      </c>
      <c r="U20" s="24" t="s">
        <v>25</v>
      </c>
      <c r="V20" s="25">
        <f>VLOOKUP(U20,KamiBox!$C$2:$F$58,4,0)</f>
        <v>1200</v>
      </c>
      <c r="W20" s="26"/>
      <c r="X20" s="25">
        <f t="shared" si="2"/>
        <v>0</v>
      </c>
      <c r="Z20" s="70"/>
      <c r="AA20" s="71"/>
      <c r="AB20" s="72"/>
    </row>
    <row r="21" spans="1:28" x14ac:dyDescent="0.35">
      <c r="A21" s="13" t="s">
        <v>86</v>
      </c>
      <c r="B21" s="13" t="s">
        <v>53</v>
      </c>
      <c r="C21" s="13">
        <v>0.5</v>
      </c>
      <c r="D21" s="17">
        <v>300</v>
      </c>
      <c r="E21" s="17">
        <v>150</v>
      </c>
      <c r="G21" s="14" t="s">
        <v>204</v>
      </c>
      <c r="H21">
        <v>10.28</v>
      </c>
      <c r="I21" s="19">
        <v>8220</v>
      </c>
      <c r="K21" s="14" t="s">
        <v>263</v>
      </c>
      <c r="L21">
        <v>3.8</v>
      </c>
      <c r="N21" s="22">
        <v>18</v>
      </c>
      <c r="O21" s="24" t="s">
        <v>26</v>
      </c>
      <c r="P21" s="25">
        <f>VLOOKUP(O21,KamiBox!$C$2:$F$58,4,0)</f>
        <v>1000</v>
      </c>
      <c r="Q21" s="26">
        <v>35.700000000000003</v>
      </c>
      <c r="R21" s="25">
        <f t="shared" si="1"/>
        <v>35700</v>
      </c>
      <c r="T21" s="22">
        <v>18</v>
      </c>
      <c r="U21" s="24" t="s">
        <v>26</v>
      </c>
      <c r="V21" s="25">
        <f>VLOOKUP(U21,KamiBox!$C$2:$F$58,4,0)</f>
        <v>1000</v>
      </c>
      <c r="W21" s="26"/>
      <c r="X21" s="25">
        <f t="shared" si="2"/>
        <v>0</v>
      </c>
    </row>
    <row r="22" spans="1:28" x14ac:dyDescent="0.35">
      <c r="A22" s="13" t="s">
        <v>86</v>
      </c>
      <c r="B22" s="13" t="s">
        <v>18</v>
      </c>
      <c r="C22" s="13">
        <v>0.95</v>
      </c>
      <c r="D22" s="17">
        <v>150</v>
      </c>
      <c r="E22" s="17">
        <v>143</v>
      </c>
      <c r="G22" s="14" t="s">
        <v>103</v>
      </c>
      <c r="H22">
        <v>2.75</v>
      </c>
      <c r="I22" s="19">
        <v>3545</v>
      </c>
      <c r="K22" s="14" t="s">
        <v>44</v>
      </c>
      <c r="L22">
        <v>1.4</v>
      </c>
      <c r="N22" s="22">
        <v>19</v>
      </c>
      <c r="O22" s="24" t="s">
        <v>27</v>
      </c>
      <c r="P22" s="25">
        <f>VLOOKUP(O22,KamiBox!$C$2:$F$58,4,0)</f>
        <v>3000</v>
      </c>
      <c r="Q22" s="26">
        <f t="shared" si="0"/>
        <v>0</v>
      </c>
      <c r="R22" s="25">
        <f t="shared" si="1"/>
        <v>0</v>
      </c>
      <c r="T22" s="22">
        <v>19</v>
      </c>
      <c r="U22" s="24" t="s">
        <v>27</v>
      </c>
      <c r="V22" s="25">
        <f>VLOOKUP(U22,KamiBox!$C$2:$F$58,4,0)</f>
        <v>3000</v>
      </c>
      <c r="W22" s="26"/>
      <c r="X22" s="25">
        <f t="shared" si="2"/>
        <v>0</v>
      </c>
    </row>
    <row r="23" spans="1:28" x14ac:dyDescent="0.35">
      <c r="A23" s="13" t="s">
        <v>86</v>
      </c>
      <c r="B23" s="13" t="s">
        <v>25</v>
      </c>
      <c r="C23" s="13">
        <v>1.05</v>
      </c>
      <c r="D23" s="17">
        <v>1000</v>
      </c>
      <c r="E23" s="17">
        <v>1050</v>
      </c>
      <c r="G23" s="14" t="s">
        <v>221</v>
      </c>
      <c r="H23">
        <v>2.15</v>
      </c>
      <c r="I23" s="19">
        <v>1820</v>
      </c>
      <c r="K23" s="14" t="s">
        <v>46</v>
      </c>
      <c r="L23">
        <v>1.75</v>
      </c>
      <c r="N23" s="22">
        <v>20</v>
      </c>
      <c r="O23" s="24" t="s">
        <v>28</v>
      </c>
      <c r="P23" s="25">
        <f>VLOOKUP(O23,KamiBox!$C$2:$F$58,4,0)</f>
        <v>4000</v>
      </c>
      <c r="Q23" s="26">
        <v>3.8</v>
      </c>
      <c r="R23" s="25">
        <f t="shared" si="1"/>
        <v>15200</v>
      </c>
      <c r="T23" s="22">
        <v>20</v>
      </c>
      <c r="U23" s="24" t="s">
        <v>28</v>
      </c>
      <c r="V23" s="25">
        <f>VLOOKUP(U23,KamiBox!$C$2:$F$58,4,0)</f>
        <v>4000</v>
      </c>
      <c r="W23" s="26"/>
      <c r="X23" s="25">
        <f t="shared" si="2"/>
        <v>0</v>
      </c>
    </row>
    <row r="24" spans="1:28" x14ac:dyDescent="0.35">
      <c r="A24" s="13" t="s">
        <v>86</v>
      </c>
      <c r="B24" s="13" t="s">
        <v>94</v>
      </c>
      <c r="C24" s="13">
        <v>1.5</v>
      </c>
      <c r="D24" s="17">
        <v>2800</v>
      </c>
      <c r="E24" s="17">
        <v>4200</v>
      </c>
      <c r="G24" s="14" t="s">
        <v>162</v>
      </c>
      <c r="H24">
        <v>8.6500000000000021</v>
      </c>
      <c r="I24" s="19">
        <v>9815</v>
      </c>
      <c r="K24" s="14" t="s">
        <v>51</v>
      </c>
      <c r="L24">
        <v>45.55</v>
      </c>
      <c r="N24" s="22">
        <v>21</v>
      </c>
      <c r="O24" s="24" t="s">
        <v>29</v>
      </c>
      <c r="P24" s="25">
        <f>VLOOKUP(O24,KamiBox!$C$2:$F$58,4,0)</f>
        <v>2000</v>
      </c>
      <c r="Q24" s="26">
        <f t="shared" si="0"/>
        <v>4.55</v>
      </c>
      <c r="R24" s="25">
        <f t="shared" si="1"/>
        <v>9100</v>
      </c>
      <c r="T24" s="22">
        <v>21</v>
      </c>
      <c r="U24" s="24" t="s">
        <v>29</v>
      </c>
      <c r="V24" s="25">
        <f>VLOOKUP(U24,KamiBox!$C$2:$F$58,4,0)</f>
        <v>2000</v>
      </c>
      <c r="W24" s="26"/>
      <c r="X24" s="25">
        <f t="shared" si="2"/>
        <v>0</v>
      </c>
    </row>
    <row r="25" spans="1:28" x14ac:dyDescent="0.35">
      <c r="A25" s="13" t="s">
        <v>86</v>
      </c>
      <c r="B25" s="13" t="s">
        <v>51</v>
      </c>
      <c r="C25" s="13">
        <v>1.5</v>
      </c>
      <c r="D25" s="17">
        <v>500</v>
      </c>
      <c r="E25" s="17">
        <v>750</v>
      </c>
      <c r="G25" s="14" t="s">
        <v>105</v>
      </c>
      <c r="H25">
        <v>4.2</v>
      </c>
      <c r="I25" s="19">
        <v>6708</v>
      </c>
      <c r="K25" s="14" t="s">
        <v>53</v>
      </c>
      <c r="L25">
        <v>87.4</v>
      </c>
      <c r="N25" s="22">
        <v>22</v>
      </c>
      <c r="O25" s="24" t="s">
        <v>30</v>
      </c>
      <c r="P25" s="25">
        <f>VLOOKUP(O25,KamiBox!$C$2:$F$58,4,0)</f>
        <v>5000</v>
      </c>
      <c r="Q25" s="26">
        <f t="shared" si="0"/>
        <v>0</v>
      </c>
      <c r="R25" s="25">
        <f t="shared" si="1"/>
        <v>0</v>
      </c>
      <c r="T25" s="22">
        <v>22</v>
      </c>
      <c r="U25" s="24" t="s">
        <v>30</v>
      </c>
      <c r="V25" s="25">
        <f>VLOOKUP(U25,KamiBox!$C$2:$F$58,4,0)</f>
        <v>5000</v>
      </c>
      <c r="W25" s="26"/>
      <c r="X25" s="25">
        <f t="shared" si="2"/>
        <v>0</v>
      </c>
    </row>
    <row r="26" spans="1:28" x14ac:dyDescent="0.35">
      <c r="A26" s="13" t="s">
        <v>86</v>
      </c>
      <c r="B26" s="13" t="s">
        <v>41</v>
      </c>
      <c r="C26" s="13">
        <v>3.65</v>
      </c>
      <c r="D26" s="17">
        <v>1000</v>
      </c>
      <c r="E26" s="17">
        <v>3650</v>
      </c>
      <c r="G26" s="14" t="s">
        <v>106</v>
      </c>
      <c r="H26">
        <v>7.9</v>
      </c>
      <c r="I26" s="19">
        <v>7810</v>
      </c>
      <c r="K26" s="14" t="s">
        <v>54</v>
      </c>
      <c r="L26">
        <v>2.1</v>
      </c>
      <c r="N26" s="22">
        <v>23</v>
      </c>
      <c r="O26" s="24" t="s">
        <v>100</v>
      </c>
      <c r="P26" s="25">
        <f>VLOOKUP(O26,KamiBox!$C$2:$F$58,4,0)</f>
        <v>2000</v>
      </c>
      <c r="Q26" s="26">
        <f t="shared" si="0"/>
        <v>1.8</v>
      </c>
      <c r="R26" s="25">
        <f t="shared" si="1"/>
        <v>3600</v>
      </c>
      <c r="T26" s="22">
        <v>23</v>
      </c>
      <c r="U26" s="24" t="s">
        <v>100</v>
      </c>
      <c r="V26" s="25">
        <f>VLOOKUP(U26,KamiBox!$C$2:$F$58,4,0)</f>
        <v>2000</v>
      </c>
      <c r="W26" s="26"/>
      <c r="X26" s="25">
        <f t="shared" si="2"/>
        <v>0</v>
      </c>
    </row>
    <row r="27" spans="1:28" x14ac:dyDescent="0.35">
      <c r="A27" s="13" t="s">
        <v>88</v>
      </c>
      <c r="B27" s="13" t="s">
        <v>39</v>
      </c>
      <c r="C27" s="13">
        <v>0.7</v>
      </c>
      <c r="D27" s="17">
        <v>1500</v>
      </c>
      <c r="E27" s="17">
        <v>1050</v>
      </c>
      <c r="G27" s="14" t="s">
        <v>107</v>
      </c>
      <c r="H27">
        <v>2.9499999999999997</v>
      </c>
      <c r="I27" s="19">
        <v>4330</v>
      </c>
      <c r="K27" s="14" t="s">
        <v>266</v>
      </c>
      <c r="L27">
        <v>11.049999999999999</v>
      </c>
      <c r="N27" s="22">
        <v>24</v>
      </c>
      <c r="O27" s="24" t="s">
        <v>33</v>
      </c>
      <c r="P27" s="25">
        <f>VLOOKUP(O27,KamiBox!$C$2:$F$58,4,0)</f>
        <v>700</v>
      </c>
      <c r="Q27" s="26">
        <f t="shared" si="0"/>
        <v>0</v>
      </c>
      <c r="R27" s="25">
        <f t="shared" si="1"/>
        <v>0</v>
      </c>
      <c r="T27" s="22">
        <v>24</v>
      </c>
      <c r="U27" s="24" t="s">
        <v>33</v>
      </c>
      <c r="V27" s="25">
        <f>VLOOKUP(U27,KamiBox!$C$2:$F$58,4,0)</f>
        <v>700</v>
      </c>
      <c r="W27" s="26"/>
      <c r="X27" s="25">
        <f t="shared" si="2"/>
        <v>0</v>
      </c>
    </row>
    <row r="28" spans="1:28" x14ac:dyDescent="0.35">
      <c r="A28" s="13" t="s">
        <v>88</v>
      </c>
      <c r="B28" s="13" t="s">
        <v>18</v>
      </c>
      <c r="C28" s="13">
        <v>1.45</v>
      </c>
      <c r="D28" s="17">
        <v>150</v>
      </c>
      <c r="E28" s="17">
        <v>218</v>
      </c>
      <c r="G28" s="14" t="s">
        <v>206</v>
      </c>
      <c r="H28">
        <v>6.3500000000000005</v>
      </c>
      <c r="I28" s="19">
        <v>7415</v>
      </c>
      <c r="K28" s="14" t="s">
        <v>126</v>
      </c>
      <c r="L28">
        <v>17.2</v>
      </c>
      <c r="N28" s="22">
        <v>25</v>
      </c>
      <c r="O28" s="24" t="s">
        <v>34</v>
      </c>
      <c r="P28" s="25">
        <f>VLOOKUP(O28,KamiBox!$C$2:$F$58,4,0)</f>
        <v>7000</v>
      </c>
      <c r="Q28" s="26">
        <v>0</v>
      </c>
      <c r="R28" s="25">
        <f t="shared" si="1"/>
        <v>0</v>
      </c>
      <c r="T28" s="22">
        <v>25</v>
      </c>
      <c r="U28" s="24" t="s">
        <v>34</v>
      </c>
      <c r="V28" s="25">
        <v>8800</v>
      </c>
      <c r="W28" s="26">
        <f>45.45+46</f>
        <v>91.45</v>
      </c>
      <c r="X28" s="25">
        <f>V28*W28</f>
        <v>804760</v>
      </c>
      <c r="Y28" t="s">
        <v>302</v>
      </c>
    </row>
    <row r="29" spans="1:28" x14ac:dyDescent="0.35">
      <c r="A29" s="13" t="s">
        <v>88</v>
      </c>
      <c r="B29" s="13" t="s">
        <v>22</v>
      </c>
      <c r="C29" s="13">
        <v>0.25</v>
      </c>
      <c r="D29" s="17">
        <v>1600</v>
      </c>
      <c r="E29" s="17">
        <v>400</v>
      </c>
      <c r="G29" s="14" t="s">
        <v>196</v>
      </c>
      <c r="H29">
        <v>2.4500000000000002</v>
      </c>
      <c r="I29" s="19">
        <v>2075</v>
      </c>
      <c r="K29" s="14" t="s">
        <v>57</v>
      </c>
      <c r="L29">
        <v>0.25</v>
      </c>
      <c r="N29" s="22">
        <v>26</v>
      </c>
      <c r="O29" s="24" t="s">
        <v>35</v>
      </c>
      <c r="P29" s="25">
        <f>VLOOKUP(O29,KamiBox!$C$2:$F$58,4,0)</f>
        <v>1500</v>
      </c>
      <c r="Q29" s="26">
        <v>2.25</v>
      </c>
      <c r="R29" s="25">
        <f t="shared" si="1"/>
        <v>3375</v>
      </c>
      <c r="T29" s="22">
        <v>26</v>
      </c>
      <c r="U29" s="24" t="s">
        <v>35</v>
      </c>
      <c r="V29" s="25">
        <f>VLOOKUP(U29,KamiBox!$C$2:$F$58,4,0)</f>
        <v>1500</v>
      </c>
      <c r="W29" s="26"/>
      <c r="X29" s="25">
        <f t="shared" si="2"/>
        <v>0</v>
      </c>
    </row>
    <row r="30" spans="1:28" x14ac:dyDescent="0.35">
      <c r="A30" s="13" t="s">
        <v>88</v>
      </c>
      <c r="B30" s="13" t="s">
        <v>51</v>
      </c>
      <c r="C30" s="13">
        <v>3.7</v>
      </c>
      <c r="D30" s="17">
        <v>500</v>
      </c>
      <c r="E30" s="17">
        <v>1850</v>
      </c>
      <c r="G30" s="14" t="s">
        <v>109</v>
      </c>
      <c r="H30">
        <v>7.75</v>
      </c>
      <c r="I30" s="19">
        <v>6565</v>
      </c>
      <c r="K30" s="14" t="s">
        <v>60</v>
      </c>
      <c r="L30">
        <v>5.55</v>
      </c>
      <c r="N30" s="22">
        <v>27</v>
      </c>
      <c r="O30" s="24" t="s">
        <v>37</v>
      </c>
      <c r="P30" s="25">
        <f>VLOOKUP(O30,KamiBox!$C$2:$F$58,4,0)</f>
        <v>2000</v>
      </c>
      <c r="Q30" s="26">
        <v>17.2</v>
      </c>
      <c r="R30" s="25">
        <f t="shared" si="1"/>
        <v>34400</v>
      </c>
      <c r="T30" s="22">
        <v>27</v>
      </c>
      <c r="U30" s="24" t="s">
        <v>37</v>
      </c>
      <c r="V30" s="25">
        <f>VLOOKUP(U30,KamiBox!$C$2:$F$58,4,0)</f>
        <v>2000</v>
      </c>
      <c r="W30" s="26"/>
      <c r="X30" s="25">
        <f t="shared" si="2"/>
        <v>0</v>
      </c>
    </row>
    <row r="31" spans="1:28" x14ac:dyDescent="0.35">
      <c r="A31" s="13" t="s">
        <v>88</v>
      </c>
      <c r="B31" s="13" t="s">
        <v>53</v>
      </c>
      <c r="C31" s="13">
        <v>2.75</v>
      </c>
      <c r="D31" s="17">
        <v>300</v>
      </c>
      <c r="E31" s="17">
        <v>825</v>
      </c>
      <c r="G31" s="14" t="s">
        <v>110</v>
      </c>
      <c r="H31">
        <v>6.45</v>
      </c>
      <c r="I31" s="19">
        <v>6695</v>
      </c>
      <c r="K31" s="14" t="s">
        <v>61</v>
      </c>
      <c r="L31">
        <v>0.55000000000000004</v>
      </c>
      <c r="N31" s="22">
        <v>28</v>
      </c>
      <c r="O31" s="24" t="s">
        <v>38</v>
      </c>
      <c r="P31" s="25">
        <f>VLOOKUP(O31,KamiBox!$C$2:$F$58,4,0)</f>
        <v>100</v>
      </c>
      <c r="Q31" s="26">
        <f t="shared" si="0"/>
        <v>0</v>
      </c>
      <c r="R31" s="25">
        <f t="shared" si="1"/>
        <v>0</v>
      </c>
      <c r="T31" s="22">
        <v>28</v>
      </c>
      <c r="U31" s="24" t="s">
        <v>38</v>
      </c>
      <c r="V31" s="25">
        <f>VLOOKUP(U31,KamiBox!$C$2:$F$58,4,0)</f>
        <v>100</v>
      </c>
      <c r="W31" s="26"/>
      <c r="X31" s="25">
        <f t="shared" si="2"/>
        <v>0</v>
      </c>
    </row>
    <row r="32" spans="1:28" x14ac:dyDescent="0.35">
      <c r="A32" s="13" t="s">
        <v>88</v>
      </c>
      <c r="B32" s="13" t="s">
        <v>125</v>
      </c>
      <c r="C32" s="13">
        <v>3.45</v>
      </c>
      <c r="D32" s="17">
        <v>800</v>
      </c>
      <c r="E32" s="17">
        <v>2760</v>
      </c>
      <c r="G32" s="14" t="s">
        <v>208</v>
      </c>
      <c r="H32">
        <v>11.3</v>
      </c>
      <c r="I32" s="19">
        <v>30020</v>
      </c>
      <c r="K32" s="14" t="s">
        <v>124</v>
      </c>
      <c r="L32">
        <v>825.67999999999972</v>
      </c>
      <c r="N32" s="22">
        <v>29</v>
      </c>
      <c r="O32" s="24" t="s">
        <v>39</v>
      </c>
      <c r="P32" s="25">
        <f>VLOOKUP(O32,KamiBox!$C$2:$F$58,4,0)</f>
        <v>2000</v>
      </c>
      <c r="Q32" s="26">
        <f t="shared" si="0"/>
        <v>12.900000000000004</v>
      </c>
      <c r="R32" s="25">
        <f t="shared" si="1"/>
        <v>25800.000000000007</v>
      </c>
      <c r="T32" s="22">
        <v>29</v>
      </c>
      <c r="U32" s="24" t="s">
        <v>39</v>
      </c>
      <c r="V32" s="25">
        <f>VLOOKUP(U32,KamiBox!$C$2:$F$58,4,0)</f>
        <v>2000</v>
      </c>
      <c r="W32" s="26"/>
      <c r="X32" s="25">
        <f t="shared" si="2"/>
        <v>0</v>
      </c>
    </row>
    <row r="33" spans="1:25" x14ac:dyDescent="0.35">
      <c r="A33" s="13" t="s">
        <v>88</v>
      </c>
      <c r="B33" s="13" t="s">
        <v>41</v>
      </c>
      <c r="C33" s="13">
        <v>5.15</v>
      </c>
      <c r="D33" s="17">
        <v>1000</v>
      </c>
      <c r="E33" s="17">
        <v>5150</v>
      </c>
      <c r="G33" s="14" t="s">
        <v>112</v>
      </c>
      <c r="H33">
        <v>13.600000000000001</v>
      </c>
      <c r="I33" s="19">
        <v>13880</v>
      </c>
      <c r="N33" s="22">
        <v>30</v>
      </c>
      <c r="O33" s="24" t="s">
        <v>40</v>
      </c>
      <c r="P33" s="25">
        <f>VLOOKUP(O33,KamiBox!$C$2:$F$58,4,0)</f>
        <v>1800</v>
      </c>
      <c r="Q33" s="26">
        <f t="shared" si="0"/>
        <v>0</v>
      </c>
      <c r="R33" s="25">
        <f t="shared" si="1"/>
        <v>0</v>
      </c>
      <c r="T33" s="22">
        <v>30</v>
      </c>
      <c r="U33" s="24" t="s">
        <v>40</v>
      </c>
      <c r="V33" s="25">
        <f>VLOOKUP(U33,KamiBox!$C$2:$F$58,4,0)</f>
        <v>1800</v>
      </c>
      <c r="W33" s="26"/>
      <c r="X33" s="25">
        <f t="shared" si="2"/>
        <v>0</v>
      </c>
    </row>
    <row r="34" spans="1:25" x14ac:dyDescent="0.35">
      <c r="A34" s="13" t="s">
        <v>88</v>
      </c>
      <c r="B34" s="13" t="s">
        <v>94</v>
      </c>
      <c r="C34" s="13">
        <v>1.85</v>
      </c>
      <c r="D34" s="17">
        <v>2800</v>
      </c>
      <c r="E34" s="17">
        <v>5180</v>
      </c>
      <c r="G34" s="14" t="s">
        <v>113</v>
      </c>
      <c r="H34">
        <v>8.8500000000000014</v>
      </c>
      <c r="I34" s="19">
        <v>8690</v>
      </c>
      <c r="N34" s="22">
        <v>31</v>
      </c>
      <c r="O34" s="24" t="s">
        <v>41</v>
      </c>
      <c r="P34" s="25">
        <f>VLOOKUP(O34,KamiBox!$C$2:$F$58,4,0)</f>
        <v>1800</v>
      </c>
      <c r="Q34" s="26">
        <f t="shared" si="0"/>
        <v>168.69999999999993</v>
      </c>
      <c r="R34" s="25">
        <f t="shared" si="1"/>
        <v>303659.99999999988</v>
      </c>
      <c r="T34" s="22">
        <v>31</v>
      </c>
      <c r="U34" s="24" t="s">
        <v>41</v>
      </c>
      <c r="V34" s="25">
        <f>VLOOKUP(U34,KamiBox!$C$2:$F$58,4,0)</f>
        <v>1800</v>
      </c>
      <c r="W34" s="26"/>
      <c r="X34" s="25">
        <f t="shared" si="2"/>
        <v>0</v>
      </c>
    </row>
    <row r="35" spans="1:25" x14ac:dyDescent="0.35">
      <c r="A35" s="13" t="s">
        <v>88</v>
      </c>
      <c r="B35" s="13" t="s">
        <v>25</v>
      </c>
      <c r="C35" s="13">
        <v>1.65</v>
      </c>
      <c r="D35" s="17">
        <v>1000</v>
      </c>
      <c r="E35" s="17">
        <v>1650</v>
      </c>
      <c r="G35" s="14" t="s">
        <v>168</v>
      </c>
      <c r="H35">
        <v>24.650000000000002</v>
      </c>
      <c r="I35" s="19">
        <v>20800</v>
      </c>
      <c r="K35" s="14" t="s">
        <v>73</v>
      </c>
      <c r="N35" s="22">
        <v>32</v>
      </c>
      <c r="O35" s="24" t="s">
        <v>42</v>
      </c>
      <c r="P35" s="25">
        <f>VLOOKUP(O35,KamiBox!$C$2:$F$58,4,0)</f>
        <v>4000</v>
      </c>
      <c r="Q35" s="26">
        <f t="shared" si="0"/>
        <v>0</v>
      </c>
      <c r="R35" s="25">
        <f t="shared" si="1"/>
        <v>0</v>
      </c>
      <c r="T35" s="22">
        <v>32</v>
      </c>
      <c r="U35" s="24" t="s">
        <v>42</v>
      </c>
      <c r="V35" s="25">
        <f>VLOOKUP(U35,KamiBox!$C$2:$F$58,4,0)</f>
        <v>4000</v>
      </c>
      <c r="W35" s="26"/>
      <c r="X35" s="25">
        <f t="shared" si="2"/>
        <v>0</v>
      </c>
    </row>
    <row r="36" spans="1:25" x14ac:dyDescent="0.35">
      <c r="A36" s="13" t="s">
        <v>220</v>
      </c>
      <c r="B36" s="13" t="s">
        <v>15</v>
      </c>
      <c r="C36" s="13">
        <v>6.35</v>
      </c>
      <c r="D36" s="17">
        <v>2500</v>
      </c>
      <c r="E36" s="17">
        <v>15875</v>
      </c>
      <c r="G36" s="14" t="s">
        <v>114</v>
      </c>
      <c r="H36">
        <v>8.8000000000000007</v>
      </c>
      <c r="I36" s="19">
        <v>6720</v>
      </c>
      <c r="K36" s="5">
        <f>X58+R58-GETPIVOTDATA("Sum of Total",$G$2)</f>
        <v>735626</v>
      </c>
      <c r="N36" s="22">
        <v>33</v>
      </c>
      <c r="O36" s="24" t="s">
        <v>43</v>
      </c>
      <c r="P36" s="25">
        <f>VLOOKUP(O36,KamiBox!$C$2:$F$58,4,0)</f>
        <v>60000</v>
      </c>
      <c r="Q36" s="26">
        <f t="shared" si="0"/>
        <v>0</v>
      </c>
      <c r="R36" s="25">
        <f t="shared" si="1"/>
        <v>0</v>
      </c>
      <c r="T36" s="22">
        <v>33</v>
      </c>
      <c r="U36" s="24" t="s">
        <v>43</v>
      </c>
      <c r="V36" s="25">
        <f>VLOOKUP(U36,KamiBox!$C$2:$F$58,4,0)</f>
        <v>60000</v>
      </c>
      <c r="W36" s="26"/>
      <c r="X36" s="25">
        <f t="shared" si="2"/>
        <v>0</v>
      </c>
    </row>
    <row r="37" spans="1:25" x14ac:dyDescent="0.35">
      <c r="A37" s="13" t="s">
        <v>220</v>
      </c>
      <c r="B37" s="13" t="s">
        <v>18</v>
      </c>
      <c r="C37" s="13">
        <v>1.95</v>
      </c>
      <c r="D37" s="17">
        <v>150</v>
      </c>
      <c r="E37" s="17">
        <v>293</v>
      </c>
      <c r="G37" s="14" t="s">
        <v>213</v>
      </c>
      <c r="H37">
        <v>7.6999999999999993</v>
      </c>
      <c r="I37" s="19">
        <v>8510</v>
      </c>
      <c r="N37" s="22">
        <v>34</v>
      </c>
      <c r="O37" s="24" t="s">
        <v>44</v>
      </c>
      <c r="P37" s="25">
        <f>VLOOKUP(O37,KamiBox!$C$2:$F$58,4,0)</f>
        <v>700</v>
      </c>
      <c r="Q37" s="26">
        <f t="shared" si="0"/>
        <v>1.4</v>
      </c>
      <c r="R37" s="25">
        <f t="shared" si="1"/>
        <v>979.99999999999989</v>
      </c>
      <c r="T37" s="22">
        <v>34</v>
      </c>
      <c r="U37" s="24" t="s">
        <v>44</v>
      </c>
      <c r="V37" s="25">
        <f>VLOOKUP(U37,KamiBox!$C$2:$F$58,4,0)</f>
        <v>700</v>
      </c>
      <c r="W37" s="26"/>
      <c r="X37" s="25">
        <f t="shared" si="2"/>
        <v>0</v>
      </c>
    </row>
    <row r="38" spans="1:25" x14ac:dyDescent="0.35">
      <c r="A38" s="13" t="s">
        <v>220</v>
      </c>
      <c r="B38" s="13" t="s">
        <v>60</v>
      </c>
      <c r="C38" s="13">
        <v>0.05</v>
      </c>
      <c r="D38" s="17">
        <v>2500</v>
      </c>
      <c r="E38" s="17">
        <v>125</v>
      </c>
      <c r="G38" s="14" t="s">
        <v>116</v>
      </c>
      <c r="H38">
        <v>32.400000000000006</v>
      </c>
      <c r="I38" s="19">
        <v>122373</v>
      </c>
      <c r="N38" s="22">
        <v>35</v>
      </c>
      <c r="O38" s="24" t="s">
        <v>46</v>
      </c>
      <c r="P38" s="25">
        <f>VLOOKUP(O38,KamiBox!$C$2:$F$58,4,0)</f>
        <v>4000</v>
      </c>
      <c r="Q38" s="26">
        <f t="shared" si="0"/>
        <v>1.75</v>
      </c>
      <c r="R38" s="25">
        <f t="shared" si="1"/>
        <v>7000</v>
      </c>
      <c r="T38" s="22">
        <v>35</v>
      </c>
      <c r="U38" s="24" t="s">
        <v>46</v>
      </c>
      <c r="V38" s="25">
        <f>VLOOKUP(U38,KamiBox!$C$2:$F$58,4,0)</f>
        <v>4000</v>
      </c>
      <c r="W38" s="26"/>
      <c r="X38" s="25">
        <f t="shared" si="2"/>
        <v>0</v>
      </c>
    </row>
    <row r="39" spans="1:25" x14ac:dyDescent="0.35">
      <c r="A39" s="13" t="s">
        <v>220</v>
      </c>
      <c r="B39" s="13" t="s">
        <v>127</v>
      </c>
      <c r="C39" s="13">
        <v>0.1</v>
      </c>
      <c r="D39" s="17">
        <v>8000</v>
      </c>
      <c r="E39" s="17">
        <v>800</v>
      </c>
      <c r="G39" s="14" t="s">
        <v>214</v>
      </c>
      <c r="H39">
        <v>17.45</v>
      </c>
      <c r="I39" s="19">
        <v>17135</v>
      </c>
      <c r="N39" s="22">
        <v>36</v>
      </c>
      <c r="O39" s="24" t="s">
        <v>47</v>
      </c>
      <c r="P39" s="25">
        <f>VLOOKUP(O39,KamiBox!$C$2:$F$58,4,0)</f>
        <v>50000</v>
      </c>
      <c r="Q39" s="26">
        <f t="shared" si="0"/>
        <v>0</v>
      </c>
      <c r="R39" s="25">
        <f t="shared" si="1"/>
        <v>0</v>
      </c>
      <c r="T39" s="22">
        <v>36</v>
      </c>
      <c r="U39" s="24" t="s">
        <v>47</v>
      </c>
      <c r="V39" s="25">
        <f>VLOOKUP(U39,KamiBox!$C$2:$F$58,4,0)</f>
        <v>50000</v>
      </c>
      <c r="W39" s="26"/>
      <c r="X39" s="25">
        <f t="shared" si="2"/>
        <v>0</v>
      </c>
    </row>
    <row r="40" spans="1:25" x14ac:dyDescent="0.35">
      <c r="A40" s="13" t="s">
        <v>220</v>
      </c>
      <c r="B40" s="13" t="s">
        <v>13</v>
      </c>
      <c r="C40" s="13">
        <v>0.2</v>
      </c>
      <c r="D40" s="17">
        <v>500</v>
      </c>
      <c r="E40" s="17">
        <v>100</v>
      </c>
      <c r="G40" s="14" t="s">
        <v>250</v>
      </c>
      <c r="H40">
        <v>30.85</v>
      </c>
      <c r="I40" s="19">
        <v>39145</v>
      </c>
      <c r="N40" s="22">
        <v>37</v>
      </c>
      <c r="O40" s="24" t="s">
        <v>48</v>
      </c>
      <c r="P40" s="25">
        <f>VLOOKUP(O40,KamiBox!$C$2:$F$58,4,0)</f>
        <v>35000</v>
      </c>
      <c r="Q40" s="26">
        <f t="shared" si="0"/>
        <v>0</v>
      </c>
      <c r="R40" s="25">
        <f t="shared" si="1"/>
        <v>0</v>
      </c>
      <c r="T40" s="22">
        <v>37</v>
      </c>
      <c r="U40" s="24" t="s">
        <v>48</v>
      </c>
      <c r="V40" s="25">
        <f>VLOOKUP(U40,KamiBox!$C$2:$F$58,4,0)</f>
        <v>35000</v>
      </c>
      <c r="W40" s="26"/>
      <c r="X40" s="25">
        <f t="shared" si="2"/>
        <v>0</v>
      </c>
    </row>
    <row r="41" spans="1:25" x14ac:dyDescent="0.35">
      <c r="A41" s="13" t="s">
        <v>220</v>
      </c>
      <c r="B41" s="13" t="s">
        <v>53</v>
      </c>
      <c r="C41" s="13">
        <v>1.05</v>
      </c>
      <c r="D41" s="17">
        <v>300</v>
      </c>
      <c r="E41" s="17">
        <v>315</v>
      </c>
      <c r="G41" s="14" t="s">
        <v>291</v>
      </c>
      <c r="H41">
        <v>1.45</v>
      </c>
      <c r="I41" s="19">
        <v>435</v>
      </c>
      <c r="N41" s="22">
        <v>38</v>
      </c>
      <c r="O41" s="24" t="s">
        <v>49</v>
      </c>
      <c r="P41" s="25">
        <f>VLOOKUP(O41,KamiBox!$C$2:$F$58,4,0)</f>
        <v>50000</v>
      </c>
      <c r="Q41" s="26">
        <f t="shared" si="0"/>
        <v>0</v>
      </c>
      <c r="R41" s="25">
        <f t="shared" si="1"/>
        <v>0</v>
      </c>
      <c r="T41" s="22">
        <v>38</v>
      </c>
      <c r="U41" s="24" t="s">
        <v>49</v>
      </c>
      <c r="V41" s="25">
        <f>VLOOKUP(U41,KamiBox!$C$2:$F$58,4,0)</f>
        <v>50000</v>
      </c>
      <c r="W41" s="26"/>
      <c r="X41" s="25">
        <f t="shared" si="2"/>
        <v>0</v>
      </c>
    </row>
    <row r="42" spans="1:25" x14ac:dyDescent="0.35">
      <c r="A42" s="13" t="s">
        <v>220</v>
      </c>
      <c r="B42" s="13" t="s">
        <v>25</v>
      </c>
      <c r="C42" s="13">
        <v>1.95</v>
      </c>
      <c r="D42" s="17">
        <v>1000</v>
      </c>
      <c r="E42" s="17">
        <v>1950</v>
      </c>
      <c r="G42" s="14" t="s">
        <v>118</v>
      </c>
      <c r="H42">
        <v>6.9</v>
      </c>
      <c r="I42" s="19">
        <v>9640</v>
      </c>
      <c r="K42" s="26"/>
      <c r="N42" s="22">
        <v>39</v>
      </c>
      <c r="O42" s="24" t="s">
        <v>50</v>
      </c>
      <c r="P42" s="25"/>
      <c r="Q42" s="26">
        <f t="shared" si="0"/>
        <v>0</v>
      </c>
      <c r="R42" s="25">
        <f t="shared" si="1"/>
        <v>0</v>
      </c>
      <c r="T42" s="22">
        <v>39</v>
      </c>
      <c r="U42" s="24" t="s">
        <v>50</v>
      </c>
      <c r="V42" s="25"/>
      <c r="W42" s="26"/>
      <c r="X42" s="25">
        <f t="shared" si="2"/>
        <v>0</v>
      </c>
    </row>
    <row r="43" spans="1:25" x14ac:dyDescent="0.35">
      <c r="A43" s="13" t="s">
        <v>220</v>
      </c>
      <c r="B43" s="13" t="s">
        <v>94</v>
      </c>
      <c r="C43" s="13">
        <v>1.35</v>
      </c>
      <c r="D43" s="17">
        <v>2800</v>
      </c>
      <c r="E43" s="17">
        <v>3780</v>
      </c>
      <c r="G43" s="14" t="s">
        <v>232</v>
      </c>
      <c r="H43">
        <v>10.100000000000001</v>
      </c>
      <c r="I43" s="19">
        <v>7990</v>
      </c>
      <c r="N43" s="22">
        <v>40</v>
      </c>
      <c r="O43" s="24" t="s">
        <v>51</v>
      </c>
      <c r="P43" s="25">
        <f>VLOOKUP(O43,KamiBox!$C$2:$F$58,4,0)</f>
        <v>700</v>
      </c>
      <c r="Q43" s="26">
        <f t="shared" si="0"/>
        <v>45.55</v>
      </c>
      <c r="R43" s="25">
        <f t="shared" si="1"/>
        <v>31884.999999999996</v>
      </c>
      <c r="T43" s="22">
        <v>40</v>
      </c>
      <c r="U43" s="24" t="s">
        <v>51</v>
      </c>
      <c r="V43" s="25">
        <f>VLOOKUP(U43,KamiBox!$C$2:$F$58,4,0)</f>
        <v>700</v>
      </c>
      <c r="W43" s="26"/>
      <c r="X43" s="25">
        <f t="shared" si="2"/>
        <v>0</v>
      </c>
    </row>
    <row r="44" spans="1:25" x14ac:dyDescent="0.35">
      <c r="A44" s="13" t="s">
        <v>220</v>
      </c>
      <c r="B44" s="13" t="s">
        <v>41</v>
      </c>
      <c r="C44" s="13">
        <v>1.35</v>
      </c>
      <c r="D44" s="17">
        <v>1000</v>
      </c>
      <c r="E44" s="17">
        <v>1350</v>
      </c>
      <c r="G44" s="14" t="s">
        <v>262</v>
      </c>
      <c r="H44">
        <v>13.2</v>
      </c>
      <c r="I44" s="19">
        <v>13200</v>
      </c>
      <c r="N44" s="22">
        <v>41</v>
      </c>
      <c r="O44" s="24" t="s">
        <v>52</v>
      </c>
      <c r="P44" s="25"/>
      <c r="Q44" s="26">
        <f t="shared" si="0"/>
        <v>0</v>
      </c>
      <c r="R44" s="25">
        <f t="shared" si="1"/>
        <v>0</v>
      </c>
      <c r="T44" s="22">
        <v>41</v>
      </c>
      <c r="U44" s="24" t="s">
        <v>52</v>
      </c>
      <c r="V44" s="25"/>
      <c r="W44" s="26"/>
      <c r="X44" s="25">
        <f t="shared" si="2"/>
        <v>0</v>
      </c>
    </row>
    <row r="45" spans="1:25" x14ac:dyDescent="0.35">
      <c r="A45" s="13" t="s">
        <v>220</v>
      </c>
      <c r="B45" s="13" t="s">
        <v>51</v>
      </c>
      <c r="C45" s="13">
        <v>1.65</v>
      </c>
      <c r="D45" s="17">
        <v>500</v>
      </c>
      <c r="E45" s="17">
        <v>825</v>
      </c>
      <c r="G45" s="14" t="s">
        <v>131</v>
      </c>
      <c r="H45">
        <v>46.8</v>
      </c>
      <c r="I45" s="19">
        <v>39585</v>
      </c>
      <c r="N45" s="22">
        <v>42</v>
      </c>
      <c r="O45" s="24" t="s">
        <v>53</v>
      </c>
      <c r="P45" s="25">
        <f>VLOOKUP(O45,KamiBox!$C$2:$F$58,4,0)</f>
        <v>500</v>
      </c>
      <c r="Q45" s="26">
        <v>68.8</v>
      </c>
      <c r="R45" s="25">
        <f t="shared" si="1"/>
        <v>34400</v>
      </c>
      <c r="S45" s="26"/>
      <c r="T45" s="22">
        <v>42</v>
      </c>
      <c r="U45" s="24" t="s">
        <v>53</v>
      </c>
      <c r="V45" s="25">
        <f>VLOOKUP(U45,KamiBox!$C$2:$F$58,4,0)</f>
        <v>500</v>
      </c>
      <c r="W45" s="61">
        <v>18.600000000000001</v>
      </c>
      <c r="X45" s="25"/>
      <c r="Y45" s="36" t="s">
        <v>304</v>
      </c>
    </row>
    <row r="46" spans="1:25" x14ac:dyDescent="0.35">
      <c r="A46" s="13" t="s">
        <v>89</v>
      </c>
      <c r="B46" s="13" t="s">
        <v>26</v>
      </c>
      <c r="C46" s="13">
        <v>1.1000000000000001</v>
      </c>
      <c r="D46" s="17">
        <v>1000</v>
      </c>
      <c r="E46" s="17">
        <v>1100</v>
      </c>
      <c r="G46" s="14" t="s">
        <v>243</v>
      </c>
      <c r="H46">
        <v>11.5</v>
      </c>
      <c r="I46" s="19">
        <v>10800</v>
      </c>
      <c r="N46" s="22">
        <v>43</v>
      </c>
      <c r="O46" s="24" t="s">
        <v>54</v>
      </c>
      <c r="P46" s="25">
        <v>1000</v>
      </c>
      <c r="Q46" s="26">
        <f t="shared" si="0"/>
        <v>2.1</v>
      </c>
      <c r="R46" s="25">
        <f t="shared" si="1"/>
        <v>2100</v>
      </c>
      <c r="S46" s="29"/>
      <c r="T46" s="22">
        <v>43</v>
      </c>
      <c r="U46" s="24" t="s">
        <v>54</v>
      </c>
      <c r="V46" s="25">
        <f>VLOOKUP(U46,KamiBox!$C$2:$F$58,4,0)</f>
        <v>1700</v>
      </c>
      <c r="W46" s="26"/>
      <c r="X46" s="25">
        <f t="shared" si="2"/>
        <v>0</v>
      </c>
    </row>
    <row r="47" spans="1:25" x14ac:dyDescent="0.35">
      <c r="A47" s="13" t="s">
        <v>89</v>
      </c>
      <c r="B47" s="13" t="s">
        <v>18</v>
      </c>
      <c r="C47" s="13">
        <v>0.55000000000000004</v>
      </c>
      <c r="D47" s="17">
        <v>150</v>
      </c>
      <c r="E47" s="17">
        <v>83</v>
      </c>
      <c r="G47" s="14" t="s">
        <v>245</v>
      </c>
      <c r="H47">
        <v>1.45</v>
      </c>
      <c r="I47" s="19">
        <v>3915</v>
      </c>
      <c r="N47" s="22">
        <v>44</v>
      </c>
      <c r="O47" s="24" t="s">
        <v>266</v>
      </c>
      <c r="P47" s="25">
        <v>1000</v>
      </c>
      <c r="Q47" s="26">
        <f t="shared" si="0"/>
        <v>11.049999999999999</v>
      </c>
      <c r="R47" s="25">
        <f t="shared" si="1"/>
        <v>11049.999999999998</v>
      </c>
      <c r="T47" s="22">
        <v>44</v>
      </c>
      <c r="U47" s="24" t="s">
        <v>266</v>
      </c>
      <c r="V47" s="25">
        <f>VLOOKUP(U47,KamiBox!$C$2:$F$58,4,0)</f>
        <v>1700</v>
      </c>
      <c r="W47" s="26">
        <v>0.3</v>
      </c>
      <c r="X47" s="25">
        <v>510</v>
      </c>
      <c r="Y47" t="s">
        <v>301</v>
      </c>
    </row>
    <row r="48" spans="1:25" x14ac:dyDescent="0.35">
      <c r="A48" s="13" t="s">
        <v>89</v>
      </c>
      <c r="B48" s="13" t="s">
        <v>39</v>
      </c>
      <c r="C48" s="13">
        <v>0.2</v>
      </c>
      <c r="D48" s="17">
        <v>1500</v>
      </c>
      <c r="E48" s="17">
        <v>300</v>
      </c>
      <c r="G48" s="14" t="s">
        <v>119</v>
      </c>
      <c r="H48">
        <v>3.95</v>
      </c>
      <c r="I48" s="19">
        <v>2725</v>
      </c>
      <c r="N48" s="22">
        <v>45</v>
      </c>
      <c r="O48" s="24" t="s">
        <v>55</v>
      </c>
      <c r="P48" s="25">
        <f>VLOOKUP(O48,KamiBox!$C$2:$F$58,4,0)</f>
        <v>900</v>
      </c>
      <c r="Q48" s="26">
        <f t="shared" si="0"/>
        <v>0</v>
      </c>
      <c r="R48" s="25">
        <f t="shared" si="1"/>
        <v>0</v>
      </c>
      <c r="T48" s="22">
        <v>45</v>
      </c>
      <c r="U48" s="24" t="s">
        <v>55</v>
      </c>
      <c r="V48" s="25">
        <f>VLOOKUP(U48,KamiBox!$C$2:$F$58,4,0)</f>
        <v>900</v>
      </c>
      <c r="W48" s="26"/>
      <c r="X48" s="25">
        <f t="shared" ref="X48:X57" si="3">V48*W48</f>
        <v>0</v>
      </c>
    </row>
    <row r="49" spans="1:24" x14ac:dyDescent="0.35">
      <c r="A49" s="13" t="s">
        <v>89</v>
      </c>
      <c r="B49" s="13" t="s">
        <v>25</v>
      </c>
      <c r="C49" s="13">
        <v>0.35</v>
      </c>
      <c r="D49" s="17">
        <v>1000</v>
      </c>
      <c r="E49" s="17">
        <v>350</v>
      </c>
      <c r="G49" s="14" t="s">
        <v>166</v>
      </c>
      <c r="H49">
        <v>9.6000000000000014</v>
      </c>
      <c r="I49" s="19">
        <v>5150</v>
      </c>
      <c r="N49" s="22">
        <v>46</v>
      </c>
      <c r="O49" s="24" t="s">
        <v>56</v>
      </c>
      <c r="P49" s="25">
        <f>VLOOKUP(O49,KamiBox!$C$2:$F$58,4,0)</f>
        <v>700</v>
      </c>
      <c r="Q49" s="26">
        <f t="shared" si="0"/>
        <v>0</v>
      </c>
      <c r="R49" s="25">
        <f t="shared" si="1"/>
        <v>0</v>
      </c>
      <c r="T49" s="22">
        <v>46</v>
      </c>
      <c r="U49" s="24" t="s">
        <v>56</v>
      </c>
      <c r="V49" s="25">
        <f>VLOOKUP(U49,KamiBox!$C$2:$F$58,4,0)</f>
        <v>700</v>
      </c>
      <c r="W49" s="26"/>
      <c r="X49" s="25">
        <f t="shared" si="3"/>
        <v>0</v>
      </c>
    </row>
    <row r="50" spans="1:24" x14ac:dyDescent="0.35">
      <c r="A50" s="13" t="s">
        <v>89</v>
      </c>
      <c r="B50" s="13" t="s">
        <v>126</v>
      </c>
      <c r="C50" s="13">
        <v>1.95</v>
      </c>
      <c r="D50" s="17">
        <v>1800</v>
      </c>
      <c r="E50" s="17">
        <v>3510</v>
      </c>
      <c r="G50" s="14" t="s">
        <v>217</v>
      </c>
      <c r="H50">
        <v>38.499999999999993</v>
      </c>
      <c r="I50" s="19">
        <v>49053</v>
      </c>
      <c r="N50" s="22">
        <v>47</v>
      </c>
      <c r="O50" s="24" t="s">
        <v>57</v>
      </c>
      <c r="P50" s="25">
        <f>VLOOKUP(O50,KamiBox!$C$2:$F$58,4,0)</f>
        <v>400</v>
      </c>
      <c r="Q50" s="26">
        <f t="shared" si="0"/>
        <v>0.25</v>
      </c>
      <c r="R50" s="25">
        <f t="shared" si="1"/>
        <v>100</v>
      </c>
      <c r="T50" s="22">
        <v>47</v>
      </c>
      <c r="U50" s="24" t="s">
        <v>57</v>
      </c>
      <c r="V50" s="25">
        <f>VLOOKUP(U50,KamiBox!$C$2:$F$58,4,0)</f>
        <v>400</v>
      </c>
      <c r="W50" s="26"/>
      <c r="X50" s="25">
        <f t="shared" si="3"/>
        <v>0</v>
      </c>
    </row>
    <row r="51" spans="1:24" x14ac:dyDescent="0.35">
      <c r="A51" s="13" t="s">
        <v>89</v>
      </c>
      <c r="B51" s="13" t="s">
        <v>61</v>
      </c>
      <c r="C51" s="13">
        <v>0.1</v>
      </c>
      <c r="D51" s="17">
        <v>3500</v>
      </c>
      <c r="E51" s="17">
        <v>350</v>
      </c>
      <c r="G51" s="14" t="s">
        <v>186</v>
      </c>
      <c r="H51">
        <v>39.549999999999997</v>
      </c>
      <c r="I51" s="19">
        <v>65783</v>
      </c>
      <c r="N51" s="22">
        <v>48</v>
      </c>
      <c r="O51" s="24" t="s">
        <v>58</v>
      </c>
      <c r="P51" s="25">
        <f>VLOOKUP(O51,KamiBox!$C$2:$F$58,4,0)</f>
        <v>60000</v>
      </c>
      <c r="Q51" s="26">
        <f t="shared" si="0"/>
        <v>0</v>
      </c>
      <c r="R51" s="25">
        <f t="shared" si="1"/>
        <v>0</v>
      </c>
      <c r="T51" s="22">
        <v>48</v>
      </c>
      <c r="U51" s="24" t="s">
        <v>58</v>
      </c>
      <c r="V51" s="25">
        <f>VLOOKUP(U51,KamiBox!$C$2:$F$58,4,0)</f>
        <v>60000</v>
      </c>
      <c r="W51" s="26"/>
      <c r="X51" s="25">
        <f t="shared" si="3"/>
        <v>0</v>
      </c>
    </row>
    <row r="52" spans="1:24" x14ac:dyDescent="0.35">
      <c r="A52" s="13" t="s">
        <v>89</v>
      </c>
      <c r="B52" s="13" t="s">
        <v>60</v>
      </c>
      <c r="C52" s="13">
        <v>0.15</v>
      </c>
      <c r="D52" s="17">
        <v>2500</v>
      </c>
      <c r="E52" s="17">
        <v>375</v>
      </c>
      <c r="G52" s="14" t="s">
        <v>228</v>
      </c>
      <c r="H52">
        <v>11.15</v>
      </c>
      <c r="I52" s="19">
        <v>15935</v>
      </c>
      <c r="N52" s="22">
        <v>49</v>
      </c>
      <c r="O52" s="24" t="s">
        <v>59</v>
      </c>
      <c r="P52" s="25">
        <f>VLOOKUP(O52,KamiBox!$C$2:$F$58,4,0)</f>
        <v>150</v>
      </c>
      <c r="Q52" s="26">
        <f t="shared" si="0"/>
        <v>0</v>
      </c>
      <c r="R52" s="25">
        <f t="shared" si="1"/>
        <v>0</v>
      </c>
      <c r="T52" s="22">
        <v>49</v>
      </c>
      <c r="U52" s="24" t="s">
        <v>59</v>
      </c>
      <c r="V52" s="25">
        <f>VLOOKUP(U52,KamiBox!$C$2:$F$58,4,0)</f>
        <v>150</v>
      </c>
      <c r="W52" s="26"/>
      <c r="X52" s="25">
        <f t="shared" si="3"/>
        <v>0</v>
      </c>
    </row>
    <row r="53" spans="1:24" x14ac:dyDescent="0.35">
      <c r="A53" s="13" t="s">
        <v>89</v>
      </c>
      <c r="B53" s="13" t="s">
        <v>94</v>
      </c>
      <c r="C53" s="13">
        <v>0.75</v>
      </c>
      <c r="D53" s="17">
        <v>2800</v>
      </c>
      <c r="E53" s="17">
        <v>2100</v>
      </c>
      <c r="G53" s="14" t="s">
        <v>227</v>
      </c>
      <c r="H53">
        <v>9.6999999999999993</v>
      </c>
      <c r="I53" s="19">
        <v>12585</v>
      </c>
      <c r="N53" s="22">
        <v>50</v>
      </c>
      <c r="O53" s="24" t="s">
        <v>60</v>
      </c>
      <c r="P53" s="25">
        <f>VLOOKUP(O53,KamiBox!$C$2:$F$58,4,0)</f>
        <v>3000</v>
      </c>
      <c r="Q53" s="26">
        <f t="shared" si="0"/>
        <v>5.55</v>
      </c>
      <c r="R53" s="25">
        <f t="shared" si="1"/>
        <v>16650</v>
      </c>
      <c r="T53" s="22">
        <v>50</v>
      </c>
      <c r="U53" s="24" t="s">
        <v>60</v>
      </c>
      <c r="V53" s="25">
        <f>VLOOKUP(U53,KamiBox!$C$2:$F$58,4,0)</f>
        <v>3000</v>
      </c>
      <c r="W53" s="26"/>
      <c r="X53" s="25">
        <f t="shared" si="3"/>
        <v>0</v>
      </c>
    </row>
    <row r="54" spans="1:24" x14ac:dyDescent="0.35">
      <c r="A54" s="13" t="s">
        <v>89</v>
      </c>
      <c r="B54" s="13" t="s">
        <v>53</v>
      </c>
      <c r="C54" s="13">
        <v>1.6</v>
      </c>
      <c r="D54" s="17">
        <v>300</v>
      </c>
      <c r="E54" s="17">
        <v>480</v>
      </c>
      <c r="G54" s="14" t="s">
        <v>121</v>
      </c>
      <c r="H54">
        <v>8.65</v>
      </c>
      <c r="I54" s="19">
        <v>10960</v>
      </c>
      <c r="N54" s="22">
        <v>51</v>
      </c>
      <c r="O54" s="24" t="s">
        <v>61</v>
      </c>
      <c r="P54" s="25">
        <f>VLOOKUP(O54,KamiBox!$C$2:$F$58,4,0)</f>
        <v>4500</v>
      </c>
      <c r="Q54" s="26">
        <f t="shared" si="0"/>
        <v>0.55000000000000004</v>
      </c>
      <c r="R54" s="25">
        <f t="shared" si="1"/>
        <v>2475</v>
      </c>
      <c r="T54" s="22">
        <v>51</v>
      </c>
      <c r="U54" s="24" t="s">
        <v>61</v>
      </c>
      <c r="V54" s="25">
        <f>VLOOKUP(U54,KamiBox!$C$2:$F$58,4,0)</f>
        <v>4500</v>
      </c>
      <c r="W54" s="26"/>
      <c r="X54" s="25">
        <f t="shared" si="3"/>
        <v>0</v>
      </c>
    </row>
    <row r="55" spans="1:24" x14ac:dyDescent="0.35">
      <c r="A55" s="13" t="s">
        <v>89</v>
      </c>
      <c r="B55" s="13" t="s">
        <v>128</v>
      </c>
      <c r="C55" s="13">
        <v>0.95</v>
      </c>
      <c r="D55" s="17">
        <v>3500</v>
      </c>
      <c r="E55" s="17">
        <v>3325</v>
      </c>
      <c r="G55" s="14" t="s">
        <v>294</v>
      </c>
      <c r="H55">
        <v>15.45</v>
      </c>
      <c r="I55" s="19">
        <v>14325</v>
      </c>
      <c r="N55" s="22">
        <v>52</v>
      </c>
      <c r="O55" s="24" t="s">
        <v>62</v>
      </c>
      <c r="P55" s="25">
        <f>VLOOKUP(O55,KamiBox!$C$2:$F$58,4,0)</f>
        <v>20000</v>
      </c>
      <c r="Q55" s="26">
        <f t="shared" si="0"/>
        <v>0</v>
      </c>
      <c r="R55" s="25">
        <f t="shared" si="1"/>
        <v>0</v>
      </c>
      <c r="T55" s="22">
        <v>52</v>
      </c>
      <c r="U55" s="24" t="s">
        <v>62</v>
      </c>
      <c r="V55" s="25">
        <f>VLOOKUP(U55,KamiBox!$C$2:$F$58,4,0)</f>
        <v>20000</v>
      </c>
      <c r="W55" s="26"/>
      <c r="X55" s="25">
        <f t="shared" si="3"/>
        <v>0</v>
      </c>
    </row>
    <row r="56" spans="1:24" x14ac:dyDescent="0.35">
      <c r="A56" s="13" t="s">
        <v>89</v>
      </c>
      <c r="B56" s="13" t="s">
        <v>41</v>
      </c>
      <c r="C56" s="13">
        <v>9.3000000000000007</v>
      </c>
      <c r="D56" s="17">
        <v>1000</v>
      </c>
      <c r="E56" s="17">
        <v>9300</v>
      </c>
      <c r="G56" s="14" t="s">
        <v>122</v>
      </c>
      <c r="H56">
        <v>16.7</v>
      </c>
      <c r="I56" s="19">
        <v>20945</v>
      </c>
      <c r="N56" s="22">
        <v>53</v>
      </c>
      <c r="O56" s="24" t="s">
        <v>63</v>
      </c>
      <c r="P56" s="25">
        <f>VLOOKUP(O56,KamiBox!$C$2:$F$58,4,0)</f>
        <v>1000</v>
      </c>
      <c r="Q56" s="26">
        <f t="shared" si="0"/>
        <v>0</v>
      </c>
      <c r="R56" s="25">
        <f t="shared" si="1"/>
        <v>0</v>
      </c>
      <c r="T56" s="22">
        <v>53</v>
      </c>
      <c r="U56" s="24" t="s">
        <v>63</v>
      </c>
      <c r="V56" s="25">
        <f>VLOOKUP(U56,KamiBox!$C$2:$F$58,4,0)</f>
        <v>1000</v>
      </c>
      <c r="W56" s="26"/>
      <c r="X56" s="25">
        <f t="shared" si="3"/>
        <v>0</v>
      </c>
    </row>
    <row r="57" spans="1:24" x14ac:dyDescent="0.35">
      <c r="A57" s="13" t="s">
        <v>91</v>
      </c>
      <c r="B57" s="13" t="s">
        <v>22</v>
      </c>
      <c r="C57" s="13">
        <v>2</v>
      </c>
      <c r="D57" s="17">
        <v>1600</v>
      </c>
      <c r="E57" s="17">
        <v>3200</v>
      </c>
      <c r="G57" s="14" t="s">
        <v>123</v>
      </c>
      <c r="H57">
        <v>3.7</v>
      </c>
      <c r="I57" s="19">
        <v>3090</v>
      </c>
      <c r="N57" s="22">
        <v>54</v>
      </c>
      <c r="O57" s="24" t="s">
        <v>263</v>
      </c>
      <c r="P57" s="25">
        <f>VLOOKUP(O57,KamiBox!$C$2:$F$58,4,0)</f>
        <v>1200</v>
      </c>
      <c r="Q57" s="26">
        <f t="shared" si="0"/>
        <v>3.8</v>
      </c>
      <c r="R57" s="25">
        <f t="shared" si="1"/>
        <v>4560</v>
      </c>
      <c r="T57" s="22">
        <v>54</v>
      </c>
      <c r="U57" s="24" t="s">
        <v>263</v>
      </c>
      <c r="V57" s="25">
        <f>VLOOKUP(U57,KamiBox!$C$2:$F$58,4,0)</f>
        <v>1200</v>
      </c>
      <c r="W57" s="26"/>
      <c r="X57" s="25">
        <f t="shared" si="3"/>
        <v>0</v>
      </c>
    </row>
    <row r="58" spans="1:24" x14ac:dyDescent="0.35">
      <c r="A58" s="13" t="s">
        <v>91</v>
      </c>
      <c r="B58" s="13" t="s">
        <v>26</v>
      </c>
      <c r="C58" s="13">
        <v>4.8</v>
      </c>
      <c r="D58" s="17">
        <v>1000</v>
      </c>
      <c r="E58" s="17">
        <v>4800</v>
      </c>
      <c r="G58" s="14" t="s">
        <v>297</v>
      </c>
      <c r="H58">
        <v>12.35</v>
      </c>
      <c r="I58" s="19">
        <v>5188</v>
      </c>
      <c r="N58" s="24"/>
      <c r="O58" s="24"/>
      <c r="P58" s="27" t="s">
        <v>135</v>
      </c>
      <c r="Q58" s="27">
        <f>SUM(Q4:Q57)</f>
        <v>647.37999999999965</v>
      </c>
      <c r="R58" s="28">
        <f>SUM(R4:R57)</f>
        <v>899795.99999999988</v>
      </c>
      <c r="T58" s="24"/>
      <c r="U58" s="24"/>
      <c r="V58" s="27" t="s">
        <v>135</v>
      </c>
      <c r="W58" s="27">
        <f>SUM(W4:W57)</f>
        <v>188.4</v>
      </c>
      <c r="X58" s="28">
        <f>SUM(X4:X57)</f>
        <v>1172095</v>
      </c>
    </row>
    <row r="59" spans="1:24" x14ac:dyDescent="0.35">
      <c r="A59" s="13" t="s">
        <v>91</v>
      </c>
      <c r="B59" s="13" t="s">
        <v>41</v>
      </c>
      <c r="C59" s="13">
        <v>7.15</v>
      </c>
      <c r="D59" s="17">
        <v>1000</v>
      </c>
      <c r="E59" s="17">
        <v>7150</v>
      </c>
      <c r="G59" s="14" t="s">
        <v>292</v>
      </c>
      <c r="H59">
        <v>2.1</v>
      </c>
      <c r="I59" s="19">
        <v>6305</v>
      </c>
    </row>
    <row r="60" spans="1:24" x14ac:dyDescent="0.35">
      <c r="A60" s="13" t="s">
        <v>93</v>
      </c>
      <c r="B60" s="13" t="s">
        <v>51</v>
      </c>
      <c r="C60" s="13">
        <v>0.35</v>
      </c>
      <c r="D60" s="17">
        <v>500</v>
      </c>
      <c r="E60" s="17">
        <v>175</v>
      </c>
      <c r="G60" s="14" t="s">
        <v>303</v>
      </c>
      <c r="H60">
        <v>63.6</v>
      </c>
      <c r="I60" s="19">
        <v>327280</v>
      </c>
    </row>
    <row r="61" spans="1:24" x14ac:dyDescent="0.35">
      <c r="A61" s="13" t="s">
        <v>93</v>
      </c>
      <c r="B61" s="13" t="s">
        <v>39</v>
      </c>
      <c r="C61" s="13">
        <v>0.2</v>
      </c>
      <c r="D61" s="17">
        <v>1500</v>
      </c>
      <c r="E61" s="17">
        <v>300</v>
      </c>
      <c r="G61" s="14" t="s">
        <v>130</v>
      </c>
      <c r="H61">
        <v>16.600000000000001</v>
      </c>
      <c r="I61" s="19">
        <v>4980</v>
      </c>
    </row>
    <row r="62" spans="1:24" x14ac:dyDescent="0.35">
      <c r="A62" s="13" t="s">
        <v>93</v>
      </c>
      <c r="B62" s="13" t="s">
        <v>18</v>
      </c>
      <c r="C62" s="13">
        <v>0.9</v>
      </c>
      <c r="D62" s="17">
        <v>150</v>
      </c>
      <c r="E62" s="17">
        <v>135</v>
      </c>
      <c r="G62" s="14" t="s">
        <v>306</v>
      </c>
      <c r="H62">
        <v>2.9</v>
      </c>
      <c r="I62" s="19">
        <v>870</v>
      </c>
    </row>
    <row r="63" spans="1:24" x14ac:dyDescent="0.35">
      <c r="A63" s="13" t="s">
        <v>93</v>
      </c>
      <c r="B63" s="13" t="s">
        <v>60</v>
      </c>
      <c r="C63" s="13">
        <v>0.4</v>
      </c>
      <c r="D63" s="17">
        <v>2500</v>
      </c>
      <c r="E63" s="17">
        <v>1000</v>
      </c>
      <c r="G63" s="14" t="s">
        <v>305</v>
      </c>
      <c r="H63">
        <v>1</v>
      </c>
      <c r="I63" s="19">
        <v>300</v>
      </c>
    </row>
    <row r="64" spans="1:24" x14ac:dyDescent="0.35">
      <c r="A64" s="13" t="s">
        <v>93</v>
      </c>
      <c r="B64" s="13" t="s">
        <v>29</v>
      </c>
      <c r="C64" s="13">
        <v>0.7</v>
      </c>
      <c r="D64" s="17">
        <v>1600</v>
      </c>
      <c r="E64" s="17">
        <v>1120</v>
      </c>
      <c r="G64" s="14" t="s">
        <v>124</v>
      </c>
      <c r="H64">
        <v>825.68000000000018</v>
      </c>
      <c r="I64" s="19">
        <v>1336265</v>
      </c>
    </row>
    <row r="65" spans="1:5" x14ac:dyDescent="0.35">
      <c r="A65" s="13" t="s">
        <v>93</v>
      </c>
      <c r="B65" s="13" t="s">
        <v>53</v>
      </c>
      <c r="C65" s="13">
        <v>5.3</v>
      </c>
      <c r="D65" s="17">
        <v>300</v>
      </c>
      <c r="E65" s="17">
        <v>1590</v>
      </c>
    </row>
    <row r="66" spans="1:5" x14ac:dyDescent="0.35">
      <c r="A66" s="13" t="s">
        <v>93</v>
      </c>
      <c r="B66" s="13" t="s">
        <v>94</v>
      </c>
      <c r="C66" s="13">
        <v>2.7</v>
      </c>
      <c r="D66" s="17">
        <v>2800</v>
      </c>
      <c r="E66" s="17">
        <v>7560</v>
      </c>
    </row>
    <row r="67" spans="1:5" x14ac:dyDescent="0.35">
      <c r="A67" s="13" t="s">
        <v>84</v>
      </c>
      <c r="B67" s="13" t="s">
        <v>25</v>
      </c>
      <c r="C67" s="13">
        <v>0.05</v>
      </c>
      <c r="D67" s="17">
        <v>1000</v>
      </c>
      <c r="E67" s="17">
        <v>50</v>
      </c>
    </row>
    <row r="68" spans="1:5" x14ac:dyDescent="0.35">
      <c r="A68" s="13" t="s">
        <v>84</v>
      </c>
      <c r="B68" s="13" t="s">
        <v>29</v>
      </c>
      <c r="C68" s="13">
        <v>0.45</v>
      </c>
      <c r="D68" s="17">
        <v>1600</v>
      </c>
      <c r="E68" s="17">
        <v>720</v>
      </c>
    </row>
    <row r="69" spans="1:5" x14ac:dyDescent="0.35">
      <c r="A69" s="13" t="s">
        <v>84</v>
      </c>
      <c r="B69" s="13" t="s">
        <v>13</v>
      </c>
      <c r="C69" s="13">
        <v>0.35</v>
      </c>
      <c r="D69" s="17">
        <v>500</v>
      </c>
      <c r="E69" s="17">
        <v>175</v>
      </c>
    </row>
    <row r="70" spans="1:5" x14ac:dyDescent="0.35">
      <c r="A70" s="13" t="s">
        <v>84</v>
      </c>
      <c r="B70" s="13" t="s">
        <v>54</v>
      </c>
      <c r="C70" s="13">
        <v>0.45</v>
      </c>
      <c r="D70" s="17">
        <v>800</v>
      </c>
      <c r="E70" s="17">
        <v>360</v>
      </c>
    </row>
    <row r="71" spans="1:5" x14ac:dyDescent="0.35">
      <c r="A71" s="13" t="s">
        <v>84</v>
      </c>
      <c r="B71" s="13" t="s">
        <v>41</v>
      </c>
      <c r="C71" s="13">
        <v>19.5</v>
      </c>
      <c r="D71" s="17">
        <v>1000</v>
      </c>
      <c r="E71" s="17">
        <v>19500</v>
      </c>
    </row>
    <row r="72" spans="1:5" x14ac:dyDescent="0.35">
      <c r="A72" s="13" t="s">
        <v>84</v>
      </c>
      <c r="B72" s="13" t="s">
        <v>15</v>
      </c>
      <c r="C72" s="13">
        <v>1.5</v>
      </c>
      <c r="D72" s="17">
        <v>2500</v>
      </c>
      <c r="E72" s="17">
        <v>3750</v>
      </c>
    </row>
    <row r="73" spans="1:5" x14ac:dyDescent="0.35">
      <c r="A73" s="13" t="s">
        <v>84</v>
      </c>
      <c r="B73" s="13" t="s">
        <v>60</v>
      </c>
      <c r="C73" s="13">
        <v>0.55000000000000004</v>
      </c>
      <c r="D73" s="17">
        <v>2500</v>
      </c>
      <c r="E73" s="17">
        <v>1375</v>
      </c>
    </row>
    <row r="74" spans="1:5" x14ac:dyDescent="0.35">
      <c r="A74" s="13" t="s">
        <v>84</v>
      </c>
      <c r="B74" s="13" t="s">
        <v>61</v>
      </c>
      <c r="C74" s="13">
        <v>0.2</v>
      </c>
      <c r="D74" s="17">
        <v>3500</v>
      </c>
      <c r="E74" s="17">
        <v>700</v>
      </c>
    </row>
    <row r="75" spans="1:5" x14ac:dyDescent="0.35">
      <c r="A75" s="13" t="s">
        <v>84</v>
      </c>
      <c r="B75" s="13" t="s">
        <v>51</v>
      </c>
      <c r="C75" s="13">
        <v>1.25</v>
      </c>
      <c r="D75" s="17">
        <v>500</v>
      </c>
      <c r="E75" s="17">
        <v>625</v>
      </c>
    </row>
    <row r="76" spans="1:5" x14ac:dyDescent="0.35">
      <c r="A76" s="13" t="s">
        <v>84</v>
      </c>
      <c r="B76" s="13" t="s">
        <v>125</v>
      </c>
      <c r="C76" s="13">
        <v>14.55</v>
      </c>
      <c r="D76" s="17">
        <v>800</v>
      </c>
      <c r="E76" s="17">
        <v>11640</v>
      </c>
    </row>
    <row r="77" spans="1:5" x14ac:dyDescent="0.35">
      <c r="A77" s="13" t="s">
        <v>84</v>
      </c>
      <c r="B77" s="13" t="s">
        <v>34</v>
      </c>
      <c r="C77" s="13">
        <v>4.3</v>
      </c>
      <c r="D77" s="17">
        <v>5000</v>
      </c>
      <c r="E77" s="17">
        <v>21500</v>
      </c>
    </row>
    <row r="78" spans="1:5" x14ac:dyDescent="0.35">
      <c r="A78" s="13" t="s">
        <v>84</v>
      </c>
      <c r="B78" s="13" t="s">
        <v>293</v>
      </c>
      <c r="C78" s="13">
        <v>0.6</v>
      </c>
      <c r="D78" s="17">
        <v>1400</v>
      </c>
      <c r="E78" s="17">
        <v>840</v>
      </c>
    </row>
    <row r="79" spans="1:5" x14ac:dyDescent="0.35">
      <c r="A79" s="13" t="s">
        <v>84</v>
      </c>
      <c r="B79" s="13" t="s">
        <v>39</v>
      </c>
      <c r="C79" s="13">
        <v>0.55000000000000004</v>
      </c>
      <c r="D79" s="17">
        <v>1500</v>
      </c>
      <c r="E79" s="17">
        <v>825</v>
      </c>
    </row>
    <row r="80" spans="1:5" x14ac:dyDescent="0.35">
      <c r="A80" s="13" t="s">
        <v>84</v>
      </c>
      <c r="B80" s="13" t="s">
        <v>26</v>
      </c>
      <c r="C80" s="13">
        <v>2.7</v>
      </c>
      <c r="D80" s="17">
        <v>1000</v>
      </c>
      <c r="E80" s="17">
        <v>2700</v>
      </c>
    </row>
    <row r="81" spans="1:5" x14ac:dyDescent="0.35">
      <c r="A81" s="13" t="s">
        <v>84</v>
      </c>
      <c r="B81" s="13" t="s">
        <v>25</v>
      </c>
      <c r="C81" s="13">
        <v>5.7</v>
      </c>
      <c r="D81" s="17">
        <v>1000</v>
      </c>
      <c r="E81" s="17">
        <v>5700</v>
      </c>
    </row>
    <row r="82" spans="1:5" x14ac:dyDescent="0.35">
      <c r="A82" s="13" t="s">
        <v>84</v>
      </c>
      <c r="B82" s="13" t="s">
        <v>53</v>
      </c>
      <c r="C82" s="13">
        <v>1.6</v>
      </c>
      <c r="D82" s="17">
        <v>300</v>
      </c>
      <c r="E82" s="17">
        <v>480</v>
      </c>
    </row>
    <row r="83" spans="1:5" x14ac:dyDescent="0.35">
      <c r="A83" s="13" t="s">
        <v>84</v>
      </c>
      <c r="B83" s="13" t="s">
        <v>94</v>
      </c>
      <c r="C83" s="13">
        <v>5.4</v>
      </c>
      <c r="D83" s="17">
        <v>2800</v>
      </c>
      <c r="E83" s="17">
        <v>15120</v>
      </c>
    </row>
    <row r="84" spans="1:5" x14ac:dyDescent="0.35">
      <c r="A84" s="13" t="s">
        <v>95</v>
      </c>
      <c r="B84" s="13" t="s">
        <v>60</v>
      </c>
      <c r="C84" s="13">
        <v>0.1</v>
      </c>
      <c r="D84" s="17">
        <v>2500</v>
      </c>
      <c r="E84" s="17">
        <v>250</v>
      </c>
    </row>
    <row r="85" spans="1:5" x14ac:dyDescent="0.35">
      <c r="A85" s="13" t="s">
        <v>95</v>
      </c>
      <c r="B85" s="13" t="s">
        <v>53</v>
      </c>
      <c r="C85" s="13">
        <v>0.75</v>
      </c>
      <c r="D85" s="17">
        <v>300</v>
      </c>
      <c r="E85" s="17">
        <v>225</v>
      </c>
    </row>
    <row r="86" spans="1:5" x14ac:dyDescent="0.35">
      <c r="A86" s="13" t="s">
        <v>95</v>
      </c>
      <c r="B86" s="13" t="s">
        <v>39</v>
      </c>
      <c r="C86" s="13">
        <v>0.5</v>
      </c>
      <c r="D86" s="17">
        <v>1500</v>
      </c>
      <c r="E86" s="17">
        <v>750</v>
      </c>
    </row>
    <row r="87" spans="1:5" x14ac:dyDescent="0.35">
      <c r="A87" s="13" t="s">
        <v>95</v>
      </c>
      <c r="B87" s="13" t="s">
        <v>25</v>
      </c>
      <c r="C87" s="13">
        <v>2.2999999999999998</v>
      </c>
      <c r="D87" s="17">
        <v>1000</v>
      </c>
      <c r="E87" s="17">
        <v>2300</v>
      </c>
    </row>
    <row r="88" spans="1:5" x14ac:dyDescent="0.35">
      <c r="A88" s="13" t="s">
        <v>95</v>
      </c>
      <c r="B88" s="13" t="s">
        <v>29</v>
      </c>
      <c r="C88" s="13">
        <v>0.4</v>
      </c>
      <c r="D88" s="17">
        <v>1600</v>
      </c>
      <c r="E88" s="17">
        <v>640</v>
      </c>
    </row>
    <row r="89" spans="1:5" x14ac:dyDescent="0.35">
      <c r="A89" s="13" t="s">
        <v>95</v>
      </c>
      <c r="B89" s="13" t="s">
        <v>94</v>
      </c>
      <c r="C89" s="13">
        <v>0.55000000000000004</v>
      </c>
      <c r="D89" s="17">
        <v>2800</v>
      </c>
      <c r="E89" s="17">
        <v>1540</v>
      </c>
    </row>
    <row r="90" spans="1:5" x14ac:dyDescent="0.35">
      <c r="A90" s="13" t="s">
        <v>95</v>
      </c>
      <c r="B90" s="13" t="s">
        <v>41</v>
      </c>
      <c r="C90" s="13">
        <v>0.9</v>
      </c>
      <c r="D90" s="17">
        <v>1000</v>
      </c>
      <c r="E90" s="17">
        <v>900</v>
      </c>
    </row>
    <row r="91" spans="1:5" x14ac:dyDescent="0.35">
      <c r="A91" s="13" t="s">
        <v>95</v>
      </c>
      <c r="B91" s="13" t="s">
        <v>126</v>
      </c>
      <c r="C91" s="13">
        <v>1.3</v>
      </c>
      <c r="D91" s="17">
        <v>1800</v>
      </c>
      <c r="E91" s="17">
        <v>2340</v>
      </c>
    </row>
    <row r="92" spans="1:5" x14ac:dyDescent="0.35">
      <c r="A92" s="13" t="s">
        <v>179</v>
      </c>
      <c r="B92" s="13" t="s">
        <v>26</v>
      </c>
      <c r="C92" s="13">
        <v>5</v>
      </c>
      <c r="D92" s="17">
        <v>1000</v>
      </c>
      <c r="E92" s="17">
        <v>5000</v>
      </c>
    </row>
    <row r="93" spans="1:5" x14ac:dyDescent="0.35">
      <c r="A93" s="13" t="s">
        <v>179</v>
      </c>
      <c r="B93" s="13" t="s">
        <v>51</v>
      </c>
      <c r="C93" s="13">
        <v>0.85</v>
      </c>
      <c r="D93" s="17">
        <v>500</v>
      </c>
      <c r="E93" s="17">
        <v>425</v>
      </c>
    </row>
    <row r="94" spans="1:5" x14ac:dyDescent="0.35">
      <c r="A94" s="13" t="s">
        <v>179</v>
      </c>
      <c r="B94" s="13" t="s">
        <v>53</v>
      </c>
      <c r="C94" s="13">
        <v>1.45</v>
      </c>
      <c r="D94" s="17">
        <v>300</v>
      </c>
      <c r="E94" s="17">
        <v>435</v>
      </c>
    </row>
    <row r="95" spans="1:5" x14ac:dyDescent="0.35">
      <c r="A95" s="13" t="s">
        <v>179</v>
      </c>
      <c r="B95" s="13" t="s">
        <v>41</v>
      </c>
      <c r="C95" s="13">
        <v>5.3</v>
      </c>
      <c r="D95" s="17">
        <v>1000</v>
      </c>
      <c r="E95" s="17">
        <v>5300</v>
      </c>
    </row>
    <row r="96" spans="1:5" x14ac:dyDescent="0.35">
      <c r="A96" s="13" t="s">
        <v>98</v>
      </c>
      <c r="B96" s="13" t="s">
        <v>25</v>
      </c>
      <c r="C96" s="13">
        <v>0.3</v>
      </c>
      <c r="D96" s="17">
        <v>1000</v>
      </c>
      <c r="E96" s="17">
        <v>300</v>
      </c>
    </row>
    <row r="97" spans="1:5" x14ac:dyDescent="0.35">
      <c r="A97" s="13" t="s">
        <v>98</v>
      </c>
      <c r="B97" s="13" t="s">
        <v>29</v>
      </c>
      <c r="C97" s="13">
        <v>0.05</v>
      </c>
      <c r="D97" s="17">
        <v>1600</v>
      </c>
      <c r="E97" s="17">
        <v>80</v>
      </c>
    </row>
    <row r="98" spans="1:5" x14ac:dyDescent="0.35">
      <c r="A98" s="13" t="s">
        <v>98</v>
      </c>
      <c r="B98" s="13" t="s">
        <v>94</v>
      </c>
      <c r="C98" s="13">
        <v>0.7</v>
      </c>
      <c r="D98" s="17">
        <v>2800</v>
      </c>
      <c r="E98" s="17">
        <v>1960</v>
      </c>
    </row>
    <row r="99" spans="1:5" x14ac:dyDescent="0.35">
      <c r="A99" s="13" t="s">
        <v>98</v>
      </c>
      <c r="B99" s="13" t="s">
        <v>18</v>
      </c>
      <c r="C99" s="13">
        <v>0.65</v>
      </c>
      <c r="D99" s="17">
        <v>150</v>
      </c>
      <c r="E99" s="17">
        <v>98</v>
      </c>
    </row>
    <row r="100" spans="1:5" x14ac:dyDescent="0.35">
      <c r="A100" s="13" t="s">
        <v>98</v>
      </c>
      <c r="B100" s="13" t="s">
        <v>51</v>
      </c>
      <c r="C100" s="13">
        <v>0.2</v>
      </c>
      <c r="D100" s="17">
        <v>500</v>
      </c>
      <c r="E100" s="17">
        <v>100</v>
      </c>
    </row>
    <row r="101" spans="1:5" x14ac:dyDescent="0.35">
      <c r="A101" s="13" t="s">
        <v>98</v>
      </c>
      <c r="B101" s="13" t="s">
        <v>41</v>
      </c>
      <c r="C101" s="13">
        <v>4.75</v>
      </c>
      <c r="D101" s="17">
        <v>1000</v>
      </c>
      <c r="E101" s="17">
        <v>4750</v>
      </c>
    </row>
    <row r="102" spans="1:5" x14ac:dyDescent="0.35">
      <c r="A102" s="13" t="s">
        <v>99</v>
      </c>
      <c r="B102" s="13" t="s">
        <v>18</v>
      </c>
      <c r="C102" s="13">
        <v>1</v>
      </c>
      <c r="D102" s="17">
        <v>150</v>
      </c>
      <c r="E102" s="17">
        <v>150</v>
      </c>
    </row>
    <row r="103" spans="1:5" x14ac:dyDescent="0.35">
      <c r="A103" s="13" t="s">
        <v>99</v>
      </c>
      <c r="B103" s="13" t="s">
        <v>53</v>
      </c>
      <c r="C103" s="13">
        <v>0.35</v>
      </c>
      <c r="D103" s="17">
        <v>300</v>
      </c>
      <c r="E103" s="17">
        <v>105</v>
      </c>
    </row>
    <row r="104" spans="1:5" x14ac:dyDescent="0.35">
      <c r="A104" s="13" t="s">
        <v>99</v>
      </c>
      <c r="B104" s="13" t="s">
        <v>13</v>
      </c>
      <c r="C104" s="13">
        <v>0.15</v>
      </c>
      <c r="D104" s="17">
        <v>500</v>
      </c>
      <c r="E104" s="17">
        <v>75</v>
      </c>
    </row>
    <row r="105" spans="1:5" x14ac:dyDescent="0.35">
      <c r="A105" s="13" t="s">
        <v>99</v>
      </c>
      <c r="B105" s="13" t="s">
        <v>60</v>
      </c>
      <c r="C105" s="13">
        <v>0.1</v>
      </c>
      <c r="D105" s="17">
        <v>2500</v>
      </c>
      <c r="E105" s="17">
        <v>250</v>
      </c>
    </row>
    <row r="106" spans="1:5" x14ac:dyDescent="0.35">
      <c r="A106" s="13" t="s">
        <v>99</v>
      </c>
      <c r="B106" s="13" t="s">
        <v>25</v>
      </c>
      <c r="C106" s="13">
        <v>0.5</v>
      </c>
      <c r="D106" s="17">
        <v>1000</v>
      </c>
      <c r="E106" s="17">
        <v>500</v>
      </c>
    </row>
    <row r="107" spans="1:5" x14ac:dyDescent="0.35">
      <c r="A107" s="13" t="s">
        <v>99</v>
      </c>
      <c r="B107" s="13" t="s">
        <v>22</v>
      </c>
      <c r="C107" s="13">
        <v>0.25</v>
      </c>
      <c r="D107" s="17">
        <v>1600</v>
      </c>
      <c r="E107" s="17">
        <v>400</v>
      </c>
    </row>
    <row r="108" spans="1:5" x14ac:dyDescent="0.35">
      <c r="A108" s="13" t="s">
        <v>99</v>
      </c>
      <c r="B108" s="13" t="s">
        <v>41</v>
      </c>
      <c r="C108" s="13">
        <v>0.75</v>
      </c>
      <c r="D108" s="17">
        <v>1000</v>
      </c>
      <c r="E108" s="17">
        <v>750</v>
      </c>
    </row>
    <row r="109" spans="1:5" x14ac:dyDescent="0.35">
      <c r="A109" s="13" t="s">
        <v>101</v>
      </c>
      <c r="B109" s="13" t="s">
        <v>41</v>
      </c>
      <c r="C109" s="13">
        <v>2.2999999999999998</v>
      </c>
      <c r="D109" s="17">
        <v>1000</v>
      </c>
      <c r="E109" s="17">
        <v>2300</v>
      </c>
    </row>
    <row r="110" spans="1:5" x14ac:dyDescent="0.35">
      <c r="A110" s="13" t="s">
        <v>101</v>
      </c>
      <c r="B110" s="13" t="s">
        <v>26</v>
      </c>
      <c r="C110" s="13">
        <v>0.6</v>
      </c>
      <c r="D110" s="17">
        <v>1000</v>
      </c>
      <c r="E110" s="17">
        <v>600</v>
      </c>
    </row>
    <row r="111" spans="1:5" x14ac:dyDescent="0.35">
      <c r="A111" s="13" t="s">
        <v>101</v>
      </c>
      <c r="B111" s="13" t="s">
        <v>51</v>
      </c>
      <c r="C111" s="13">
        <v>0.05</v>
      </c>
      <c r="D111" s="17">
        <v>500</v>
      </c>
      <c r="E111" s="17">
        <v>25</v>
      </c>
    </row>
    <row r="112" spans="1:5" x14ac:dyDescent="0.35">
      <c r="A112" s="13" t="s">
        <v>101</v>
      </c>
      <c r="B112" s="13" t="s">
        <v>60</v>
      </c>
      <c r="C112" s="13">
        <v>0.25</v>
      </c>
      <c r="D112" s="17">
        <v>2500</v>
      </c>
      <c r="E112" s="17">
        <v>625</v>
      </c>
    </row>
    <row r="113" spans="1:5" x14ac:dyDescent="0.35">
      <c r="A113" s="13" t="s">
        <v>101</v>
      </c>
      <c r="B113" s="13" t="s">
        <v>34</v>
      </c>
      <c r="C113" s="13">
        <v>1.8</v>
      </c>
      <c r="D113" s="17">
        <v>5000</v>
      </c>
      <c r="E113" s="17">
        <v>9000</v>
      </c>
    </row>
    <row r="114" spans="1:5" x14ac:dyDescent="0.35">
      <c r="A114" s="13" t="s">
        <v>101</v>
      </c>
      <c r="B114" s="13" t="s">
        <v>126</v>
      </c>
      <c r="C114" s="13">
        <v>0.3</v>
      </c>
      <c r="D114" s="17">
        <v>1800</v>
      </c>
      <c r="E114" s="17">
        <v>540</v>
      </c>
    </row>
    <row r="115" spans="1:5" x14ac:dyDescent="0.35">
      <c r="A115" s="13" t="s">
        <v>101</v>
      </c>
      <c r="B115" s="13" t="s">
        <v>39</v>
      </c>
      <c r="C115" s="13">
        <v>1.1499999999999999</v>
      </c>
      <c r="D115" s="17">
        <v>1500</v>
      </c>
      <c r="E115" s="17">
        <v>1725</v>
      </c>
    </row>
    <row r="116" spans="1:5" x14ac:dyDescent="0.35">
      <c r="A116" s="13" t="s">
        <v>101</v>
      </c>
      <c r="B116" s="13" t="s">
        <v>13</v>
      </c>
      <c r="C116" s="13">
        <v>0.55000000000000004</v>
      </c>
      <c r="D116" s="17">
        <v>500</v>
      </c>
      <c r="E116" s="17">
        <v>275</v>
      </c>
    </row>
    <row r="117" spans="1:5" x14ac:dyDescent="0.35">
      <c r="A117" s="13" t="s">
        <v>101</v>
      </c>
      <c r="B117" s="13" t="s">
        <v>53</v>
      </c>
      <c r="C117" s="13">
        <v>0.65</v>
      </c>
      <c r="D117" s="17">
        <v>300</v>
      </c>
      <c r="E117" s="17">
        <v>195</v>
      </c>
    </row>
    <row r="118" spans="1:5" x14ac:dyDescent="0.35">
      <c r="A118" s="13" t="s">
        <v>225</v>
      </c>
      <c r="B118" s="13" t="s">
        <v>125</v>
      </c>
      <c r="C118" s="13">
        <v>3.55</v>
      </c>
      <c r="D118" s="17">
        <v>800</v>
      </c>
      <c r="E118" s="17">
        <v>2840</v>
      </c>
    </row>
    <row r="119" spans="1:5" x14ac:dyDescent="0.35">
      <c r="A119" s="13" t="s">
        <v>225</v>
      </c>
      <c r="B119" s="13" t="s">
        <v>25</v>
      </c>
      <c r="C119" s="13">
        <v>0.05</v>
      </c>
      <c r="D119" s="17">
        <v>1000</v>
      </c>
      <c r="E119" s="17">
        <v>50</v>
      </c>
    </row>
    <row r="120" spans="1:5" x14ac:dyDescent="0.35">
      <c r="A120" s="13" t="s">
        <v>225</v>
      </c>
      <c r="B120" s="13" t="s">
        <v>41</v>
      </c>
      <c r="C120" s="13">
        <v>7.2</v>
      </c>
      <c r="D120" s="17">
        <v>1000</v>
      </c>
      <c r="E120" s="17">
        <v>7200</v>
      </c>
    </row>
    <row r="121" spans="1:5" x14ac:dyDescent="0.35">
      <c r="A121" s="13" t="s">
        <v>225</v>
      </c>
      <c r="B121" s="13" t="s">
        <v>34</v>
      </c>
      <c r="C121" s="13">
        <v>2.85</v>
      </c>
      <c r="D121" s="17">
        <v>5000</v>
      </c>
      <c r="E121" s="17">
        <v>14250</v>
      </c>
    </row>
    <row r="122" spans="1:5" x14ac:dyDescent="0.35">
      <c r="A122" s="13" t="s">
        <v>225</v>
      </c>
      <c r="B122" s="13" t="s">
        <v>41</v>
      </c>
      <c r="C122" s="13">
        <v>1.9</v>
      </c>
      <c r="D122" s="17">
        <v>1000</v>
      </c>
      <c r="E122" s="17">
        <v>1900</v>
      </c>
    </row>
    <row r="123" spans="1:5" x14ac:dyDescent="0.35">
      <c r="A123" s="13" t="s">
        <v>225</v>
      </c>
      <c r="B123" s="13" t="s">
        <v>26</v>
      </c>
      <c r="C123" s="13">
        <v>1.45</v>
      </c>
      <c r="D123" s="17">
        <v>1000</v>
      </c>
      <c r="E123" s="17">
        <v>1450</v>
      </c>
    </row>
    <row r="124" spans="1:5" x14ac:dyDescent="0.35">
      <c r="A124" s="13" t="s">
        <v>225</v>
      </c>
      <c r="B124" s="13" t="s">
        <v>18</v>
      </c>
      <c r="C124" s="13">
        <v>0.65</v>
      </c>
      <c r="D124" s="17">
        <v>150</v>
      </c>
      <c r="E124" s="17">
        <v>97</v>
      </c>
    </row>
    <row r="125" spans="1:5" x14ac:dyDescent="0.35">
      <c r="A125" s="13" t="s">
        <v>225</v>
      </c>
      <c r="B125" s="13" t="s">
        <v>51</v>
      </c>
      <c r="C125" s="13">
        <v>2.4500000000000002</v>
      </c>
      <c r="D125" s="17">
        <v>500</v>
      </c>
      <c r="E125" s="17">
        <v>1225</v>
      </c>
    </row>
    <row r="126" spans="1:5" x14ac:dyDescent="0.35">
      <c r="A126" s="13" t="s">
        <v>225</v>
      </c>
      <c r="B126" s="13" t="s">
        <v>125</v>
      </c>
      <c r="C126" s="13">
        <v>11.7</v>
      </c>
      <c r="D126" s="17">
        <v>800</v>
      </c>
      <c r="E126" s="17">
        <v>9360</v>
      </c>
    </row>
    <row r="127" spans="1:5" x14ac:dyDescent="0.35">
      <c r="A127" s="13" t="s">
        <v>225</v>
      </c>
      <c r="B127" s="13" t="s">
        <v>25</v>
      </c>
      <c r="C127" s="13">
        <v>5.4</v>
      </c>
      <c r="D127" s="17">
        <v>1000</v>
      </c>
      <c r="E127" s="17">
        <v>5400</v>
      </c>
    </row>
    <row r="128" spans="1:5" x14ac:dyDescent="0.35">
      <c r="A128" s="13" t="s">
        <v>225</v>
      </c>
      <c r="B128" s="13" t="s">
        <v>29</v>
      </c>
      <c r="C128" s="13">
        <v>0.3</v>
      </c>
      <c r="D128" s="17">
        <v>1600</v>
      </c>
      <c r="E128" s="17">
        <v>480</v>
      </c>
    </row>
    <row r="129" spans="1:5" x14ac:dyDescent="0.35">
      <c r="A129" s="13" t="s">
        <v>225</v>
      </c>
      <c r="B129" s="13" t="s">
        <v>13</v>
      </c>
      <c r="C129" s="13">
        <v>0.9</v>
      </c>
      <c r="D129" s="17">
        <v>500</v>
      </c>
      <c r="E129" s="17">
        <v>450</v>
      </c>
    </row>
    <row r="130" spans="1:5" x14ac:dyDescent="0.35">
      <c r="A130" s="13" t="s">
        <v>225</v>
      </c>
      <c r="B130" s="13" t="s">
        <v>53</v>
      </c>
      <c r="C130" s="13">
        <v>3.4</v>
      </c>
      <c r="D130" s="17">
        <v>300</v>
      </c>
      <c r="E130" s="17">
        <v>1020</v>
      </c>
    </row>
    <row r="131" spans="1:5" x14ac:dyDescent="0.35">
      <c r="A131" s="13" t="s">
        <v>225</v>
      </c>
      <c r="B131" s="13" t="s">
        <v>94</v>
      </c>
      <c r="C131" s="13">
        <v>2.6</v>
      </c>
      <c r="D131" s="17">
        <v>2800</v>
      </c>
      <c r="E131" s="17">
        <v>7280</v>
      </c>
    </row>
    <row r="132" spans="1:5" x14ac:dyDescent="0.35">
      <c r="A132" s="13" t="s">
        <v>102</v>
      </c>
      <c r="B132" s="13" t="s">
        <v>41</v>
      </c>
      <c r="C132" s="13">
        <v>2.85</v>
      </c>
      <c r="D132" s="17">
        <v>1000</v>
      </c>
      <c r="E132" s="17">
        <v>2850</v>
      </c>
    </row>
    <row r="133" spans="1:5" x14ac:dyDescent="0.35">
      <c r="A133" s="13" t="s">
        <v>102</v>
      </c>
      <c r="B133" s="13" t="s">
        <v>94</v>
      </c>
      <c r="C133" s="13">
        <v>0.6</v>
      </c>
      <c r="D133" s="17">
        <v>2800</v>
      </c>
      <c r="E133" s="17">
        <v>1680</v>
      </c>
    </row>
    <row r="134" spans="1:5" x14ac:dyDescent="0.35">
      <c r="A134" s="13" t="s">
        <v>102</v>
      </c>
      <c r="B134" s="13" t="s">
        <v>25</v>
      </c>
      <c r="C134" s="13">
        <v>1.6</v>
      </c>
      <c r="D134" s="17">
        <v>1000</v>
      </c>
      <c r="E134" s="17">
        <v>1600</v>
      </c>
    </row>
    <row r="135" spans="1:5" x14ac:dyDescent="0.35">
      <c r="A135" s="13" t="s">
        <v>195</v>
      </c>
      <c r="B135" s="13" t="s">
        <v>25</v>
      </c>
      <c r="C135" s="13">
        <v>0.25</v>
      </c>
      <c r="D135" s="17">
        <v>1000</v>
      </c>
      <c r="E135" s="17">
        <v>250</v>
      </c>
    </row>
    <row r="136" spans="1:5" x14ac:dyDescent="0.35">
      <c r="A136" s="13" t="s">
        <v>195</v>
      </c>
      <c r="B136" s="13" t="s">
        <v>39</v>
      </c>
      <c r="C136" s="13">
        <v>0.35</v>
      </c>
      <c r="D136" s="17">
        <v>1500</v>
      </c>
      <c r="E136" s="17">
        <v>525</v>
      </c>
    </row>
    <row r="137" spans="1:5" x14ac:dyDescent="0.35">
      <c r="A137" s="13" t="s">
        <v>195</v>
      </c>
      <c r="B137" s="13" t="s">
        <v>53</v>
      </c>
      <c r="C137" s="13">
        <v>0.3</v>
      </c>
      <c r="D137" s="17">
        <v>300</v>
      </c>
      <c r="E137" s="17">
        <v>90</v>
      </c>
    </row>
    <row r="138" spans="1:5" x14ac:dyDescent="0.35">
      <c r="A138" s="13" t="s">
        <v>195</v>
      </c>
      <c r="B138" s="13" t="s">
        <v>94</v>
      </c>
      <c r="C138" s="13">
        <v>0.35</v>
      </c>
      <c r="D138" s="17">
        <v>2800</v>
      </c>
      <c r="E138" s="17">
        <v>980</v>
      </c>
    </row>
    <row r="139" spans="1:5" x14ac:dyDescent="0.35">
      <c r="A139" s="13" t="s">
        <v>195</v>
      </c>
      <c r="B139" s="13" t="s">
        <v>13</v>
      </c>
      <c r="C139" s="13">
        <v>0.25</v>
      </c>
      <c r="D139" s="17">
        <v>500</v>
      </c>
      <c r="E139" s="17">
        <v>125</v>
      </c>
    </row>
    <row r="140" spans="1:5" x14ac:dyDescent="0.35">
      <c r="A140" s="13" t="s">
        <v>204</v>
      </c>
      <c r="B140" s="13" t="s">
        <v>126</v>
      </c>
      <c r="C140" s="13">
        <v>0.45</v>
      </c>
      <c r="D140" s="17">
        <v>1800</v>
      </c>
      <c r="E140" s="17">
        <v>810</v>
      </c>
    </row>
    <row r="141" spans="1:5" x14ac:dyDescent="0.35">
      <c r="A141" s="13" t="s">
        <v>204</v>
      </c>
      <c r="B141" s="13" t="s">
        <v>25</v>
      </c>
      <c r="C141" s="13">
        <v>4.9800000000000004</v>
      </c>
      <c r="D141" s="17">
        <v>1000</v>
      </c>
      <c r="E141" s="17">
        <v>4980</v>
      </c>
    </row>
    <row r="142" spans="1:5" x14ac:dyDescent="0.35">
      <c r="A142" s="13" t="s">
        <v>204</v>
      </c>
      <c r="B142" s="13" t="s">
        <v>263</v>
      </c>
      <c r="C142" s="13">
        <v>3.8</v>
      </c>
      <c r="D142" s="17">
        <v>400</v>
      </c>
      <c r="E142" s="17">
        <v>1520</v>
      </c>
    </row>
    <row r="143" spans="1:5" x14ac:dyDescent="0.35">
      <c r="A143" s="13" t="s">
        <v>204</v>
      </c>
      <c r="B143" s="13" t="s">
        <v>53</v>
      </c>
      <c r="C143" s="13">
        <v>0.2</v>
      </c>
      <c r="D143" s="17">
        <v>300</v>
      </c>
      <c r="E143" s="17">
        <v>60</v>
      </c>
    </row>
    <row r="144" spans="1:5" x14ac:dyDescent="0.35">
      <c r="A144" s="13" t="s">
        <v>204</v>
      </c>
      <c r="B144" s="13" t="s">
        <v>26</v>
      </c>
      <c r="C144" s="13">
        <v>0.85</v>
      </c>
      <c r="D144" s="17">
        <v>1000</v>
      </c>
      <c r="E144" s="17">
        <v>850</v>
      </c>
    </row>
    <row r="145" spans="1:5" x14ac:dyDescent="0.35">
      <c r="A145" s="13" t="s">
        <v>103</v>
      </c>
      <c r="B145" s="13" t="s">
        <v>29</v>
      </c>
      <c r="C145" s="13">
        <v>0.3</v>
      </c>
      <c r="D145" s="17">
        <v>1600</v>
      </c>
      <c r="E145" s="17">
        <v>480</v>
      </c>
    </row>
    <row r="146" spans="1:5" x14ac:dyDescent="0.35">
      <c r="A146" s="13" t="s">
        <v>103</v>
      </c>
      <c r="B146" s="13" t="s">
        <v>25</v>
      </c>
      <c r="C146" s="13">
        <v>0.45</v>
      </c>
      <c r="D146" s="17">
        <v>1000</v>
      </c>
      <c r="E146" s="17">
        <v>450</v>
      </c>
    </row>
    <row r="147" spans="1:5" x14ac:dyDescent="0.35">
      <c r="A147" s="13" t="s">
        <v>103</v>
      </c>
      <c r="B147" s="13" t="s">
        <v>53</v>
      </c>
      <c r="C147" s="13">
        <v>0.45</v>
      </c>
      <c r="D147" s="17">
        <v>300</v>
      </c>
      <c r="E147" s="17">
        <v>135</v>
      </c>
    </row>
    <row r="148" spans="1:5" x14ac:dyDescent="0.35">
      <c r="A148" s="13" t="s">
        <v>103</v>
      </c>
      <c r="B148" s="13" t="s">
        <v>22</v>
      </c>
      <c r="C148" s="13">
        <v>1.55</v>
      </c>
      <c r="D148" s="17">
        <v>1600</v>
      </c>
      <c r="E148" s="17">
        <v>2480</v>
      </c>
    </row>
    <row r="149" spans="1:5" x14ac:dyDescent="0.35">
      <c r="A149" s="13" t="s">
        <v>221</v>
      </c>
      <c r="B149" s="13" t="s">
        <v>51</v>
      </c>
      <c r="C149" s="13">
        <v>0.05</v>
      </c>
      <c r="D149" s="17">
        <v>500</v>
      </c>
      <c r="E149" s="17">
        <v>25</v>
      </c>
    </row>
    <row r="150" spans="1:5" x14ac:dyDescent="0.35">
      <c r="A150" s="13" t="s">
        <v>221</v>
      </c>
      <c r="B150" s="13" t="s">
        <v>13</v>
      </c>
      <c r="C150" s="13">
        <v>0.05</v>
      </c>
      <c r="D150" s="17">
        <v>500</v>
      </c>
      <c r="E150" s="17">
        <v>25</v>
      </c>
    </row>
    <row r="151" spans="1:5" x14ac:dyDescent="0.35">
      <c r="A151" s="13" t="s">
        <v>221</v>
      </c>
      <c r="B151" s="13" t="s">
        <v>53</v>
      </c>
      <c r="C151" s="13">
        <v>0.4</v>
      </c>
      <c r="D151" s="17">
        <v>300</v>
      </c>
      <c r="E151" s="17">
        <v>120</v>
      </c>
    </row>
    <row r="152" spans="1:5" x14ac:dyDescent="0.35">
      <c r="A152" s="13" t="s">
        <v>221</v>
      </c>
      <c r="B152" s="13" t="s">
        <v>26</v>
      </c>
      <c r="C152" s="13">
        <v>0.5</v>
      </c>
      <c r="D152" s="17">
        <v>1000</v>
      </c>
      <c r="E152" s="17">
        <v>500</v>
      </c>
    </row>
    <row r="153" spans="1:5" x14ac:dyDescent="0.35">
      <c r="A153" s="13" t="s">
        <v>221</v>
      </c>
      <c r="B153" s="13" t="s">
        <v>41</v>
      </c>
      <c r="C153" s="13">
        <v>1.1499999999999999</v>
      </c>
      <c r="D153" s="17">
        <v>1000</v>
      </c>
      <c r="E153" s="17">
        <v>1150</v>
      </c>
    </row>
    <row r="154" spans="1:5" x14ac:dyDescent="0.35">
      <c r="A154" s="13" t="s">
        <v>162</v>
      </c>
      <c r="B154" s="13" t="s">
        <v>51</v>
      </c>
      <c r="C154" s="13">
        <v>1.65</v>
      </c>
      <c r="D154" s="17">
        <v>500</v>
      </c>
      <c r="E154" s="17">
        <v>825</v>
      </c>
    </row>
    <row r="155" spans="1:5" x14ac:dyDescent="0.35">
      <c r="A155" s="13" t="s">
        <v>162</v>
      </c>
      <c r="B155" s="13" t="s">
        <v>41</v>
      </c>
      <c r="C155" s="13">
        <v>2.25</v>
      </c>
      <c r="D155" s="17">
        <v>1000</v>
      </c>
      <c r="E155" s="17">
        <v>2250</v>
      </c>
    </row>
    <row r="156" spans="1:5" x14ac:dyDescent="0.35">
      <c r="A156" s="13" t="s">
        <v>162</v>
      </c>
      <c r="B156" s="13" t="s">
        <v>25</v>
      </c>
      <c r="C156" s="13">
        <v>1</v>
      </c>
      <c r="D156" s="17">
        <v>1000</v>
      </c>
      <c r="E156" s="17">
        <v>1000</v>
      </c>
    </row>
    <row r="157" spans="1:5" x14ac:dyDescent="0.35">
      <c r="A157" s="13" t="s">
        <v>162</v>
      </c>
      <c r="B157" s="13" t="s">
        <v>18</v>
      </c>
      <c r="C157" s="13">
        <v>0.2</v>
      </c>
      <c r="D157" s="17">
        <v>150</v>
      </c>
      <c r="E157" s="17">
        <v>30</v>
      </c>
    </row>
    <row r="158" spans="1:5" x14ac:dyDescent="0.35">
      <c r="A158" s="13" t="s">
        <v>162</v>
      </c>
      <c r="B158" s="13" t="s">
        <v>127</v>
      </c>
      <c r="C158" s="13">
        <v>0.05</v>
      </c>
      <c r="D158" s="17">
        <v>8000</v>
      </c>
      <c r="E158" s="17">
        <v>400</v>
      </c>
    </row>
    <row r="159" spans="1:5" x14ac:dyDescent="0.35">
      <c r="A159" s="13" t="s">
        <v>162</v>
      </c>
      <c r="B159" s="13" t="s">
        <v>94</v>
      </c>
      <c r="C159" s="13">
        <v>1.4</v>
      </c>
      <c r="D159" s="17">
        <v>2800</v>
      </c>
      <c r="E159" s="17">
        <v>3920</v>
      </c>
    </row>
    <row r="160" spans="1:5" x14ac:dyDescent="0.35">
      <c r="A160" s="13" t="s">
        <v>162</v>
      </c>
      <c r="B160" s="13" t="s">
        <v>13</v>
      </c>
      <c r="C160" s="13">
        <v>0.5</v>
      </c>
      <c r="D160" s="17">
        <v>500</v>
      </c>
      <c r="E160" s="17">
        <v>250</v>
      </c>
    </row>
    <row r="161" spans="1:5" x14ac:dyDescent="0.35">
      <c r="A161" s="13" t="s">
        <v>162</v>
      </c>
      <c r="B161" s="13" t="s">
        <v>53</v>
      </c>
      <c r="C161" s="13">
        <v>1.3</v>
      </c>
      <c r="D161" s="17">
        <v>300</v>
      </c>
      <c r="E161" s="17">
        <v>390</v>
      </c>
    </row>
    <row r="162" spans="1:5" x14ac:dyDescent="0.35">
      <c r="A162" s="13" t="s">
        <v>162</v>
      </c>
      <c r="B162" s="13" t="s">
        <v>60</v>
      </c>
      <c r="C162" s="13">
        <v>0.3</v>
      </c>
      <c r="D162" s="17">
        <v>2500</v>
      </c>
      <c r="E162" s="17">
        <v>750</v>
      </c>
    </row>
    <row r="163" spans="1:5" x14ac:dyDescent="0.35">
      <c r="A163" s="13" t="s">
        <v>105</v>
      </c>
      <c r="B163" s="13" t="s">
        <v>13</v>
      </c>
      <c r="C163" s="13">
        <v>0.3</v>
      </c>
      <c r="D163" s="17">
        <v>500</v>
      </c>
      <c r="E163" s="17">
        <v>150</v>
      </c>
    </row>
    <row r="164" spans="1:5" x14ac:dyDescent="0.35">
      <c r="A164" s="13" t="s">
        <v>105</v>
      </c>
      <c r="B164" s="13" t="s">
        <v>57</v>
      </c>
      <c r="C164" s="13">
        <v>0.15</v>
      </c>
      <c r="D164" s="17">
        <v>150</v>
      </c>
      <c r="E164" s="17">
        <v>23</v>
      </c>
    </row>
    <row r="165" spans="1:5" x14ac:dyDescent="0.35">
      <c r="A165" s="13" t="s">
        <v>105</v>
      </c>
      <c r="B165" s="13" t="s">
        <v>53</v>
      </c>
      <c r="C165" s="13">
        <v>0.85</v>
      </c>
      <c r="D165" s="17">
        <v>300</v>
      </c>
      <c r="E165" s="17">
        <v>255</v>
      </c>
    </row>
    <row r="166" spans="1:5" x14ac:dyDescent="0.35">
      <c r="A166" s="13" t="s">
        <v>105</v>
      </c>
      <c r="B166" s="13" t="s">
        <v>94</v>
      </c>
      <c r="C166" s="13">
        <v>2.1</v>
      </c>
      <c r="D166" s="17">
        <v>2800</v>
      </c>
      <c r="E166" s="17">
        <v>5880</v>
      </c>
    </row>
    <row r="167" spans="1:5" x14ac:dyDescent="0.35">
      <c r="A167" s="13" t="s">
        <v>105</v>
      </c>
      <c r="B167" s="13" t="s">
        <v>51</v>
      </c>
      <c r="C167" s="13">
        <v>0.8</v>
      </c>
      <c r="D167" s="17">
        <v>500</v>
      </c>
      <c r="E167" s="17">
        <v>400</v>
      </c>
    </row>
    <row r="168" spans="1:5" x14ac:dyDescent="0.35">
      <c r="A168" s="13" t="s">
        <v>106</v>
      </c>
      <c r="B168" s="13" t="s">
        <v>41</v>
      </c>
      <c r="C168" s="13">
        <v>2.65</v>
      </c>
      <c r="D168" s="17">
        <v>1000</v>
      </c>
      <c r="E168" s="17">
        <v>2650</v>
      </c>
    </row>
    <row r="169" spans="1:5" x14ac:dyDescent="0.35">
      <c r="A169" s="13" t="s">
        <v>106</v>
      </c>
      <c r="B169" s="13" t="s">
        <v>13</v>
      </c>
      <c r="C169" s="13">
        <v>0.3</v>
      </c>
      <c r="D169" s="17">
        <v>500</v>
      </c>
      <c r="E169" s="17">
        <v>150</v>
      </c>
    </row>
    <row r="170" spans="1:5" x14ac:dyDescent="0.35">
      <c r="A170" s="13" t="s">
        <v>106</v>
      </c>
      <c r="B170" s="13" t="s">
        <v>60</v>
      </c>
      <c r="C170" s="13">
        <v>0.1</v>
      </c>
      <c r="D170" s="17">
        <v>2500</v>
      </c>
      <c r="E170" s="17">
        <v>250</v>
      </c>
    </row>
    <row r="171" spans="1:5" x14ac:dyDescent="0.35">
      <c r="A171" s="13" t="s">
        <v>106</v>
      </c>
      <c r="B171" s="13" t="s">
        <v>51</v>
      </c>
      <c r="C171" s="13">
        <v>1.1000000000000001</v>
      </c>
      <c r="D171" s="17">
        <v>500</v>
      </c>
      <c r="E171" s="17">
        <v>550</v>
      </c>
    </row>
    <row r="172" spans="1:5" x14ac:dyDescent="0.35">
      <c r="A172" s="13" t="s">
        <v>106</v>
      </c>
      <c r="B172" s="13" t="s">
        <v>266</v>
      </c>
      <c r="C172" s="13">
        <v>0.6</v>
      </c>
      <c r="D172" s="17">
        <v>1000</v>
      </c>
      <c r="E172" s="17">
        <v>600</v>
      </c>
    </row>
    <row r="173" spans="1:5" x14ac:dyDescent="0.35">
      <c r="A173" s="13" t="s">
        <v>106</v>
      </c>
      <c r="B173" s="13" t="s">
        <v>94</v>
      </c>
      <c r="C173" s="13">
        <v>0.45</v>
      </c>
      <c r="D173" s="17">
        <v>2800</v>
      </c>
      <c r="E173" s="17">
        <v>1260</v>
      </c>
    </row>
    <row r="174" spans="1:5" x14ac:dyDescent="0.35">
      <c r="A174" s="13" t="s">
        <v>106</v>
      </c>
      <c r="B174" s="13" t="s">
        <v>25</v>
      </c>
      <c r="C174" s="13">
        <v>1</v>
      </c>
      <c r="D174" s="17">
        <v>1000</v>
      </c>
      <c r="E174" s="17">
        <v>1000</v>
      </c>
    </row>
    <row r="175" spans="1:5" x14ac:dyDescent="0.35">
      <c r="A175" s="13" t="s">
        <v>106</v>
      </c>
      <c r="B175" s="13" t="s">
        <v>53</v>
      </c>
      <c r="C175" s="13">
        <v>1</v>
      </c>
      <c r="D175" s="17">
        <v>300</v>
      </c>
      <c r="E175" s="17">
        <v>300</v>
      </c>
    </row>
    <row r="176" spans="1:5" x14ac:dyDescent="0.35">
      <c r="A176" s="13" t="s">
        <v>106</v>
      </c>
      <c r="B176" s="13" t="s">
        <v>39</v>
      </c>
      <c r="C176" s="13">
        <v>0.7</v>
      </c>
      <c r="D176" s="17">
        <v>1500</v>
      </c>
      <c r="E176" s="17">
        <v>1050</v>
      </c>
    </row>
    <row r="177" spans="1:5" x14ac:dyDescent="0.35">
      <c r="A177" s="13" t="s">
        <v>107</v>
      </c>
      <c r="B177" s="13" t="s">
        <v>51</v>
      </c>
      <c r="C177" s="13">
        <v>0.25</v>
      </c>
      <c r="D177" s="17">
        <v>500</v>
      </c>
      <c r="E177" s="17">
        <v>125</v>
      </c>
    </row>
    <row r="178" spans="1:5" x14ac:dyDescent="0.35">
      <c r="A178" s="13" t="s">
        <v>107</v>
      </c>
      <c r="B178" s="13" t="s">
        <v>60</v>
      </c>
      <c r="C178" s="13">
        <v>0.05</v>
      </c>
      <c r="D178" s="17">
        <v>2500</v>
      </c>
      <c r="E178" s="17">
        <v>125</v>
      </c>
    </row>
    <row r="179" spans="1:5" x14ac:dyDescent="0.35">
      <c r="A179" s="13" t="s">
        <v>107</v>
      </c>
      <c r="B179" s="13" t="s">
        <v>25</v>
      </c>
      <c r="C179" s="13">
        <v>0.35</v>
      </c>
      <c r="D179" s="17">
        <v>1000</v>
      </c>
      <c r="E179" s="17">
        <v>350</v>
      </c>
    </row>
    <row r="180" spans="1:5" x14ac:dyDescent="0.35">
      <c r="A180" s="13" t="s">
        <v>107</v>
      </c>
      <c r="B180" s="13" t="s">
        <v>13</v>
      </c>
      <c r="C180" s="13">
        <v>0.1</v>
      </c>
      <c r="D180" s="17">
        <v>500</v>
      </c>
      <c r="E180" s="17">
        <v>50</v>
      </c>
    </row>
    <row r="181" spans="1:5" x14ac:dyDescent="0.35">
      <c r="A181" s="13" t="s">
        <v>107</v>
      </c>
      <c r="B181" s="13" t="s">
        <v>53</v>
      </c>
      <c r="C181" s="13">
        <v>0.2</v>
      </c>
      <c r="D181" s="17">
        <v>300</v>
      </c>
      <c r="E181" s="17">
        <v>60</v>
      </c>
    </row>
    <row r="182" spans="1:5" x14ac:dyDescent="0.35">
      <c r="A182" s="13" t="s">
        <v>107</v>
      </c>
      <c r="B182" s="13" t="s">
        <v>41</v>
      </c>
      <c r="C182" s="13">
        <v>1.1000000000000001</v>
      </c>
      <c r="D182" s="17">
        <v>1000</v>
      </c>
      <c r="E182" s="17">
        <v>1100</v>
      </c>
    </row>
    <row r="183" spans="1:5" x14ac:dyDescent="0.35">
      <c r="A183" s="13" t="s">
        <v>107</v>
      </c>
      <c r="B183" s="13" t="s">
        <v>94</v>
      </c>
      <c r="C183" s="13">
        <v>0.9</v>
      </c>
      <c r="D183" s="17">
        <v>2800</v>
      </c>
      <c r="E183" s="17">
        <v>2520</v>
      </c>
    </row>
    <row r="184" spans="1:5" x14ac:dyDescent="0.35">
      <c r="A184" s="13" t="s">
        <v>206</v>
      </c>
      <c r="B184" s="13" t="s">
        <v>18</v>
      </c>
      <c r="C184" s="13">
        <v>0.3</v>
      </c>
      <c r="D184" s="17">
        <v>150</v>
      </c>
      <c r="E184" s="17">
        <v>45</v>
      </c>
    </row>
    <row r="185" spans="1:5" x14ac:dyDescent="0.35">
      <c r="A185" s="13" t="s">
        <v>206</v>
      </c>
      <c r="B185" s="13" t="s">
        <v>39</v>
      </c>
      <c r="C185" s="13">
        <v>0.2</v>
      </c>
      <c r="D185" s="17">
        <v>1500</v>
      </c>
      <c r="E185" s="17">
        <v>300</v>
      </c>
    </row>
    <row r="186" spans="1:5" x14ac:dyDescent="0.35">
      <c r="A186" s="13" t="s">
        <v>206</v>
      </c>
      <c r="B186" s="13" t="s">
        <v>51</v>
      </c>
      <c r="C186" s="13">
        <v>0.55000000000000004</v>
      </c>
      <c r="D186" s="17">
        <v>500</v>
      </c>
      <c r="E186" s="17">
        <v>275</v>
      </c>
    </row>
    <row r="187" spans="1:5" x14ac:dyDescent="0.35">
      <c r="A187" s="13" t="s">
        <v>206</v>
      </c>
      <c r="B187" s="13" t="s">
        <v>53</v>
      </c>
      <c r="C187" s="13">
        <v>0.15</v>
      </c>
      <c r="D187" s="17">
        <v>300</v>
      </c>
      <c r="E187" s="17">
        <v>45</v>
      </c>
    </row>
    <row r="188" spans="1:5" x14ac:dyDescent="0.35">
      <c r="A188" s="13" t="s">
        <v>206</v>
      </c>
      <c r="B188" s="13" t="s">
        <v>25</v>
      </c>
      <c r="C188" s="13">
        <v>1.2</v>
      </c>
      <c r="D188" s="17">
        <v>1000</v>
      </c>
      <c r="E188" s="17">
        <v>1200</v>
      </c>
    </row>
    <row r="189" spans="1:5" x14ac:dyDescent="0.35">
      <c r="A189" s="13" t="s">
        <v>206</v>
      </c>
      <c r="B189" s="13" t="s">
        <v>54</v>
      </c>
      <c r="C189" s="13">
        <v>0.1</v>
      </c>
      <c r="D189" s="17">
        <v>800</v>
      </c>
      <c r="E189" s="17">
        <v>80</v>
      </c>
    </row>
    <row r="190" spans="1:5" x14ac:dyDescent="0.35">
      <c r="A190" s="13" t="s">
        <v>206</v>
      </c>
      <c r="B190" s="13" t="s">
        <v>41</v>
      </c>
      <c r="C190" s="13">
        <v>2.95</v>
      </c>
      <c r="D190" s="17">
        <v>1000</v>
      </c>
      <c r="E190" s="17">
        <v>2950</v>
      </c>
    </row>
    <row r="191" spans="1:5" x14ac:dyDescent="0.35">
      <c r="A191" s="13" t="s">
        <v>206</v>
      </c>
      <c r="B191" s="13" t="s">
        <v>94</v>
      </c>
      <c r="C191" s="13">
        <v>0.9</v>
      </c>
      <c r="D191" s="17">
        <v>2800</v>
      </c>
      <c r="E191" s="17">
        <v>2520</v>
      </c>
    </row>
    <row r="192" spans="1:5" x14ac:dyDescent="0.35">
      <c r="A192" s="13" t="s">
        <v>196</v>
      </c>
      <c r="B192" s="13" t="s">
        <v>25</v>
      </c>
      <c r="C192" s="13">
        <v>0.5</v>
      </c>
      <c r="D192" s="17">
        <v>1000</v>
      </c>
      <c r="E192" s="17">
        <v>500</v>
      </c>
    </row>
    <row r="193" spans="1:5" x14ac:dyDescent="0.35">
      <c r="A193" s="13" t="s">
        <v>196</v>
      </c>
      <c r="B193" s="13" t="s">
        <v>39</v>
      </c>
      <c r="C193" s="13">
        <v>0.75</v>
      </c>
      <c r="D193" s="17">
        <v>1500</v>
      </c>
      <c r="E193" s="17">
        <v>1125</v>
      </c>
    </row>
    <row r="194" spans="1:5" x14ac:dyDescent="0.35">
      <c r="A194" s="13" t="s">
        <v>196</v>
      </c>
      <c r="B194" s="13" t="s">
        <v>53</v>
      </c>
      <c r="C194" s="13">
        <v>0.75</v>
      </c>
      <c r="D194" s="17">
        <v>300</v>
      </c>
      <c r="E194" s="17">
        <v>225</v>
      </c>
    </row>
    <row r="195" spans="1:5" x14ac:dyDescent="0.35">
      <c r="A195" s="13" t="s">
        <v>196</v>
      </c>
      <c r="B195" s="13" t="s">
        <v>13</v>
      </c>
      <c r="C195" s="13">
        <v>0.45</v>
      </c>
      <c r="D195" s="17">
        <v>500</v>
      </c>
      <c r="E195" s="17">
        <v>225</v>
      </c>
    </row>
    <row r="196" spans="1:5" x14ac:dyDescent="0.35">
      <c r="A196" s="13" t="s">
        <v>109</v>
      </c>
      <c r="B196" s="13" t="s">
        <v>13</v>
      </c>
      <c r="C196" s="13">
        <v>0.55000000000000004</v>
      </c>
      <c r="D196" s="17">
        <v>500</v>
      </c>
      <c r="E196" s="17">
        <v>275</v>
      </c>
    </row>
    <row r="197" spans="1:5" x14ac:dyDescent="0.35">
      <c r="A197" s="13" t="s">
        <v>109</v>
      </c>
      <c r="B197" s="13" t="s">
        <v>53</v>
      </c>
      <c r="C197" s="13">
        <v>0.35</v>
      </c>
      <c r="D197" s="17">
        <v>300</v>
      </c>
      <c r="E197" s="17">
        <v>105</v>
      </c>
    </row>
    <row r="198" spans="1:5" x14ac:dyDescent="0.35">
      <c r="A198" s="13" t="s">
        <v>109</v>
      </c>
      <c r="B198" s="13" t="s">
        <v>51</v>
      </c>
      <c r="C198" s="13">
        <v>0.35</v>
      </c>
      <c r="D198" s="17">
        <v>500</v>
      </c>
      <c r="E198" s="17">
        <v>175</v>
      </c>
    </row>
    <row r="199" spans="1:5" x14ac:dyDescent="0.35">
      <c r="A199" s="13" t="s">
        <v>109</v>
      </c>
      <c r="B199" s="13" t="s">
        <v>39</v>
      </c>
      <c r="C199" s="13">
        <v>0.4</v>
      </c>
      <c r="D199" s="17">
        <v>1500</v>
      </c>
      <c r="E199" s="17">
        <v>600</v>
      </c>
    </row>
    <row r="200" spans="1:5" x14ac:dyDescent="0.35">
      <c r="A200" s="13" t="s">
        <v>109</v>
      </c>
      <c r="B200" s="13" t="s">
        <v>94</v>
      </c>
      <c r="C200" s="13">
        <v>0.4</v>
      </c>
      <c r="D200" s="17">
        <v>2800</v>
      </c>
      <c r="E200" s="17">
        <v>1120</v>
      </c>
    </row>
    <row r="201" spans="1:5" x14ac:dyDescent="0.35">
      <c r="A201" s="13" t="s">
        <v>109</v>
      </c>
      <c r="B201" s="13" t="s">
        <v>29</v>
      </c>
      <c r="C201" s="13">
        <v>0.4</v>
      </c>
      <c r="D201" s="17">
        <v>1600</v>
      </c>
      <c r="E201" s="17">
        <v>640</v>
      </c>
    </row>
    <row r="202" spans="1:5" x14ac:dyDescent="0.35">
      <c r="A202" s="13" t="s">
        <v>109</v>
      </c>
      <c r="B202" s="13" t="s">
        <v>25</v>
      </c>
      <c r="C202" s="13">
        <v>0.5</v>
      </c>
      <c r="D202" s="17">
        <v>1000</v>
      </c>
      <c r="E202" s="17">
        <v>500</v>
      </c>
    </row>
    <row r="203" spans="1:5" x14ac:dyDescent="0.35">
      <c r="A203" s="13" t="s">
        <v>109</v>
      </c>
      <c r="B203" s="13" t="s">
        <v>18</v>
      </c>
      <c r="C203" s="13">
        <v>1.6</v>
      </c>
      <c r="D203" s="17">
        <v>150</v>
      </c>
      <c r="E203" s="17">
        <v>240</v>
      </c>
    </row>
    <row r="204" spans="1:5" x14ac:dyDescent="0.35">
      <c r="A204" s="13" t="s">
        <v>109</v>
      </c>
      <c r="B204" s="13" t="s">
        <v>125</v>
      </c>
      <c r="C204" s="13">
        <v>1.45</v>
      </c>
      <c r="D204" s="17">
        <v>800</v>
      </c>
      <c r="E204" s="17">
        <v>1160</v>
      </c>
    </row>
    <row r="205" spans="1:5" x14ac:dyDescent="0.35">
      <c r="A205" s="13" t="s">
        <v>109</v>
      </c>
      <c r="B205" s="13" t="s">
        <v>41</v>
      </c>
      <c r="C205" s="13">
        <v>1.75</v>
      </c>
      <c r="D205" s="17">
        <v>1000</v>
      </c>
      <c r="E205" s="17">
        <v>1750</v>
      </c>
    </row>
    <row r="206" spans="1:5" x14ac:dyDescent="0.35">
      <c r="A206" s="13" t="s">
        <v>110</v>
      </c>
      <c r="B206" s="13" t="s">
        <v>51</v>
      </c>
      <c r="C206" s="13">
        <v>0.6</v>
      </c>
      <c r="D206" s="17">
        <v>500</v>
      </c>
      <c r="E206" s="17">
        <v>300</v>
      </c>
    </row>
    <row r="207" spans="1:5" x14ac:dyDescent="0.35">
      <c r="A207" s="13" t="s">
        <v>110</v>
      </c>
      <c r="B207" s="13" t="s">
        <v>41</v>
      </c>
      <c r="C207" s="13">
        <v>1.75</v>
      </c>
      <c r="D207" s="17">
        <v>1000</v>
      </c>
      <c r="E207" s="17">
        <v>1750</v>
      </c>
    </row>
    <row r="208" spans="1:5" x14ac:dyDescent="0.35">
      <c r="A208" s="13" t="s">
        <v>110</v>
      </c>
      <c r="B208" s="13" t="s">
        <v>125</v>
      </c>
      <c r="C208" s="13">
        <v>2.65</v>
      </c>
      <c r="D208" s="17">
        <v>800</v>
      </c>
      <c r="E208" s="17">
        <v>2120</v>
      </c>
    </row>
    <row r="209" spans="1:5" x14ac:dyDescent="0.35">
      <c r="A209" s="13" t="s">
        <v>110</v>
      </c>
      <c r="B209" s="13" t="s">
        <v>126</v>
      </c>
      <c r="C209" s="13">
        <v>0.25</v>
      </c>
      <c r="D209" s="17">
        <v>1800</v>
      </c>
      <c r="E209" s="17">
        <v>450</v>
      </c>
    </row>
    <row r="210" spans="1:5" x14ac:dyDescent="0.35">
      <c r="A210" s="13" t="s">
        <v>110</v>
      </c>
      <c r="B210" s="13" t="s">
        <v>25</v>
      </c>
      <c r="C210" s="13">
        <v>0.15</v>
      </c>
      <c r="D210" s="17">
        <v>1000</v>
      </c>
      <c r="E210" s="17">
        <v>150</v>
      </c>
    </row>
    <row r="211" spans="1:5" x14ac:dyDescent="0.35">
      <c r="A211" s="13" t="s">
        <v>110</v>
      </c>
      <c r="B211" s="13" t="s">
        <v>53</v>
      </c>
      <c r="C211" s="13">
        <v>0.25</v>
      </c>
      <c r="D211" s="17">
        <v>300</v>
      </c>
      <c r="E211" s="17">
        <v>75</v>
      </c>
    </row>
    <row r="212" spans="1:5" x14ac:dyDescent="0.35">
      <c r="A212" s="13" t="s">
        <v>110</v>
      </c>
      <c r="B212" s="13" t="s">
        <v>94</v>
      </c>
      <c r="C212" s="13">
        <v>0.5</v>
      </c>
      <c r="D212" s="17">
        <v>2800</v>
      </c>
      <c r="E212" s="17">
        <v>1400</v>
      </c>
    </row>
    <row r="213" spans="1:5" x14ac:dyDescent="0.35">
      <c r="A213" s="13" t="s">
        <v>110</v>
      </c>
      <c r="B213" s="13" t="s">
        <v>61</v>
      </c>
      <c r="C213" s="13">
        <v>0.1</v>
      </c>
      <c r="D213" s="17">
        <v>3500</v>
      </c>
      <c r="E213" s="17">
        <v>350</v>
      </c>
    </row>
    <row r="214" spans="1:5" x14ac:dyDescent="0.35">
      <c r="A214" s="13" t="s">
        <v>110</v>
      </c>
      <c r="B214" s="13" t="s">
        <v>13</v>
      </c>
      <c r="C214" s="13">
        <v>0.2</v>
      </c>
      <c r="D214" s="17">
        <v>500</v>
      </c>
      <c r="E214" s="17">
        <v>100</v>
      </c>
    </row>
    <row r="215" spans="1:5" x14ac:dyDescent="0.35">
      <c r="A215" s="13" t="s">
        <v>208</v>
      </c>
      <c r="B215" s="13" t="s">
        <v>41</v>
      </c>
      <c r="C215" s="13">
        <v>4.45</v>
      </c>
      <c r="D215" s="17">
        <v>1000</v>
      </c>
      <c r="E215" s="17">
        <v>4450</v>
      </c>
    </row>
    <row r="216" spans="1:5" x14ac:dyDescent="0.35">
      <c r="A216" s="13" t="s">
        <v>208</v>
      </c>
      <c r="B216" s="13" t="s">
        <v>25</v>
      </c>
      <c r="C216" s="13">
        <v>0.6</v>
      </c>
      <c r="D216" s="17">
        <v>1000</v>
      </c>
      <c r="E216" s="17">
        <v>600</v>
      </c>
    </row>
    <row r="217" spans="1:5" x14ac:dyDescent="0.35">
      <c r="A217" s="13" t="s">
        <v>208</v>
      </c>
      <c r="B217" s="13" t="s">
        <v>39</v>
      </c>
      <c r="C217" s="13">
        <v>0.5</v>
      </c>
      <c r="D217" s="17">
        <v>1500</v>
      </c>
      <c r="E217" s="17">
        <v>750</v>
      </c>
    </row>
    <row r="218" spans="1:5" x14ac:dyDescent="0.35">
      <c r="A218" s="13" t="s">
        <v>208</v>
      </c>
      <c r="B218" s="13" t="s">
        <v>34</v>
      </c>
      <c r="C218" s="13">
        <v>3.7</v>
      </c>
      <c r="D218" s="17">
        <v>5000</v>
      </c>
      <c r="E218" s="17">
        <v>18500</v>
      </c>
    </row>
    <row r="219" spans="1:5" x14ac:dyDescent="0.35">
      <c r="A219" s="13" t="s">
        <v>208</v>
      </c>
      <c r="B219" s="13" t="s">
        <v>94</v>
      </c>
      <c r="C219" s="13">
        <v>1.65</v>
      </c>
      <c r="D219" s="17">
        <v>2800</v>
      </c>
      <c r="E219" s="17">
        <v>4620</v>
      </c>
    </row>
    <row r="220" spans="1:5" x14ac:dyDescent="0.35">
      <c r="A220" s="13" t="s">
        <v>208</v>
      </c>
      <c r="B220" s="13" t="s">
        <v>60</v>
      </c>
      <c r="C220" s="13">
        <v>0.3</v>
      </c>
      <c r="D220" s="17">
        <v>2500</v>
      </c>
      <c r="E220" s="17">
        <v>750</v>
      </c>
    </row>
    <row r="221" spans="1:5" x14ac:dyDescent="0.35">
      <c r="A221" s="13" t="s">
        <v>208</v>
      </c>
      <c r="B221" s="13" t="s">
        <v>128</v>
      </c>
      <c r="C221" s="13">
        <v>0.1</v>
      </c>
      <c r="D221" s="17">
        <v>3500</v>
      </c>
      <c r="E221" s="17">
        <v>350</v>
      </c>
    </row>
    <row r="222" spans="1:5" x14ac:dyDescent="0.35">
      <c r="A222" s="13" t="s">
        <v>112</v>
      </c>
      <c r="B222" s="13" t="s">
        <v>293</v>
      </c>
      <c r="C222" s="13">
        <v>1.65</v>
      </c>
      <c r="D222" s="17">
        <v>1400</v>
      </c>
      <c r="E222" s="17">
        <v>2310</v>
      </c>
    </row>
    <row r="223" spans="1:5" x14ac:dyDescent="0.35">
      <c r="A223" s="13" t="s">
        <v>112</v>
      </c>
      <c r="B223" s="13" t="s">
        <v>13</v>
      </c>
      <c r="C223" s="13">
        <v>0.15</v>
      </c>
      <c r="D223" s="17">
        <v>500</v>
      </c>
      <c r="E223" s="17">
        <v>75</v>
      </c>
    </row>
    <row r="224" spans="1:5" x14ac:dyDescent="0.35">
      <c r="A224" s="13" t="s">
        <v>112</v>
      </c>
      <c r="B224" s="13" t="s">
        <v>53</v>
      </c>
      <c r="C224" s="13">
        <v>0.2</v>
      </c>
      <c r="D224" s="17">
        <v>300</v>
      </c>
      <c r="E224" s="17">
        <v>60</v>
      </c>
    </row>
    <row r="225" spans="1:5" x14ac:dyDescent="0.35">
      <c r="A225" s="13" t="s">
        <v>112</v>
      </c>
      <c r="B225" s="13" t="s">
        <v>39</v>
      </c>
      <c r="C225" s="13">
        <v>0.45</v>
      </c>
      <c r="D225" s="17">
        <v>1500</v>
      </c>
      <c r="E225" s="17">
        <v>675</v>
      </c>
    </row>
    <row r="226" spans="1:5" x14ac:dyDescent="0.35">
      <c r="A226" s="13" t="s">
        <v>112</v>
      </c>
      <c r="B226" s="13" t="s">
        <v>18</v>
      </c>
      <c r="C226" s="13">
        <v>0.7</v>
      </c>
      <c r="D226" s="17">
        <v>150</v>
      </c>
      <c r="E226" s="17">
        <v>105</v>
      </c>
    </row>
    <row r="227" spans="1:5" x14ac:dyDescent="0.35">
      <c r="A227" s="13" t="s">
        <v>112</v>
      </c>
      <c r="B227" s="13" t="s">
        <v>94</v>
      </c>
      <c r="C227" s="13">
        <v>0.35</v>
      </c>
      <c r="D227" s="17">
        <v>2800</v>
      </c>
      <c r="E227" s="17">
        <v>980</v>
      </c>
    </row>
    <row r="228" spans="1:5" x14ac:dyDescent="0.35">
      <c r="A228" s="13" t="s">
        <v>112</v>
      </c>
      <c r="B228" s="13" t="s">
        <v>22</v>
      </c>
      <c r="C228" s="13">
        <v>0.25</v>
      </c>
      <c r="D228" s="17">
        <v>1600</v>
      </c>
      <c r="E228" s="17">
        <v>400</v>
      </c>
    </row>
    <row r="229" spans="1:5" x14ac:dyDescent="0.35">
      <c r="A229" s="13" t="s">
        <v>112</v>
      </c>
      <c r="B229" s="13" t="s">
        <v>51</v>
      </c>
      <c r="C229" s="13">
        <v>1.1499999999999999</v>
      </c>
      <c r="D229" s="17">
        <v>500</v>
      </c>
      <c r="E229" s="17">
        <v>575</v>
      </c>
    </row>
    <row r="230" spans="1:5" x14ac:dyDescent="0.35">
      <c r="A230" s="13" t="s">
        <v>112</v>
      </c>
      <c r="B230" s="13" t="s">
        <v>25</v>
      </c>
      <c r="C230" s="13">
        <v>5.9</v>
      </c>
      <c r="D230" s="17">
        <v>1000</v>
      </c>
      <c r="E230" s="17">
        <v>5900</v>
      </c>
    </row>
    <row r="231" spans="1:5" x14ac:dyDescent="0.35">
      <c r="A231" s="13" t="s">
        <v>112</v>
      </c>
      <c r="B231" s="13" t="s">
        <v>41</v>
      </c>
      <c r="C231" s="13">
        <v>2.8</v>
      </c>
      <c r="D231" s="17">
        <v>1000</v>
      </c>
      <c r="E231" s="17">
        <v>2800</v>
      </c>
    </row>
    <row r="232" spans="1:5" x14ac:dyDescent="0.35">
      <c r="A232" s="13" t="s">
        <v>113</v>
      </c>
      <c r="B232" s="13" t="s">
        <v>41</v>
      </c>
      <c r="C232" s="13">
        <v>2.85</v>
      </c>
      <c r="D232" s="17">
        <v>1000</v>
      </c>
      <c r="E232" s="17">
        <v>2850</v>
      </c>
    </row>
    <row r="233" spans="1:5" x14ac:dyDescent="0.35">
      <c r="A233" s="13" t="s">
        <v>113</v>
      </c>
      <c r="B233" s="13" t="s">
        <v>51</v>
      </c>
      <c r="C233" s="13">
        <v>1.55</v>
      </c>
      <c r="D233" s="17">
        <v>500</v>
      </c>
      <c r="E233" s="17">
        <v>775</v>
      </c>
    </row>
    <row r="234" spans="1:5" x14ac:dyDescent="0.35">
      <c r="A234" s="13" t="s">
        <v>113</v>
      </c>
      <c r="B234" s="13" t="s">
        <v>18</v>
      </c>
      <c r="C234" s="13">
        <v>0.3</v>
      </c>
      <c r="D234" s="17">
        <v>150</v>
      </c>
      <c r="E234" s="17">
        <v>45</v>
      </c>
    </row>
    <row r="235" spans="1:5" x14ac:dyDescent="0.35">
      <c r="A235" s="13" t="s">
        <v>113</v>
      </c>
      <c r="B235" s="13" t="s">
        <v>25</v>
      </c>
      <c r="C235" s="13">
        <v>0.6</v>
      </c>
      <c r="D235" s="17">
        <v>1000</v>
      </c>
      <c r="E235" s="17">
        <v>600</v>
      </c>
    </row>
    <row r="236" spans="1:5" x14ac:dyDescent="0.35">
      <c r="A236" s="13" t="s">
        <v>113</v>
      </c>
      <c r="B236" s="13" t="s">
        <v>39</v>
      </c>
      <c r="C236" s="13">
        <v>0.45</v>
      </c>
      <c r="D236" s="17">
        <v>1500</v>
      </c>
      <c r="E236" s="17">
        <v>675</v>
      </c>
    </row>
    <row r="237" spans="1:5" x14ac:dyDescent="0.35">
      <c r="A237" s="13" t="s">
        <v>113</v>
      </c>
      <c r="B237" s="13" t="s">
        <v>13</v>
      </c>
      <c r="C237" s="13">
        <v>0.95</v>
      </c>
      <c r="D237" s="17">
        <v>500</v>
      </c>
      <c r="E237" s="17">
        <v>475</v>
      </c>
    </row>
    <row r="238" spans="1:5" x14ac:dyDescent="0.35">
      <c r="A238" s="13" t="s">
        <v>113</v>
      </c>
      <c r="B238" s="13" t="s">
        <v>53</v>
      </c>
      <c r="C238" s="13">
        <v>1.1000000000000001</v>
      </c>
      <c r="D238" s="17">
        <v>300</v>
      </c>
      <c r="E238" s="17">
        <v>330</v>
      </c>
    </row>
    <row r="239" spans="1:5" x14ac:dyDescent="0.35">
      <c r="A239" s="13" t="s">
        <v>113</v>
      </c>
      <c r="B239" s="13" t="s">
        <v>94</v>
      </c>
      <c r="C239" s="13">
        <v>1.05</v>
      </c>
      <c r="D239" s="17">
        <v>2800</v>
      </c>
      <c r="E239" s="17">
        <v>2940</v>
      </c>
    </row>
    <row r="240" spans="1:5" x14ac:dyDescent="0.35">
      <c r="A240" s="13" t="s">
        <v>168</v>
      </c>
      <c r="B240" s="13" t="s">
        <v>60</v>
      </c>
      <c r="C240" s="13">
        <v>0.1</v>
      </c>
      <c r="D240" s="17">
        <v>2500</v>
      </c>
      <c r="E240" s="17">
        <v>250</v>
      </c>
    </row>
    <row r="241" spans="1:5" x14ac:dyDescent="0.35">
      <c r="A241" s="13" t="s">
        <v>168</v>
      </c>
      <c r="B241" s="13" t="s">
        <v>39</v>
      </c>
      <c r="C241" s="13">
        <v>0.25</v>
      </c>
      <c r="D241" s="17">
        <v>1500</v>
      </c>
      <c r="E241" s="17">
        <v>375</v>
      </c>
    </row>
    <row r="242" spans="1:5" x14ac:dyDescent="0.35">
      <c r="A242" s="13" t="s">
        <v>168</v>
      </c>
      <c r="B242" s="13" t="s">
        <v>54</v>
      </c>
      <c r="C242" s="13">
        <v>0.65</v>
      </c>
      <c r="D242" s="17">
        <v>800</v>
      </c>
      <c r="E242" s="17">
        <v>520</v>
      </c>
    </row>
    <row r="243" spans="1:5" x14ac:dyDescent="0.35">
      <c r="A243" s="13" t="s">
        <v>168</v>
      </c>
      <c r="B243" s="13" t="s">
        <v>18</v>
      </c>
      <c r="C243" s="13">
        <v>1.7</v>
      </c>
      <c r="D243" s="17">
        <v>150</v>
      </c>
      <c r="E243" s="17">
        <v>255</v>
      </c>
    </row>
    <row r="244" spans="1:5" x14ac:dyDescent="0.35">
      <c r="A244" s="13" t="s">
        <v>168</v>
      </c>
      <c r="B244" s="13" t="s">
        <v>94</v>
      </c>
      <c r="C244" s="13">
        <v>0.7</v>
      </c>
      <c r="D244" s="17">
        <v>2800</v>
      </c>
      <c r="E244" s="17">
        <v>1960</v>
      </c>
    </row>
    <row r="245" spans="1:5" x14ac:dyDescent="0.35">
      <c r="A245" s="13" t="s">
        <v>168</v>
      </c>
      <c r="B245" s="13" t="s">
        <v>25</v>
      </c>
      <c r="C245" s="13">
        <v>5.35</v>
      </c>
      <c r="D245" s="17">
        <v>1000</v>
      </c>
      <c r="E245" s="17">
        <v>5350</v>
      </c>
    </row>
    <row r="246" spans="1:5" x14ac:dyDescent="0.35">
      <c r="A246" s="13" t="s">
        <v>168</v>
      </c>
      <c r="B246" s="13" t="s">
        <v>53</v>
      </c>
      <c r="C246" s="13">
        <v>1.8</v>
      </c>
      <c r="D246" s="17">
        <v>300</v>
      </c>
      <c r="E246" s="17">
        <v>540</v>
      </c>
    </row>
    <row r="247" spans="1:5" x14ac:dyDescent="0.35">
      <c r="A247" s="13" t="s">
        <v>168</v>
      </c>
      <c r="B247" s="13" t="s">
        <v>13</v>
      </c>
      <c r="C247" s="13">
        <v>1.3</v>
      </c>
      <c r="D247" s="17">
        <v>500</v>
      </c>
      <c r="E247" s="17">
        <v>650</v>
      </c>
    </row>
    <row r="248" spans="1:5" x14ac:dyDescent="0.35">
      <c r="A248" s="13" t="s">
        <v>168</v>
      </c>
      <c r="B248" s="13" t="s">
        <v>51</v>
      </c>
      <c r="C248" s="13">
        <v>3.8</v>
      </c>
      <c r="D248" s="17">
        <v>500</v>
      </c>
      <c r="E248" s="17">
        <v>1900</v>
      </c>
    </row>
    <row r="249" spans="1:5" x14ac:dyDescent="0.35">
      <c r="A249" s="13" t="s">
        <v>168</v>
      </c>
      <c r="B249" s="13" t="s">
        <v>41</v>
      </c>
      <c r="C249" s="13">
        <v>9</v>
      </c>
      <c r="D249" s="17">
        <v>1000</v>
      </c>
      <c r="E249" s="17">
        <v>9000</v>
      </c>
    </row>
    <row r="250" spans="1:5" x14ac:dyDescent="0.35">
      <c r="A250" s="13" t="s">
        <v>114</v>
      </c>
      <c r="B250" s="13" t="s">
        <v>26</v>
      </c>
      <c r="C250" s="13">
        <v>0.15</v>
      </c>
      <c r="D250" s="17">
        <v>1000</v>
      </c>
      <c r="E250" s="17">
        <v>150</v>
      </c>
    </row>
    <row r="251" spans="1:5" x14ac:dyDescent="0.35">
      <c r="A251" s="13" t="s">
        <v>114</v>
      </c>
      <c r="B251" s="13" t="s">
        <v>53</v>
      </c>
      <c r="C251" s="13">
        <v>0.7</v>
      </c>
      <c r="D251" s="17">
        <v>300</v>
      </c>
      <c r="E251" s="17">
        <v>210</v>
      </c>
    </row>
    <row r="252" spans="1:5" x14ac:dyDescent="0.35">
      <c r="A252" s="13" t="s">
        <v>114</v>
      </c>
      <c r="B252" s="13" t="s">
        <v>125</v>
      </c>
      <c r="C252" s="13">
        <v>7.95</v>
      </c>
      <c r="D252" s="17">
        <v>800</v>
      </c>
      <c r="E252" s="17">
        <v>6360</v>
      </c>
    </row>
    <row r="253" spans="1:5" x14ac:dyDescent="0.35">
      <c r="A253" s="13" t="s">
        <v>213</v>
      </c>
      <c r="B253" s="13" t="s">
        <v>94</v>
      </c>
      <c r="C253" s="13">
        <v>0.55000000000000004</v>
      </c>
      <c r="D253" s="17">
        <v>2800</v>
      </c>
      <c r="E253" s="17">
        <v>1540</v>
      </c>
    </row>
    <row r="254" spans="1:5" x14ac:dyDescent="0.35">
      <c r="A254" s="13" t="s">
        <v>213</v>
      </c>
      <c r="B254" s="13" t="s">
        <v>128</v>
      </c>
      <c r="C254" s="13">
        <v>0.4</v>
      </c>
      <c r="D254" s="17">
        <v>3500</v>
      </c>
      <c r="E254" s="17">
        <v>1400</v>
      </c>
    </row>
    <row r="255" spans="1:5" x14ac:dyDescent="0.35">
      <c r="A255" s="13" t="s">
        <v>213</v>
      </c>
      <c r="B255" s="13" t="s">
        <v>51</v>
      </c>
      <c r="C255" s="13">
        <v>0.3</v>
      </c>
      <c r="D255" s="17">
        <v>500</v>
      </c>
      <c r="E255" s="17">
        <v>150</v>
      </c>
    </row>
    <row r="256" spans="1:5" x14ac:dyDescent="0.35">
      <c r="A256" s="13" t="s">
        <v>213</v>
      </c>
      <c r="B256" s="13" t="s">
        <v>53</v>
      </c>
      <c r="C256" s="13">
        <v>1.3</v>
      </c>
      <c r="D256" s="17">
        <v>300</v>
      </c>
      <c r="E256" s="17">
        <v>390</v>
      </c>
    </row>
    <row r="257" spans="1:5" x14ac:dyDescent="0.35">
      <c r="A257" s="13" t="s">
        <v>213</v>
      </c>
      <c r="B257" s="13" t="s">
        <v>54</v>
      </c>
      <c r="C257" s="13">
        <v>0.6</v>
      </c>
      <c r="D257" s="17">
        <v>800</v>
      </c>
      <c r="E257" s="17">
        <v>480</v>
      </c>
    </row>
    <row r="258" spans="1:5" x14ac:dyDescent="0.35">
      <c r="A258" s="13" t="s">
        <v>213</v>
      </c>
      <c r="B258" s="13" t="s">
        <v>41</v>
      </c>
      <c r="C258" s="13">
        <v>4.55</v>
      </c>
      <c r="D258" s="17">
        <v>1000</v>
      </c>
      <c r="E258" s="17">
        <v>4550</v>
      </c>
    </row>
    <row r="259" spans="1:5" x14ac:dyDescent="0.35">
      <c r="A259" s="13" t="s">
        <v>116</v>
      </c>
      <c r="B259" s="13" t="s">
        <v>94</v>
      </c>
      <c r="C259" s="13">
        <v>3.3</v>
      </c>
      <c r="D259" s="17">
        <v>2800</v>
      </c>
      <c r="E259" s="17">
        <v>9240</v>
      </c>
    </row>
    <row r="260" spans="1:5" x14ac:dyDescent="0.35">
      <c r="A260" s="13" t="s">
        <v>116</v>
      </c>
      <c r="B260" s="13" t="s">
        <v>18</v>
      </c>
      <c r="C260" s="13">
        <v>1.1499999999999999</v>
      </c>
      <c r="D260" s="17">
        <v>150</v>
      </c>
      <c r="E260" s="17">
        <v>173</v>
      </c>
    </row>
    <row r="261" spans="1:5" x14ac:dyDescent="0.35">
      <c r="A261" s="13" t="s">
        <v>116</v>
      </c>
      <c r="B261" s="13" t="s">
        <v>34</v>
      </c>
      <c r="C261" s="13">
        <v>20.100000000000001</v>
      </c>
      <c r="D261" s="17">
        <v>5000</v>
      </c>
      <c r="E261" s="17">
        <v>100500</v>
      </c>
    </row>
    <row r="262" spans="1:5" x14ac:dyDescent="0.35">
      <c r="A262" s="13" t="s">
        <v>116</v>
      </c>
      <c r="B262" s="13" t="s">
        <v>41</v>
      </c>
      <c r="C262" s="13">
        <v>2.5499999999999998</v>
      </c>
      <c r="D262" s="17">
        <v>1000</v>
      </c>
      <c r="E262" s="17">
        <v>2550</v>
      </c>
    </row>
    <row r="263" spans="1:5" x14ac:dyDescent="0.35">
      <c r="A263" s="13" t="s">
        <v>116</v>
      </c>
      <c r="B263" s="13" t="s">
        <v>29</v>
      </c>
      <c r="C263" s="13">
        <v>0.35</v>
      </c>
      <c r="D263" s="17">
        <v>1600</v>
      </c>
      <c r="E263" s="17">
        <v>560</v>
      </c>
    </row>
    <row r="264" spans="1:5" x14ac:dyDescent="0.35">
      <c r="A264" s="13" t="s">
        <v>116</v>
      </c>
      <c r="B264" s="13" t="s">
        <v>51</v>
      </c>
      <c r="C264" s="13">
        <v>0.65</v>
      </c>
      <c r="D264" s="17">
        <v>500</v>
      </c>
      <c r="E264" s="17">
        <v>325</v>
      </c>
    </row>
    <row r="265" spans="1:5" x14ac:dyDescent="0.35">
      <c r="A265" s="13" t="s">
        <v>116</v>
      </c>
      <c r="B265" s="13" t="s">
        <v>25</v>
      </c>
      <c r="C265" s="13">
        <v>0.6</v>
      </c>
      <c r="D265" s="17">
        <v>1000</v>
      </c>
      <c r="E265" s="17">
        <v>600</v>
      </c>
    </row>
    <row r="266" spans="1:5" x14ac:dyDescent="0.35">
      <c r="A266" s="13" t="s">
        <v>116</v>
      </c>
      <c r="B266" s="13" t="s">
        <v>53</v>
      </c>
      <c r="C266" s="13">
        <v>0.75</v>
      </c>
      <c r="D266" s="17">
        <v>300</v>
      </c>
      <c r="E266" s="17">
        <v>225</v>
      </c>
    </row>
    <row r="267" spans="1:5" x14ac:dyDescent="0.35">
      <c r="A267" s="13" t="s">
        <v>116</v>
      </c>
      <c r="B267" s="13" t="s">
        <v>60</v>
      </c>
      <c r="C267" s="13">
        <v>0.2</v>
      </c>
      <c r="D267" s="17">
        <v>2500</v>
      </c>
      <c r="E267" s="17">
        <v>500</v>
      </c>
    </row>
    <row r="268" spans="1:5" x14ac:dyDescent="0.35">
      <c r="A268" s="13" t="s">
        <v>116</v>
      </c>
      <c r="B268" s="13" t="s">
        <v>94</v>
      </c>
      <c r="C268" s="13">
        <v>2.75</v>
      </c>
      <c r="D268" s="17">
        <v>2800</v>
      </c>
      <c r="E268" s="17">
        <v>7700</v>
      </c>
    </row>
    <row r="269" spans="1:5" x14ac:dyDescent="0.35">
      <c r="A269" s="13" t="s">
        <v>214</v>
      </c>
      <c r="B269" s="13" t="s">
        <v>41</v>
      </c>
      <c r="C269" s="13">
        <v>4.05</v>
      </c>
      <c r="D269" s="17">
        <v>1000</v>
      </c>
      <c r="E269" s="17">
        <v>4050</v>
      </c>
    </row>
    <row r="270" spans="1:5" x14ac:dyDescent="0.35">
      <c r="A270" s="13" t="s">
        <v>214</v>
      </c>
      <c r="B270" s="13" t="s">
        <v>51</v>
      </c>
      <c r="C270" s="13">
        <v>4.8499999999999996</v>
      </c>
      <c r="D270" s="17">
        <v>500</v>
      </c>
      <c r="E270" s="17">
        <v>2425</v>
      </c>
    </row>
    <row r="271" spans="1:5" x14ac:dyDescent="0.35">
      <c r="A271" s="13" t="s">
        <v>214</v>
      </c>
      <c r="B271" s="13" t="s">
        <v>25</v>
      </c>
      <c r="C271" s="13">
        <v>3.65</v>
      </c>
      <c r="D271" s="17">
        <v>1000</v>
      </c>
      <c r="E271" s="17">
        <v>3650</v>
      </c>
    </row>
    <row r="272" spans="1:5" x14ac:dyDescent="0.35">
      <c r="A272" s="13" t="s">
        <v>214</v>
      </c>
      <c r="B272" s="13" t="s">
        <v>39</v>
      </c>
      <c r="C272" s="13">
        <v>0.9</v>
      </c>
      <c r="D272" s="17">
        <v>1500</v>
      </c>
      <c r="E272" s="17">
        <v>1350</v>
      </c>
    </row>
    <row r="273" spans="1:5" x14ac:dyDescent="0.35">
      <c r="A273" s="13" t="s">
        <v>214</v>
      </c>
      <c r="B273" s="13" t="s">
        <v>57</v>
      </c>
      <c r="C273" s="13">
        <v>0.1</v>
      </c>
      <c r="D273" s="17">
        <v>150</v>
      </c>
      <c r="E273" s="17">
        <v>15</v>
      </c>
    </row>
    <row r="274" spans="1:5" x14ac:dyDescent="0.35">
      <c r="A274" s="13" t="s">
        <v>214</v>
      </c>
      <c r="B274" s="13" t="s">
        <v>53</v>
      </c>
      <c r="C274" s="13">
        <v>1.3</v>
      </c>
      <c r="D274" s="17">
        <v>300</v>
      </c>
      <c r="E274" s="17">
        <v>390</v>
      </c>
    </row>
    <row r="275" spans="1:5" x14ac:dyDescent="0.35">
      <c r="A275" s="13" t="s">
        <v>214</v>
      </c>
      <c r="B275" s="13" t="s">
        <v>94</v>
      </c>
      <c r="C275" s="13">
        <v>1.1499999999999999</v>
      </c>
      <c r="D275" s="17">
        <v>2800</v>
      </c>
      <c r="E275" s="17">
        <v>3220</v>
      </c>
    </row>
    <row r="276" spans="1:5" x14ac:dyDescent="0.35">
      <c r="A276" s="13" t="s">
        <v>214</v>
      </c>
      <c r="B276" s="13" t="s">
        <v>46</v>
      </c>
      <c r="C276" s="13">
        <v>0.3</v>
      </c>
      <c r="D276" s="17">
        <v>2700</v>
      </c>
      <c r="E276" s="17">
        <v>810</v>
      </c>
    </row>
    <row r="277" spans="1:5" x14ac:dyDescent="0.35">
      <c r="A277" s="13" t="s">
        <v>214</v>
      </c>
      <c r="B277" s="13" t="s">
        <v>53</v>
      </c>
      <c r="C277" s="13">
        <v>0.2</v>
      </c>
      <c r="D277" s="17">
        <v>300</v>
      </c>
      <c r="E277" s="17">
        <v>60</v>
      </c>
    </row>
    <row r="278" spans="1:5" x14ac:dyDescent="0.35">
      <c r="A278" s="13" t="s">
        <v>214</v>
      </c>
      <c r="B278" s="13" t="s">
        <v>13</v>
      </c>
      <c r="C278" s="13">
        <v>0.45</v>
      </c>
      <c r="D278" s="17">
        <v>500</v>
      </c>
      <c r="E278" s="17">
        <v>225</v>
      </c>
    </row>
    <row r="279" spans="1:5" x14ac:dyDescent="0.35">
      <c r="A279" s="13" t="s">
        <v>214</v>
      </c>
      <c r="B279" s="13" t="s">
        <v>54</v>
      </c>
      <c r="C279" s="13">
        <v>0.3</v>
      </c>
      <c r="D279" s="17">
        <v>800</v>
      </c>
      <c r="E279" s="17">
        <v>240</v>
      </c>
    </row>
    <row r="280" spans="1:5" x14ac:dyDescent="0.35">
      <c r="A280" s="13" t="s">
        <v>214</v>
      </c>
      <c r="B280" s="13" t="s">
        <v>128</v>
      </c>
      <c r="C280" s="13">
        <v>0.2</v>
      </c>
      <c r="D280" s="17">
        <v>3500</v>
      </c>
      <c r="E280" s="17">
        <v>700</v>
      </c>
    </row>
    <row r="281" spans="1:5" x14ac:dyDescent="0.35">
      <c r="A281" s="13" t="s">
        <v>250</v>
      </c>
      <c r="B281" s="13" t="s">
        <v>13</v>
      </c>
      <c r="C281" s="13">
        <v>0.15</v>
      </c>
      <c r="D281" s="17">
        <v>500</v>
      </c>
      <c r="E281" s="17">
        <v>75</v>
      </c>
    </row>
    <row r="282" spans="1:5" x14ac:dyDescent="0.35">
      <c r="A282" s="13" t="s">
        <v>250</v>
      </c>
      <c r="B282" s="13" t="s">
        <v>94</v>
      </c>
      <c r="C282" s="13">
        <v>4.6500000000000004</v>
      </c>
      <c r="D282" s="17">
        <v>2800</v>
      </c>
      <c r="E282" s="17">
        <v>13020</v>
      </c>
    </row>
    <row r="283" spans="1:5" x14ac:dyDescent="0.35">
      <c r="A283" s="13" t="s">
        <v>250</v>
      </c>
      <c r="B283" s="13" t="s">
        <v>41</v>
      </c>
      <c r="C283" s="13">
        <v>20.65</v>
      </c>
      <c r="D283" s="17">
        <v>1000</v>
      </c>
      <c r="E283" s="17">
        <v>20650</v>
      </c>
    </row>
    <row r="284" spans="1:5" x14ac:dyDescent="0.35">
      <c r="A284" s="13" t="s">
        <v>250</v>
      </c>
      <c r="B284" s="13" t="s">
        <v>25</v>
      </c>
      <c r="C284" s="13">
        <v>5.4</v>
      </c>
      <c r="D284" s="17">
        <v>1000</v>
      </c>
      <c r="E284" s="17">
        <v>5400</v>
      </c>
    </row>
    <row r="285" spans="1:5" x14ac:dyDescent="0.35">
      <c r="A285" s="13" t="s">
        <v>291</v>
      </c>
      <c r="B285" s="13" t="s">
        <v>53</v>
      </c>
      <c r="C285" s="13">
        <v>1.45</v>
      </c>
      <c r="D285" s="17">
        <v>300</v>
      </c>
      <c r="E285" s="17">
        <v>435</v>
      </c>
    </row>
    <row r="286" spans="1:5" x14ac:dyDescent="0.35">
      <c r="A286" s="13" t="s">
        <v>118</v>
      </c>
      <c r="B286" s="13" t="s">
        <v>60</v>
      </c>
      <c r="C286" s="13">
        <v>0.9</v>
      </c>
      <c r="D286" s="17">
        <v>2500</v>
      </c>
      <c r="E286" s="17">
        <v>2250</v>
      </c>
    </row>
    <row r="287" spans="1:5" x14ac:dyDescent="0.35">
      <c r="A287" s="13" t="s">
        <v>118</v>
      </c>
      <c r="B287" s="13" t="s">
        <v>128</v>
      </c>
      <c r="C287" s="13">
        <v>0.5</v>
      </c>
      <c r="D287" s="17">
        <v>3500</v>
      </c>
      <c r="E287" s="17">
        <v>1750</v>
      </c>
    </row>
    <row r="288" spans="1:5" x14ac:dyDescent="0.35">
      <c r="A288" s="13" t="s">
        <v>118</v>
      </c>
      <c r="B288" s="13" t="s">
        <v>41</v>
      </c>
      <c r="C288" s="13">
        <v>1.7</v>
      </c>
      <c r="D288" s="17">
        <v>1000</v>
      </c>
      <c r="E288" s="17">
        <v>1700</v>
      </c>
    </row>
    <row r="289" spans="1:5" x14ac:dyDescent="0.35">
      <c r="A289" s="13" t="s">
        <v>118</v>
      </c>
      <c r="B289" s="13" t="s">
        <v>94</v>
      </c>
      <c r="C289" s="13">
        <v>0.85</v>
      </c>
      <c r="D289" s="17">
        <v>2800</v>
      </c>
      <c r="E289" s="17">
        <v>2380</v>
      </c>
    </row>
    <row r="290" spans="1:5" x14ac:dyDescent="0.35">
      <c r="A290" s="13" t="s">
        <v>118</v>
      </c>
      <c r="B290" s="13" t="s">
        <v>25</v>
      </c>
      <c r="C290" s="13">
        <v>0.65</v>
      </c>
      <c r="D290" s="17">
        <v>1000</v>
      </c>
      <c r="E290" s="17">
        <v>650</v>
      </c>
    </row>
    <row r="291" spans="1:5" x14ac:dyDescent="0.35">
      <c r="A291" s="13" t="s">
        <v>118</v>
      </c>
      <c r="B291" s="13" t="s">
        <v>53</v>
      </c>
      <c r="C291" s="13">
        <v>1.2</v>
      </c>
      <c r="D291" s="17">
        <v>300</v>
      </c>
      <c r="E291" s="17">
        <v>360</v>
      </c>
    </row>
    <row r="292" spans="1:5" x14ac:dyDescent="0.35">
      <c r="A292" s="13" t="s">
        <v>118</v>
      </c>
      <c r="B292" s="13" t="s">
        <v>51</v>
      </c>
      <c r="C292" s="13">
        <v>1.1000000000000001</v>
      </c>
      <c r="D292" s="17">
        <v>500</v>
      </c>
      <c r="E292" s="17">
        <v>550</v>
      </c>
    </row>
    <row r="293" spans="1:5" x14ac:dyDescent="0.35">
      <c r="A293" s="13" t="s">
        <v>306</v>
      </c>
      <c r="B293" s="13" t="s">
        <v>53</v>
      </c>
      <c r="C293" s="13">
        <v>2.9</v>
      </c>
      <c r="D293" s="17">
        <v>300</v>
      </c>
      <c r="E293" s="17">
        <v>870</v>
      </c>
    </row>
    <row r="294" spans="1:5" x14ac:dyDescent="0.35">
      <c r="A294" s="13" t="s">
        <v>232</v>
      </c>
      <c r="B294" s="13" t="s">
        <v>51</v>
      </c>
      <c r="C294" s="13">
        <v>0.4</v>
      </c>
      <c r="D294" s="17">
        <v>500</v>
      </c>
      <c r="E294" s="17">
        <v>200</v>
      </c>
    </row>
    <row r="295" spans="1:5" x14ac:dyDescent="0.35">
      <c r="A295" s="13" t="s">
        <v>232</v>
      </c>
      <c r="B295" s="13" t="s">
        <v>25</v>
      </c>
      <c r="C295" s="13">
        <v>0.15</v>
      </c>
      <c r="D295" s="17">
        <v>1000</v>
      </c>
      <c r="E295" s="17">
        <v>150</v>
      </c>
    </row>
    <row r="296" spans="1:5" x14ac:dyDescent="0.35">
      <c r="A296" s="13" t="s">
        <v>232</v>
      </c>
      <c r="B296" s="13" t="s">
        <v>125</v>
      </c>
      <c r="C296" s="13">
        <v>9.5500000000000007</v>
      </c>
      <c r="D296" s="17">
        <v>800</v>
      </c>
      <c r="E296" s="17">
        <v>7640</v>
      </c>
    </row>
    <row r="297" spans="1:5" x14ac:dyDescent="0.35">
      <c r="A297" s="13" t="s">
        <v>262</v>
      </c>
      <c r="B297" s="13" t="s">
        <v>26</v>
      </c>
      <c r="C297" s="13">
        <v>13.2</v>
      </c>
      <c r="D297" s="17">
        <v>1000</v>
      </c>
      <c r="E297" s="17">
        <v>13200</v>
      </c>
    </row>
    <row r="298" spans="1:5" x14ac:dyDescent="0.35">
      <c r="A298" s="13" t="s">
        <v>131</v>
      </c>
      <c r="B298" s="13" t="s">
        <v>26</v>
      </c>
      <c r="C298" s="13">
        <v>0.75</v>
      </c>
      <c r="D298" s="17">
        <v>1000</v>
      </c>
      <c r="E298" s="17">
        <v>750</v>
      </c>
    </row>
    <row r="299" spans="1:5" x14ac:dyDescent="0.35">
      <c r="A299" s="13" t="s">
        <v>131</v>
      </c>
      <c r="B299" s="13" t="s">
        <v>94</v>
      </c>
      <c r="C299" s="13">
        <v>0.55000000000000004</v>
      </c>
      <c r="D299" s="17">
        <v>2800</v>
      </c>
      <c r="E299" s="17">
        <v>1540</v>
      </c>
    </row>
    <row r="300" spans="1:5" x14ac:dyDescent="0.35">
      <c r="A300" s="13" t="s">
        <v>131</v>
      </c>
      <c r="B300" s="13" t="s">
        <v>60</v>
      </c>
      <c r="C300" s="13">
        <v>0.35</v>
      </c>
      <c r="D300" s="17">
        <v>2500</v>
      </c>
      <c r="E300" s="17">
        <v>875</v>
      </c>
    </row>
    <row r="301" spans="1:5" x14ac:dyDescent="0.35">
      <c r="A301" s="13" t="s">
        <v>131</v>
      </c>
      <c r="B301" s="13" t="s">
        <v>25</v>
      </c>
      <c r="C301" s="13">
        <v>1</v>
      </c>
      <c r="D301" s="17">
        <v>1000</v>
      </c>
      <c r="E301" s="17">
        <v>1000</v>
      </c>
    </row>
    <row r="302" spans="1:5" x14ac:dyDescent="0.35">
      <c r="A302" s="13" t="s">
        <v>131</v>
      </c>
      <c r="B302" s="13" t="s">
        <v>126</v>
      </c>
      <c r="C302" s="13">
        <v>0.35</v>
      </c>
      <c r="D302" s="17">
        <v>1800</v>
      </c>
      <c r="E302" s="17">
        <v>630</v>
      </c>
    </row>
    <row r="303" spans="1:5" x14ac:dyDescent="0.35">
      <c r="A303" s="13" t="s">
        <v>131</v>
      </c>
      <c r="B303" s="13" t="s">
        <v>53</v>
      </c>
      <c r="C303" s="13">
        <v>0.5</v>
      </c>
      <c r="D303" s="17">
        <v>300</v>
      </c>
      <c r="E303" s="17">
        <v>150</v>
      </c>
    </row>
    <row r="304" spans="1:5" x14ac:dyDescent="0.35">
      <c r="A304" s="13" t="s">
        <v>131</v>
      </c>
      <c r="B304" s="13" t="s">
        <v>125</v>
      </c>
      <c r="C304" s="13">
        <v>43.3</v>
      </c>
      <c r="D304" s="17">
        <v>800</v>
      </c>
      <c r="E304" s="17">
        <v>34640</v>
      </c>
    </row>
    <row r="305" spans="1:5" x14ac:dyDescent="0.35">
      <c r="A305" s="13" t="s">
        <v>243</v>
      </c>
      <c r="B305" s="13" t="s">
        <v>44</v>
      </c>
      <c r="C305" s="13">
        <v>1.4</v>
      </c>
      <c r="D305" s="17">
        <v>500</v>
      </c>
      <c r="E305" s="17">
        <v>700</v>
      </c>
    </row>
    <row r="306" spans="1:5" x14ac:dyDescent="0.35">
      <c r="A306" s="13" t="s">
        <v>243</v>
      </c>
      <c r="B306" s="13" t="s">
        <v>25</v>
      </c>
      <c r="C306" s="13">
        <v>3.65</v>
      </c>
      <c r="D306" s="17">
        <v>1000</v>
      </c>
      <c r="E306" s="17">
        <v>3650</v>
      </c>
    </row>
    <row r="307" spans="1:5" x14ac:dyDescent="0.35">
      <c r="A307" s="13" t="s">
        <v>243</v>
      </c>
      <c r="B307" s="13" t="s">
        <v>41</v>
      </c>
      <c r="C307" s="13">
        <v>6.45</v>
      </c>
      <c r="D307" s="17">
        <v>1000</v>
      </c>
      <c r="E307" s="17">
        <v>6450</v>
      </c>
    </row>
    <row r="308" spans="1:5" x14ac:dyDescent="0.35">
      <c r="A308" s="13" t="s">
        <v>245</v>
      </c>
      <c r="B308" s="13" t="s">
        <v>46</v>
      </c>
      <c r="C308" s="13">
        <v>1.45</v>
      </c>
      <c r="D308" s="17">
        <v>2700</v>
      </c>
      <c r="E308" s="17">
        <v>3915</v>
      </c>
    </row>
    <row r="309" spans="1:5" x14ac:dyDescent="0.35">
      <c r="A309" s="13" t="s">
        <v>119</v>
      </c>
      <c r="B309" s="13" t="s">
        <v>53</v>
      </c>
      <c r="C309" s="13">
        <v>1.75</v>
      </c>
      <c r="D309" s="17">
        <v>300</v>
      </c>
      <c r="E309" s="17">
        <v>525</v>
      </c>
    </row>
    <row r="310" spans="1:5" x14ac:dyDescent="0.35">
      <c r="A310" s="13" t="s">
        <v>119</v>
      </c>
      <c r="B310" s="13" t="s">
        <v>26</v>
      </c>
      <c r="C310" s="13">
        <v>2.2000000000000002</v>
      </c>
      <c r="D310" s="17">
        <v>1000</v>
      </c>
      <c r="E310" s="17">
        <v>2200</v>
      </c>
    </row>
    <row r="311" spans="1:5" x14ac:dyDescent="0.35">
      <c r="A311" s="13" t="s">
        <v>166</v>
      </c>
      <c r="B311" s="13" t="s">
        <v>41</v>
      </c>
      <c r="C311" s="13">
        <v>1.1000000000000001</v>
      </c>
      <c r="D311" s="17">
        <v>1000</v>
      </c>
      <c r="E311" s="17">
        <v>1100</v>
      </c>
    </row>
    <row r="312" spans="1:5" x14ac:dyDescent="0.35">
      <c r="A312" s="13" t="s">
        <v>166</v>
      </c>
      <c r="B312" s="13" t="s">
        <v>51</v>
      </c>
      <c r="C312" s="13">
        <v>1.05</v>
      </c>
      <c r="D312" s="17">
        <v>500</v>
      </c>
      <c r="E312" s="17">
        <v>525</v>
      </c>
    </row>
    <row r="313" spans="1:5" x14ac:dyDescent="0.35">
      <c r="A313" s="13" t="s">
        <v>166</v>
      </c>
      <c r="B313" s="13" t="s">
        <v>26</v>
      </c>
      <c r="C313" s="13">
        <v>1.6</v>
      </c>
      <c r="D313" s="17">
        <v>1000</v>
      </c>
      <c r="E313" s="17">
        <v>1600</v>
      </c>
    </row>
    <row r="314" spans="1:5" x14ac:dyDescent="0.35">
      <c r="A314" s="13" t="s">
        <v>166</v>
      </c>
      <c r="B314" s="13" t="s">
        <v>13</v>
      </c>
      <c r="C314" s="13">
        <v>0.85</v>
      </c>
      <c r="D314" s="17">
        <v>500</v>
      </c>
      <c r="E314" s="17">
        <v>425</v>
      </c>
    </row>
    <row r="315" spans="1:5" x14ac:dyDescent="0.35">
      <c r="A315" s="13" t="s">
        <v>166</v>
      </c>
      <c r="B315" s="13" t="s">
        <v>53</v>
      </c>
      <c r="C315" s="13">
        <v>5</v>
      </c>
      <c r="D315" s="17">
        <v>300</v>
      </c>
      <c r="E315" s="17">
        <v>1500</v>
      </c>
    </row>
    <row r="316" spans="1:5" x14ac:dyDescent="0.35">
      <c r="A316" s="13" t="s">
        <v>217</v>
      </c>
      <c r="B316" s="13" t="s">
        <v>25</v>
      </c>
      <c r="C316" s="13">
        <v>6</v>
      </c>
      <c r="D316" s="17">
        <v>1000</v>
      </c>
      <c r="E316" s="17">
        <v>6000</v>
      </c>
    </row>
    <row r="317" spans="1:5" x14ac:dyDescent="0.35">
      <c r="A317" s="13" t="s">
        <v>217</v>
      </c>
      <c r="B317" s="13" t="s">
        <v>18</v>
      </c>
      <c r="C317" s="13">
        <v>1.75</v>
      </c>
      <c r="D317" s="17">
        <v>150</v>
      </c>
      <c r="E317" s="17">
        <v>263</v>
      </c>
    </row>
    <row r="318" spans="1:5" x14ac:dyDescent="0.35">
      <c r="A318" s="13" t="s">
        <v>217</v>
      </c>
      <c r="B318" s="13" t="s">
        <v>51</v>
      </c>
      <c r="C318" s="13">
        <v>1.35</v>
      </c>
      <c r="D318" s="17">
        <v>500</v>
      </c>
      <c r="E318" s="17">
        <v>675</v>
      </c>
    </row>
    <row r="319" spans="1:5" x14ac:dyDescent="0.35">
      <c r="A319" s="13" t="s">
        <v>217</v>
      </c>
      <c r="B319" s="13" t="s">
        <v>29</v>
      </c>
      <c r="C319" s="13">
        <v>0.7</v>
      </c>
      <c r="D319" s="17">
        <v>1600</v>
      </c>
      <c r="E319" s="17">
        <v>1120</v>
      </c>
    </row>
    <row r="320" spans="1:5" x14ac:dyDescent="0.35">
      <c r="A320" s="13" t="s">
        <v>217</v>
      </c>
      <c r="B320" s="13" t="s">
        <v>126</v>
      </c>
      <c r="C320" s="13">
        <v>0.35</v>
      </c>
      <c r="D320" s="17">
        <v>1800</v>
      </c>
      <c r="E320" s="17">
        <v>630</v>
      </c>
    </row>
    <row r="321" spans="1:5" x14ac:dyDescent="0.35">
      <c r="A321" s="13" t="s">
        <v>217</v>
      </c>
      <c r="B321" s="13" t="s">
        <v>15</v>
      </c>
      <c r="C321" s="13">
        <v>2.35</v>
      </c>
      <c r="D321" s="17">
        <v>2500</v>
      </c>
      <c r="E321" s="17">
        <v>5875</v>
      </c>
    </row>
    <row r="322" spans="1:5" x14ac:dyDescent="0.35">
      <c r="A322" s="13" t="s">
        <v>217</v>
      </c>
      <c r="B322" s="13" t="s">
        <v>25</v>
      </c>
      <c r="C322" s="13">
        <v>3.7</v>
      </c>
      <c r="D322" s="17">
        <v>1000</v>
      </c>
      <c r="E322" s="17">
        <v>3700</v>
      </c>
    </row>
    <row r="323" spans="1:5" x14ac:dyDescent="0.35">
      <c r="A323" s="13" t="s">
        <v>217</v>
      </c>
      <c r="B323" s="13" t="s">
        <v>39</v>
      </c>
      <c r="C323" s="13">
        <v>2.25</v>
      </c>
      <c r="D323" s="17">
        <v>1500</v>
      </c>
      <c r="E323" s="17">
        <v>3375</v>
      </c>
    </row>
    <row r="324" spans="1:5" x14ac:dyDescent="0.35">
      <c r="A324" s="13" t="s">
        <v>217</v>
      </c>
      <c r="B324" s="13" t="s">
        <v>41</v>
      </c>
      <c r="C324" s="13">
        <v>2.15</v>
      </c>
      <c r="D324" s="17">
        <v>1000</v>
      </c>
      <c r="E324" s="17">
        <v>2150</v>
      </c>
    </row>
    <row r="325" spans="1:5" x14ac:dyDescent="0.35">
      <c r="A325" s="13" t="s">
        <v>217</v>
      </c>
      <c r="B325" s="13" t="s">
        <v>61</v>
      </c>
      <c r="C325" s="13">
        <v>0.15</v>
      </c>
      <c r="D325" s="17">
        <v>3500</v>
      </c>
      <c r="E325" s="17">
        <v>525</v>
      </c>
    </row>
    <row r="326" spans="1:5" x14ac:dyDescent="0.35">
      <c r="A326" s="13" t="s">
        <v>217</v>
      </c>
      <c r="B326" s="13" t="s">
        <v>60</v>
      </c>
      <c r="C326" s="13">
        <v>0.45</v>
      </c>
      <c r="D326" s="17">
        <v>2500</v>
      </c>
      <c r="E326" s="17">
        <v>1125</v>
      </c>
    </row>
    <row r="327" spans="1:5" x14ac:dyDescent="0.35">
      <c r="A327" s="13" t="s">
        <v>217</v>
      </c>
      <c r="B327" s="13" t="s">
        <v>94</v>
      </c>
      <c r="C327" s="13">
        <v>4.4000000000000004</v>
      </c>
      <c r="D327" s="17">
        <v>2800</v>
      </c>
      <c r="E327" s="17">
        <v>12320</v>
      </c>
    </row>
    <row r="328" spans="1:5" x14ac:dyDescent="0.35">
      <c r="A328" s="13" t="s">
        <v>217</v>
      </c>
      <c r="B328" s="13" t="s">
        <v>53</v>
      </c>
      <c r="C328" s="13">
        <v>1.65</v>
      </c>
      <c r="D328" s="17">
        <v>300</v>
      </c>
      <c r="E328" s="17">
        <v>495</v>
      </c>
    </row>
    <row r="329" spans="1:5" x14ac:dyDescent="0.35">
      <c r="A329" s="13" t="s">
        <v>217</v>
      </c>
      <c r="B329" s="13" t="s">
        <v>13</v>
      </c>
      <c r="C329" s="13">
        <v>0.9</v>
      </c>
      <c r="D329" s="17">
        <v>500</v>
      </c>
      <c r="E329" s="17">
        <v>450</v>
      </c>
    </row>
    <row r="330" spans="1:5" x14ac:dyDescent="0.35">
      <c r="A330" s="13" t="s">
        <v>217</v>
      </c>
      <c r="B330" s="13" t="s">
        <v>266</v>
      </c>
      <c r="C330" s="13">
        <v>10.35</v>
      </c>
      <c r="D330" s="17">
        <v>1000</v>
      </c>
      <c r="E330" s="17">
        <v>10350</v>
      </c>
    </row>
    <row r="331" spans="1:5" x14ac:dyDescent="0.35">
      <c r="A331" s="13" t="s">
        <v>186</v>
      </c>
      <c r="B331" s="13" t="s">
        <v>18</v>
      </c>
      <c r="C331" s="13">
        <v>3.85</v>
      </c>
      <c r="D331" s="17">
        <v>150</v>
      </c>
      <c r="E331" s="17">
        <v>578</v>
      </c>
    </row>
    <row r="332" spans="1:5" x14ac:dyDescent="0.35">
      <c r="A332" s="13" t="s">
        <v>186</v>
      </c>
      <c r="B332" s="13" t="s">
        <v>15</v>
      </c>
      <c r="C332" s="13">
        <v>15.35</v>
      </c>
      <c r="D332" s="17">
        <v>2500</v>
      </c>
      <c r="E332" s="17">
        <v>38375</v>
      </c>
    </row>
    <row r="333" spans="1:5" x14ac:dyDescent="0.35">
      <c r="A333" s="13" t="s">
        <v>186</v>
      </c>
      <c r="B333" s="13" t="s">
        <v>126</v>
      </c>
      <c r="C333" s="13">
        <v>8.1</v>
      </c>
      <c r="D333" s="17">
        <v>1800</v>
      </c>
      <c r="E333" s="17">
        <v>14580</v>
      </c>
    </row>
    <row r="334" spans="1:5" x14ac:dyDescent="0.35">
      <c r="A334" s="13" t="s">
        <v>186</v>
      </c>
      <c r="B334" s="13" t="s">
        <v>41</v>
      </c>
      <c r="C334" s="13">
        <v>0.45</v>
      </c>
      <c r="D334" s="17">
        <v>1000</v>
      </c>
      <c r="E334" s="17">
        <v>450</v>
      </c>
    </row>
    <row r="335" spans="1:5" x14ac:dyDescent="0.35">
      <c r="A335" s="13" t="s">
        <v>186</v>
      </c>
      <c r="B335" s="13" t="s">
        <v>25</v>
      </c>
      <c r="C335" s="13">
        <v>11.8</v>
      </c>
      <c r="D335" s="17">
        <v>1000</v>
      </c>
      <c r="E335" s="17">
        <v>11800</v>
      </c>
    </row>
    <row r="336" spans="1:5" x14ac:dyDescent="0.35">
      <c r="A336" s="13" t="s">
        <v>228</v>
      </c>
      <c r="B336" s="13" t="s">
        <v>25</v>
      </c>
      <c r="C336" s="13">
        <v>2.85</v>
      </c>
      <c r="D336" s="17">
        <v>1000</v>
      </c>
      <c r="E336" s="17">
        <v>2850</v>
      </c>
    </row>
    <row r="337" spans="1:5" x14ac:dyDescent="0.35">
      <c r="A337" s="13" t="s">
        <v>228</v>
      </c>
      <c r="B337" s="13" t="s">
        <v>94</v>
      </c>
      <c r="C337" s="13">
        <v>2.85</v>
      </c>
      <c r="D337" s="17">
        <v>2800</v>
      </c>
      <c r="E337" s="17">
        <v>7980</v>
      </c>
    </row>
    <row r="338" spans="1:5" x14ac:dyDescent="0.35">
      <c r="A338" s="13" t="s">
        <v>228</v>
      </c>
      <c r="B338" s="13" t="s">
        <v>60</v>
      </c>
      <c r="C338" s="13">
        <v>0.5</v>
      </c>
      <c r="D338" s="17">
        <v>2500</v>
      </c>
      <c r="E338" s="17">
        <v>1250</v>
      </c>
    </row>
    <row r="339" spans="1:5" x14ac:dyDescent="0.35">
      <c r="A339" s="13" t="s">
        <v>228</v>
      </c>
      <c r="B339" s="13" t="s">
        <v>53</v>
      </c>
      <c r="C339" s="13">
        <v>1.2</v>
      </c>
      <c r="D339" s="17">
        <v>300</v>
      </c>
      <c r="E339" s="17">
        <v>360</v>
      </c>
    </row>
    <row r="340" spans="1:5" x14ac:dyDescent="0.35">
      <c r="A340" s="13" t="s">
        <v>228</v>
      </c>
      <c r="B340" s="13" t="s">
        <v>13</v>
      </c>
      <c r="C340" s="13">
        <v>0.55000000000000004</v>
      </c>
      <c r="D340" s="17">
        <v>500</v>
      </c>
      <c r="E340" s="17">
        <v>275</v>
      </c>
    </row>
    <row r="341" spans="1:5" x14ac:dyDescent="0.35">
      <c r="A341" s="13" t="s">
        <v>228</v>
      </c>
      <c r="B341" s="13" t="s">
        <v>100</v>
      </c>
      <c r="C341" s="13">
        <v>1.8</v>
      </c>
      <c r="D341" s="17">
        <v>1400</v>
      </c>
      <c r="E341" s="17">
        <v>2520</v>
      </c>
    </row>
    <row r="342" spans="1:5" x14ac:dyDescent="0.35">
      <c r="A342" s="13" t="s">
        <v>228</v>
      </c>
      <c r="B342" s="13" t="s">
        <v>51</v>
      </c>
      <c r="C342" s="13">
        <v>1.4</v>
      </c>
      <c r="D342" s="17">
        <v>500</v>
      </c>
      <c r="E342" s="17">
        <v>700</v>
      </c>
    </row>
    <row r="343" spans="1:5" x14ac:dyDescent="0.35">
      <c r="A343" s="13" t="s">
        <v>305</v>
      </c>
      <c r="B343" s="13" t="s">
        <v>53</v>
      </c>
      <c r="C343" s="13">
        <v>1</v>
      </c>
      <c r="D343" s="17">
        <v>300</v>
      </c>
      <c r="E343" s="17">
        <v>300</v>
      </c>
    </row>
    <row r="344" spans="1:5" x14ac:dyDescent="0.35">
      <c r="A344" s="13" t="s">
        <v>227</v>
      </c>
      <c r="B344" s="13" t="s">
        <v>13</v>
      </c>
      <c r="C344" s="13">
        <v>0.2</v>
      </c>
      <c r="D344" s="17">
        <v>500</v>
      </c>
      <c r="E344" s="17">
        <v>100</v>
      </c>
    </row>
    <row r="345" spans="1:5" x14ac:dyDescent="0.35">
      <c r="A345" s="13" t="s">
        <v>227</v>
      </c>
      <c r="B345" s="13" t="s">
        <v>60</v>
      </c>
      <c r="C345" s="13">
        <v>0.3</v>
      </c>
      <c r="D345" s="17">
        <v>2500</v>
      </c>
      <c r="E345" s="17">
        <v>750</v>
      </c>
    </row>
    <row r="346" spans="1:5" x14ac:dyDescent="0.35">
      <c r="A346" s="13" t="s">
        <v>227</v>
      </c>
      <c r="B346" s="13" t="s">
        <v>18</v>
      </c>
      <c r="C346" s="13">
        <v>1</v>
      </c>
      <c r="D346" s="17">
        <v>150</v>
      </c>
      <c r="E346" s="17">
        <v>150</v>
      </c>
    </row>
    <row r="347" spans="1:5" x14ac:dyDescent="0.35">
      <c r="A347" s="13" t="s">
        <v>227</v>
      </c>
      <c r="B347" s="13" t="s">
        <v>94</v>
      </c>
      <c r="C347" s="13">
        <v>1.7</v>
      </c>
      <c r="D347" s="17">
        <v>2800</v>
      </c>
      <c r="E347" s="17">
        <v>4760</v>
      </c>
    </row>
    <row r="348" spans="1:5" x14ac:dyDescent="0.35">
      <c r="A348" s="13" t="s">
        <v>227</v>
      </c>
      <c r="B348" s="13" t="s">
        <v>39</v>
      </c>
      <c r="C348" s="13">
        <v>0.65</v>
      </c>
      <c r="D348" s="17">
        <v>1500</v>
      </c>
      <c r="E348" s="17">
        <v>975</v>
      </c>
    </row>
    <row r="349" spans="1:5" x14ac:dyDescent="0.35">
      <c r="A349" s="13" t="s">
        <v>227</v>
      </c>
      <c r="B349" s="13" t="s">
        <v>25</v>
      </c>
      <c r="C349" s="13">
        <v>3.75</v>
      </c>
      <c r="D349" s="17">
        <v>1000</v>
      </c>
      <c r="E349" s="17">
        <v>3750</v>
      </c>
    </row>
    <row r="350" spans="1:5" x14ac:dyDescent="0.35">
      <c r="A350" s="13" t="s">
        <v>227</v>
      </c>
      <c r="B350" s="13" t="s">
        <v>41</v>
      </c>
      <c r="C350" s="13">
        <v>2.1</v>
      </c>
      <c r="D350" s="17">
        <v>1000</v>
      </c>
      <c r="E350" s="17">
        <v>2100</v>
      </c>
    </row>
    <row r="351" spans="1:5" x14ac:dyDescent="0.35">
      <c r="A351" s="13" t="s">
        <v>121</v>
      </c>
      <c r="B351" s="13" t="s">
        <v>25</v>
      </c>
      <c r="C351" s="13">
        <v>0.15</v>
      </c>
      <c r="D351" s="17">
        <v>1000</v>
      </c>
      <c r="E351" s="17">
        <v>150</v>
      </c>
    </row>
    <row r="352" spans="1:5" x14ac:dyDescent="0.35">
      <c r="A352" s="13" t="s">
        <v>121</v>
      </c>
      <c r="B352" s="13" t="s">
        <v>39</v>
      </c>
      <c r="C352" s="13">
        <v>0.3</v>
      </c>
      <c r="D352" s="17">
        <v>1500</v>
      </c>
      <c r="E352" s="17">
        <v>450</v>
      </c>
    </row>
    <row r="353" spans="1:5" x14ac:dyDescent="0.35">
      <c r="A353" s="13" t="s">
        <v>121</v>
      </c>
      <c r="B353" s="13" t="s">
        <v>94</v>
      </c>
      <c r="C353" s="13">
        <v>1.2</v>
      </c>
      <c r="D353" s="17">
        <v>2800</v>
      </c>
      <c r="E353" s="17">
        <v>3360</v>
      </c>
    </row>
    <row r="354" spans="1:5" x14ac:dyDescent="0.35">
      <c r="A354" s="13" t="s">
        <v>121</v>
      </c>
      <c r="B354" s="13" t="s">
        <v>41</v>
      </c>
      <c r="C354" s="13">
        <v>7</v>
      </c>
      <c r="D354" s="17">
        <v>1000</v>
      </c>
      <c r="E354" s="17">
        <v>7000</v>
      </c>
    </row>
    <row r="355" spans="1:5" x14ac:dyDescent="0.35">
      <c r="A355" s="13" t="s">
        <v>294</v>
      </c>
      <c r="B355" s="13" t="s">
        <v>18</v>
      </c>
      <c r="C355" s="13">
        <v>0.3</v>
      </c>
      <c r="D355" s="17">
        <v>150</v>
      </c>
      <c r="E355" s="17">
        <v>45</v>
      </c>
    </row>
    <row r="356" spans="1:5" x14ac:dyDescent="0.35">
      <c r="A356" s="13" t="s">
        <v>294</v>
      </c>
      <c r="B356" s="13" t="s">
        <v>60</v>
      </c>
      <c r="C356" s="13">
        <v>0.1</v>
      </c>
      <c r="D356" s="17">
        <v>2500</v>
      </c>
      <c r="E356" s="17">
        <v>250</v>
      </c>
    </row>
    <row r="357" spans="1:5" x14ac:dyDescent="0.35">
      <c r="A357" s="13" t="s">
        <v>294</v>
      </c>
      <c r="B357" s="13" t="s">
        <v>26</v>
      </c>
      <c r="C357" s="13">
        <v>0.3</v>
      </c>
      <c r="D357" s="17">
        <v>1000</v>
      </c>
      <c r="E357" s="17">
        <v>300</v>
      </c>
    </row>
    <row r="358" spans="1:5" x14ac:dyDescent="0.35">
      <c r="A358" s="13" t="s">
        <v>294</v>
      </c>
      <c r="B358" s="13" t="s">
        <v>94</v>
      </c>
      <c r="C358" s="13">
        <v>0.55000000000000004</v>
      </c>
      <c r="D358" s="17">
        <v>2800</v>
      </c>
      <c r="E358" s="17">
        <v>1540</v>
      </c>
    </row>
    <row r="359" spans="1:5" x14ac:dyDescent="0.35">
      <c r="A359" s="13" t="s">
        <v>294</v>
      </c>
      <c r="B359" s="13" t="s">
        <v>25</v>
      </c>
      <c r="C359" s="13">
        <v>2.0499999999999998</v>
      </c>
      <c r="D359" s="17">
        <v>1000</v>
      </c>
      <c r="E359" s="17">
        <v>2050</v>
      </c>
    </row>
    <row r="360" spans="1:5" x14ac:dyDescent="0.35">
      <c r="A360" s="13" t="s">
        <v>294</v>
      </c>
      <c r="B360" s="13" t="s">
        <v>53</v>
      </c>
      <c r="C360" s="13">
        <v>0.8</v>
      </c>
      <c r="D360" s="17">
        <v>300</v>
      </c>
      <c r="E360" s="17">
        <v>240</v>
      </c>
    </row>
    <row r="361" spans="1:5" x14ac:dyDescent="0.35">
      <c r="A361" s="13" t="s">
        <v>294</v>
      </c>
      <c r="B361" s="13" t="s">
        <v>51</v>
      </c>
      <c r="C361" s="13">
        <v>2.9</v>
      </c>
      <c r="D361" s="17">
        <v>500</v>
      </c>
      <c r="E361" s="17">
        <v>1450</v>
      </c>
    </row>
    <row r="362" spans="1:5" x14ac:dyDescent="0.35">
      <c r="A362" s="13" t="s">
        <v>294</v>
      </c>
      <c r="B362" s="13" t="s">
        <v>41</v>
      </c>
      <c r="C362" s="13">
        <v>8.4499999999999993</v>
      </c>
      <c r="D362" s="17">
        <v>1000</v>
      </c>
      <c r="E362" s="17">
        <v>8450</v>
      </c>
    </row>
    <row r="363" spans="1:5" x14ac:dyDescent="0.35">
      <c r="A363" s="13" t="s">
        <v>122</v>
      </c>
      <c r="B363" s="13" t="s">
        <v>60</v>
      </c>
      <c r="C363" s="13">
        <v>0.2</v>
      </c>
      <c r="D363" s="17">
        <v>2500</v>
      </c>
      <c r="E363" s="17">
        <v>500</v>
      </c>
    </row>
    <row r="364" spans="1:5" x14ac:dyDescent="0.35">
      <c r="A364" s="13" t="s">
        <v>122</v>
      </c>
      <c r="B364" s="13" t="s">
        <v>41</v>
      </c>
      <c r="C364" s="13">
        <v>0.65</v>
      </c>
      <c r="D364" s="17">
        <v>1000</v>
      </c>
      <c r="E364" s="17">
        <v>650</v>
      </c>
    </row>
    <row r="365" spans="1:5" x14ac:dyDescent="0.35">
      <c r="A365" s="13" t="s">
        <v>122</v>
      </c>
      <c r="B365" s="13" t="s">
        <v>51</v>
      </c>
      <c r="C365" s="13">
        <v>3.65</v>
      </c>
      <c r="D365" s="17">
        <v>500</v>
      </c>
      <c r="E365" s="17">
        <v>1825</v>
      </c>
    </row>
    <row r="366" spans="1:5" x14ac:dyDescent="0.35">
      <c r="A366" s="13" t="s">
        <v>122</v>
      </c>
      <c r="B366" s="13" t="s">
        <v>25</v>
      </c>
      <c r="C366" s="13">
        <v>2.5</v>
      </c>
      <c r="D366" s="17">
        <v>1000</v>
      </c>
      <c r="E366" s="17">
        <v>2500</v>
      </c>
    </row>
    <row r="367" spans="1:5" x14ac:dyDescent="0.35">
      <c r="A367" s="13" t="s">
        <v>122</v>
      </c>
      <c r="B367" s="13" t="s">
        <v>39</v>
      </c>
      <c r="C367" s="13">
        <v>0.05</v>
      </c>
      <c r="D367" s="17">
        <v>1500</v>
      </c>
      <c r="E367" s="17">
        <v>75</v>
      </c>
    </row>
    <row r="368" spans="1:5" x14ac:dyDescent="0.35">
      <c r="A368" s="13" t="s">
        <v>122</v>
      </c>
      <c r="B368" s="13" t="s">
        <v>128</v>
      </c>
      <c r="C368" s="13">
        <v>0.1</v>
      </c>
      <c r="D368" s="17">
        <v>3500</v>
      </c>
      <c r="E368" s="17">
        <v>350</v>
      </c>
    </row>
    <row r="369" spans="1:5" x14ac:dyDescent="0.35">
      <c r="A369" s="13" t="s">
        <v>122</v>
      </c>
      <c r="B369" s="13" t="s">
        <v>53</v>
      </c>
      <c r="C369" s="13">
        <v>2.2000000000000002</v>
      </c>
      <c r="D369" s="17">
        <v>300</v>
      </c>
      <c r="E369" s="17">
        <v>660</v>
      </c>
    </row>
    <row r="370" spans="1:5" x14ac:dyDescent="0.35">
      <c r="A370" s="13" t="s">
        <v>122</v>
      </c>
      <c r="B370" s="13" t="s">
        <v>13</v>
      </c>
      <c r="C370" s="13">
        <v>0.85</v>
      </c>
      <c r="D370" s="17">
        <v>500</v>
      </c>
      <c r="E370" s="17">
        <v>425</v>
      </c>
    </row>
    <row r="371" spans="1:5" x14ac:dyDescent="0.35">
      <c r="A371" s="13" t="s">
        <v>122</v>
      </c>
      <c r="B371" s="13" t="s">
        <v>94</v>
      </c>
      <c r="C371" s="13">
        <v>2.0499999999999998</v>
      </c>
      <c r="D371" s="17">
        <v>2800</v>
      </c>
      <c r="E371" s="17">
        <v>5740</v>
      </c>
    </row>
    <row r="372" spans="1:5" x14ac:dyDescent="0.35">
      <c r="A372" s="13" t="s">
        <v>122</v>
      </c>
      <c r="B372" s="13" t="s">
        <v>126</v>
      </c>
      <c r="C372" s="13">
        <v>4.1500000000000004</v>
      </c>
      <c r="D372" s="17">
        <v>1800</v>
      </c>
      <c r="E372" s="17">
        <v>7470</v>
      </c>
    </row>
    <row r="373" spans="1:5" x14ac:dyDescent="0.35">
      <c r="A373" s="13" t="s">
        <v>122</v>
      </c>
      <c r="B373" s="13" t="s">
        <v>15</v>
      </c>
      <c r="C373" s="13">
        <v>0.3</v>
      </c>
      <c r="D373" s="17">
        <v>2500</v>
      </c>
      <c r="E373" s="17">
        <v>750</v>
      </c>
    </row>
    <row r="374" spans="1:5" x14ac:dyDescent="0.35">
      <c r="A374" s="13" t="s">
        <v>123</v>
      </c>
      <c r="B374" s="13" t="s">
        <v>13</v>
      </c>
      <c r="C374" s="13">
        <v>0.2</v>
      </c>
      <c r="D374" s="17">
        <v>500</v>
      </c>
      <c r="E374" s="17">
        <v>100</v>
      </c>
    </row>
    <row r="375" spans="1:5" x14ac:dyDescent="0.35">
      <c r="A375" s="13" t="s">
        <v>123</v>
      </c>
      <c r="B375" s="13" t="s">
        <v>25</v>
      </c>
      <c r="C375" s="13">
        <v>1.05</v>
      </c>
      <c r="D375" s="17">
        <v>1000</v>
      </c>
      <c r="E375" s="17">
        <v>1050</v>
      </c>
    </row>
    <row r="376" spans="1:5" x14ac:dyDescent="0.35">
      <c r="A376" s="13" t="s">
        <v>123</v>
      </c>
      <c r="B376" s="13" t="s">
        <v>51</v>
      </c>
      <c r="C376" s="13">
        <v>0.3</v>
      </c>
      <c r="D376" s="17">
        <v>500</v>
      </c>
      <c r="E376" s="17">
        <v>150</v>
      </c>
    </row>
    <row r="377" spans="1:5" x14ac:dyDescent="0.35">
      <c r="A377" s="13" t="s">
        <v>123</v>
      </c>
      <c r="B377" s="13" t="s">
        <v>39</v>
      </c>
      <c r="C377" s="13">
        <v>0.65</v>
      </c>
      <c r="D377" s="17">
        <v>1500</v>
      </c>
      <c r="E377" s="17">
        <v>975</v>
      </c>
    </row>
    <row r="378" spans="1:5" x14ac:dyDescent="0.35">
      <c r="A378" s="13" t="s">
        <v>123</v>
      </c>
      <c r="B378" s="13" t="s">
        <v>18</v>
      </c>
      <c r="C378" s="13">
        <v>0.9</v>
      </c>
      <c r="D378" s="17">
        <v>150</v>
      </c>
      <c r="E378" s="17">
        <v>135</v>
      </c>
    </row>
    <row r="379" spans="1:5" x14ac:dyDescent="0.35">
      <c r="A379" s="13" t="s">
        <v>123</v>
      </c>
      <c r="B379" s="13" t="s">
        <v>94</v>
      </c>
      <c r="C379" s="13">
        <v>0.2</v>
      </c>
      <c r="D379" s="17">
        <v>2800</v>
      </c>
      <c r="E379" s="17">
        <v>560</v>
      </c>
    </row>
    <row r="380" spans="1:5" x14ac:dyDescent="0.35">
      <c r="A380" s="13" t="s">
        <v>123</v>
      </c>
      <c r="B380" s="13" t="s">
        <v>53</v>
      </c>
      <c r="C380" s="13">
        <v>0.4</v>
      </c>
      <c r="D380" s="17">
        <v>300</v>
      </c>
      <c r="E380" s="17">
        <v>120</v>
      </c>
    </row>
    <row r="381" spans="1:5" x14ac:dyDescent="0.35">
      <c r="A381" s="13" t="s">
        <v>303</v>
      </c>
      <c r="B381" s="13" t="s">
        <v>53</v>
      </c>
      <c r="C381" s="13">
        <v>16</v>
      </c>
      <c r="D381" s="17">
        <v>300</v>
      </c>
      <c r="E381" s="17">
        <f>C381*D381</f>
        <v>4800</v>
      </c>
    </row>
    <row r="382" spans="1:5" x14ac:dyDescent="0.35">
      <c r="A382" s="13" t="s">
        <v>303</v>
      </c>
      <c r="B382" s="13" t="s">
        <v>13</v>
      </c>
      <c r="C382" s="13">
        <v>1.6</v>
      </c>
      <c r="D382" s="17">
        <v>300</v>
      </c>
      <c r="E382" s="17">
        <f>C382*D382</f>
        <v>480</v>
      </c>
    </row>
    <row r="383" spans="1:5" x14ac:dyDescent="0.35">
      <c r="A383" s="13" t="s">
        <v>303</v>
      </c>
      <c r="B383" s="13" t="s">
        <v>34</v>
      </c>
      <c r="C383" s="13">
        <v>46</v>
      </c>
      <c r="D383" s="17">
        <v>7000</v>
      </c>
      <c r="E383" s="17">
        <f>C383*D383</f>
        <v>322000</v>
      </c>
    </row>
    <row r="384" spans="1:5" x14ac:dyDescent="0.35">
      <c r="A384" s="14" t="s">
        <v>130</v>
      </c>
      <c r="B384" s="13" t="s">
        <v>53</v>
      </c>
      <c r="C384" s="13">
        <v>16.600000000000001</v>
      </c>
      <c r="D384" s="17">
        <v>300</v>
      </c>
      <c r="E384" s="17">
        <f>C384*D384</f>
        <v>4980</v>
      </c>
    </row>
    <row r="385" spans="1:5" x14ac:dyDescent="0.35">
      <c r="A385" s="13" t="s">
        <v>297</v>
      </c>
      <c r="B385" s="13" t="s">
        <v>18</v>
      </c>
      <c r="C385" s="13">
        <v>1.45</v>
      </c>
      <c r="D385" s="17">
        <v>150</v>
      </c>
      <c r="E385" s="17">
        <v>218</v>
      </c>
    </row>
    <row r="386" spans="1:5" x14ac:dyDescent="0.35">
      <c r="A386" s="13" t="s">
        <v>297</v>
      </c>
      <c r="B386" s="13" t="s">
        <v>20</v>
      </c>
      <c r="C386" s="13">
        <v>0.8</v>
      </c>
      <c r="D386" s="17">
        <v>600</v>
      </c>
      <c r="E386" s="17">
        <v>480</v>
      </c>
    </row>
    <row r="387" spans="1:5" x14ac:dyDescent="0.35">
      <c r="A387" s="13" t="s">
        <v>297</v>
      </c>
      <c r="B387" s="13" t="s">
        <v>17</v>
      </c>
      <c r="C387" s="13">
        <v>5.7</v>
      </c>
      <c r="D387" s="17">
        <v>80</v>
      </c>
      <c r="E387" s="17">
        <v>456</v>
      </c>
    </row>
    <row r="388" spans="1:5" x14ac:dyDescent="0.35">
      <c r="A388" s="13" t="s">
        <v>297</v>
      </c>
      <c r="B388" s="13" t="s">
        <v>25</v>
      </c>
      <c r="C388" s="13">
        <v>0.25</v>
      </c>
      <c r="D388" s="17">
        <v>1000</v>
      </c>
      <c r="E388" s="17">
        <v>250</v>
      </c>
    </row>
    <row r="389" spans="1:5" x14ac:dyDescent="0.35">
      <c r="A389" s="13" t="s">
        <v>297</v>
      </c>
      <c r="B389" s="13" t="s">
        <v>17</v>
      </c>
      <c r="C389" s="13">
        <v>2.2999999999999998</v>
      </c>
      <c r="D389" s="17">
        <v>80</v>
      </c>
      <c r="E389" s="17">
        <v>184</v>
      </c>
    </row>
    <row r="390" spans="1:5" x14ac:dyDescent="0.35">
      <c r="A390" s="13" t="s">
        <v>297</v>
      </c>
      <c r="B390" s="13" t="s">
        <v>25</v>
      </c>
      <c r="C390" s="13">
        <v>0.5</v>
      </c>
      <c r="D390" s="17">
        <v>1000</v>
      </c>
      <c r="E390" s="17">
        <v>500</v>
      </c>
    </row>
    <row r="391" spans="1:5" x14ac:dyDescent="0.35">
      <c r="A391" s="13" t="s">
        <v>297</v>
      </c>
      <c r="B391" s="13" t="s">
        <v>127</v>
      </c>
      <c r="C391" s="13">
        <v>0.25</v>
      </c>
      <c r="D391" s="17">
        <v>8000</v>
      </c>
      <c r="E391" s="17">
        <v>2000</v>
      </c>
    </row>
    <row r="392" spans="1:5" x14ac:dyDescent="0.35">
      <c r="A392" s="13" t="s">
        <v>297</v>
      </c>
      <c r="B392" s="13" t="s">
        <v>26</v>
      </c>
      <c r="C392" s="13">
        <v>1.1000000000000001</v>
      </c>
      <c r="D392" s="17">
        <v>1000</v>
      </c>
      <c r="E392" s="17">
        <v>1100</v>
      </c>
    </row>
    <row r="393" spans="1:5" x14ac:dyDescent="0.35">
      <c r="A393" s="13" t="s">
        <v>292</v>
      </c>
      <c r="B393" s="13" t="s">
        <v>22</v>
      </c>
      <c r="C393" s="13">
        <v>0.55000000000000004</v>
      </c>
      <c r="D393" s="17">
        <v>1600</v>
      </c>
      <c r="E393" s="17">
        <v>880</v>
      </c>
    </row>
    <row r="394" spans="1:5" x14ac:dyDescent="0.35">
      <c r="A394" s="13" t="s">
        <v>292</v>
      </c>
      <c r="B394" s="13" t="s">
        <v>128</v>
      </c>
      <c r="C394" s="13">
        <v>1.55</v>
      </c>
      <c r="D394" s="17">
        <v>3500</v>
      </c>
      <c r="E394" s="17">
        <v>5425</v>
      </c>
    </row>
    <row r="395" spans="1:5" x14ac:dyDescent="0.35">
      <c r="A395" s="60"/>
      <c r="C395" s="57">
        <f>SUM(C3:C394)</f>
        <v>825.68000000000006</v>
      </c>
      <c r="E395" s="11">
        <f>SUM(E3:E394)</f>
        <v>1336265</v>
      </c>
    </row>
  </sheetData>
  <autoFilter ref="A2:E2" xr:uid="{BD10EEE3-6183-4551-A97E-6A7AF3E143D8}">
    <sortState xmlns:xlrd2="http://schemas.microsoft.com/office/spreadsheetml/2017/richdata2" ref="A3:E390">
      <sortCondition ref="A2"/>
    </sortState>
  </autoFilter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A3D4-BBD6-4906-90C7-829061233DD1}">
  <sheetPr>
    <tabColor rgb="FF92D050"/>
  </sheetPr>
  <dimension ref="B2:I58"/>
  <sheetViews>
    <sheetView topLeftCell="A28" zoomScale="67" zoomScaleNormal="80" workbookViewId="0">
      <selection activeCell="F37" sqref="F37"/>
    </sheetView>
  </sheetViews>
  <sheetFormatPr defaultRowHeight="14.5" x14ac:dyDescent="0.35"/>
  <cols>
    <col min="3" max="3" width="27.81640625" bestFit="1" customWidth="1"/>
    <col min="5" max="5" width="14.81640625" style="3" bestFit="1" customWidth="1"/>
    <col min="6" max="6" width="12.26953125" bestFit="1" customWidth="1"/>
  </cols>
  <sheetData>
    <row r="2" spans="2:8" x14ac:dyDescent="0.35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1" t="s">
        <v>5</v>
      </c>
      <c r="H2" s="2" t="s">
        <v>6</v>
      </c>
    </row>
    <row r="3" spans="2:8" x14ac:dyDescent="0.35">
      <c r="C3" t="s">
        <v>7</v>
      </c>
      <c r="E3" s="3">
        <v>90000</v>
      </c>
      <c r="F3" s="3">
        <v>200000</v>
      </c>
      <c r="G3" t="s">
        <v>8</v>
      </c>
    </row>
    <row r="4" spans="2:8" x14ac:dyDescent="0.35">
      <c r="C4" t="s">
        <v>9</v>
      </c>
      <c r="E4" s="3">
        <f>VLOOKUP(C4,'[1]Bu Erta'!$C$2:$E$66,3,0)</f>
        <v>6000</v>
      </c>
      <c r="F4" s="3">
        <v>9000</v>
      </c>
    </row>
    <row r="5" spans="2:8" x14ac:dyDescent="0.35">
      <c r="C5" t="s">
        <v>10</v>
      </c>
      <c r="E5" s="3">
        <v>1200</v>
      </c>
      <c r="F5" s="3">
        <v>4000</v>
      </c>
    </row>
    <row r="6" spans="2:8" x14ac:dyDescent="0.35">
      <c r="C6" t="s">
        <v>11</v>
      </c>
      <c r="E6" s="3">
        <f>VLOOKUP(C6,'[1]Bu Erta'!$C$2:$E$66,3,0)</f>
        <v>8000</v>
      </c>
      <c r="F6" s="3">
        <v>10000</v>
      </c>
    </row>
    <row r="7" spans="2:8" x14ac:dyDescent="0.35">
      <c r="C7" t="s">
        <v>12</v>
      </c>
      <c r="E7" s="3">
        <v>800</v>
      </c>
      <c r="F7" s="3">
        <v>1000</v>
      </c>
    </row>
    <row r="8" spans="2:8" x14ac:dyDescent="0.35">
      <c r="C8" t="s">
        <v>13</v>
      </c>
      <c r="E8" s="59">
        <v>500</v>
      </c>
      <c r="F8" s="3">
        <v>1500</v>
      </c>
    </row>
    <row r="9" spans="2:8" x14ac:dyDescent="0.35">
      <c r="C9" t="s">
        <v>319</v>
      </c>
      <c r="E9" s="39">
        <v>1500</v>
      </c>
      <c r="F9" s="3">
        <v>2000</v>
      </c>
    </row>
    <row r="10" spans="2:8" x14ac:dyDescent="0.35">
      <c r="C10" t="s">
        <v>15</v>
      </c>
      <c r="E10" s="3">
        <f>VLOOKUP(C10,'[1]Bu Erta'!$C$2:$E$66,3,0)</f>
        <v>2500</v>
      </c>
      <c r="F10" s="3">
        <v>4000</v>
      </c>
    </row>
    <row r="11" spans="2:8" x14ac:dyDescent="0.35">
      <c r="C11" t="s">
        <v>16</v>
      </c>
      <c r="E11" s="3">
        <v>300</v>
      </c>
      <c r="F11" s="3">
        <v>400</v>
      </c>
    </row>
    <row r="12" spans="2:8" x14ac:dyDescent="0.35">
      <c r="C12" t="s">
        <v>17</v>
      </c>
      <c r="E12" s="3">
        <v>80</v>
      </c>
      <c r="F12" s="3">
        <v>100</v>
      </c>
    </row>
    <row r="13" spans="2:8" x14ac:dyDescent="0.35">
      <c r="C13" t="s">
        <v>18</v>
      </c>
      <c r="E13" s="3">
        <v>150</v>
      </c>
      <c r="F13" s="3">
        <v>200</v>
      </c>
    </row>
    <row r="14" spans="2:8" x14ac:dyDescent="0.35">
      <c r="C14" t="s">
        <v>19</v>
      </c>
      <c r="E14" s="3">
        <v>80</v>
      </c>
      <c r="F14" s="3">
        <v>100</v>
      </c>
    </row>
    <row r="15" spans="2:8" x14ac:dyDescent="0.35">
      <c r="C15" t="s">
        <v>20</v>
      </c>
      <c r="E15" s="3">
        <v>600</v>
      </c>
      <c r="F15" s="3">
        <v>800</v>
      </c>
    </row>
    <row r="16" spans="2:8" x14ac:dyDescent="0.35">
      <c r="C16" t="s">
        <v>21</v>
      </c>
      <c r="E16" s="3">
        <v>2800</v>
      </c>
      <c r="F16" s="3">
        <v>5000</v>
      </c>
    </row>
    <row r="17" spans="3:9" x14ac:dyDescent="0.35">
      <c r="C17" t="s">
        <v>22</v>
      </c>
      <c r="E17" s="3">
        <v>1600</v>
      </c>
      <c r="F17" s="3">
        <v>2500</v>
      </c>
    </row>
    <row r="18" spans="3:9" x14ac:dyDescent="0.35">
      <c r="C18" t="s">
        <v>23</v>
      </c>
      <c r="E18" s="3">
        <v>800</v>
      </c>
      <c r="F18" s="3">
        <v>1000</v>
      </c>
    </row>
    <row r="19" spans="3:9" x14ac:dyDescent="0.35">
      <c r="C19" t="s">
        <v>24</v>
      </c>
      <c r="E19" s="3">
        <v>800</v>
      </c>
      <c r="F19" s="3">
        <v>1000</v>
      </c>
    </row>
    <row r="20" spans="3:9" x14ac:dyDescent="0.35">
      <c r="C20" t="s">
        <v>25</v>
      </c>
      <c r="E20" s="3">
        <v>1000</v>
      </c>
      <c r="F20" s="3">
        <v>1200</v>
      </c>
    </row>
    <row r="21" spans="3:9" x14ac:dyDescent="0.35">
      <c r="C21" t="s">
        <v>26</v>
      </c>
      <c r="E21" s="3">
        <v>800</v>
      </c>
      <c r="F21" s="3">
        <v>1000</v>
      </c>
    </row>
    <row r="22" spans="3:9" x14ac:dyDescent="0.35">
      <c r="C22" t="s">
        <v>27</v>
      </c>
      <c r="E22" s="3">
        <v>2500</v>
      </c>
      <c r="F22" s="3">
        <v>3000</v>
      </c>
    </row>
    <row r="23" spans="3:9" x14ac:dyDescent="0.35">
      <c r="C23" t="s">
        <v>28</v>
      </c>
      <c r="E23" s="3">
        <v>3000</v>
      </c>
      <c r="F23" s="3">
        <v>4000</v>
      </c>
    </row>
    <row r="24" spans="3:9" x14ac:dyDescent="0.35">
      <c r="C24" t="s">
        <v>29</v>
      </c>
      <c r="E24" s="3">
        <v>1600</v>
      </c>
      <c r="F24" s="3">
        <v>2000</v>
      </c>
    </row>
    <row r="25" spans="3:9" x14ac:dyDescent="0.35">
      <c r="C25" t="s">
        <v>30</v>
      </c>
      <c r="E25" s="3">
        <f>VLOOKUP(C25,'[1]Bu Erta'!$C$2:$E$66,3,0)</f>
        <v>1800</v>
      </c>
      <c r="F25" s="3">
        <v>5000</v>
      </c>
      <c r="G25" t="s">
        <v>31</v>
      </c>
    </row>
    <row r="26" spans="3:9" x14ac:dyDescent="0.35">
      <c r="C26" t="s">
        <v>100</v>
      </c>
      <c r="E26" s="3">
        <v>1400</v>
      </c>
      <c r="F26" s="3">
        <v>2000</v>
      </c>
    </row>
    <row r="27" spans="3:9" x14ac:dyDescent="0.35">
      <c r="C27" t="s">
        <v>33</v>
      </c>
      <c r="E27" s="3">
        <f>VLOOKUP(C27,'[1]Bu Erta'!$C$2:$E$66,3,0)</f>
        <v>600</v>
      </c>
      <c r="F27" s="3">
        <v>700</v>
      </c>
    </row>
    <row r="28" spans="3:9" x14ac:dyDescent="0.35">
      <c r="C28" t="s">
        <v>34</v>
      </c>
      <c r="E28" s="3">
        <v>5000</v>
      </c>
      <c r="F28" s="3">
        <v>7000</v>
      </c>
      <c r="I28" s="5"/>
    </row>
    <row r="29" spans="3:9" x14ac:dyDescent="0.35">
      <c r="C29" t="s">
        <v>35</v>
      </c>
      <c r="E29" s="3">
        <f>VLOOKUP(C29,'[1]Bu Erta'!$C$2:$E$66,3,0)</f>
        <v>1400</v>
      </c>
      <c r="F29" s="3">
        <v>1500</v>
      </c>
      <c r="G29" t="s">
        <v>36</v>
      </c>
    </row>
    <row r="30" spans="3:9" x14ac:dyDescent="0.35">
      <c r="C30" t="s">
        <v>37</v>
      </c>
      <c r="E30" s="3">
        <f>VLOOKUP(C30,'[1]Bu Erta'!$C$2:$E$66,3,0)</f>
        <v>1800</v>
      </c>
      <c r="F30" s="3">
        <v>2000</v>
      </c>
    </row>
    <row r="31" spans="3:9" x14ac:dyDescent="0.35">
      <c r="C31" t="s">
        <v>38</v>
      </c>
      <c r="E31" s="3">
        <v>80</v>
      </c>
      <c r="F31" s="3">
        <v>100</v>
      </c>
    </row>
    <row r="32" spans="3:9" x14ac:dyDescent="0.35">
      <c r="C32" t="s">
        <v>39</v>
      </c>
      <c r="E32" s="3">
        <f>VLOOKUP(C32,'[1]Bu Erta'!$C$2:$E$66,3,0)</f>
        <v>1500</v>
      </c>
      <c r="F32" s="3">
        <v>2000</v>
      </c>
    </row>
    <row r="33" spans="3:7" x14ac:dyDescent="0.35">
      <c r="C33" t="s">
        <v>40</v>
      </c>
      <c r="E33" s="3">
        <v>1300</v>
      </c>
      <c r="F33" s="3">
        <v>1800</v>
      </c>
    </row>
    <row r="34" spans="3:7" x14ac:dyDescent="0.35">
      <c r="C34" t="s">
        <v>41</v>
      </c>
      <c r="E34" s="3">
        <v>1000</v>
      </c>
      <c r="F34" s="3">
        <v>1800</v>
      </c>
    </row>
    <row r="35" spans="3:7" x14ac:dyDescent="0.35">
      <c r="C35" t="s">
        <v>42</v>
      </c>
      <c r="E35" s="3">
        <v>3500</v>
      </c>
      <c r="F35" s="3">
        <v>4000</v>
      </c>
    </row>
    <row r="36" spans="3:7" x14ac:dyDescent="0.35">
      <c r="C36" t="s">
        <v>392</v>
      </c>
      <c r="E36" s="3">
        <v>13000</v>
      </c>
      <c r="F36" s="3">
        <v>15000</v>
      </c>
    </row>
    <row r="37" spans="3:7" x14ac:dyDescent="0.35">
      <c r="C37" t="s">
        <v>43</v>
      </c>
      <c r="E37" s="3">
        <v>50000</v>
      </c>
      <c r="F37" s="3">
        <v>60000</v>
      </c>
      <c r="G37" t="s">
        <v>8</v>
      </c>
    </row>
    <row r="38" spans="3:7" x14ac:dyDescent="0.35">
      <c r="C38" t="s">
        <v>44</v>
      </c>
      <c r="E38" s="3">
        <v>500</v>
      </c>
      <c r="F38" s="3">
        <v>700</v>
      </c>
    </row>
    <row r="39" spans="3:7" x14ac:dyDescent="0.35">
      <c r="C39" t="s">
        <v>263</v>
      </c>
      <c r="E39" s="3">
        <v>400</v>
      </c>
      <c r="F39" s="3">
        <v>1200</v>
      </c>
    </row>
    <row r="40" spans="3:7" x14ac:dyDescent="0.35">
      <c r="C40" t="s">
        <v>46</v>
      </c>
      <c r="E40" s="3">
        <v>2700</v>
      </c>
      <c r="F40" s="3">
        <v>4000</v>
      </c>
    </row>
    <row r="41" spans="3:7" x14ac:dyDescent="0.35">
      <c r="C41" t="s">
        <v>47</v>
      </c>
      <c r="E41" s="3">
        <v>40000</v>
      </c>
      <c r="F41" s="3">
        <v>50000</v>
      </c>
      <c r="G41" t="s">
        <v>8</v>
      </c>
    </row>
    <row r="42" spans="3:7" x14ac:dyDescent="0.35">
      <c r="C42" t="s">
        <v>48</v>
      </c>
      <c r="E42" s="3">
        <f>VLOOKUP(C42,'[1]Bu Erta'!$C$2:$E$66,3,0)</f>
        <v>25000</v>
      </c>
      <c r="F42" s="3">
        <v>35000</v>
      </c>
    </row>
    <row r="43" spans="3:7" x14ac:dyDescent="0.35">
      <c r="C43" t="s">
        <v>49</v>
      </c>
      <c r="E43" s="3">
        <f>VLOOKUP(C43,'[1]Bu Erta'!$C$2:$E$66,3,0)</f>
        <v>35000</v>
      </c>
      <c r="F43" s="3">
        <v>50000</v>
      </c>
      <c r="G43" t="s">
        <v>8</v>
      </c>
    </row>
    <row r="44" spans="3:7" x14ac:dyDescent="0.35">
      <c r="C44" s="4" t="s">
        <v>50</v>
      </c>
      <c r="E44" s="3" t="e">
        <f>VLOOKUP(C44,'[1]Bu Erta'!$C$2:$E$66,3,0)</f>
        <v>#N/A</v>
      </c>
      <c r="F44" s="3" t="s">
        <v>14</v>
      </c>
    </row>
    <row r="45" spans="3:7" x14ac:dyDescent="0.35">
      <c r="C45" t="s">
        <v>51</v>
      </c>
      <c r="E45" s="3">
        <v>500</v>
      </c>
      <c r="F45" s="3">
        <v>700</v>
      </c>
    </row>
    <row r="46" spans="3:7" x14ac:dyDescent="0.35">
      <c r="C46" t="s">
        <v>52</v>
      </c>
      <c r="E46" s="3">
        <v>400</v>
      </c>
      <c r="F46" s="3">
        <v>500</v>
      </c>
    </row>
    <row r="47" spans="3:7" x14ac:dyDescent="0.35">
      <c r="C47" t="s">
        <v>53</v>
      </c>
      <c r="E47" s="3">
        <v>400</v>
      </c>
      <c r="F47" s="3">
        <v>500</v>
      </c>
    </row>
    <row r="48" spans="3:7" x14ac:dyDescent="0.35">
      <c r="C48" t="s">
        <v>54</v>
      </c>
      <c r="E48" s="3">
        <v>800</v>
      </c>
      <c r="F48" s="3">
        <v>1700</v>
      </c>
    </row>
    <row r="49" spans="3:7" x14ac:dyDescent="0.35">
      <c r="C49" t="s">
        <v>266</v>
      </c>
      <c r="E49" s="3">
        <v>1000</v>
      </c>
      <c r="F49" s="3">
        <v>1700</v>
      </c>
      <c r="G49" t="s">
        <v>268</v>
      </c>
    </row>
    <row r="50" spans="3:7" x14ac:dyDescent="0.35">
      <c r="C50" t="s">
        <v>55</v>
      </c>
      <c r="E50" s="3">
        <v>700</v>
      </c>
      <c r="F50" s="3">
        <v>900</v>
      </c>
      <c r="G50" t="s">
        <v>321</v>
      </c>
    </row>
    <row r="51" spans="3:7" x14ac:dyDescent="0.35">
      <c r="C51" t="s">
        <v>56</v>
      </c>
      <c r="E51" s="3">
        <v>500</v>
      </c>
      <c r="F51" s="3">
        <v>700</v>
      </c>
    </row>
    <row r="52" spans="3:7" x14ac:dyDescent="0.35">
      <c r="C52" t="s">
        <v>57</v>
      </c>
      <c r="E52" s="3">
        <v>150</v>
      </c>
      <c r="F52" s="3">
        <v>400</v>
      </c>
    </row>
    <row r="53" spans="3:7" x14ac:dyDescent="0.35">
      <c r="C53" t="s">
        <v>58</v>
      </c>
      <c r="E53" s="3">
        <f>VLOOKUP(C53,'[1]Bu Erta'!$C$2:$E$66,3,0)</f>
        <v>50000</v>
      </c>
      <c r="F53" s="3">
        <v>60000</v>
      </c>
    </row>
    <row r="54" spans="3:7" x14ac:dyDescent="0.35">
      <c r="C54" t="s">
        <v>59</v>
      </c>
      <c r="E54" s="3">
        <v>100</v>
      </c>
      <c r="F54" s="3">
        <v>150</v>
      </c>
    </row>
    <row r="55" spans="3:7" x14ac:dyDescent="0.35">
      <c r="C55" t="s">
        <v>60</v>
      </c>
      <c r="E55" s="3">
        <f>VLOOKUP(C55,'[1]Bu Erta'!$C$2:$E$66,3,0)</f>
        <v>2500</v>
      </c>
      <c r="F55" s="3">
        <v>3000</v>
      </c>
    </row>
    <row r="56" spans="3:7" x14ac:dyDescent="0.35">
      <c r="C56" t="s">
        <v>61</v>
      </c>
      <c r="E56" s="3">
        <f>VLOOKUP(C56,'[1]Bu Erta'!$C$2:$E$66,3,0)</f>
        <v>3500</v>
      </c>
      <c r="F56" s="3">
        <v>4500</v>
      </c>
    </row>
    <row r="57" spans="3:7" x14ac:dyDescent="0.35">
      <c r="C57" t="s">
        <v>62</v>
      </c>
      <c r="E57" s="3">
        <v>13000</v>
      </c>
      <c r="F57" s="3">
        <v>20000</v>
      </c>
      <c r="G57" t="s">
        <v>31</v>
      </c>
    </row>
    <row r="58" spans="3:7" x14ac:dyDescent="0.35">
      <c r="C58" t="s">
        <v>63</v>
      </c>
      <c r="E58" s="3">
        <v>700</v>
      </c>
      <c r="F58" s="3">
        <v>1000</v>
      </c>
    </row>
  </sheetData>
  <autoFilter ref="B2:H2" xr:uid="{241745EE-8922-4F2E-A587-9A455D3445D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5DE1-2293-47F2-85CA-E8DCE1C6BB5A}">
  <dimension ref="A2:F94"/>
  <sheetViews>
    <sheetView tabSelected="1" topLeftCell="A49" zoomScale="90" zoomScaleNormal="90" workbookViewId="0">
      <selection activeCell="D61" sqref="D61"/>
    </sheetView>
  </sheetViews>
  <sheetFormatPr defaultRowHeight="14.5" x14ac:dyDescent="0.35"/>
  <cols>
    <col min="1" max="1" width="10.6328125" bestFit="1" customWidth="1"/>
    <col min="2" max="2" width="37" customWidth="1"/>
    <col min="3" max="5" width="10.1796875" style="11" bestFit="1" customWidth="1"/>
    <col min="6" max="6" width="19.453125" bestFit="1" customWidth="1"/>
  </cols>
  <sheetData>
    <row r="2" spans="1:6" x14ac:dyDescent="0.35">
      <c r="A2" s="6" t="s">
        <v>67</v>
      </c>
      <c r="B2" s="7" t="s">
        <v>68</v>
      </c>
      <c r="C2" s="10" t="s">
        <v>69</v>
      </c>
      <c r="D2" s="10" t="s">
        <v>70</v>
      </c>
      <c r="E2" s="10" t="s">
        <v>6</v>
      </c>
      <c r="F2" s="8" t="s">
        <v>71</v>
      </c>
    </row>
    <row r="3" spans="1:6" x14ac:dyDescent="0.35">
      <c r="B3" t="s">
        <v>72</v>
      </c>
      <c r="E3" s="11">
        <v>0</v>
      </c>
    </row>
    <row r="4" spans="1:6" x14ac:dyDescent="0.35">
      <c r="A4" s="9">
        <v>46151</v>
      </c>
      <c r="B4" t="s">
        <v>73</v>
      </c>
      <c r="C4" s="54">
        <f>'9-5-26'!G46</f>
        <v>184227.5</v>
      </c>
      <c r="E4" s="11">
        <f>IF(AND(C4="",D4=""),"",E3+C4-D4)</f>
        <v>184227.5</v>
      </c>
    </row>
    <row r="5" spans="1:6" x14ac:dyDescent="0.35">
      <c r="A5" s="9">
        <v>46151</v>
      </c>
      <c r="B5" t="s">
        <v>74</v>
      </c>
      <c r="D5" s="11">
        <v>40000</v>
      </c>
      <c r="E5" s="11">
        <f t="shared" ref="E5:E75" si="0">IF(AND(C5="",D5=""),"",E4+C5-D5)</f>
        <v>144227.5</v>
      </c>
      <c r="F5" t="s">
        <v>75</v>
      </c>
    </row>
    <row r="6" spans="1:6" x14ac:dyDescent="0.35">
      <c r="A6" s="9">
        <v>46151</v>
      </c>
      <c r="B6" t="s">
        <v>77</v>
      </c>
      <c r="D6" s="11">
        <v>5000</v>
      </c>
      <c r="E6" s="11">
        <f t="shared" si="0"/>
        <v>139227.5</v>
      </c>
      <c r="F6" t="s">
        <v>76</v>
      </c>
    </row>
    <row r="7" spans="1:6" x14ac:dyDescent="0.35">
      <c r="A7" s="9">
        <v>46151</v>
      </c>
      <c r="B7" t="s">
        <v>74</v>
      </c>
      <c r="D7" s="11">
        <f>29000+40000</f>
        <v>69000</v>
      </c>
      <c r="E7" s="11">
        <f t="shared" si="0"/>
        <v>70227.5</v>
      </c>
      <c r="F7" t="s">
        <v>78</v>
      </c>
    </row>
    <row r="8" spans="1:6" x14ac:dyDescent="0.35">
      <c r="A8" s="9">
        <v>46151</v>
      </c>
      <c r="B8" t="s">
        <v>74</v>
      </c>
      <c r="D8" s="11">
        <v>5000</v>
      </c>
      <c r="E8" s="11">
        <f t="shared" si="0"/>
        <v>65227.5</v>
      </c>
      <c r="F8" t="s">
        <v>80</v>
      </c>
    </row>
    <row r="9" spans="1:6" x14ac:dyDescent="0.35">
      <c r="A9" s="9">
        <v>46151</v>
      </c>
      <c r="B9" t="s">
        <v>74</v>
      </c>
      <c r="D9" s="11">
        <v>10000</v>
      </c>
      <c r="E9" s="11">
        <f t="shared" si="0"/>
        <v>55227.5</v>
      </c>
      <c r="F9" t="s">
        <v>79</v>
      </c>
    </row>
    <row r="10" spans="1:6" x14ac:dyDescent="0.35">
      <c r="A10" s="9">
        <v>46151</v>
      </c>
      <c r="B10" t="s">
        <v>81</v>
      </c>
      <c r="D10" s="11">
        <v>20000</v>
      </c>
      <c r="E10" s="11">
        <f t="shared" si="0"/>
        <v>35227.5</v>
      </c>
    </row>
    <row r="11" spans="1:6" x14ac:dyDescent="0.35">
      <c r="A11" s="9">
        <v>46159</v>
      </c>
      <c r="B11" t="s">
        <v>287</v>
      </c>
      <c r="C11" s="55">
        <f>30000*8</f>
        <v>240000</v>
      </c>
      <c r="E11" s="11">
        <f t="shared" si="0"/>
        <v>275227.5</v>
      </c>
    </row>
    <row r="12" spans="1:6" x14ac:dyDescent="0.35">
      <c r="A12" s="9">
        <v>46166</v>
      </c>
      <c r="B12" t="s">
        <v>284</v>
      </c>
      <c r="D12" s="11">
        <v>52000</v>
      </c>
      <c r="E12" s="11">
        <f t="shared" si="0"/>
        <v>223227.5</v>
      </c>
      <c r="F12" t="s">
        <v>259</v>
      </c>
    </row>
    <row r="13" spans="1:6" x14ac:dyDescent="0.35">
      <c r="A13" s="9">
        <v>46166</v>
      </c>
      <c r="B13" t="s">
        <v>284</v>
      </c>
      <c r="D13" s="11">
        <v>10000</v>
      </c>
      <c r="E13" s="11">
        <f t="shared" si="0"/>
        <v>213227.5</v>
      </c>
      <c r="F13" t="s">
        <v>260</v>
      </c>
    </row>
    <row r="14" spans="1:6" x14ac:dyDescent="0.35">
      <c r="A14" s="9">
        <v>46168</v>
      </c>
      <c r="B14" t="s">
        <v>283</v>
      </c>
      <c r="C14" s="11">
        <v>100000</v>
      </c>
      <c r="E14" s="11">
        <f t="shared" si="0"/>
        <v>313227.5</v>
      </c>
    </row>
    <row r="15" spans="1:6" x14ac:dyDescent="0.35">
      <c r="A15" s="9">
        <v>46172</v>
      </c>
      <c r="B15" t="s">
        <v>74</v>
      </c>
      <c r="D15" s="11">
        <v>65000</v>
      </c>
      <c r="E15" s="11">
        <f t="shared" si="0"/>
        <v>248227.5</v>
      </c>
      <c r="F15" t="s">
        <v>280</v>
      </c>
    </row>
    <row r="16" spans="1:6" x14ac:dyDescent="0.35">
      <c r="A16" s="9">
        <v>46172</v>
      </c>
      <c r="B16" t="s">
        <v>81</v>
      </c>
      <c r="D16" s="11">
        <v>20000</v>
      </c>
      <c r="E16" s="11">
        <f t="shared" si="0"/>
        <v>228227.5</v>
      </c>
    </row>
    <row r="17" spans="1:6" x14ac:dyDescent="0.35">
      <c r="A17" s="9">
        <v>46172</v>
      </c>
      <c r="B17" t="s">
        <v>73</v>
      </c>
      <c r="C17" s="54">
        <f>'30-5-26'!I66</f>
        <v>558142.5</v>
      </c>
      <c r="E17" s="11">
        <f t="shared" si="0"/>
        <v>786370</v>
      </c>
    </row>
    <row r="18" spans="1:6" x14ac:dyDescent="0.35">
      <c r="A18" s="9">
        <v>46178</v>
      </c>
      <c r="B18" t="s">
        <v>284</v>
      </c>
      <c r="D18" s="11">
        <v>313500</v>
      </c>
      <c r="E18" s="11">
        <f t="shared" si="0"/>
        <v>472870</v>
      </c>
      <c r="F18" t="s">
        <v>285</v>
      </c>
    </row>
    <row r="19" spans="1:6" x14ac:dyDescent="0.35">
      <c r="A19" s="9">
        <v>46180</v>
      </c>
      <c r="B19" t="s">
        <v>284</v>
      </c>
      <c r="D19" s="11">
        <v>185000</v>
      </c>
      <c r="E19" s="11">
        <f t="shared" si="0"/>
        <v>287870</v>
      </c>
      <c r="F19" t="s">
        <v>286</v>
      </c>
    </row>
    <row r="20" spans="1:6" x14ac:dyDescent="0.35">
      <c r="A20" s="9">
        <v>46181</v>
      </c>
      <c r="B20" t="s">
        <v>288</v>
      </c>
      <c r="C20" s="55">
        <f>30000*4</f>
        <v>120000</v>
      </c>
      <c r="E20" s="11">
        <f t="shared" si="0"/>
        <v>407870</v>
      </c>
    </row>
    <row r="21" spans="1:6" x14ac:dyDescent="0.35">
      <c r="A21" s="9">
        <v>46193</v>
      </c>
      <c r="B21" t="s">
        <v>284</v>
      </c>
      <c r="D21" s="11">
        <v>12000</v>
      </c>
      <c r="E21" s="11">
        <f t="shared" si="0"/>
        <v>395870</v>
      </c>
      <c r="F21" t="s">
        <v>260</v>
      </c>
    </row>
    <row r="22" spans="1:6" x14ac:dyDescent="0.35">
      <c r="A22" s="9">
        <v>46193</v>
      </c>
      <c r="B22" t="s">
        <v>284</v>
      </c>
      <c r="D22" s="11">
        <v>15000</v>
      </c>
      <c r="E22" s="11">
        <f t="shared" si="0"/>
        <v>380870</v>
      </c>
      <c r="F22" t="s">
        <v>290</v>
      </c>
    </row>
    <row r="23" spans="1:6" x14ac:dyDescent="0.35">
      <c r="A23" s="9">
        <v>46193</v>
      </c>
      <c r="B23" t="s">
        <v>284</v>
      </c>
      <c r="D23" s="11">
        <v>25000</v>
      </c>
      <c r="E23" s="11">
        <f t="shared" si="0"/>
        <v>355870</v>
      </c>
      <c r="F23" t="s">
        <v>289</v>
      </c>
    </row>
    <row r="24" spans="1:6" x14ac:dyDescent="0.35">
      <c r="A24" s="9">
        <v>46193</v>
      </c>
      <c r="B24" t="s">
        <v>284</v>
      </c>
      <c r="D24" s="11">
        <v>15000</v>
      </c>
      <c r="E24" s="11">
        <f t="shared" si="0"/>
        <v>340870</v>
      </c>
      <c r="F24" t="s">
        <v>35</v>
      </c>
    </row>
    <row r="25" spans="1:6" x14ac:dyDescent="0.35">
      <c r="A25" s="9">
        <v>46194</v>
      </c>
      <c r="B25" t="s">
        <v>73</v>
      </c>
      <c r="C25" s="54">
        <f>'21-6-26'!K36</f>
        <v>-69134</v>
      </c>
      <c r="E25" s="11">
        <f t="shared" si="0"/>
        <v>271736</v>
      </c>
    </row>
    <row r="26" spans="1:6" x14ac:dyDescent="0.35">
      <c r="A26" s="9">
        <v>46195</v>
      </c>
      <c r="B26" t="s">
        <v>81</v>
      </c>
      <c r="D26" s="11">
        <v>50000</v>
      </c>
      <c r="E26" s="11">
        <f t="shared" si="0"/>
        <v>221736</v>
      </c>
      <c r="F26" t="s">
        <v>300</v>
      </c>
    </row>
    <row r="27" spans="1:6" x14ac:dyDescent="0.35">
      <c r="A27" s="9">
        <v>46200</v>
      </c>
      <c r="B27" t="s">
        <v>309</v>
      </c>
      <c r="D27" s="62">
        <v>200000</v>
      </c>
      <c r="E27" s="11">
        <f t="shared" si="0"/>
        <v>21736</v>
      </c>
    </row>
    <row r="28" spans="1:6" x14ac:dyDescent="0.35">
      <c r="A28" s="9">
        <v>46200</v>
      </c>
      <c r="B28" t="s">
        <v>284</v>
      </c>
      <c r="D28" s="11">
        <v>25000</v>
      </c>
      <c r="E28" s="11">
        <f t="shared" si="0"/>
        <v>-3264</v>
      </c>
      <c r="F28" t="s">
        <v>310</v>
      </c>
    </row>
    <row r="29" spans="1:6" x14ac:dyDescent="0.35">
      <c r="A29" s="9">
        <v>46210</v>
      </c>
      <c r="B29" t="s">
        <v>317</v>
      </c>
      <c r="C29" s="55">
        <f>30000*1</f>
        <v>30000</v>
      </c>
      <c r="E29" s="11">
        <f t="shared" si="0"/>
        <v>26736</v>
      </c>
    </row>
    <row r="30" spans="1:6" x14ac:dyDescent="0.35">
      <c r="A30" s="9">
        <v>46214</v>
      </c>
      <c r="B30" t="s">
        <v>73</v>
      </c>
      <c r="C30" s="54">
        <f>'11-07-26'!K39</f>
        <v>273768</v>
      </c>
      <c r="E30" s="11">
        <f t="shared" si="0"/>
        <v>300504</v>
      </c>
    </row>
    <row r="31" spans="1:6" x14ac:dyDescent="0.35">
      <c r="A31" s="9">
        <v>46214</v>
      </c>
      <c r="B31" t="s">
        <v>74</v>
      </c>
      <c r="D31" s="11">
        <f>11000*9</f>
        <v>99000</v>
      </c>
      <c r="E31" s="11">
        <f t="shared" si="0"/>
        <v>201504</v>
      </c>
      <c r="F31" t="s">
        <v>311</v>
      </c>
    </row>
    <row r="32" spans="1:6" x14ac:dyDescent="0.35">
      <c r="A32" s="9">
        <v>46214</v>
      </c>
      <c r="B32" t="s">
        <v>74</v>
      </c>
      <c r="D32" s="11">
        <f>15000*2</f>
        <v>30000</v>
      </c>
      <c r="E32" s="11">
        <f t="shared" si="0"/>
        <v>171504</v>
      </c>
      <c r="F32" t="s">
        <v>312</v>
      </c>
    </row>
    <row r="33" spans="1:6" x14ac:dyDescent="0.35">
      <c r="A33" s="9">
        <v>46214</v>
      </c>
      <c r="B33" t="s">
        <v>74</v>
      </c>
      <c r="D33" s="11">
        <v>11000</v>
      </c>
      <c r="E33" s="11">
        <f t="shared" si="0"/>
        <v>160504</v>
      </c>
      <c r="F33" t="s">
        <v>313</v>
      </c>
    </row>
    <row r="34" spans="1:6" x14ac:dyDescent="0.35">
      <c r="A34" s="9">
        <v>46214</v>
      </c>
      <c r="B34" t="s">
        <v>284</v>
      </c>
      <c r="D34" s="11">
        <v>15000</v>
      </c>
      <c r="E34" s="11">
        <f t="shared" si="0"/>
        <v>145504</v>
      </c>
      <c r="F34" t="s">
        <v>314</v>
      </c>
    </row>
    <row r="35" spans="1:6" x14ac:dyDescent="0.35">
      <c r="A35" s="9">
        <v>46214</v>
      </c>
      <c r="B35" t="s">
        <v>74</v>
      </c>
      <c r="D35" s="11">
        <v>14000</v>
      </c>
      <c r="E35" s="11">
        <f t="shared" si="0"/>
        <v>131504</v>
      </c>
      <c r="F35" t="s">
        <v>315</v>
      </c>
    </row>
    <row r="36" spans="1:6" x14ac:dyDescent="0.35">
      <c r="A36" s="9">
        <v>46214</v>
      </c>
      <c r="B36" t="s">
        <v>74</v>
      </c>
      <c r="D36" s="11">
        <v>24000</v>
      </c>
      <c r="E36" s="11">
        <f t="shared" si="0"/>
        <v>107504</v>
      </c>
      <c r="F36" t="s">
        <v>316</v>
      </c>
    </row>
    <row r="37" spans="1:6" x14ac:dyDescent="0.35">
      <c r="A37" s="9">
        <v>46214</v>
      </c>
      <c r="B37" t="s">
        <v>81</v>
      </c>
      <c r="D37" s="11">
        <v>20000</v>
      </c>
      <c r="E37" s="11">
        <f t="shared" si="0"/>
        <v>87504</v>
      </c>
    </row>
    <row r="38" spans="1:6" x14ac:dyDescent="0.35">
      <c r="A38" s="9">
        <v>46221</v>
      </c>
      <c r="B38" t="s">
        <v>74</v>
      </c>
      <c r="D38" s="11">
        <v>55000</v>
      </c>
      <c r="E38" s="11">
        <f t="shared" si="0"/>
        <v>32504</v>
      </c>
      <c r="F38" t="s">
        <v>382</v>
      </c>
    </row>
    <row r="39" spans="1:6" x14ac:dyDescent="0.35">
      <c r="A39" s="9">
        <v>46227</v>
      </c>
      <c r="B39" t="s">
        <v>284</v>
      </c>
      <c r="D39" s="11">
        <v>40000</v>
      </c>
      <c r="E39" s="11">
        <f t="shared" si="0"/>
        <v>-7496</v>
      </c>
      <c r="F39" t="s">
        <v>263</v>
      </c>
    </row>
    <row r="40" spans="1:6" x14ac:dyDescent="0.35">
      <c r="A40" s="9">
        <v>46235</v>
      </c>
      <c r="B40" t="s">
        <v>74</v>
      </c>
      <c r="D40" s="11">
        <f>100000+5000</f>
        <v>105000</v>
      </c>
      <c r="E40" s="11">
        <f t="shared" si="0"/>
        <v>-112496</v>
      </c>
      <c r="F40" t="s">
        <v>383</v>
      </c>
    </row>
    <row r="41" spans="1:6" x14ac:dyDescent="0.35">
      <c r="A41" s="9">
        <v>46235</v>
      </c>
      <c r="B41" t="s">
        <v>74</v>
      </c>
      <c r="D41" s="11">
        <v>55000</v>
      </c>
      <c r="E41" s="11">
        <f t="shared" si="0"/>
        <v>-167496</v>
      </c>
      <c r="F41" t="s">
        <v>404</v>
      </c>
    </row>
    <row r="42" spans="1:6" x14ac:dyDescent="0.35">
      <c r="A42" s="9">
        <v>46235</v>
      </c>
      <c r="B42" t="s">
        <v>73</v>
      </c>
      <c r="C42" s="54">
        <f>'1-8-26'!G56</f>
        <v>123851</v>
      </c>
      <c r="E42" s="11">
        <f t="shared" si="0"/>
        <v>-43645</v>
      </c>
    </row>
    <row r="43" spans="1:6" x14ac:dyDescent="0.35">
      <c r="A43" s="9">
        <v>46242</v>
      </c>
      <c r="B43" t="s">
        <v>74</v>
      </c>
      <c r="D43" s="11">
        <v>50000</v>
      </c>
      <c r="E43" s="11">
        <f t="shared" si="0"/>
        <v>-93645</v>
      </c>
      <c r="F43" t="s">
        <v>407</v>
      </c>
    </row>
    <row r="44" spans="1:6" x14ac:dyDescent="0.35">
      <c r="A44" s="9">
        <v>46242</v>
      </c>
      <c r="B44" t="s">
        <v>284</v>
      </c>
      <c r="D44" s="11">
        <v>40000</v>
      </c>
      <c r="E44" s="11">
        <f t="shared" si="0"/>
        <v>-133645</v>
      </c>
      <c r="F44" t="s">
        <v>35</v>
      </c>
    </row>
    <row r="45" spans="1:6" x14ac:dyDescent="0.35">
      <c r="A45" s="9">
        <v>46242</v>
      </c>
      <c r="B45" t="s">
        <v>284</v>
      </c>
      <c r="D45" s="11">
        <v>20000</v>
      </c>
      <c r="E45" s="11">
        <f t="shared" si="0"/>
        <v>-153645</v>
      </c>
      <c r="F45" t="s">
        <v>406</v>
      </c>
    </row>
    <row r="46" spans="1:6" x14ac:dyDescent="0.35">
      <c r="A46" s="9">
        <v>46242</v>
      </c>
      <c r="B46" t="s">
        <v>284</v>
      </c>
      <c r="D46" s="11">
        <v>46000</v>
      </c>
      <c r="E46" s="11">
        <f t="shared" si="0"/>
        <v>-199645</v>
      </c>
      <c r="F46" t="s">
        <v>405</v>
      </c>
    </row>
    <row r="47" spans="1:6" x14ac:dyDescent="0.35">
      <c r="A47" s="9">
        <v>46245</v>
      </c>
      <c r="B47" t="s">
        <v>408</v>
      </c>
      <c r="C47" s="94">
        <f>60000+60000</f>
        <v>120000</v>
      </c>
      <c r="E47" s="11">
        <f t="shared" si="0"/>
        <v>-79645</v>
      </c>
    </row>
    <row r="48" spans="1:6" x14ac:dyDescent="0.35">
      <c r="A48" s="9">
        <v>46256</v>
      </c>
      <c r="B48" t="s">
        <v>73</v>
      </c>
      <c r="C48" s="54">
        <f>'22-8-26'!K32</f>
        <v>721654</v>
      </c>
      <c r="E48" s="11">
        <f t="shared" si="0"/>
        <v>642009</v>
      </c>
    </row>
    <row r="49" spans="1:6" x14ac:dyDescent="0.35">
      <c r="A49" s="9">
        <v>46256</v>
      </c>
      <c r="B49" t="s">
        <v>81</v>
      </c>
      <c r="D49" s="11">
        <v>40000</v>
      </c>
      <c r="E49" s="11">
        <f t="shared" si="0"/>
        <v>602009</v>
      </c>
    </row>
    <row r="50" spans="1:6" x14ac:dyDescent="0.35">
      <c r="A50" s="9">
        <v>46266</v>
      </c>
      <c r="B50" t="s">
        <v>284</v>
      </c>
      <c r="D50" s="11">
        <v>73500</v>
      </c>
      <c r="E50" s="11">
        <f t="shared" si="0"/>
        <v>528509</v>
      </c>
      <c r="F50" t="s">
        <v>411</v>
      </c>
    </row>
    <row r="51" spans="1:6" x14ac:dyDescent="0.35">
      <c r="A51" s="9">
        <v>46266</v>
      </c>
      <c r="B51" t="s">
        <v>412</v>
      </c>
      <c r="C51" s="11">
        <v>30000</v>
      </c>
      <c r="E51" s="11">
        <f t="shared" si="0"/>
        <v>558509</v>
      </c>
    </row>
    <row r="52" spans="1:6" x14ac:dyDescent="0.35">
      <c r="A52" s="9">
        <v>46273</v>
      </c>
      <c r="B52" t="s">
        <v>309</v>
      </c>
      <c r="D52" s="62">
        <v>200000</v>
      </c>
      <c r="E52" s="11">
        <f t="shared" si="0"/>
        <v>358509</v>
      </c>
    </row>
    <row r="53" spans="1:6" x14ac:dyDescent="0.35">
      <c r="A53" s="9">
        <v>46275</v>
      </c>
      <c r="B53" t="s">
        <v>434</v>
      </c>
      <c r="D53" s="11">
        <v>130463</v>
      </c>
      <c r="E53" s="11">
        <f t="shared" si="0"/>
        <v>228046</v>
      </c>
    </row>
    <row r="54" spans="1:6" x14ac:dyDescent="0.35">
      <c r="A54" s="9">
        <v>46277</v>
      </c>
      <c r="B54" t="s">
        <v>73</v>
      </c>
      <c r="C54" s="54">
        <f>'12-9-26'!K33</f>
        <v>504907.50000000023</v>
      </c>
      <c r="E54" s="11">
        <f t="shared" si="0"/>
        <v>732953.50000000023</v>
      </c>
    </row>
    <row r="55" spans="1:6" x14ac:dyDescent="0.35">
      <c r="A55" s="9">
        <v>46277</v>
      </c>
      <c r="B55" t="s">
        <v>74</v>
      </c>
      <c r="D55" s="11">
        <f>330000-95000-65000</f>
        <v>170000</v>
      </c>
      <c r="E55" s="11">
        <f t="shared" si="0"/>
        <v>562953.50000000023</v>
      </c>
      <c r="F55" t="s">
        <v>430</v>
      </c>
    </row>
    <row r="56" spans="1:6" x14ac:dyDescent="0.35">
      <c r="A56" s="9">
        <v>46277</v>
      </c>
      <c r="B56" t="s">
        <v>74</v>
      </c>
      <c r="D56" s="11">
        <v>30000</v>
      </c>
      <c r="E56" s="11">
        <f t="shared" si="0"/>
        <v>532953.50000000023</v>
      </c>
      <c r="F56" t="s">
        <v>75</v>
      </c>
    </row>
    <row r="57" spans="1:6" x14ac:dyDescent="0.35">
      <c r="A57" s="9">
        <v>46277</v>
      </c>
      <c r="B57" t="s">
        <v>431</v>
      </c>
      <c r="D57" s="11">
        <v>10000</v>
      </c>
      <c r="E57" s="11">
        <f t="shared" si="0"/>
        <v>522953.50000000023</v>
      </c>
    </row>
    <row r="58" spans="1:6" x14ac:dyDescent="0.35">
      <c r="A58" s="9">
        <v>46277</v>
      </c>
      <c r="B58" t="s">
        <v>81</v>
      </c>
      <c r="D58" s="11">
        <f>25000+10000</f>
        <v>35000</v>
      </c>
      <c r="E58" s="11">
        <f t="shared" si="0"/>
        <v>487953.50000000023</v>
      </c>
    </row>
    <row r="59" spans="1:6" x14ac:dyDescent="0.35">
      <c r="A59" s="9">
        <v>46277</v>
      </c>
      <c r="B59" t="s">
        <v>309</v>
      </c>
      <c r="D59" s="62">
        <v>300000</v>
      </c>
      <c r="E59" s="11">
        <f t="shared" si="0"/>
        <v>187953.50000000023</v>
      </c>
    </row>
    <row r="60" spans="1:6" x14ac:dyDescent="0.35">
      <c r="A60" s="9">
        <v>46277</v>
      </c>
      <c r="B60" t="s">
        <v>74</v>
      </c>
      <c r="D60" s="11">
        <v>25000</v>
      </c>
      <c r="E60" s="11">
        <f t="shared" si="0"/>
        <v>162953.50000000023</v>
      </c>
      <c r="F60" t="s">
        <v>432</v>
      </c>
    </row>
    <row r="61" spans="1:6" x14ac:dyDescent="0.35">
      <c r="A61" s="9"/>
      <c r="E61" s="11" t="str">
        <f t="shared" si="0"/>
        <v/>
      </c>
    </row>
    <row r="62" spans="1:6" x14ac:dyDescent="0.35">
      <c r="E62" s="11" t="str">
        <f t="shared" si="0"/>
        <v/>
      </c>
    </row>
    <row r="63" spans="1:6" x14ac:dyDescent="0.35">
      <c r="E63" s="11" t="str">
        <f t="shared" si="0"/>
        <v/>
      </c>
    </row>
    <row r="64" spans="1:6" x14ac:dyDescent="0.35">
      <c r="E64" s="11" t="str">
        <f t="shared" si="0"/>
        <v/>
      </c>
    </row>
    <row r="65" spans="5:5" x14ac:dyDescent="0.35">
      <c r="E65" s="11" t="str">
        <f t="shared" si="0"/>
        <v/>
      </c>
    </row>
    <row r="66" spans="5:5" x14ac:dyDescent="0.35">
      <c r="E66" s="11" t="str">
        <f t="shared" si="0"/>
        <v/>
      </c>
    </row>
    <row r="67" spans="5:5" x14ac:dyDescent="0.35">
      <c r="E67" s="11" t="str">
        <f t="shared" si="0"/>
        <v/>
      </c>
    </row>
    <row r="68" spans="5:5" x14ac:dyDescent="0.35">
      <c r="E68" s="11" t="str">
        <f t="shared" si="0"/>
        <v/>
      </c>
    </row>
    <row r="69" spans="5:5" x14ac:dyDescent="0.35">
      <c r="E69" s="11" t="str">
        <f t="shared" si="0"/>
        <v/>
      </c>
    </row>
    <row r="70" spans="5:5" x14ac:dyDescent="0.35">
      <c r="E70" s="11" t="str">
        <f t="shared" si="0"/>
        <v/>
      </c>
    </row>
    <row r="71" spans="5:5" x14ac:dyDescent="0.35">
      <c r="E71" s="11" t="str">
        <f t="shared" si="0"/>
        <v/>
      </c>
    </row>
    <row r="72" spans="5:5" x14ac:dyDescent="0.35">
      <c r="E72" s="11" t="str">
        <f t="shared" si="0"/>
        <v/>
      </c>
    </row>
    <row r="73" spans="5:5" x14ac:dyDescent="0.35">
      <c r="E73" s="11" t="str">
        <f t="shared" si="0"/>
        <v/>
      </c>
    </row>
    <row r="74" spans="5:5" x14ac:dyDescent="0.35">
      <c r="E74" s="11" t="str">
        <f t="shared" si="0"/>
        <v/>
      </c>
    </row>
    <row r="75" spans="5:5" x14ac:dyDescent="0.35">
      <c r="E75" s="11" t="str">
        <f t="shared" si="0"/>
        <v/>
      </c>
    </row>
    <row r="76" spans="5:5" x14ac:dyDescent="0.35">
      <c r="E76" s="11" t="str">
        <f t="shared" ref="E76:E94" si="1">IF(AND(C76="",D76=""),"",E75+C76-D76)</f>
        <v/>
      </c>
    </row>
    <row r="77" spans="5:5" x14ac:dyDescent="0.35">
      <c r="E77" s="11" t="str">
        <f t="shared" si="1"/>
        <v/>
      </c>
    </row>
    <row r="78" spans="5:5" x14ac:dyDescent="0.35">
      <c r="E78" s="11" t="str">
        <f t="shared" si="1"/>
        <v/>
      </c>
    </row>
    <row r="79" spans="5:5" x14ac:dyDescent="0.35">
      <c r="E79" s="11" t="str">
        <f t="shared" si="1"/>
        <v/>
      </c>
    </row>
    <row r="80" spans="5:5" x14ac:dyDescent="0.35">
      <c r="E80" s="11" t="str">
        <f t="shared" si="1"/>
        <v/>
      </c>
    </row>
    <row r="81" spans="5:5" x14ac:dyDescent="0.35">
      <c r="E81" s="11" t="str">
        <f t="shared" si="1"/>
        <v/>
      </c>
    </row>
    <row r="82" spans="5:5" x14ac:dyDescent="0.35">
      <c r="E82" s="11" t="str">
        <f t="shared" si="1"/>
        <v/>
      </c>
    </row>
    <row r="83" spans="5:5" x14ac:dyDescent="0.35">
      <c r="E83" s="11" t="str">
        <f t="shared" si="1"/>
        <v/>
      </c>
    </row>
    <row r="84" spans="5:5" x14ac:dyDescent="0.35">
      <c r="E84" s="11" t="str">
        <f t="shared" si="1"/>
        <v/>
      </c>
    </row>
    <row r="85" spans="5:5" x14ac:dyDescent="0.35">
      <c r="E85" s="11" t="str">
        <f t="shared" si="1"/>
        <v/>
      </c>
    </row>
    <row r="86" spans="5:5" x14ac:dyDescent="0.35">
      <c r="E86" s="11" t="str">
        <f t="shared" si="1"/>
        <v/>
      </c>
    </row>
    <row r="87" spans="5:5" x14ac:dyDescent="0.35">
      <c r="E87" s="11" t="str">
        <f t="shared" si="1"/>
        <v/>
      </c>
    </row>
    <row r="88" spans="5:5" x14ac:dyDescent="0.35">
      <c r="E88" s="11" t="str">
        <f t="shared" si="1"/>
        <v/>
      </c>
    </row>
    <row r="89" spans="5:5" x14ac:dyDescent="0.35">
      <c r="E89" s="11" t="str">
        <f t="shared" si="1"/>
        <v/>
      </c>
    </row>
    <row r="90" spans="5:5" x14ac:dyDescent="0.35">
      <c r="E90" s="11" t="str">
        <f t="shared" si="1"/>
        <v/>
      </c>
    </row>
    <row r="91" spans="5:5" x14ac:dyDescent="0.35">
      <c r="E91" s="11" t="str">
        <f t="shared" si="1"/>
        <v/>
      </c>
    </row>
    <row r="92" spans="5:5" x14ac:dyDescent="0.35">
      <c r="E92" s="11" t="str">
        <f t="shared" si="1"/>
        <v/>
      </c>
    </row>
    <row r="93" spans="5:5" x14ac:dyDescent="0.35">
      <c r="E93" s="11" t="str">
        <f t="shared" si="1"/>
        <v/>
      </c>
    </row>
    <row r="94" spans="5:5" x14ac:dyDescent="0.35">
      <c r="E94" s="11" t="str">
        <f t="shared" si="1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31B2-9135-4A9A-83DE-C6FC8E46451F}">
  <dimension ref="A1:AJ157"/>
  <sheetViews>
    <sheetView zoomScale="70" zoomScaleNormal="70" workbookViewId="0">
      <pane xSplit="4" ySplit="2" topLeftCell="W114" activePane="bottomRight" state="frozen"/>
      <selection pane="topRight" activeCell="D1" sqref="D1"/>
      <selection pane="bottomLeft" activeCell="A4" sqref="A4"/>
      <selection pane="bottomRight" activeCell="AD127" sqref="AD127"/>
    </sheetView>
  </sheetViews>
  <sheetFormatPr defaultRowHeight="14.5" x14ac:dyDescent="0.35"/>
  <cols>
    <col min="2" max="2" width="8.7265625" style="1"/>
    <col min="3" max="3" width="21.81640625" bestFit="1" customWidth="1"/>
    <col min="4" max="4" width="9.36328125" style="30" customWidth="1"/>
    <col min="5" max="8" width="10.36328125" style="3" hidden="1" customWidth="1"/>
    <col min="9" max="9" width="11.6328125" style="3" hidden="1" customWidth="1"/>
    <col min="10" max="22" width="12.08984375" style="3" hidden="1" customWidth="1"/>
    <col min="23" max="25" width="12.08984375" style="3" customWidth="1"/>
    <col min="26" max="26" width="14.6328125" style="3" customWidth="1"/>
    <col min="27" max="28" width="12.08984375" style="3" hidden="1" customWidth="1"/>
    <col min="29" max="29" width="11.1796875" hidden="1" customWidth="1"/>
    <col min="30" max="30" width="12" customWidth="1"/>
    <col min="31" max="31" width="13.1796875" style="31" bestFit="1" customWidth="1"/>
    <col min="32" max="32" width="14.08984375" bestFit="1" customWidth="1"/>
  </cols>
  <sheetData>
    <row r="1" spans="1:36" x14ac:dyDescent="0.35">
      <c r="E1" s="95">
        <v>2025</v>
      </c>
      <c r="F1" s="95"/>
      <c r="G1" s="95"/>
      <c r="H1" s="95"/>
      <c r="I1" s="95"/>
      <c r="J1" s="95"/>
      <c r="K1" s="95"/>
      <c r="L1" s="95"/>
      <c r="M1" s="95"/>
      <c r="N1" s="95"/>
      <c r="O1" s="96">
        <v>2026</v>
      </c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spans="1:36" x14ac:dyDescent="0.35">
      <c r="C2" s="32" t="s">
        <v>139</v>
      </c>
      <c r="D2" s="33" t="s">
        <v>140</v>
      </c>
      <c r="E2" s="34" t="s">
        <v>141</v>
      </c>
      <c r="F2" s="34" t="s">
        <v>142</v>
      </c>
      <c r="G2" s="34" t="s">
        <v>143</v>
      </c>
      <c r="H2" s="34" t="s">
        <v>144</v>
      </c>
      <c r="I2" s="34" t="s">
        <v>145</v>
      </c>
      <c r="J2" s="34" t="s">
        <v>146</v>
      </c>
      <c r="K2" s="34" t="s">
        <v>147</v>
      </c>
      <c r="L2" s="34" t="s">
        <v>148</v>
      </c>
      <c r="M2" s="34" t="s">
        <v>149</v>
      </c>
      <c r="N2" s="34" t="s">
        <v>150</v>
      </c>
      <c r="O2" s="34" t="s">
        <v>151</v>
      </c>
      <c r="P2" s="34" t="s">
        <v>152</v>
      </c>
      <c r="Q2" s="34" t="s">
        <v>153</v>
      </c>
      <c r="R2" s="34" t="s">
        <v>154</v>
      </c>
      <c r="S2" s="34" t="s">
        <v>155</v>
      </c>
      <c r="T2" s="34" t="s">
        <v>258</v>
      </c>
      <c r="U2" s="34" t="s">
        <v>278</v>
      </c>
      <c r="V2" s="34" t="s">
        <v>307</v>
      </c>
      <c r="W2" s="34" t="s">
        <v>367</v>
      </c>
      <c r="X2" s="34" t="s">
        <v>410</v>
      </c>
      <c r="Y2" s="34" t="s">
        <v>421</v>
      </c>
      <c r="Z2" s="34" t="s">
        <v>433</v>
      </c>
      <c r="AA2" s="34"/>
      <c r="AB2" s="34"/>
      <c r="AC2" s="34" t="s">
        <v>6</v>
      </c>
      <c r="AD2" s="34" t="s">
        <v>156</v>
      </c>
      <c r="AE2" s="35" t="s">
        <v>157</v>
      </c>
      <c r="AF2" s="34" t="s">
        <v>71</v>
      </c>
    </row>
    <row r="3" spans="1:36" x14ac:dyDescent="0.35">
      <c r="A3" s="36"/>
      <c r="B3" s="1">
        <v>1</v>
      </c>
      <c r="C3" t="s">
        <v>158</v>
      </c>
      <c r="D3" s="30">
        <v>1</v>
      </c>
      <c r="E3" s="3">
        <v>16430</v>
      </c>
      <c r="F3" s="3">
        <v>952.5</v>
      </c>
      <c r="G3" s="3">
        <v>7450</v>
      </c>
      <c r="H3" s="3">
        <v>9167.5</v>
      </c>
      <c r="I3" s="3">
        <v>6900</v>
      </c>
      <c r="K3" s="3">
        <v>9965</v>
      </c>
      <c r="L3" s="3">
        <v>3680</v>
      </c>
      <c r="N3" s="3">
        <v>9965</v>
      </c>
      <c r="Q3" s="3">
        <v>7245</v>
      </c>
      <c r="R3" s="3">
        <v>16827</v>
      </c>
      <c r="S3" s="3">
        <v>4205</v>
      </c>
      <c r="V3" s="3">
        <v>7200</v>
      </c>
      <c r="X3" s="3">
        <f>VLOOKUP(C3,'1-8-26'!$G$2:$I$50,3,0)</f>
        <v>16663</v>
      </c>
      <c r="Y3" s="3">
        <f>VLOOKUP(C3,'22-8-26'!G2:I49,3,0)</f>
        <v>7705</v>
      </c>
      <c r="Z3" s="3">
        <f>VLOOKUP(C3,'12-9-26'!$G$2:$I$55,3,0)</f>
        <v>6385</v>
      </c>
      <c r="AC3" s="5">
        <f>SUM(E3:AB3)</f>
        <v>130740</v>
      </c>
      <c r="AD3" s="37">
        <f>AC3</f>
        <v>130740</v>
      </c>
    </row>
    <row r="4" spans="1:36" x14ac:dyDescent="0.35">
      <c r="B4" s="1">
        <v>2</v>
      </c>
      <c r="C4" t="s">
        <v>88</v>
      </c>
      <c r="D4" s="30">
        <v>1</v>
      </c>
      <c r="H4" s="3">
        <v>17495</v>
      </c>
      <c r="I4" s="3">
        <v>9545</v>
      </c>
      <c r="J4" s="3">
        <v>3800</v>
      </c>
      <c r="K4" s="3">
        <v>92900</v>
      </c>
      <c r="L4" s="3">
        <v>19550</v>
      </c>
      <c r="M4" s="3">
        <v>4660</v>
      </c>
      <c r="N4" s="3">
        <v>24155</v>
      </c>
      <c r="P4" s="3">
        <v>32960</v>
      </c>
      <c r="Q4" s="3">
        <v>14305</v>
      </c>
      <c r="S4" s="3">
        <v>23995</v>
      </c>
      <c r="T4" s="3">
        <v>8153</v>
      </c>
      <c r="U4" s="3">
        <v>24055</v>
      </c>
      <c r="V4" s="3">
        <v>19083</v>
      </c>
      <c r="W4" s="3">
        <v>16223</v>
      </c>
      <c r="X4" s="3">
        <f>VLOOKUP(C4,'1-8-26'!$G$2:$I$50,3,0)</f>
        <v>33440</v>
      </c>
      <c r="Y4" s="3">
        <f>VLOOKUP(C4,'22-8-26'!G3:I50,3,0)</f>
        <v>33875</v>
      </c>
      <c r="Z4" s="3">
        <f>VLOOKUP(C4,'12-9-26'!$G$2:$I$55,3,0)</f>
        <v>22035</v>
      </c>
      <c r="AC4" s="5">
        <f t="shared" ref="AC4:AC67" si="0">SUM(E4:AB4)</f>
        <v>400229</v>
      </c>
      <c r="AD4" s="37">
        <f>AC4-300000</f>
        <v>100229</v>
      </c>
    </row>
    <row r="5" spans="1:36" x14ac:dyDescent="0.35">
      <c r="B5" s="1">
        <v>3</v>
      </c>
      <c r="C5" t="s">
        <v>159</v>
      </c>
      <c r="D5" s="30">
        <v>1</v>
      </c>
      <c r="E5" s="3">
        <v>1010</v>
      </c>
      <c r="F5" s="3">
        <v>980</v>
      </c>
      <c r="AC5" s="5">
        <f t="shared" si="0"/>
        <v>1990</v>
      </c>
      <c r="AD5" s="37">
        <f>AC5</f>
        <v>1990</v>
      </c>
    </row>
    <row r="6" spans="1:36" x14ac:dyDescent="0.35">
      <c r="B6" s="1">
        <v>4</v>
      </c>
      <c r="C6" t="s">
        <v>160</v>
      </c>
      <c r="D6" s="30">
        <v>1</v>
      </c>
      <c r="G6" s="3">
        <v>20520</v>
      </c>
      <c r="K6" s="3">
        <v>600</v>
      </c>
      <c r="O6" s="3">
        <v>150</v>
      </c>
      <c r="AC6" s="5">
        <f t="shared" si="0"/>
        <v>21270</v>
      </c>
      <c r="AD6" s="37">
        <f>AC6-20000</f>
        <v>1270</v>
      </c>
      <c r="AE6" s="31" t="s">
        <v>147</v>
      </c>
      <c r="AF6" t="s">
        <v>161</v>
      </c>
    </row>
    <row r="7" spans="1:36" x14ac:dyDescent="0.35">
      <c r="B7" s="1">
        <v>5</v>
      </c>
      <c r="C7" t="s">
        <v>103</v>
      </c>
      <c r="D7" s="30">
        <v>1</v>
      </c>
      <c r="G7" s="3">
        <v>2200</v>
      </c>
      <c r="J7" s="3">
        <v>9665</v>
      </c>
      <c r="K7" s="3">
        <v>8670</v>
      </c>
      <c r="M7" s="3">
        <v>4190</v>
      </c>
      <c r="O7" s="3">
        <v>23150</v>
      </c>
      <c r="Q7" s="3">
        <v>11945</v>
      </c>
      <c r="R7" s="3">
        <v>9730</v>
      </c>
      <c r="T7" s="3">
        <v>3515</v>
      </c>
      <c r="U7" s="3">
        <v>5575</v>
      </c>
      <c r="V7" s="3">
        <v>3545</v>
      </c>
      <c r="X7" s="3">
        <f>VLOOKUP(C7,'1-8-26'!$G$2:$I$50,3,0)</f>
        <v>5235</v>
      </c>
      <c r="Z7" s="3">
        <f>VLOOKUP(C7,'12-9-26'!$G$2:$I$55,3,0)</f>
        <v>17960</v>
      </c>
      <c r="AC7" s="5">
        <f t="shared" si="0"/>
        <v>105380</v>
      </c>
      <c r="AD7" s="37">
        <f t="shared" ref="AD7:AD20" si="1">AC7</f>
        <v>105380</v>
      </c>
    </row>
    <row r="8" spans="1:36" x14ac:dyDescent="0.35">
      <c r="A8" s="36"/>
      <c r="B8" s="1">
        <v>6</v>
      </c>
      <c r="C8" t="s">
        <v>162</v>
      </c>
      <c r="D8" s="30">
        <v>1</v>
      </c>
      <c r="G8" s="3">
        <v>24060</v>
      </c>
      <c r="H8" s="3">
        <v>3065</v>
      </c>
      <c r="I8" s="3">
        <v>940</v>
      </c>
      <c r="J8" s="3">
        <v>1860</v>
      </c>
      <c r="M8" s="3">
        <v>800</v>
      </c>
      <c r="N8" s="3">
        <v>3200</v>
      </c>
      <c r="O8" s="3">
        <v>7460</v>
      </c>
      <c r="R8" s="3">
        <v>7227.4999999999991</v>
      </c>
      <c r="V8" s="3">
        <v>9815</v>
      </c>
      <c r="W8" s="3">
        <v>6855</v>
      </c>
      <c r="Y8" s="3">
        <f>VLOOKUP(C8,'22-8-26'!G7:I54,3,0)</f>
        <v>4685</v>
      </c>
      <c r="Z8" s="3">
        <f>VLOOKUP(C8,'12-9-26'!$G$2:$I$55,3,0)</f>
        <v>1785</v>
      </c>
      <c r="AC8" s="5">
        <f t="shared" si="0"/>
        <v>71752.5</v>
      </c>
      <c r="AD8" s="37">
        <f t="shared" si="1"/>
        <v>71752.5</v>
      </c>
    </row>
    <row r="9" spans="1:36" x14ac:dyDescent="0.35">
      <c r="A9" s="36"/>
      <c r="B9" s="1">
        <v>7</v>
      </c>
      <c r="C9" t="s">
        <v>115</v>
      </c>
      <c r="D9" s="30">
        <v>1</v>
      </c>
      <c r="F9" s="3">
        <v>23928.5</v>
      </c>
      <c r="H9" s="3">
        <v>2355</v>
      </c>
      <c r="L9" s="3">
        <v>24875</v>
      </c>
      <c r="M9" s="3">
        <v>8355</v>
      </c>
      <c r="O9" s="3">
        <v>9162.5</v>
      </c>
      <c r="P9" s="3">
        <v>17270</v>
      </c>
      <c r="T9" s="3">
        <v>21929</v>
      </c>
      <c r="X9" s="3">
        <f>VLOOKUP(C9,'1-8-26'!$G$2:$I$50,3,0)</f>
        <v>32038</v>
      </c>
      <c r="Y9" s="3">
        <f>VLOOKUP(C9,'22-8-26'!G8:I55,3,0)</f>
        <v>8195</v>
      </c>
      <c r="AC9" s="5">
        <f t="shared" si="0"/>
        <v>148108</v>
      </c>
      <c r="AD9" s="37">
        <f t="shared" si="1"/>
        <v>148108</v>
      </c>
      <c r="AJ9" s="38"/>
    </row>
    <row r="10" spans="1:36" x14ac:dyDescent="0.35">
      <c r="B10" s="1">
        <v>8</v>
      </c>
      <c r="C10" t="s">
        <v>163</v>
      </c>
      <c r="D10" s="30">
        <v>1</v>
      </c>
      <c r="F10" s="3">
        <v>29705</v>
      </c>
      <c r="J10" s="3">
        <v>2115</v>
      </c>
      <c r="N10" s="3">
        <v>1800</v>
      </c>
      <c r="R10" s="3">
        <v>23335</v>
      </c>
      <c r="U10" s="3">
        <v>30042.5</v>
      </c>
      <c r="W10" s="3">
        <v>14260</v>
      </c>
      <c r="Y10" s="3">
        <f>VLOOKUP(C10,'22-8-26'!G9:I56,3,0)</f>
        <v>19158</v>
      </c>
      <c r="AC10" s="5">
        <f t="shared" si="0"/>
        <v>120415.5</v>
      </c>
      <c r="AD10" s="37">
        <f t="shared" si="1"/>
        <v>120415.5</v>
      </c>
    </row>
    <row r="11" spans="1:36" x14ac:dyDescent="0.35">
      <c r="A11" s="36"/>
      <c r="B11" s="1">
        <v>9</v>
      </c>
      <c r="C11" t="s">
        <v>164</v>
      </c>
      <c r="D11" s="30">
        <v>1</v>
      </c>
      <c r="H11" s="3">
        <v>11970</v>
      </c>
      <c r="N11" s="3">
        <v>12695</v>
      </c>
      <c r="S11" s="3">
        <v>7477.5</v>
      </c>
      <c r="AC11" s="5">
        <f t="shared" si="0"/>
        <v>32142.5</v>
      </c>
      <c r="AD11" s="37">
        <f t="shared" si="1"/>
        <v>32142.5</v>
      </c>
    </row>
    <row r="12" spans="1:36" x14ac:dyDescent="0.35">
      <c r="A12" s="36"/>
      <c r="B12" s="1">
        <v>10</v>
      </c>
      <c r="C12" t="s">
        <v>118</v>
      </c>
      <c r="D12" s="30">
        <v>1</v>
      </c>
      <c r="G12" s="3">
        <v>2800</v>
      </c>
      <c r="H12" s="3">
        <v>5380</v>
      </c>
      <c r="I12" s="3">
        <v>2585</v>
      </c>
      <c r="K12" s="3">
        <v>12940</v>
      </c>
      <c r="L12" s="3">
        <v>30517.5</v>
      </c>
      <c r="N12" s="3">
        <v>4742.5</v>
      </c>
      <c r="P12" s="3">
        <v>3050</v>
      </c>
      <c r="Q12" s="3">
        <v>6905</v>
      </c>
      <c r="S12" s="3">
        <v>16330</v>
      </c>
      <c r="T12" s="3">
        <v>4575</v>
      </c>
      <c r="U12" s="3">
        <v>7610</v>
      </c>
      <c r="V12" s="3">
        <v>9640</v>
      </c>
      <c r="W12" s="3">
        <v>16705</v>
      </c>
      <c r="X12" s="3">
        <f>VLOOKUP(C12,'1-8-26'!$G$2:$I$50,3,0)</f>
        <v>9280</v>
      </c>
      <c r="Y12" s="3">
        <f>VLOOKUP(C12,'22-8-26'!G11:I58,3,0)</f>
        <v>5760</v>
      </c>
      <c r="Z12" s="3">
        <f>VLOOKUP(C12,'12-9-26'!$G$2:$I$55,3,0)</f>
        <v>8120</v>
      </c>
      <c r="AC12" s="5">
        <f t="shared" si="0"/>
        <v>146940</v>
      </c>
      <c r="AD12" s="37">
        <f t="shared" si="1"/>
        <v>146940</v>
      </c>
    </row>
    <row r="13" spans="1:36" x14ac:dyDescent="0.35">
      <c r="A13" s="36"/>
      <c r="B13" s="1">
        <v>11</v>
      </c>
      <c r="C13" t="s">
        <v>165</v>
      </c>
      <c r="D13" s="30">
        <v>1</v>
      </c>
      <c r="E13" s="3">
        <v>28292.5</v>
      </c>
      <c r="L13" s="3">
        <v>15870</v>
      </c>
      <c r="O13" s="3">
        <v>6650</v>
      </c>
      <c r="X13" s="3">
        <f>VLOOKUP(C13,'1-8-26'!$G$2:$I$50,3,0)</f>
        <v>28020</v>
      </c>
      <c r="AC13" s="5">
        <f t="shared" si="0"/>
        <v>78832.5</v>
      </c>
      <c r="AD13" s="37">
        <f t="shared" si="1"/>
        <v>78832.5</v>
      </c>
    </row>
    <row r="14" spans="1:36" x14ac:dyDescent="0.35">
      <c r="B14" s="1">
        <v>12</v>
      </c>
      <c r="C14" t="s">
        <v>166</v>
      </c>
      <c r="D14" s="30">
        <v>1</v>
      </c>
      <c r="F14" s="3">
        <v>14120</v>
      </c>
      <c r="G14" s="3">
        <v>1060</v>
      </c>
      <c r="H14" s="3">
        <v>580</v>
      </c>
      <c r="I14" s="3">
        <v>1125</v>
      </c>
      <c r="K14" s="3">
        <v>4900</v>
      </c>
      <c r="M14" s="3">
        <v>3425</v>
      </c>
      <c r="N14" s="3">
        <v>2300</v>
      </c>
      <c r="O14" s="3">
        <v>840</v>
      </c>
      <c r="P14" s="3">
        <v>5145</v>
      </c>
      <c r="Q14" s="3">
        <v>1930</v>
      </c>
      <c r="R14" s="3">
        <v>10610</v>
      </c>
      <c r="S14" s="3">
        <v>5950</v>
      </c>
      <c r="V14" s="3">
        <v>5150</v>
      </c>
      <c r="X14" s="3">
        <f>VLOOKUP(C14,'1-8-26'!$G$2:$I$50,3,0)</f>
        <v>6665</v>
      </c>
      <c r="Y14" s="3">
        <f>VLOOKUP(C14,'22-8-26'!G13:I60,3,0)</f>
        <v>2680</v>
      </c>
      <c r="Z14" s="3">
        <f>VLOOKUP(C14,'12-9-26'!$G$2:$I$55,3,0)</f>
        <v>1700</v>
      </c>
      <c r="AC14" s="5">
        <f t="shared" si="0"/>
        <v>68180</v>
      </c>
      <c r="AD14" s="37">
        <f t="shared" si="1"/>
        <v>68180</v>
      </c>
    </row>
    <row r="15" spans="1:36" x14ac:dyDescent="0.35">
      <c r="B15" s="1">
        <v>13</v>
      </c>
      <c r="C15" t="s">
        <v>167</v>
      </c>
      <c r="D15" s="30">
        <v>1</v>
      </c>
      <c r="L15" s="3">
        <v>10075</v>
      </c>
      <c r="AC15" s="5">
        <f t="shared" si="0"/>
        <v>10075</v>
      </c>
      <c r="AD15" s="37">
        <f t="shared" si="1"/>
        <v>10075</v>
      </c>
    </row>
    <row r="16" spans="1:36" x14ac:dyDescent="0.35">
      <c r="A16" s="36"/>
      <c r="B16" s="1">
        <v>14</v>
      </c>
      <c r="C16" t="s">
        <v>168</v>
      </c>
      <c r="D16" s="30">
        <v>1</v>
      </c>
      <c r="M16" s="3">
        <v>8613</v>
      </c>
      <c r="P16" s="3">
        <v>9497.5</v>
      </c>
      <c r="S16" s="3">
        <v>4455</v>
      </c>
      <c r="V16" s="3">
        <v>20800</v>
      </c>
      <c r="W16" s="3">
        <v>5815</v>
      </c>
      <c r="Y16" s="3">
        <f>VLOOKUP(C16,'22-8-26'!G15:I62,3,0)</f>
        <v>5830</v>
      </c>
      <c r="AC16" s="5">
        <f t="shared" si="0"/>
        <v>55010.5</v>
      </c>
      <c r="AD16" s="37">
        <f t="shared" si="1"/>
        <v>55010.5</v>
      </c>
    </row>
    <row r="17" spans="1:32" x14ac:dyDescent="0.35">
      <c r="A17" s="36"/>
      <c r="B17" s="1">
        <v>15</v>
      </c>
      <c r="C17" t="s">
        <v>169</v>
      </c>
      <c r="D17" s="30">
        <v>1</v>
      </c>
      <c r="M17" s="3">
        <v>11245</v>
      </c>
      <c r="AC17" s="5">
        <f t="shared" si="0"/>
        <v>11245</v>
      </c>
      <c r="AD17" s="37">
        <f t="shared" si="1"/>
        <v>11245</v>
      </c>
    </row>
    <row r="18" spans="1:32" x14ac:dyDescent="0.35">
      <c r="B18" s="1">
        <v>16</v>
      </c>
      <c r="C18" t="s">
        <v>170</v>
      </c>
      <c r="D18" s="30">
        <v>1</v>
      </c>
      <c r="M18" s="3">
        <v>3300</v>
      </c>
      <c r="N18" s="3">
        <v>5257.5</v>
      </c>
      <c r="O18" s="3">
        <v>5727.5</v>
      </c>
      <c r="P18" s="3">
        <v>6072.5</v>
      </c>
      <c r="R18" s="3">
        <v>10130</v>
      </c>
      <c r="U18" s="3">
        <v>12257.5</v>
      </c>
      <c r="W18" s="3">
        <v>9385</v>
      </c>
      <c r="Y18" s="3">
        <f>VLOOKUP(C18,'22-8-26'!G17:I64,3,0)</f>
        <v>5850</v>
      </c>
      <c r="Z18" s="3">
        <f>VLOOKUP(C18,'12-9-26'!$G$2:$I$55,3,0)</f>
        <v>3475</v>
      </c>
      <c r="AC18" s="5">
        <f t="shared" si="0"/>
        <v>61455</v>
      </c>
      <c r="AD18" s="37">
        <f t="shared" si="1"/>
        <v>61455</v>
      </c>
    </row>
    <row r="19" spans="1:32" x14ac:dyDescent="0.35">
      <c r="A19" s="36"/>
      <c r="B19" s="1">
        <v>17</v>
      </c>
      <c r="C19" t="s">
        <v>171</v>
      </c>
      <c r="D19" s="30">
        <v>2</v>
      </c>
      <c r="E19" s="3">
        <v>1600</v>
      </c>
      <c r="F19" s="3">
        <v>215</v>
      </c>
      <c r="G19" s="3">
        <v>16650</v>
      </c>
      <c r="H19" s="3">
        <v>14000</v>
      </c>
      <c r="K19" s="3">
        <v>10582.5</v>
      </c>
      <c r="N19" s="3">
        <v>21140</v>
      </c>
      <c r="R19" s="3">
        <v>53975</v>
      </c>
      <c r="W19" s="3">
        <v>16305</v>
      </c>
      <c r="Y19" s="3">
        <f>GETPIVOTDATA("Sum of Total",'22-8-26'!$G$2,"Nasabah","AKHSAN")</f>
        <v>6230</v>
      </c>
      <c r="AC19" s="5">
        <f t="shared" si="0"/>
        <v>140697.5</v>
      </c>
      <c r="AD19" s="37">
        <f t="shared" si="1"/>
        <v>140697.5</v>
      </c>
    </row>
    <row r="20" spans="1:32" x14ac:dyDescent="0.35">
      <c r="B20" s="1">
        <v>18</v>
      </c>
      <c r="C20" t="s">
        <v>172</v>
      </c>
      <c r="D20" s="30">
        <v>2</v>
      </c>
      <c r="E20" s="3">
        <v>6577.5</v>
      </c>
      <c r="K20" s="3">
        <v>1575</v>
      </c>
      <c r="N20" s="3">
        <v>5845</v>
      </c>
      <c r="AC20" s="5">
        <f t="shared" si="0"/>
        <v>13997.5</v>
      </c>
      <c r="AD20" s="37">
        <f t="shared" si="1"/>
        <v>13997.5</v>
      </c>
    </row>
    <row r="21" spans="1:32" x14ac:dyDescent="0.35">
      <c r="B21" s="1">
        <v>19</v>
      </c>
      <c r="C21" t="s">
        <v>173</v>
      </c>
      <c r="D21" s="30">
        <v>2</v>
      </c>
      <c r="E21" s="3">
        <v>2100</v>
      </c>
      <c r="F21" s="3">
        <v>26180</v>
      </c>
      <c r="I21" s="3">
        <v>16570</v>
      </c>
      <c r="AC21" s="5">
        <f t="shared" si="0"/>
        <v>44850</v>
      </c>
      <c r="AD21" s="37">
        <f>AC21-44000</f>
        <v>850</v>
      </c>
      <c r="AE21" s="31" t="s">
        <v>174</v>
      </c>
      <c r="AF21" t="s">
        <v>175</v>
      </c>
    </row>
    <row r="22" spans="1:32" x14ac:dyDescent="0.35">
      <c r="A22" s="36"/>
      <c r="B22" s="1">
        <v>20</v>
      </c>
      <c r="C22" t="s">
        <v>176</v>
      </c>
      <c r="D22" s="30">
        <v>2</v>
      </c>
      <c r="E22" s="3">
        <v>63745</v>
      </c>
      <c r="F22" s="3">
        <v>5235</v>
      </c>
      <c r="G22" s="3">
        <v>3550</v>
      </c>
      <c r="I22" s="3">
        <v>33070</v>
      </c>
      <c r="L22" s="3">
        <v>18835</v>
      </c>
      <c r="N22" s="3">
        <v>36465</v>
      </c>
      <c r="O22" s="3">
        <v>5570</v>
      </c>
      <c r="P22" s="3">
        <v>2642.5</v>
      </c>
      <c r="Q22" s="3">
        <v>33395</v>
      </c>
      <c r="R22" s="3">
        <v>13000</v>
      </c>
      <c r="S22" s="3">
        <v>4015</v>
      </c>
      <c r="U22" s="3">
        <v>8467.5</v>
      </c>
      <c r="V22" s="3">
        <v>26193</v>
      </c>
      <c r="X22" s="3">
        <f>VLOOKUP(C22,'1-8-26'!$G$2:$I$50,3,0)</f>
        <v>8433</v>
      </c>
      <c r="Y22" s="3">
        <f>GETPIVOTDATA("Sum of Total",'22-8-26'!$G$2,"Nasabah","BU ANGGA")</f>
        <v>20928</v>
      </c>
      <c r="Z22" s="3">
        <f>VLOOKUP(C22,'12-9-26'!$G$2:$I$55,3,0)</f>
        <v>42865</v>
      </c>
      <c r="AC22" s="5">
        <f t="shared" si="0"/>
        <v>326409</v>
      </c>
      <c r="AD22" s="37">
        <f>AC22-200000</f>
        <v>126409</v>
      </c>
    </row>
    <row r="23" spans="1:32" x14ac:dyDescent="0.35">
      <c r="B23" s="1">
        <v>21</v>
      </c>
      <c r="C23" t="s">
        <v>177</v>
      </c>
      <c r="D23" s="30">
        <v>2</v>
      </c>
      <c r="E23" s="39">
        <v>17560</v>
      </c>
      <c r="F23" s="39"/>
      <c r="G23" s="39"/>
      <c r="H23" s="39"/>
      <c r="I23" s="39"/>
      <c r="AB23" s="39"/>
      <c r="AC23" s="5">
        <f t="shared" si="0"/>
        <v>17560</v>
      </c>
      <c r="AD23" s="37">
        <f>AC23-17560</f>
        <v>0</v>
      </c>
      <c r="AE23" s="31" t="s">
        <v>178</v>
      </c>
      <c r="AF23" t="s">
        <v>161</v>
      </c>
    </row>
    <row r="24" spans="1:32" x14ac:dyDescent="0.35">
      <c r="B24" s="1">
        <v>22</v>
      </c>
      <c r="C24" t="s">
        <v>179</v>
      </c>
      <c r="D24" s="30">
        <v>2</v>
      </c>
      <c r="F24" s="3">
        <v>5360</v>
      </c>
      <c r="G24" s="3">
        <v>4235</v>
      </c>
      <c r="H24" s="3">
        <v>8792.5</v>
      </c>
      <c r="I24" s="3">
        <v>8267.5</v>
      </c>
      <c r="J24" s="3">
        <v>5040</v>
      </c>
      <c r="K24" s="3">
        <v>4465</v>
      </c>
      <c r="M24" s="3">
        <v>11955</v>
      </c>
      <c r="R24" s="3">
        <v>4315</v>
      </c>
      <c r="S24" s="3">
        <v>3200</v>
      </c>
      <c r="V24" s="3">
        <v>11160</v>
      </c>
      <c r="W24" s="3">
        <v>10828</v>
      </c>
      <c r="AC24" s="5">
        <f t="shared" si="0"/>
        <v>77618</v>
      </c>
      <c r="AD24" s="37">
        <f>AC24-77000</f>
        <v>618</v>
      </c>
    </row>
    <row r="25" spans="1:32" x14ac:dyDescent="0.35">
      <c r="B25" s="1">
        <v>23</v>
      </c>
      <c r="C25" s="14" t="s">
        <v>180</v>
      </c>
      <c r="D25" s="30">
        <v>2</v>
      </c>
      <c r="J25" s="3">
        <v>63000</v>
      </c>
      <c r="AC25" s="5">
        <f t="shared" si="0"/>
        <v>63000</v>
      </c>
      <c r="AD25" s="37">
        <f>AC25-63000</f>
        <v>0</v>
      </c>
      <c r="AE25" s="31" t="s">
        <v>181</v>
      </c>
      <c r="AF25" t="s">
        <v>175</v>
      </c>
    </row>
    <row r="26" spans="1:32" x14ac:dyDescent="0.35">
      <c r="B26" s="1">
        <v>24</v>
      </c>
      <c r="C26" t="s">
        <v>182</v>
      </c>
      <c r="D26" s="30">
        <v>2</v>
      </c>
      <c r="E26" s="3">
        <v>2157.5</v>
      </c>
      <c r="H26" s="3">
        <v>4255</v>
      </c>
      <c r="J26" s="3">
        <v>3637.5</v>
      </c>
      <c r="K26" s="3">
        <v>15115</v>
      </c>
      <c r="AC26" s="5">
        <f t="shared" si="0"/>
        <v>25165</v>
      </c>
      <c r="AD26" s="37">
        <f>AC26-25000</f>
        <v>165</v>
      </c>
      <c r="AE26" s="31" t="s">
        <v>174</v>
      </c>
      <c r="AF26" t="s">
        <v>175</v>
      </c>
    </row>
    <row r="27" spans="1:32" x14ac:dyDescent="0.35">
      <c r="B27" s="1">
        <v>25</v>
      </c>
      <c r="C27" t="s">
        <v>183</v>
      </c>
      <c r="D27" s="30">
        <v>2</v>
      </c>
      <c r="E27" s="3">
        <v>3235</v>
      </c>
      <c r="AC27" s="5">
        <f t="shared" si="0"/>
        <v>3235</v>
      </c>
      <c r="AD27" s="37">
        <f>AC27</f>
        <v>3235</v>
      </c>
    </row>
    <row r="28" spans="1:32" x14ac:dyDescent="0.35">
      <c r="A28" s="36"/>
      <c r="B28" s="1">
        <v>26</v>
      </c>
      <c r="C28" t="s">
        <v>107</v>
      </c>
      <c r="D28" s="30">
        <v>2</v>
      </c>
      <c r="G28" s="3">
        <v>18635</v>
      </c>
      <c r="H28" s="3">
        <v>23787.5</v>
      </c>
      <c r="K28" s="3">
        <v>5155</v>
      </c>
      <c r="N28" s="3">
        <v>9355</v>
      </c>
      <c r="P28" s="3">
        <v>4760</v>
      </c>
      <c r="R28" s="3">
        <v>4500</v>
      </c>
      <c r="T28" s="3">
        <v>7374</v>
      </c>
      <c r="U28" s="3">
        <v>7910</v>
      </c>
      <c r="V28" s="3">
        <v>4330</v>
      </c>
      <c r="X28" s="3">
        <f>VLOOKUP(C28,'1-8-26'!$G$2:$I$50,3,0)</f>
        <v>2898</v>
      </c>
      <c r="AC28" s="5">
        <f t="shared" si="0"/>
        <v>88704.5</v>
      </c>
      <c r="AD28" s="37">
        <f>AC28-85000</f>
        <v>3704.5</v>
      </c>
    </row>
    <row r="29" spans="1:32" x14ac:dyDescent="0.35">
      <c r="B29" s="1">
        <v>27</v>
      </c>
      <c r="C29" t="s">
        <v>184</v>
      </c>
      <c r="D29" s="30">
        <v>2</v>
      </c>
      <c r="J29" s="3">
        <v>2900</v>
      </c>
      <c r="K29" s="3">
        <v>13555</v>
      </c>
      <c r="AC29" s="5">
        <f t="shared" si="0"/>
        <v>16455</v>
      </c>
      <c r="AD29" s="37">
        <f>AC29</f>
        <v>16455</v>
      </c>
    </row>
    <row r="30" spans="1:32" x14ac:dyDescent="0.35">
      <c r="B30" s="1">
        <v>28</v>
      </c>
      <c r="C30" t="s">
        <v>185</v>
      </c>
      <c r="D30" s="30">
        <v>2</v>
      </c>
      <c r="E30" s="3">
        <v>400</v>
      </c>
      <c r="F30" s="3">
        <v>44950</v>
      </c>
      <c r="H30" s="3">
        <v>23475</v>
      </c>
      <c r="K30" s="3">
        <v>5388.5</v>
      </c>
      <c r="N30" s="3">
        <v>70805</v>
      </c>
      <c r="P30" s="3">
        <v>13200</v>
      </c>
      <c r="Q30" s="3">
        <v>3740</v>
      </c>
      <c r="R30" s="3">
        <v>45625</v>
      </c>
      <c r="U30" s="3">
        <v>20365</v>
      </c>
      <c r="W30" s="3">
        <v>6758</v>
      </c>
      <c r="Y30" s="3">
        <f>VLOOKUP(C30,'22-8-26'!G29:I76,3,0)</f>
        <v>8720</v>
      </c>
      <c r="AC30" s="5">
        <f t="shared" si="0"/>
        <v>243426.5</v>
      </c>
      <c r="AD30" s="37">
        <f>AC30-140000</f>
        <v>103426.5</v>
      </c>
    </row>
    <row r="31" spans="1:32" x14ac:dyDescent="0.35">
      <c r="B31" s="1">
        <v>29</v>
      </c>
      <c r="C31" t="s">
        <v>87</v>
      </c>
      <c r="D31" s="30">
        <v>2</v>
      </c>
      <c r="H31" s="3">
        <v>3289.9999999999995</v>
      </c>
      <c r="J31" s="3">
        <v>2602.5</v>
      </c>
      <c r="K31" s="3">
        <v>6480</v>
      </c>
      <c r="L31" s="3">
        <v>21465</v>
      </c>
      <c r="N31" s="3">
        <v>4370</v>
      </c>
      <c r="Q31" s="3">
        <v>7552.5</v>
      </c>
      <c r="R31" s="3">
        <v>9727</v>
      </c>
      <c r="T31" s="3">
        <v>8435</v>
      </c>
      <c r="U31" s="3">
        <v>3515</v>
      </c>
      <c r="W31" s="3">
        <v>6345</v>
      </c>
      <c r="Z31" s="3">
        <f>VLOOKUP(C31,'12-9-26'!$G$2:$I$55,3,0)</f>
        <v>4217.5</v>
      </c>
      <c r="AC31" s="5">
        <f t="shared" si="0"/>
        <v>77999.5</v>
      </c>
      <c r="AD31" s="37">
        <f>AC31</f>
        <v>77999.5</v>
      </c>
    </row>
    <row r="32" spans="1:32" x14ac:dyDescent="0.35">
      <c r="B32" s="1">
        <v>30</v>
      </c>
      <c r="C32" t="s">
        <v>186</v>
      </c>
      <c r="D32" s="30">
        <v>2</v>
      </c>
      <c r="E32" s="3">
        <v>19587.5</v>
      </c>
      <c r="F32" s="3">
        <v>36790</v>
      </c>
      <c r="H32" s="3">
        <v>32265</v>
      </c>
      <c r="J32" s="3">
        <v>15655</v>
      </c>
      <c r="K32" s="3">
        <v>7970</v>
      </c>
      <c r="M32" s="3">
        <v>11107</v>
      </c>
      <c r="N32" s="3">
        <v>27105</v>
      </c>
      <c r="O32" s="3">
        <v>19997.5</v>
      </c>
      <c r="P32" s="3">
        <v>23787.5</v>
      </c>
      <c r="Q32" s="3">
        <v>17585</v>
      </c>
      <c r="R32" s="3">
        <v>20435</v>
      </c>
      <c r="S32" s="3">
        <v>20310</v>
      </c>
      <c r="U32" s="3">
        <v>8285</v>
      </c>
      <c r="V32" s="3">
        <v>65783</v>
      </c>
      <c r="X32" s="3">
        <f>VLOOKUP(C32,'1-8-26'!$G$2:$I$50,3,0)</f>
        <v>24758</v>
      </c>
      <c r="Y32" s="3">
        <f>VLOOKUP(C32,'22-8-26'!G31:I78,3,0)</f>
        <v>21845</v>
      </c>
      <c r="Z32" s="3">
        <f>VLOOKUP(C32,'12-9-26'!$G$2:$I$55,3,0)</f>
        <v>22350</v>
      </c>
      <c r="AC32" s="5">
        <f t="shared" si="0"/>
        <v>395615.5</v>
      </c>
      <c r="AD32" s="37">
        <f>AC32-80000-30000-80000-60000-70000-50000</f>
        <v>25615.5</v>
      </c>
      <c r="AE32" s="31" t="s">
        <v>145</v>
      </c>
      <c r="AF32" t="s">
        <v>187</v>
      </c>
    </row>
    <row r="33" spans="1:32" x14ac:dyDescent="0.35">
      <c r="B33" s="1">
        <v>31</v>
      </c>
      <c r="C33" t="s">
        <v>188</v>
      </c>
      <c r="D33" s="30">
        <v>2</v>
      </c>
      <c r="G33" s="3">
        <v>3665</v>
      </c>
      <c r="AC33" s="5">
        <f t="shared" si="0"/>
        <v>3665</v>
      </c>
      <c r="AD33" s="37">
        <f>AC33</f>
        <v>3665</v>
      </c>
    </row>
    <row r="34" spans="1:32" x14ac:dyDescent="0.35">
      <c r="B34" s="1">
        <v>32</v>
      </c>
      <c r="C34" t="s">
        <v>189</v>
      </c>
      <c r="D34" s="30">
        <v>2</v>
      </c>
      <c r="K34" s="3">
        <v>5460</v>
      </c>
      <c r="L34" s="3">
        <v>5332.5</v>
      </c>
      <c r="O34" s="3">
        <v>4970</v>
      </c>
      <c r="AC34" s="5">
        <f t="shared" si="0"/>
        <v>15762.5</v>
      </c>
      <c r="AD34" s="37">
        <f>AC34</f>
        <v>15762.5</v>
      </c>
    </row>
    <row r="35" spans="1:32" x14ac:dyDescent="0.35">
      <c r="B35" s="1">
        <v>33</v>
      </c>
      <c r="C35" t="s">
        <v>120</v>
      </c>
      <c r="D35" s="30">
        <v>2</v>
      </c>
      <c r="I35" s="3">
        <v>26110</v>
      </c>
      <c r="J35" s="3">
        <v>3390</v>
      </c>
      <c r="N35" s="3">
        <v>24805</v>
      </c>
      <c r="O35" s="3">
        <v>8705</v>
      </c>
      <c r="R35" s="3">
        <v>3040</v>
      </c>
      <c r="S35" s="3">
        <v>1750</v>
      </c>
      <c r="T35" s="3">
        <v>2800</v>
      </c>
      <c r="U35" s="3">
        <v>7520</v>
      </c>
      <c r="X35" s="3">
        <f>VLOOKUP(C35,'1-8-26'!$G$2:$I$50,3,0)</f>
        <v>2625</v>
      </c>
      <c r="Z35" s="3">
        <f>VLOOKUP(C35,'12-9-26'!$G$2:$I$55,3,0)</f>
        <v>1970</v>
      </c>
      <c r="AC35" s="5">
        <f t="shared" si="0"/>
        <v>82715</v>
      </c>
      <c r="AD35" s="37">
        <f>AC35-29000</f>
        <v>53715</v>
      </c>
    </row>
    <row r="36" spans="1:32" x14ac:dyDescent="0.35">
      <c r="B36" s="1">
        <v>34</v>
      </c>
      <c r="C36" t="s">
        <v>190</v>
      </c>
      <c r="D36" s="30">
        <v>2</v>
      </c>
      <c r="E36" s="3">
        <v>2040</v>
      </c>
      <c r="H36" s="3">
        <v>1875</v>
      </c>
      <c r="L36" s="3">
        <v>16762.5</v>
      </c>
      <c r="N36" s="3">
        <v>3410.0000000000005</v>
      </c>
      <c r="O36" s="3">
        <v>4135</v>
      </c>
      <c r="U36" s="3">
        <v>17615</v>
      </c>
      <c r="Z36" s="3">
        <f>VLOOKUP(C36,'12-9-26'!$G$2:$I$55,3,0)</f>
        <v>11935</v>
      </c>
      <c r="AC36" s="5">
        <f t="shared" si="0"/>
        <v>57772.5</v>
      </c>
      <c r="AD36" s="37">
        <f t="shared" ref="AD36:AD43" si="2">AC36</f>
        <v>57772.5</v>
      </c>
    </row>
    <row r="37" spans="1:32" x14ac:dyDescent="0.35">
      <c r="B37" s="1">
        <v>35</v>
      </c>
      <c r="C37" t="s">
        <v>191</v>
      </c>
      <c r="D37" s="30">
        <v>2</v>
      </c>
      <c r="E37" s="3">
        <v>40955</v>
      </c>
      <c r="J37" s="3">
        <v>2300</v>
      </c>
      <c r="K37" s="3">
        <v>4727.5</v>
      </c>
      <c r="M37" s="3">
        <v>5365</v>
      </c>
      <c r="P37" s="3">
        <v>9472.5</v>
      </c>
      <c r="AC37" s="5">
        <f t="shared" si="0"/>
        <v>62820</v>
      </c>
      <c r="AD37" s="37">
        <f t="shared" si="2"/>
        <v>62820</v>
      </c>
    </row>
    <row r="38" spans="1:32" x14ac:dyDescent="0.35">
      <c r="B38" s="1">
        <v>36</v>
      </c>
      <c r="C38" t="s">
        <v>123</v>
      </c>
      <c r="D38" s="30">
        <v>2</v>
      </c>
      <c r="J38" s="3">
        <v>18522.5</v>
      </c>
      <c r="K38" s="3">
        <v>2600</v>
      </c>
      <c r="T38" s="3">
        <v>3250</v>
      </c>
      <c r="V38" s="3">
        <v>3090</v>
      </c>
      <c r="W38" s="3">
        <v>3465</v>
      </c>
      <c r="Y38" s="3">
        <f>VLOOKUP(C38,'22-8-26'!G37:I84,3,0)</f>
        <v>6628</v>
      </c>
      <c r="AC38" s="5">
        <f t="shared" si="0"/>
        <v>37555.5</v>
      </c>
      <c r="AD38" s="37">
        <f t="shared" si="2"/>
        <v>37555.5</v>
      </c>
    </row>
    <row r="39" spans="1:32" x14ac:dyDescent="0.35">
      <c r="B39" s="1">
        <v>37</v>
      </c>
      <c r="C39" t="s">
        <v>121</v>
      </c>
      <c r="D39" s="30">
        <v>2</v>
      </c>
      <c r="E39" s="3">
        <v>4600</v>
      </c>
      <c r="F39" s="3">
        <v>20097.5</v>
      </c>
      <c r="G39" s="3">
        <v>2800</v>
      </c>
      <c r="H39" s="3">
        <v>5110</v>
      </c>
      <c r="I39" s="3">
        <v>6300</v>
      </c>
      <c r="J39" s="3">
        <v>12010</v>
      </c>
      <c r="K39" s="3">
        <v>11797.5</v>
      </c>
      <c r="L39" s="3">
        <v>20250</v>
      </c>
      <c r="N39" s="3">
        <v>19200</v>
      </c>
      <c r="O39" s="3">
        <v>20260</v>
      </c>
      <c r="P39" s="3">
        <v>7760</v>
      </c>
      <c r="Q39" s="3">
        <v>7500</v>
      </c>
      <c r="R39" s="3">
        <v>43570</v>
      </c>
      <c r="T39" s="3">
        <v>16100</v>
      </c>
      <c r="U39" s="3">
        <v>23055</v>
      </c>
      <c r="V39" s="3">
        <v>10960</v>
      </c>
      <c r="W39" s="3">
        <v>12580</v>
      </c>
      <c r="X39" s="3">
        <f>VLOOKUP(C39,'1-8-26'!$G$2:$I$50,3,0)</f>
        <v>10270</v>
      </c>
      <c r="Z39" s="3">
        <f>VLOOKUP(C39,'12-9-26'!$G$2:$I$55,3,0)</f>
        <v>16170</v>
      </c>
      <c r="AC39" s="5">
        <f t="shared" si="0"/>
        <v>270390</v>
      </c>
      <c r="AD39" s="37">
        <f>AC39-100000</f>
        <v>170390</v>
      </c>
    </row>
    <row r="40" spans="1:32" x14ac:dyDescent="0.35">
      <c r="A40" s="36"/>
      <c r="B40" s="1">
        <v>38</v>
      </c>
      <c r="C40" t="s">
        <v>192</v>
      </c>
      <c r="D40" s="30">
        <v>3</v>
      </c>
      <c r="G40" s="3">
        <v>8395</v>
      </c>
      <c r="K40" s="3">
        <v>3660</v>
      </c>
      <c r="AC40" s="5">
        <f t="shared" si="0"/>
        <v>12055</v>
      </c>
      <c r="AD40" s="37">
        <f t="shared" si="2"/>
        <v>12055</v>
      </c>
    </row>
    <row r="41" spans="1:32" x14ac:dyDescent="0.35">
      <c r="B41" s="1">
        <v>39</v>
      </c>
      <c r="C41" t="s">
        <v>193</v>
      </c>
      <c r="D41" s="30">
        <v>3</v>
      </c>
      <c r="E41" s="3">
        <v>7970</v>
      </c>
      <c r="F41" s="3">
        <v>655</v>
      </c>
      <c r="G41" s="3">
        <v>3367.5</v>
      </c>
      <c r="H41" s="3">
        <v>2520</v>
      </c>
      <c r="J41" s="3">
        <v>4540</v>
      </c>
      <c r="K41" s="3">
        <v>6360</v>
      </c>
      <c r="L41" s="3">
        <v>2020</v>
      </c>
      <c r="M41" s="3">
        <v>11480</v>
      </c>
      <c r="R41" s="3">
        <v>3410</v>
      </c>
      <c r="Y41" s="3">
        <f>GETPIVOTDATA("Sum of Total",'22-8-26'!$G$2,"Nasabah","BU LIDIA")</f>
        <v>5803</v>
      </c>
      <c r="AC41" s="5">
        <f t="shared" si="0"/>
        <v>48125.5</v>
      </c>
      <c r="AD41" s="37">
        <f t="shared" si="2"/>
        <v>48125.5</v>
      </c>
    </row>
    <row r="42" spans="1:32" x14ac:dyDescent="0.35">
      <c r="B42" s="1">
        <v>40</v>
      </c>
      <c r="C42" t="s">
        <v>194</v>
      </c>
      <c r="D42" s="30">
        <v>3</v>
      </c>
      <c r="F42" s="3">
        <v>8155</v>
      </c>
      <c r="H42" s="3">
        <v>2000</v>
      </c>
      <c r="K42" s="3">
        <v>10500</v>
      </c>
      <c r="L42" s="3">
        <v>7012.5</v>
      </c>
      <c r="O42" s="3">
        <v>2585</v>
      </c>
      <c r="AC42" s="5">
        <f t="shared" si="0"/>
        <v>30252.5</v>
      </c>
      <c r="AD42" s="37">
        <f t="shared" si="2"/>
        <v>30252.5</v>
      </c>
    </row>
    <row r="43" spans="1:32" x14ac:dyDescent="0.35">
      <c r="A43" s="36"/>
      <c r="B43" s="1">
        <v>41</v>
      </c>
      <c r="C43" t="s">
        <v>195</v>
      </c>
      <c r="D43" s="30">
        <v>3</v>
      </c>
      <c r="J43" s="3">
        <v>2380</v>
      </c>
      <c r="K43" s="3">
        <v>5900</v>
      </c>
      <c r="L43" s="3">
        <v>6845</v>
      </c>
      <c r="M43" s="3">
        <v>4710</v>
      </c>
      <c r="N43" s="3">
        <v>8150</v>
      </c>
      <c r="O43" s="3">
        <v>4477.5</v>
      </c>
      <c r="P43" s="3">
        <v>7447.5</v>
      </c>
      <c r="Q43" s="3">
        <v>2165</v>
      </c>
      <c r="R43" s="3">
        <v>8445</v>
      </c>
      <c r="S43" s="3">
        <v>55875</v>
      </c>
      <c r="U43" s="3">
        <v>8155</v>
      </c>
      <c r="V43" s="3">
        <v>1970</v>
      </c>
      <c r="W43" s="3">
        <v>4090</v>
      </c>
      <c r="X43" s="3">
        <f>VLOOKUP(C43,'1-8-26'!$G$2:$I$50,3,0)</f>
        <v>84323</v>
      </c>
      <c r="Y43" s="3">
        <f>GETPIVOTDATA("Sum of Total",'22-8-26'!$G$2,"Nasabah","BU MINAH")</f>
        <v>2730</v>
      </c>
      <c r="Z43" s="3">
        <f>VLOOKUP(C43,'12-9-26'!$G$2:$I$55,3,0)</f>
        <v>3290.0000000000005</v>
      </c>
      <c r="AC43" s="5">
        <f t="shared" si="0"/>
        <v>210953</v>
      </c>
      <c r="AD43" s="37">
        <f t="shared" si="2"/>
        <v>210953</v>
      </c>
    </row>
    <row r="44" spans="1:32" x14ac:dyDescent="0.35">
      <c r="A44" s="36"/>
      <c r="B44" s="1">
        <v>42</v>
      </c>
      <c r="C44" t="s">
        <v>106</v>
      </c>
      <c r="D44" s="30">
        <v>3</v>
      </c>
      <c r="F44" s="3">
        <v>330</v>
      </c>
      <c r="G44" s="3">
        <v>3105</v>
      </c>
      <c r="H44" s="3">
        <v>8490</v>
      </c>
      <c r="I44" s="3">
        <v>4052.5</v>
      </c>
      <c r="J44" s="3">
        <v>15530</v>
      </c>
      <c r="K44" s="3">
        <v>11645</v>
      </c>
      <c r="L44" s="3">
        <v>4197.5</v>
      </c>
      <c r="M44" s="3">
        <v>15390</v>
      </c>
      <c r="N44" s="3">
        <v>18920</v>
      </c>
      <c r="O44" s="3">
        <v>3225</v>
      </c>
      <c r="P44" s="3">
        <v>11955</v>
      </c>
      <c r="Q44" s="3">
        <v>18300</v>
      </c>
      <c r="R44" s="3">
        <v>56640</v>
      </c>
      <c r="S44" s="3">
        <v>21810</v>
      </c>
      <c r="T44" s="3">
        <v>8685</v>
      </c>
      <c r="U44" s="3">
        <v>5510</v>
      </c>
      <c r="V44" s="3">
        <v>7810</v>
      </c>
      <c r="X44" s="3">
        <f>VLOOKUP(C44,'1-8-26'!$G$2:$I$50,3,0)</f>
        <v>6200</v>
      </c>
      <c r="Y44" s="3">
        <f>GETPIVOTDATA("Sum of Total",'22-8-26'!$G$2,"Nasabah","BU PURWANI")</f>
        <v>11105</v>
      </c>
      <c r="Z44" s="3">
        <f>VLOOKUP(C44,'12-9-26'!$G$2:$I$55,3,0)</f>
        <v>45355</v>
      </c>
      <c r="AC44" s="5">
        <f t="shared" si="0"/>
        <v>278255</v>
      </c>
      <c r="AD44" s="37">
        <f>AC44-43000-3000-50000-45000-38000</f>
        <v>99255</v>
      </c>
    </row>
    <row r="45" spans="1:32" x14ac:dyDescent="0.35">
      <c r="B45" s="1">
        <v>43</v>
      </c>
      <c r="C45" t="s">
        <v>196</v>
      </c>
      <c r="D45" s="30">
        <v>3</v>
      </c>
      <c r="E45" s="3">
        <v>1920</v>
      </c>
      <c r="F45" s="3">
        <v>22205</v>
      </c>
      <c r="G45" s="3">
        <v>4432.5</v>
      </c>
      <c r="H45" s="3">
        <v>5725</v>
      </c>
      <c r="J45" s="3">
        <v>5085</v>
      </c>
      <c r="K45" s="3">
        <v>10250</v>
      </c>
      <c r="L45" s="3">
        <v>4770</v>
      </c>
      <c r="N45" s="3">
        <v>12400</v>
      </c>
      <c r="P45" s="3">
        <v>4970</v>
      </c>
      <c r="R45" s="3">
        <v>13120</v>
      </c>
      <c r="S45" s="3">
        <v>16792.5</v>
      </c>
      <c r="U45" s="3">
        <v>24905</v>
      </c>
      <c r="V45" s="3">
        <v>2075</v>
      </c>
      <c r="W45" s="3">
        <v>9775</v>
      </c>
      <c r="X45" s="3">
        <f>VLOOKUP(C45,'1-8-26'!$G$2:$I$50,3,0)</f>
        <v>7443</v>
      </c>
      <c r="Z45" s="3">
        <f>VLOOKUP(C45,'12-9-26'!$G$2:$I$55,3,0)</f>
        <v>15720</v>
      </c>
      <c r="AC45" s="5">
        <f t="shared" si="0"/>
        <v>161588</v>
      </c>
      <c r="AD45" s="37">
        <f>AC45-125000</f>
        <v>36588</v>
      </c>
    </row>
    <row r="46" spans="1:32" x14ac:dyDescent="0.35">
      <c r="A46" s="36"/>
      <c r="B46" s="1">
        <v>44</v>
      </c>
      <c r="C46" t="s">
        <v>114</v>
      </c>
      <c r="D46" s="30">
        <v>3</v>
      </c>
      <c r="I46" s="3">
        <v>11610</v>
      </c>
      <c r="L46" s="3">
        <v>2680</v>
      </c>
      <c r="M46" s="3">
        <v>6180</v>
      </c>
      <c r="N46" s="3">
        <v>530</v>
      </c>
      <c r="O46" s="3">
        <v>630</v>
      </c>
      <c r="R46" s="3">
        <v>20440</v>
      </c>
      <c r="T46" s="3">
        <v>694</v>
      </c>
      <c r="V46" s="3">
        <v>6720</v>
      </c>
      <c r="Z46" s="3">
        <f>VLOOKUP(C46,'12-9-26'!$G$2:$I$55,3,0)</f>
        <v>3535</v>
      </c>
      <c r="AC46" s="5">
        <f t="shared" si="0"/>
        <v>53019</v>
      </c>
      <c r="AD46" s="37">
        <f t="shared" ref="AD46:AD51" si="3">AC46</f>
        <v>53019</v>
      </c>
    </row>
    <row r="47" spans="1:32" x14ac:dyDescent="0.35">
      <c r="B47" s="1">
        <v>45</v>
      </c>
      <c r="C47" t="s">
        <v>197</v>
      </c>
      <c r="D47" s="30">
        <v>3</v>
      </c>
      <c r="F47" s="3">
        <v>9900</v>
      </c>
      <c r="G47" s="3">
        <v>3232.5</v>
      </c>
      <c r="H47" s="3">
        <v>6440</v>
      </c>
      <c r="AC47" s="5">
        <f t="shared" si="0"/>
        <v>19572.5</v>
      </c>
      <c r="AD47" s="37">
        <f>AC47-19572.5</f>
        <v>0</v>
      </c>
      <c r="AF47" s="40" t="s">
        <v>198</v>
      </c>
    </row>
    <row r="48" spans="1:32" x14ac:dyDescent="0.35">
      <c r="B48" s="1">
        <v>46</v>
      </c>
      <c r="C48" t="s">
        <v>116</v>
      </c>
      <c r="D48" s="30">
        <v>3</v>
      </c>
      <c r="E48" s="3">
        <v>14472.5</v>
      </c>
      <c r="F48" s="3">
        <v>8512.5</v>
      </c>
      <c r="G48" s="3">
        <v>9027.5</v>
      </c>
      <c r="H48" s="3">
        <v>12905</v>
      </c>
      <c r="I48" s="3">
        <v>10357.5</v>
      </c>
      <c r="J48" s="3">
        <v>11070</v>
      </c>
      <c r="K48" s="3">
        <v>14690</v>
      </c>
      <c r="L48" s="3">
        <v>13494</v>
      </c>
      <c r="M48" s="3">
        <v>10330</v>
      </c>
      <c r="N48" s="3">
        <v>32912.5</v>
      </c>
      <c r="O48" s="3">
        <v>10100</v>
      </c>
      <c r="P48" s="3">
        <v>10145</v>
      </c>
      <c r="Q48" s="3">
        <v>7790</v>
      </c>
      <c r="R48" s="3">
        <v>30795</v>
      </c>
      <c r="S48" s="3">
        <v>10320</v>
      </c>
      <c r="T48" s="3">
        <v>3755</v>
      </c>
      <c r="U48" s="3">
        <v>21080</v>
      </c>
      <c r="V48" s="3">
        <v>122373</v>
      </c>
      <c r="W48" s="3">
        <v>17353</v>
      </c>
      <c r="X48" s="3">
        <f>VLOOKUP(C48,'1-8-26'!$G$2:$I$50,3,0)</f>
        <v>16980</v>
      </c>
      <c r="Y48" s="3">
        <f>GETPIVOTDATA("Sum of Total",'22-8-26'!$G$2,"Nasabah","BU WIWIN")</f>
        <v>9033</v>
      </c>
      <c r="Z48" s="3">
        <f>VLOOKUP(C48,'12-9-26'!$G$2:$I$55,3,0)</f>
        <v>19667.5</v>
      </c>
      <c r="AC48" s="5">
        <f t="shared" si="0"/>
        <v>417163</v>
      </c>
      <c r="AD48" s="37">
        <f>AC48+19572.5-150000-150000</f>
        <v>136735.5</v>
      </c>
    </row>
    <row r="49" spans="1:30" x14ac:dyDescent="0.35">
      <c r="B49" s="1">
        <v>47</v>
      </c>
      <c r="C49" t="s">
        <v>199</v>
      </c>
      <c r="D49" s="30">
        <v>4</v>
      </c>
      <c r="F49" s="3">
        <v>11845</v>
      </c>
      <c r="G49" s="3">
        <v>32612.5</v>
      </c>
      <c r="H49" s="3">
        <v>9287.5</v>
      </c>
      <c r="I49" s="3">
        <v>6042.5</v>
      </c>
      <c r="AC49" s="5">
        <f t="shared" si="0"/>
        <v>59787.5</v>
      </c>
      <c r="AD49" s="37">
        <f t="shared" si="3"/>
        <v>59787.5</v>
      </c>
    </row>
    <row r="50" spans="1:30" x14ac:dyDescent="0.35">
      <c r="A50" s="36"/>
      <c r="B50" s="1">
        <v>48</v>
      </c>
      <c r="C50" t="s">
        <v>90</v>
      </c>
      <c r="D50" s="30">
        <v>4</v>
      </c>
      <c r="E50" s="3">
        <v>1550</v>
      </c>
      <c r="F50" s="3">
        <v>4470</v>
      </c>
      <c r="G50" s="3">
        <v>5847.5</v>
      </c>
      <c r="H50" s="3">
        <v>9575</v>
      </c>
      <c r="J50" s="3">
        <v>3920</v>
      </c>
      <c r="K50" s="3">
        <v>4085.0000000000005</v>
      </c>
      <c r="M50" s="3">
        <v>35728</v>
      </c>
      <c r="N50" s="3">
        <v>7470</v>
      </c>
      <c r="R50" s="3">
        <v>10390</v>
      </c>
      <c r="T50" s="3">
        <v>4375</v>
      </c>
      <c r="U50" s="3">
        <v>9270</v>
      </c>
      <c r="AC50" s="5">
        <f t="shared" si="0"/>
        <v>96680.5</v>
      </c>
      <c r="AD50" s="37">
        <f t="shared" si="3"/>
        <v>96680.5</v>
      </c>
    </row>
    <row r="51" spans="1:30" x14ac:dyDescent="0.35">
      <c r="A51" s="36"/>
      <c r="B51" s="1">
        <v>49</v>
      </c>
      <c r="C51" t="s">
        <v>200</v>
      </c>
      <c r="D51" s="30">
        <v>4</v>
      </c>
      <c r="G51" s="3">
        <v>10640</v>
      </c>
      <c r="I51" s="3">
        <v>17100</v>
      </c>
      <c r="J51" s="3">
        <v>11475</v>
      </c>
      <c r="K51" s="3">
        <v>4370</v>
      </c>
      <c r="AC51" s="5">
        <f t="shared" si="0"/>
        <v>43585</v>
      </c>
      <c r="AD51" s="37">
        <f t="shared" si="3"/>
        <v>43585</v>
      </c>
    </row>
    <row r="52" spans="1:30" x14ac:dyDescent="0.35">
      <c r="A52" s="36"/>
      <c r="B52" s="1">
        <v>50</v>
      </c>
      <c r="C52" t="s">
        <v>86</v>
      </c>
      <c r="D52" s="30">
        <v>4</v>
      </c>
      <c r="E52" s="3">
        <v>910.00000000000011</v>
      </c>
      <c r="F52" s="3">
        <v>3157.5</v>
      </c>
      <c r="G52" s="3">
        <v>18960</v>
      </c>
      <c r="H52" s="3">
        <v>7805</v>
      </c>
      <c r="I52" s="3">
        <v>4640</v>
      </c>
      <c r="J52" s="3">
        <v>8575</v>
      </c>
      <c r="K52" s="3">
        <v>6280</v>
      </c>
      <c r="L52" s="3">
        <v>2292.5</v>
      </c>
      <c r="M52" s="3">
        <v>6147</v>
      </c>
      <c r="N52" s="3">
        <v>14225</v>
      </c>
      <c r="O52" s="3">
        <v>22415</v>
      </c>
      <c r="P52" s="3">
        <v>11047.5</v>
      </c>
      <c r="Q52" s="3">
        <v>15205</v>
      </c>
      <c r="R52" s="3">
        <v>8630</v>
      </c>
      <c r="S52" s="3">
        <v>12005</v>
      </c>
      <c r="T52" s="3">
        <v>3373</v>
      </c>
      <c r="U52" s="3">
        <v>13817.5</v>
      </c>
      <c r="V52" s="3">
        <v>9943</v>
      </c>
      <c r="W52" s="3">
        <v>6513</v>
      </c>
      <c r="X52" s="3">
        <f>VLOOKUP(C52,'1-8-26'!$G$2:$I$50,3,0)</f>
        <v>15835</v>
      </c>
      <c r="Y52" s="3">
        <f>GETPIVOTDATA("Sum of Total",'22-8-26'!$G$2,"Nasabah","BU ANI")</f>
        <v>8985</v>
      </c>
      <c r="Z52" s="3">
        <f>VLOOKUP(C52,'12-9-26'!$G$2:$I$55,3,0)</f>
        <v>12400</v>
      </c>
      <c r="AC52" s="5">
        <f t="shared" si="0"/>
        <v>213161</v>
      </c>
      <c r="AD52" s="37">
        <f>AC52-50000</f>
        <v>163161</v>
      </c>
    </row>
    <row r="53" spans="1:30" x14ac:dyDescent="0.35">
      <c r="A53" s="36"/>
      <c r="B53" s="1">
        <v>51</v>
      </c>
      <c r="C53" t="s">
        <v>92</v>
      </c>
      <c r="D53" s="30">
        <v>4</v>
      </c>
      <c r="E53" s="3">
        <v>1270</v>
      </c>
      <c r="F53" s="3">
        <v>3035</v>
      </c>
      <c r="G53" s="3">
        <v>4040</v>
      </c>
      <c r="H53" s="3">
        <v>1502.5</v>
      </c>
      <c r="J53" s="3">
        <v>13540</v>
      </c>
      <c r="K53" s="3">
        <v>470</v>
      </c>
      <c r="L53" s="3">
        <v>970</v>
      </c>
      <c r="N53" s="3">
        <v>3350</v>
      </c>
      <c r="P53" s="3">
        <v>11930</v>
      </c>
      <c r="Q53" s="3">
        <v>12775</v>
      </c>
      <c r="S53" s="3">
        <v>9035</v>
      </c>
      <c r="T53" s="3">
        <v>37235</v>
      </c>
      <c r="W53" s="3">
        <v>2893</v>
      </c>
      <c r="X53" s="3">
        <f>VLOOKUP(C53,'1-8-26'!$G$2:$I$50,3,0)</f>
        <v>2353</v>
      </c>
      <c r="Z53" s="3">
        <f>VLOOKUP(C53,'12-9-26'!$G$2:$I$55,3,0)</f>
        <v>1175</v>
      </c>
      <c r="AC53" s="5">
        <f t="shared" si="0"/>
        <v>105573.5</v>
      </c>
      <c r="AD53" s="37">
        <f t="shared" ref="AD53:AD84" si="4">AC53</f>
        <v>105573.5</v>
      </c>
    </row>
    <row r="54" spans="1:30" x14ac:dyDescent="0.35">
      <c r="A54" s="36"/>
      <c r="B54" s="1">
        <v>52</v>
      </c>
      <c r="C54" t="s">
        <v>201</v>
      </c>
      <c r="D54" s="30">
        <v>4</v>
      </c>
      <c r="E54" s="3">
        <v>1980</v>
      </c>
      <c r="H54" s="3">
        <v>21050</v>
      </c>
      <c r="J54" s="3">
        <v>11490</v>
      </c>
      <c r="N54" s="3">
        <v>14962.5</v>
      </c>
      <c r="R54" s="3">
        <v>12000</v>
      </c>
      <c r="AC54" s="5">
        <f t="shared" si="0"/>
        <v>61482.5</v>
      </c>
      <c r="AD54" s="37">
        <f t="shared" si="4"/>
        <v>61482.5</v>
      </c>
    </row>
    <row r="55" spans="1:30" x14ac:dyDescent="0.35">
      <c r="A55" s="36"/>
      <c r="B55" s="1">
        <v>53</v>
      </c>
      <c r="C55" t="s">
        <v>98</v>
      </c>
      <c r="D55" s="30">
        <v>4</v>
      </c>
      <c r="E55" s="3">
        <v>43195</v>
      </c>
      <c r="F55" s="3">
        <v>34945</v>
      </c>
      <c r="G55" s="3">
        <v>44782.5</v>
      </c>
      <c r="J55" s="3">
        <v>14410</v>
      </c>
      <c r="K55" s="3">
        <v>14710</v>
      </c>
      <c r="M55" s="3">
        <v>34970</v>
      </c>
      <c r="N55" s="3">
        <v>35735</v>
      </c>
      <c r="O55" s="3">
        <v>6500</v>
      </c>
      <c r="P55" s="3">
        <v>36725</v>
      </c>
      <c r="Q55" s="3">
        <v>21555</v>
      </c>
      <c r="S55" s="3">
        <v>9280</v>
      </c>
      <c r="T55" s="3">
        <v>12450</v>
      </c>
      <c r="V55" s="3">
        <v>7288</v>
      </c>
      <c r="X55" s="3">
        <f>VLOOKUP(C55,'1-8-26'!$G$2:$I$50,3,0)</f>
        <v>10110</v>
      </c>
      <c r="Y55" s="3">
        <f>GETPIVOTDATA("Sum of Total",'22-8-26'!$G$2,"Nasabah","BU IDA AMANAH")</f>
        <v>6050</v>
      </c>
      <c r="AC55" s="5">
        <f t="shared" si="0"/>
        <v>332705.5</v>
      </c>
      <c r="AD55" s="37">
        <f t="shared" si="4"/>
        <v>332705.5</v>
      </c>
    </row>
    <row r="56" spans="1:30" x14ac:dyDescent="0.35">
      <c r="B56" s="1">
        <v>54</v>
      </c>
      <c r="C56" t="s">
        <v>93</v>
      </c>
      <c r="D56" s="30">
        <v>4</v>
      </c>
      <c r="F56" s="3">
        <v>8910</v>
      </c>
      <c r="G56" s="3">
        <v>25640</v>
      </c>
      <c r="H56" s="3">
        <v>16910</v>
      </c>
      <c r="I56" s="3">
        <v>3390</v>
      </c>
      <c r="J56" s="3">
        <v>8145</v>
      </c>
      <c r="K56" s="3">
        <v>7250</v>
      </c>
      <c r="L56" s="3">
        <v>6632.5</v>
      </c>
      <c r="M56" s="3">
        <v>22560</v>
      </c>
      <c r="O56" s="3">
        <v>13410</v>
      </c>
      <c r="P56" s="3">
        <v>8495</v>
      </c>
      <c r="R56" s="3">
        <v>14885</v>
      </c>
      <c r="T56" s="3">
        <v>13173</v>
      </c>
      <c r="V56" s="3">
        <v>11880</v>
      </c>
      <c r="AC56" s="5">
        <f t="shared" si="0"/>
        <v>161280.5</v>
      </c>
      <c r="AD56" s="37">
        <f t="shared" si="4"/>
        <v>161280.5</v>
      </c>
    </row>
    <row r="57" spans="1:30" x14ac:dyDescent="0.35">
      <c r="B57" s="1">
        <v>55</v>
      </c>
      <c r="C57" t="s">
        <v>202</v>
      </c>
      <c r="D57" s="30">
        <v>4</v>
      </c>
      <c r="F57" s="3">
        <v>19610</v>
      </c>
      <c r="J57" s="3">
        <v>4657.5</v>
      </c>
      <c r="K57" s="3">
        <v>1595</v>
      </c>
      <c r="AC57" s="5">
        <f t="shared" si="0"/>
        <v>25862.5</v>
      </c>
      <c r="AD57" s="37">
        <f t="shared" si="4"/>
        <v>25862.5</v>
      </c>
    </row>
    <row r="58" spans="1:30" x14ac:dyDescent="0.35">
      <c r="A58" s="36"/>
      <c r="B58" s="1">
        <v>56</v>
      </c>
      <c r="C58" t="s">
        <v>203</v>
      </c>
      <c r="D58" s="30">
        <v>4</v>
      </c>
      <c r="E58" s="3">
        <v>3577.5</v>
      </c>
      <c r="F58" s="3">
        <v>10320</v>
      </c>
      <c r="G58" s="3">
        <v>4377.5</v>
      </c>
      <c r="H58" s="3">
        <v>1330</v>
      </c>
      <c r="I58" s="3">
        <v>5030</v>
      </c>
      <c r="K58" s="3">
        <v>15347.5</v>
      </c>
      <c r="O58" s="3">
        <v>18420</v>
      </c>
      <c r="AC58" s="5">
        <f t="shared" si="0"/>
        <v>58402.5</v>
      </c>
      <c r="AD58" s="37">
        <f>AC58-58000</f>
        <v>402.5</v>
      </c>
    </row>
    <row r="59" spans="1:30" x14ac:dyDescent="0.35">
      <c r="A59" s="36"/>
      <c r="B59" s="1">
        <v>57</v>
      </c>
      <c r="C59" t="s">
        <v>102</v>
      </c>
      <c r="D59" s="30">
        <v>4</v>
      </c>
      <c r="G59" s="3">
        <v>1165</v>
      </c>
      <c r="H59" s="3">
        <v>22950</v>
      </c>
      <c r="J59" s="3">
        <v>6335</v>
      </c>
      <c r="K59" s="3">
        <v>10765</v>
      </c>
      <c r="N59" s="3">
        <v>10490</v>
      </c>
      <c r="S59" s="3">
        <v>6560</v>
      </c>
      <c r="T59" s="3">
        <v>3605</v>
      </c>
      <c r="V59" s="3">
        <v>6130</v>
      </c>
      <c r="X59" s="3">
        <f>VLOOKUP(C59,'1-8-26'!$G$2:$I$50,3,0)</f>
        <v>3630</v>
      </c>
      <c r="Z59" s="3">
        <f>VLOOKUP(C59,'12-9-26'!$G$2:$I$55,3,0)</f>
        <v>3325</v>
      </c>
      <c r="AC59" s="5">
        <f t="shared" si="0"/>
        <v>74955</v>
      </c>
      <c r="AD59" s="37">
        <f t="shared" si="4"/>
        <v>74955</v>
      </c>
    </row>
    <row r="60" spans="1:30" x14ac:dyDescent="0.35">
      <c r="A60" s="36"/>
      <c r="B60" s="1">
        <v>58</v>
      </c>
      <c r="C60" t="s">
        <v>99</v>
      </c>
      <c r="D60" s="30">
        <v>4</v>
      </c>
      <c r="I60" s="3">
        <v>40000</v>
      </c>
      <c r="J60" s="3">
        <v>15857.5</v>
      </c>
      <c r="K60" s="3">
        <v>11355</v>
      </c>
      <c r="L60" s="3">
        <v>11660</v>
      </c>
      <c r="M60" s="3">
        <v>13985</v>
      </c>
      <c r="N60" s="3">
        <v>2320</v>
      </c>
      <c r="O60" s="3">
        <v>14420</v>
      </c>
      <c r="P60" s="3">
        <v>2672.5</v>
      </c>
      <c r="Q60" s="3">
        <v>7390</v>
      </c>
      <c r="R60" s="3">
        <v>10555</v>
      </c>
      <c r="S60" s="3">
        <v>4877.5</v>
      </c>
      <c r="T60" s="3">
        <v>2458</v>
      </c>
      <c r="U60" s="3">
        <v>1285</v>
      </c>
      <c r="V60" s="3">
        <v>2230</v>
      </c>
      <c r="W60" s="3">
        <v>5235</v>
      </c>
      <c r="X60" s="3">
        <f>VLOOKUP(C60,'1-8-26'!$G$2:$I$50,3,0)</f>
        <v>10548</v>
      </c>
      <c r="Y60" s="3">
        <f>GETPIVOTDATA("Sum of Total",'22-8-26'!$G$2,"Nasabah","BU IRMA")</f>
        <v>3045</v>
      </c>
      <c r="Z60" s="3">
        <f>VLOOKUP(C60,'12-9-26'!$G$2:$I$55,3,0)</f>
        <v>5320</v>
      </c>
      <c r="AC60" s="5">
        <f t="shared" si="0"/>
        <v>165213.5</v>
      </c>
      <c r="AD60" s="37">
        <f>AC60-100000</f>
        <v>65213.5</v>
      </c>
    </row>
    <row r="61" spans="1:30" x14ac:dyDescent="0.35">
      <c r="B61" s="1">
        <v>59</v>
      </c>
      <c r="C61" t="s">
        <v>204</v>
      </c>
      <c r="D61" s="30">
        <v>4</v>
      </c>
      <c r="F61" s="3">
        <v>28577.5</v>
      </c>
      <c r="G61" s="3">
        <v>7707.5</v>
      </c>
      <c r="H61" s="3">
        <v>2430</v>
      </c>
      <c r="J61" s="3">
        <v>27050</v>
      </c>
      <c r="P61" s="3">
        <v>7520</v>
      </c>
      <c r="Q61" s="3">
        <v>15330</v>
      </c>
      <c r="R61" s="3">
        <v>14640</v>
      </c>
      <c r="V61" s="3">
        <v>8220</v>
      </c>
      <c r="Y61" s="3">
        <f>GETPIVOTDATA("Sum of Total",'22-8-26'!$G$2,"Nasabah","BU NINING")</f>
        <v>5335</v>
      </c>
      <c r="AC61" s="5">
        <f t="shared" si="0"/>
        <v>116810</v>
      </c>
      <c r="AD61" s="37">
        <f t="shared" si="4"/>
        <v>116810</v>
      </c>
    </row>
    <row r="62" spans="1:30" x14ac:dyDescent="0.35">
      <c r="A62" s="36"/>
      <c r="B62" s="1">
        <v>60</v>
      </c>
      <c r="C62" t="s">
        <v>205</v>
      </c>
      <c r="D62" s="30">
        <v>4</v>
      </c>
      <c r="E62" s="3">
        <v>23745</v>
      </c>
      <c r="F62" s="3">
        <v>33435</v>
      </c>
      <c r="G62" s="3">
        <v>28342.5</v>
      </c>
      <c r="H62" s="3">
        <v>20650</v>
      </c>
      <c r="I62" s="3">
        <v>9370</v>
      </c>
      <c r="J62" s="3">
        <v>7690</v>
      </c>
      <c r="K62" s="3">
        <v>36852.5</v>
      </c>
      <c r="L62" s="3">
        <v>8625</v>
      </c>
      <c r="O62" s="3">
        <v>25340</v>
      </c>
      <c r="P62" s="3">
        <v>9845</v>
      </c>
      <c r="Q62" s="3">
        <v>3720</v>
      </c>
      <c r="R62" s="3">
        <v>22846</v>
      </c>
      <c r="S62" s="3">
        <v>33865</v>
      </c>
      <c r="U62" s="3">
        <v>8222.5</v>
      </c>
      <c r="W62" s="3">
        <v>20150</v>
      </c>
      <c r="X62" s="3">
        <f>VLOOKUP(C62,'1-8-26'!$G$2:$I$50,3,0)</f>
        <v>6180</v>
      </c>
      <c r="Z62" s="3">
        <f>VLOOKUP(C62,'12-9-26'!$G$2:$I$55,3,0)</f>
        <v>9020</v>
      </c>
      <c r="AC62" s="5">
        <f t="shared" si="0"/>
        <v>307898.5</v>
      </c>
      <c r="AD62" s="37">
        <f>AC62-200000</f>
        <v>107898.5</v>
      </c>
    </row>
    <row r="63" spans="1:30" x14ac:dyDescent="0.35">
      <c r="A63" s="36"/>
      <c r="B63" s="1">
        <v>61</v>
      </c>
      <c r="C63" t="s">
        <v>108</v>
      </c>
      <c r="D63" s="30">
        <v>4</v>
      </c>
      <c r="F63" s="3">
        <v>6030</v>
      </c>
      <c r="G63" s="3">
        <v>1280</v>
      </c>
      <c r="H63" s="3">
        <v>8485</v>
      </c>
      <c r="I63" s="3">
        <v>5587.5</v>
      </c>
      <c r="K63" s="3">
        <v>13475</v>
      </c>
      <c r="M63" s="3">
        <v>9360</v>
      </c>
      <c r="N63" s="3">
        <v>17800</v>
      </c>
      <c r="O63" s="3">
        <v>13450</v>
      </c>
      <c r="Q63" s="3">
        <v>15300</v>
      </c>
      <c r="R63" s="3">
        <v>26997.5</v>
      </c>
      <c r="S63" s="3">
        <v>11530</v>
      </c>
      <c r="T63" s="3">
        <v>6835</v>
      </c>
      <c r="U63" s="3">
        <v>11885</v>
      </c>
      <c r="W63" s="3">
        <v>7750</v>
      </c>
      <c r="X63" s="3">
        <f>VLOOKUP(C63,'1-8-26'!$G$2:$I$50,3,0)</f>
        <v>20095</v>
      </c>
      <c r="Y63" s="3">
        <f>GETPIVOTDATA("Sum of Total",'22-8-26'!$G$2,"Nasabah","BU RINA")</f>
        <v>34440</v>
      </c>
      <c r="Z63" s="3">
        <f>VLOOKUP(C63,'12-9-26'!$G$2:$I$55,3,0)</f>
        <v>17720</v>
      </c>
      <c r="AC63" s="5">
        <f t="shared" si="0"/>
        <v>228020</v>
      </c>
      <c r="AD63" s="37">
        <f t="shared" si="4"/>
        <v>228020</v>
      </c>
    </row>
    <row r="64" spans="1:30" x14ac:dyDescent="0.35">
      <c r="A64" s="36"/>
      <c r="B64" s="1">
        <v>62</v>
      </c>
      <c r="C64" t="s">
        <v>105</v>
      </c>
      <c r="D64" s="30">
        <v>4</v>
      </c>
      <c r="E64" s="3">
        <v>4575</v>
      </c>
      <c r="F64" s="3">
        <v>175</v>
      </c>
      <c r="G64" s="3">
        <v>765</v>
      </c>
      <c r="H64" s="3">
        <v>7380</v>
      </c>
      <c r="I64" s="3">
        <v>2020</v>
      </c>
      <c r="K64" s="3">
        <v>1187.5</v>
      </c>
      <c r="L64" s="3">
        <v>1552.5</v>
      </c>
      <c r="N64" s="3">
        <v>9145</v>
      </c>
      <c r="O64" s="3">
        <v>5385</v>
      </c>
      <c r="P64" s="3">
        <v>2550</v>
      </c>
      <c r="Q64" s="3">
        <v>2920</v>
      </c>
      <c r="R64" s="3">
        <v>1875</v>
      </c>
      <c r="S64" s="3">
        <v>5125</v>
      </c>
      <c r="T64" s="3">
        <v>1874</v>
      </c>
      <c r="U64" s="3">
        <v>1615</v>
      </c>
      <c r="V64" s="3">
        <v>6708</v>
      </c>
      <c r="W64" s="3">
        <v>768</v>
      </c>
      <c r="X64" s="3">
        <f>VLOOKUP(C64,'1-8-26'!$G$2:$I$50,3,0)</f>
        <v>8620</v>
      </c>
      <c r="Y64" s="3">
        <f>GETPIVOTDATA("Sum of Total",'22-8-26'!$G$2,"Nasabah","BU NURLAYLI")</f>
        <v>3370</v>
      </c>
      <c r="Z64" s="3">
        <f>VLOOKUP(C64,'12-9-26'!$G$2:$I$55,3,0)</f>
        <v>2610</v>
      </c>
      <c r="AC64" s="5">
        <f t="shared" si="0"/>
        <v>70220</v>
      </c>
      <c r="AD64" s="37">
        <f t="shared" si="4"/>
        <v>70220</v>
      </c>
    </row>
    <row r="65" spans="1:30" x14ac:dyDescent="0.35">
      <c r="A65" s="36"/>
      <c r="B65" s="1">
        <v>63</v>
      </c>
      <c r="C65" t="s">
        <v>206</v>
      </c>
      <c r="D65" s="30">
        <v>4</v>
      </c>
      <c r="E65" s="3">
        <v>47137.5</v>
      </c>
      <c r="I65" s="3">
        <v>7722.5</v>
      </c>
      <c r="J65" s="3">
        <v>9167.5</v>
      </c>
      <c r="K65" s="3">
        <v>6027.5</v>
      </c>
      <c r="M65" s="3">
        <v>5731</v>
      </c>
      <c r="N65" s="3">
        <v>19160</v>
      </c>
      <c r="P65" s="3">
        <v>12227.5</v>
      </c>
      <c r="Q65" s="3">
        <v>40495</v>
      </c>
      <c r="S65" s="3">
        <v>17175</v>
      </c>
      <c r="U65" s="3">
        <v>11777.5</v>
      </c>
      <c r="V65" s="3">
        <v>7415</v>
      </c>
      <c r="X65" s="3">
        <f>VLOOKUP(C65,'1-8-26'!$G$2:$I$50,3,0)</f>
        <v>13805</v>
      </c>
      <c r="Z65" s="3">
        <f>VLOOKUP(C65,'12-9-26'!$G$2:$I$55,3,0)</f>
        <v>44980</v>
      </c>
      <c r="AC65" s="5">
        <f t="shared" si="0"/>
        <v>242821</v>
      </c>
      <c r="AD65" s="37">
        <f t="shared" si="4"/>
        <v>242821</v>
      </c>
    </row>
    <row r="66" spans="1:30" x14ac:dyDescent="0.35">
      <c r="A66" s="36"/>
      <c r="B66" s="1">
        <v>64</v>
      </c>
      <c r="C66" t="s">
        <v>207</v>
      </c>
      <c r="D66" s="30">
        <v>4</v>
      </c>
      <c r="F66" s="3">
        <v>18250</v>
      </c>
      <c r="G66" s="3">
        <v>9007.5</v>
      </c>
      <c r="H66" s="3">
        <v>14700</v>
      </c>
      <c r="I66" s="3">
        <v>4192.5</v>
      </c>
      <c r="L66" s="3">
        <v>4230</v>
      </c>
      <c r="W66" s="3">
        <v>6680</v>
      </c>
      <c r="AC66" s="5">
        <f t="shared" si="0"/>
        <v>57060</v>
      </c>
      <c r="AD66" s="37">
        <f t="shared" si="4"/>
        <v>57060</v>
      </c>
    </row>
    <row r="67" spans="1:30" x14ac:dyDescent="0.35">
      <c r="A67" s="36"/>
      <c r="B67" s="1">
        <v>65</v>
      </c>
      <c r="C67" t="s">
        <v>109</v>
      </c>
      <c r="D67" s="30">
        <v>4</v>
      </c>
      <c r="E67" s="3">
        <v>24900</v>
      </c>
      <c r="F67" s="3">
        <v>39442.5</v>
      </c>
      <c r="G67" s="3">
        <v>23325</v>
      </c>
      <c r="H67" s="3">
        <v>9437.5</v>
      </c>
      <c r="I67" s="3">
        <v>17905</v>
      </c>
      <c r="J67" s="3">
        <v>5580</v>
      </c>
      <c r="K67" s="3">
        <v>9797.5</v>
      </c>
      <c r="L67" s="3">
        <v>22192.5</v>
      </c>
      <c r="M67" s="3">
        <v>49030</v>
      </c>
      <c r="N67" s="3">
        <v>8245</v>
      </c>
      <c r="O67" s="3">
        <v>12240</v>
      </c>
      <c r="P67" s="3">
        <v>30365</v>
      </c>
      <c r="R67" s="3">
        <v>12247.5</v>
      </c>
      <c r="S67" s="3">
        <v>16835</v>
      </c>
      <c r="T67" s="3">
        <v>9240</v>
      </c>
      <c r="U67" s="3">
        <v>12725</v>
      </c>
      <c r="V67" s="3">
        <v>6565</v>
      </c>
      <c r="W67" s="3">
        <v>36074</v>
      </c>
      <c r="X67" s="3">
        <f>VLOOKUP(C67,'1-8-26'!$G$2:$I$50,3,0)</f>
        <v>35150</v>
      </c>
      <c r="Y67" s="3">
        <f>GETPIVOTDATA("Sum of Total",'22-8-26'!$G$2,"Nasabah","BU SANDRA")</f>
        <v>26550</v>
      </c>
      <c r="Z67" s="3">
        <f>VLOOKUP(C67,'12-9-26'!$G$2:$I$55,3,0)</f>
        <v>8790</v>
      </c>
      <c r="AC67" s="5">
        <f t="shared" si="0"/>
        <v>416636.5</v>
      </c>
      <c r="AD67" s="37">
        <f t="shared" si="4"/>
        <v>416636.5</v>
      </c>
    </row>
    <row r="68" spans="1:30" x14ac:dyDescent="0.35">
      <c r="A68" s="36"/>
      <c r="B68" s="1">
        <v>66</v>
      </c>
      <c r="C68" t="s">
        <v>208</v>
      </c>
      <c r="D68" s="30">
        <v>4</v>
      </c>
      <c r="E68" s="3">
        <v>1050</v>
      </c>
      <c r="F68" s="3">
        <v>11872.5</v>
      </c>
      <c r="G68" s="3">
        <v>13950</v>
      </c>
      <c r="H68" s="3">
        <v>5700</v>
      </c>
      <c r="J68" s="3">
        <v>8065</v>
      </c>
      <c r="K68" s="3">
        <v>6395</v>
      </c>
      <c r="M68" s="3">
        <v>4012.5</v>
      </c>
      <c r="P68" s="3">
        <v>13035</v>
      </c>
      <c r="R68" s="3">
        <v>14765</v>
      </c>
      <c r="V68" s="3">
        <v>30020</v>
      </c>
      <c r="X68" s="3">
        <f>VLOOKUP(C68,'1-8-26'!$G$2:$I$50,3,0)</f>
        <v>32040</v>
      </c>
      <c r="AC68" s="5">
        <f t="shared" ref="AC68:AC131" si="5">SUM(E68:AB68)</f>
        <v>140905</v>
      </c>
      <c r="AD68" s="37">
        <f t="shared" si="4"/>
        <v>140905</v>
      </c>
    </row>
    <row r="69" spans="1:30" x14ac:dyDescent="0.35">
      <c r="A69" s="36"/>
      <c r="B69" s="1">
        <v>67</v>
      </c>
      <c r="C69" t="s">
        <v>209</v>
      </c>
      <c r="D69" s="30">
        <v>4</v>
      </c>
      <c r="E69" s="3">
        <v>3967.5</v>
      </c>
      <c r="F69" s="3">
        <v>3890</v>
      </c>
      <c r="G69" s="3">
        <v>26870</v>
      </c>
      <c r="H69" s="3">
        <v>4990</v>
      </c>
      <c r="I69" s="3">
        <v>4615</v>
      </c>
      <c r="J69" s="3">
        <v>1610</v>
      </c>
      <c r="K69" s="3">
        <v>6502.5</v>
      </c>
      <c r="M69" s="3">
        <v>3658</v>
      </c>
      <c r="N69" s="3">
        <v>3505</v>
      </c>
      <c r="O69" s="3">
        <v>3725</v>
      </c>
      <c r="P69" s="3">
        <v>4950</v>
      </c>
      <c r="Q69" s="3">
        <v>18825</v>
      </c>
      <c r="R69" s="3">
        <v>7625</v>
      </c>
      <c r="S69" s="3">
        <v>3225</v>
      </c>
      <c r="U69" s="3">
        <v>9245</v>
      </c>
      <c r="W69" s="3">
        <v>20490</v>
      </c>
      <c r="Z69" s="3">
        <f>VLOOKUP(C69,'12-9-26'!$G$2:$I$55,3,0)</f>
        <v>11560</v>
      </c>
      <c r="AC69" s="5">
        <f t="shared" si="5"/>
        <v>139253</v>
      </c>
      <c r="AD69" s="37">
        <f t="shared" si="4"/>
        <v>139253</v>
      </c>
    </row>
    <row r="70" spans="1:30" x14ac:dyDescent="0.35">
      <c r="A70" s="36"/>
      <c r="B70" s="1">
        <v>68</v>
      </c>
      <c r="C70" t="s">
        <v>110</v>
      </c>
      <c r="D70" s="30">
        <v>4</v>
      </c>
      <c r="E70" s="3">
        <v>16985</v>
      </c>
      <c r="G70" s="3">
        <v>21180</v>
      </c>
      <c r="H70" s="3">
        <v>5360</v>
      </c>
      <c r="J70" s="3">
        <v>7695</v>
      </c>
      <c r="L70" s="3">
        <v>5280</v>
      </c>
      <c r="M70" s="3">
        <v>2880</v>
      </c>
      <c r="O70" s="3">
        <v>14085</v>
      </c>
      <c r="P70" s="3">
        <v>2400</v>
      </c>
      <c r="Q70" s="3">
        <v>12367.5</v>
      </c>
      <c r="R70" s="3">
        <v>4347.5</v>
      </c>
      <c r="S70" s="3">
        <v>13645</v>
      </c>
      <c r="T70" s="3">
        <v>7473</v>
      </c>
      <c r="U70" s="3">
        <v>3750</v>
      </c>
      <c r="V70" s="3">
        <v>6695</v>
      </c>
      <c r="W70" s="3">
        <v>5440</v>
      </c>
      <c r="X70" s="3">
        <f>VLOOKUP(C70,'1-8-26'!$G$2:$I$50,3,0)</f>
        <v>9500</v>
      </c>
      <c r="Y70" s="3">
        <f>GETPIVOTDATA("Sum of Total",'22-8-26'!$G$2,"Nasabah","BU SARIYANTI")</f>
        <v>2593</v>
      </c>
      <c r="Z70" s="3">
        <f>VLOOKUP(C70,'12-9-26'!$G$2:$I$55,3,0)</f>
        <v>5025</v>
      </c>
      <c r="AC70" s="5">
        <f t="shared" si="5"/>
        <v>146701</v>
      </c>
      <c r="AD70" s="37">
        <f t="shared" si="4"/>
        <v>146701</v>
      </c>
    </row>
    <row r="71" spans="1:30" x14ac:dyDescent="0.35">
      <c r="A71" s="36"/>
      <c r="B71" s="1">
        <v>69</v>
      </c>
      <c r="C71" t="s">
        <v>112</v>
      </c>
      <c r="D71" s="30">
        <v>4</v>
      </c>
      <c r="E71" s="3">
        <v>3865</v>
      </c>
      <c r="F71" s="3">
        <v>13455</v>
      </c>
      <c r="G71" s="3">
        <v>2947.5</v>
      </c>
      <c r="I71" s="3">
        <v>8620</v>
      </c>
      <c r="J71" s="3">
        <v>6040</v>
      </c>
      <c r="L71" s="3">
        <v>8020</v>
      </c>
      <c r="N71" s="3">
        <v>2460</v>
      </c>
      <c r="P71" s="3">
        <v>3872.5</v>
      </c>
      <c r="R71" s="3">
        <v>5920</v>
      </c>
      <c r="S71" s="3">
        <v>6625</v>
      </c>
      <c r="T71" s="3">
        <v>8572.5</v>
      </c>
      <c r="U71" s="3">
        <v>12420</v>
      </c>
      <c r="V71" s="3">
        <v>13880</v>
      </c>
      <c r="Z71" s="3">
        <f>VLOOKUP(C71,'12-9-26'!$G$2:$I$55,3,0)</f>
        <v>17115</v>
      </c>
      <c r="AC71" s="5">
        <f t="shared" si="5"/>
        <v>113812.5</v>
      </c>
      <c r="AD71" s="37">
        <f t="shared" si="4"/>
        <v>113812.5</v>
      </c>
    </row>
    <row r="72" spans="1:30" x14ac:dyDescent="0.35">
      <c r="A72" s="36"/>
      <c r="B72" s="1">
        <v>70</v>
      </c>
      <c r="C72" t="s">
        <v>210</v>
      </c>
      <c r="D72" s="30">
        <v>4</v>
      </c>
      <c r="E72" s="3">
        <v>7847.5</v>
      </c>
      <c r="F72" s="3">
        <v>3345</v>
      </c>
      <c r="G72" s="3">
        <v>6220</v>
      </c>
      <c r="I72" s="3">
        <v>4245</v>
      </c>
      <c r="J72" s="3">
        <v>3832.5</v>
      </c>
      <c r="U72" s="3">
        <v>6820</v>
      </c>
      <c r="AC72" s="5">
        <f t="shared" si="5"/>
        <v>32310</v>
      </c>
      <c r="AD72" s="37">
        <f t="shared" si="4"/>
        <v>32310</v>
      </c>
    </row>
    <row r="73" spans="1:30" x14ac:dyDescent="0.35">
      <c r="B73" s="1">
        <v>71</v>
      </c>
      <c r="C73" t="s">
        <v>211</v>
      </c>
      <c r="D73" s="30">
        <v>4</v>
      </c>
      <c r="E73" s="3">
        <v>6590</v>
      </c>
      <c r="F73" s="3">
        <v>1330</v>
      </c>
      <c r="H73" s="3">
        <v>2030</v>
      </c>
      <c r="I73" s="3">
        <v>3380</v>
      </c>
      <c r="J73" s="3">
        <v>2830</v>
      </c>
      <c r="K73" s="3">
        <v>2885</v>
      </c>
      <c r="L73" s="3">
        <v>6425</v>
      </c>
      <c r="N73" s="3">
        <v>5462.5</v>
      </c>
      <c r="O73" s="3">
        <v>2610</v>
      </c>
      <c r="R73" s="3">
        <v>5100</v>
      </c>
      <c r="S73" s="3">
        <v>9055</v>
      </c>
      <c r="U73" s="3">
        <v>1280</v>
      </c>
      <c r="W73" s="3">
        <v>12005</v>
      </c>
      <c r="Z73" s="3">
        <f>VLOOKUP(C73,'12-9-26'!$G$2:$I$55,3,0)</f>
        <v>7575</v>
      </c>
      <c r="AC73" s="5">
        <f t="shared" si="5"/>
        <v>68557.5</v>
      </c>
      <c r="AD73" s="37">
        <f t="shared" si="4"/>
        <v>68557.5</v>
      </c>
    </row>
    <row r="74" spans="1:30" x14ac:dyDescent="0.35">
      <c r="A74" s="36"/>
      <c r="B74" s="1">
        <v>72</v>
      </c>
      <c r="C74" t="s">
        <v>113</v>
      </c>
      <c r="D74" s="30">
        <v>4</v>
      </c>
      <c r="E74" s="3">
        <v>2580</v>
      </c>
      <c r="F74" s="3">
        <v>1507.5</v>
      </c>
      <c r="H74" s="3">
        <v>91132.5</v>
      </c>
      <c r="I74" s="3">
        <v>43372.5</v>
      </c>
      <c r="K74" s="3">
        <v>9667.5</v>
      </c>
      <c r="L74" s="3">
        <v>105795</v>
      </c>
      <c r="M74" s="3">
        <v>44775</v>
      </c>
      <c r="N74" s="3">
        <v>23435</v>
      </c>
      <c r="O74" s="3">
        <v>12900</v>
      </c>
      <c r="P74" s="3">
        <v>11340</v>
      </c>
      <c r="Q74" s="3">
        <v>31942.5</v>
      </c>
      <c r="R74" s="3">
        <v>94002.5</v>
      </c>
      <c r="T74" s="3">
        <v>8746</v>
      </c>
      <c r="U74" s="3">
        <v>8545</v>
      </c>
      <c r="V74" s="3">
        <v>8690</v>
      </c>
      <c r="X74" s="3">
        <f>VLOOKUP(C74,'1-8-26'!$G$2:$I$50,3,0)</f>
        <v>13160</v>
      </c>
      <c r="Z74" s="3">
        <f>VLOOKUP(C74,'12-9-26'!$G$2:$I$55,3,0)</f>
        <v>29660</v>
      </c>
      <c r="AC74" s="5">
        <f t="shared" si="5"/>
        <v>541251</v>
      </c>
      <c r="AD74" s="37">
        <f t="shared" si="4"/>
        <v>541251</v>
      </c>
    </row>
    <row r="75" spans="1:30" x14ac:dyDescent="0.35">
      <c r="A75" s="36"/>
      <c r="B75" s="1">
        <v>73</v>
      </c>
      <c r="C75" t="s">
        <v>212</v>
      </c>
      <c r="D75" s="30">
        <v>4</v>
      </c>
      <c r="F75" s="3">
        <v>3800</v>
      </c>
      <c r="H75" s="3">
        <v>10445</v>
      </c>
      <c r="I75" s="3">
        <v>2030</v>
      </c>
      <c r="J75" s="3">
        <v>1010</v>
      </c>
      <c r="K75" s="3">
        <v>1220</v>
      </c>
      <c r="M75" s="3">
        <v>4355</v>
      </c>
      <c r="N75" s="3">
        <v>5632.5</v>
      </c>
      <c r="O75" s="3">
        <v>5695</v>
      </c>
      <c r="AC75" s="5">
        <f t="shared" si="5"/>
        <v>34187.5</v>
      </c>
      <c r="AD75" s="37">
        <f t="shared" si="4"/>
        <v>34187.5</v>
      </c>
    </row>
    <row r="76" spans="1:30" x14ac:dyDescent="0.35">
      <c r="A76" s="36"/>
      <c r="B76" s="1">
        <v>74</v>
      </c>
      <c r="C76" t="s">
        <v>213</v>
      </c>
      <c r="D76" s="30">
        <v>4</v>
      </c>
      <c r="E76" s="3">
        <v>2700</v>
      </c>
      <c r="F76" s="3">
        <v>14012.5</v>
      </c>
      <c r="I76" s="3">
        <v>2175</v>
      </c>
      <c r="J76" s="3">
        <v>2882.5</v>
      </c>
      <c r="K76" s="3">
        <v>4925</v>
      </c>
      <c r="L76" s="3">
        <v>6267.5</v>
      </c>
      <c r="N76" s="3">
        <v>16905</v>
      </c>
      <c r="O76" s="3">
        <v>12720</v>
      </c>
      <c r="P76" s="3">
        <v>8510</v>
      </c>
      <c r="Q76" s="3">
        <v>5320</v>
      </c>
      <c r="R76" s="3">
        <v>18460</v>
      </c>
      <c r="U76" s="3">
        <v>15005</v>
      </c>
      <c r="V76" s="3">
        <v>8510</v>
      </c>
      <c r="W76" s="3">
        <v>2860</v>
      </c>
      <c r="X76" s="3">
        <f>VLOOKUP(C76,'1-8-26'!$G$2:$I$50,3,0)</f>
        <v>44785</v>
      </c>
      <c r="Y76" s="3">
        <f>GETPIVOTDATA("Sum of Total",'22-8-26'!$G$2,"Nasabah","BU SURIYA")</f>
        <v>25025</v>
      </c>
      <c r="Z76" s="3">
        <f>VLOOKUP(C76,'12-9-26'!$G$2:$I$55,3,0)</f>
        <v>3790</v>
      </c>
      <c r="AC76" s="5">
        <f t="shared" si="5"/>
        <v>194852.5</v>
      </c>
      <c r="AD76" s="37">
        <f t="shared" si="4"/>
        <v>194852.5</v>
      </c>
    </row>
    <row r="77" spans="1:30" x14ac:dyDescent="0.35">
      <c r="B77" s="1">
        <v>75</v>
      </c>
      <c r="C77" t="s">
        <v>214</v>
      </c>
      <c r="D77" s="30">
        <v>4</v>
      </c>
      <c r="E77" s="3">
        <v>2085</v>
      </c>
      <c r="F77" s="3">
        <v>450</v>
      </c>
      <c r="G77" s="3">
        <v>22535</v>
      </c>
      <c r="K77" s="3">
        <v>8255</v>
      </c>
      <c r="N77" s="3">
        <v>10000</v>
      </c>
      <c r="O77" s="3">
        <v>89172.5</v>
      </c>
      <c r="P77" s="3">
        <v>6650</v>
      </c>
      <c r="Q77" s="3">
        <v>16020</v>
      </c>
      <c r="R77" s="3">
        <v>18984</v>
      </c>
      <c r="V77" s="3">
        <v>17135</v>
      </c>
      <c r="Z77" s="3">
        <f>VLOOKUP(C77,'12-9-26'!$G$2:$I$55,3,0)</f>
        <v>19180</v>
      </c>
      <c r="AC77" s="5">
        <f t="shared" si="5"/>
        <v>210466.5</v>
      </c>
      <c r="AD77" s="37">
        <f>AC77-200000</f>
        <v>10466.5</v>
      </c>
    </row>
    <row r="78" spans="1:30" x14ac:dyDescent="0.35">
      <c r="B78" s="1">
        <v>76</v>
      </c>
      <c r="C78" t="s">
        <v>215</v>
      </c>
      <c r="D78" s="30">
        <v>4</v>
      </c>
      <c r="I78" s="3">
        <v>3760</v>
      </c>
      <c r="N78" s="3">
        <v>9635</v>
      </c>
      <c r="P78" s="3">
        <v>1505</v>
      </c>
      <c r="S78" s="3">
        <v>6200</v>
      </c>
      <c r="U78" s="3">
        <v>4475</v>
      </c>
      <c r="W78" s="3">
        <v>46575</v>
      </c>
      <c r="Y78" s="3">
        <f>GETPIVOTDATA("Sum of Total",'22-8-26'!$G$2,"Nasabah","DAME")</f>
        <v>32030</v>
      </c>
      <c r="AC78" s="5">
        <f t="shared" si="5"/>
        <v>104180</v>
      </c>
      <c r="AD78" s="37">
        <f t="shared" si="4"/>
        <v>104180</v>
      </c>
    </row>
    <row r="79" spans="1:30" x14ac:dyDescent="0.35">
      <c r="A79" s="36"/>
      <c r="B79" s="1">
        <v>77</v>
      </c>
      <c r="C79" t="s">
        <v>117</v>
      </c>
      <c r="D79" s="30">
        <v>4</v>
      </c>
      <c r="E79" s="3">
        <v>6425</v>
      </c>
      <c r="F79" s="3">
        <v>25205</v>
      </c>
      <c r="G79" s="3">
        <v>24725</v>
      </c>
      <c r="H79" s="3">
        <v>29490</v>
      </c>
      <c r="I79" s="3">
        <v>19012.5</v>
      </c>
      <c r="J79" s="3">
        <v>9142.5</v>
      </c>
      <c r="K79" s="3">
        <v>41925</v>
      </c>
      <c r="L79" s="3">
        <v>16940</v>
      </c>
      <c r="M79" s="3">
        <v>9100</v>
      </c>
      <c r="N79" s="3">
        <v>30970</v>
      </c>
      <c r="O79" s="3">
        <v>22280</v>
      </c>
      <c r="P79" s="3">
        <v>10855</v>
      </c>
      <c r="Q79" s="3">
        <v>28820</v>
      </c>
      <c r="R79" s="3">
        <v>7390</v>
      </c>
      <c r="S79" s="3">
        <v>12785</v>
      </c>
      <c r="T79" s="3">
        <v>18788</v>
      </c>
      <c r="U79" s="3">
        <v>40557.5</v>
      </c>
      <c r="W79" s="3">
        <v>32480</v>
      </c>
      <c r="X79" s="3">
        <f>VLOOKUP(C79,'1-8-26'!$G$2:$I$50,3,0)</f>
        <v>6405</v>
      </c>
      <c r="Y79" s="3">
        <f>GETPIVOTDATA("Sum of Total",'22-8-26'!$G$2,"Nasabah","BU TUNUT")</f>
        <v>50750</v>
      </c>
      <c r="Z79" s="3">
        <f>VLOOKUP(C79,'12-9-26'!$G$2:$I$55,3,0)</f>
        <v>2025</v>
      </c>
      <c r="AC79" s="5">
        <f t="shared" si="5"/>
        <v>446070.5</v>
      </c>
      <c r="AD79" s="37">
        <f>AC79-200000</f>
        <v>246070.5</v>
      </c>
    </row>
    <row r="80" spans="1:30" x14ac:dyDescent="0.35">
      <c r="A80" s="36"/>
      <c r="B80" s="1">
        <v>78</v>
      </c>
      <c r="C80" t="s">
        <v>119</v>
      </c>
      <c r="D80" s="30">
        <v>4</v>
      </c>
      <c r="G80" s="3">
        <v>5820</v>
      </c>
      <c r="I80" s="3">
        <v>3900</v>
      </c>
      <c r="J80" s="3">
        <v>5100</v>
      </c>
      <c r="K80" s="3">
        <v>4050</v>
      </c>
      <c r="L80" s="3">
        <v>4860</v>
      </c>
      <c r="M80" s="3">
        <v>1375</v>
      </c>
      <c r="N80" s="3">
        <v>4830</v>
      </c>
      <c r="O80" s="3">
        <v>4190</v>
      </c>
      <c r="P80" s="3">
        <v>2342.5</v>
      </c>
      <c r="Q80" s="3">
        <v>3770</v>
      </c>
      <c r="S80" s="3">
        <v>1607.5</v>
      </c>
      <c r="T80" s="3">
        <v>2680</v>
      </c>
      <c r="U80" s="3">
        <v>6307.5</v>
      </c>
      <c r="V80" s="3">
        <v>2725</v>
      </c>
      <c r="W80" s="3">
        <v>6335</v>
      </c>
      <c r="X80" s="3">
        <f>VLOOKUP(C80,'1-8-26'!$G$2:$I$50,3,0)</f>
        <v>2205</v>
      </c>
      <c r="Y80" s="3">
        <f>GETPIVOTDATA("Sum of Total",'22-8-26'!$G$2,"Nasabah","MAMA ADAM")</f>
        <v>4830</v>
      </c>
      <c r="Z80" s="3">
        <f>VLOOKUP(C80,'12-9-26'!$G$2:$I$55,3,0)</f>
        <v>5980</v>
      </c>
      <c r="AC80" s="5">
        <f t="shared" si="5"/>
        <v>72907.5</v>
      </c>
      <c r="AD80" s="37">
        <f t="shared" si="4"/>
        <v>72907.5</v>
      </c>
    </row>
    <row r="81" spans="1:32" x14ac:dyDescent="0.35">
      <c r="A81" s="36"/>
      <c r="B81" s="1">
        <v>79</v>
      </c>
      <c r="C81" t="s">
        <v>216</v>
      </c>
      <c r="D81" s="30">
        <v>4</v>
      </c>
      <c r="E81" s="3">
        <v>4345</v>
      </c>
      <c r="G81" s="3">
        <v>11845</v>
      </c>
      <c r="I81" s="3">
        <v>12290</v>
      </c>
      <c r="J81" s="3">
        <v>9280</v>
      </c>
      <c r="K81" s="3">
        <v>6450</v>
      </c>
      <c r="M81" s="3">
        <v>4302.5</v>
      </c>
      <c r="N81" s="3">
        <v>3200</v>
      </c>
      <c r="O81" s="3">
        <v>5580</v>
      </c>
      <c r="P81" s="3">
        <v>25395</v>
      </c>
      <c r="W81" s="3">
        <v>6070</v>
      </c>
      <c r="X81" s="3">
        <f>VLOOKUP(C81,'1-8-26'!$G$2:$I$50,3,0)</f>
        <v>5548</v>
      </c>
      <c r="Z81" s="3">
        <f>VLOOKUP(C81,'12-9-26'!$G$2:$I$55,3,0)</f>
        <v>26075</v>
      </c>
      <c r="AC81" s="5">
        <f t="shared" si="5"/>
        <v>120380.5</v>
      </c>
      <c r="AD81" s="37">
        <f t="shared" si="4"/>
        <v>120380.5</v>
      </c>
    </row>
    <row r="82" spans="1:32" x14ac:dyDescent="0.35">
      <c r="B82" s="1">
        <v>80</v>
      </c>
      <c r="C82" t="s">
        <v>122</v>
      </c>
      <c r="D82" s="30">
        <v>4</v>
      </c>
      <c r="E82" s="3">
        <v>7700</v>
      </c>
      <c r="F82" s="3">
        <v>9495</v>
      </c>
      <c r="G82" s="3">
        <v>6150</v>
      </c>
      <c r="I82" s="3">
        <v>7455</v>
      </c>
      <c r="K82" s="3">
        <v>12155</v>
      </c>
      <c r="M82" s="3">
        <v>8332.5</v>
      </c>
      <c r="N82" s="3">
        <v>5865</v>
      </c>
      <c r="O82" s="3">
        <v>214740</v>
      </c>
      <c r="P82" s="3">
        <v>12790</v>
      </c>
      <c r="R82" s="3">
        <v>20335</v>
      </c>
      <c r="S82" s="3">
        <v>8550</v>
      </c>
      <c r="T82" s="3">
        <v>12381</v>
      </c>
      <c r="V82" s="3">
        <v>20945</v>
      </c>
      <c r="W82" s="3">
        <v>36629</v>
      </c>
      <c r="Y82" s="3">
        <f>GETPIVOTDATA("Sum of Total",'22-8-26'!$G$2,"Nasabah","SELLY")</f>
        <v>22950</v>
      </c>
      <c r="Z82" s="3">
        <f>VLOOKUP(C82,'12-9-26'!$G$2:$I$55,3,0)</f>
        <v>14850</v>
      </c>
      <c r="AC82" s="5">
        <f t="shared" si="5"/>
        <v>421322.5</v>
      </c>
      <c r="AD82" s="37">
        <f>AC82-200000</f>
        <v>221322.5</v>
      </c>
    </row>
    <row r="83" spans="1:32" x14ac:dyDescent="0.35">
      <c r="B83" s="1">
        <v>81</v>
      </c>
      <c r="C83" t="s">
        <v>217</v>
      </c>
      <c r="D83" s="30">
        <v>4</v>
      </c>
      <c r="F83" s="3">
        <v>1350</v>
      </c>
      <c r="G83" s="3">
        <v>10182.5</v>
      </c>
      <c r="H83" s="3">
        <v>2525</v>
      </c>
      <c r="I83" s="3">
        <v>21930</v>
      </c>
      <c r="J83" s="3">
        <v>11700</v>
      </c>
      <c r="K83" s="3">
        <v>14425</v>
      </c>
      <c r="L83" s="3">
        <v>6535</v>
      </c>
      <c r="M83" s="3">
        <v>8590</v>
      </c>
      <c r="N83" s="3">
        <v>24227.5</v>
      </c>
      <c r="O83" s="3">
        <v>5579.9999999999991</v>
      </c>
      <c r="P83" s="3">
        <v>24135</v>
      </c>
      <c r="R83" s="3">
        <v>24337.5</v>
      </c>
      <c r="S83" s="3">
        <v>17757.5</v>
      </c>
      <c r="V83" s="3">
        <v>49053</v>
      </c>
      <c r="W83" s="3">
        <v>31965</v>
      </c>
      <c r="X83" s="3">
        <f>VLOOKUP(C83,'1-8-26'!$G$2:$I$50,3,0)</f>
        <v>22583</v>
      </c>
      <c r="Y83" s="3">
        <f>GETPIVOTDATA("Sum of Total",'22-8-26'!$G$2,"Nasabah","MBA DIAN")</f>
        <v>15375</v>
      </c>
      <c r="Z83" s="3">
        <f>VLOOKUP(C83,'12-9-26'!$G$2:$I$55,3,0)</f>
        <v>35367.5</v>
      </c>
      <c r="AC83" s="5">
        <f t="shared" si="5"/>
        <v>327618.5</v>
      </c>
      <c r="AD83" s="37">
        <f>AC83-131000</f>
        <v>196618.5</v>
      </c>
    </row>
    <row r="84" spans="1:32" x14ac:dyDescent="0.35">
      <c r="B84" s="1">
        <v>82</v>
      </c>
      <c r="C84" t="s">
        <v>218</v>
      </c>
      <c r="D84" s="1">
        <v>4</v>
      </c>
      <c r="M84" s="3">
        <v>33820</v>
      </c>
      <c r="R84" s="3">
        <v>7920</v>
      </c>
      <c r="Y84" s="3">
        <f>GETPIVOTDATA("Sum of Total",'22-8-26'!$G$2,"Nasabah","PAK GIRI")</f>
        <v>3588</v>
      </c>
      <c r="AC84" s="5">
        <f t="shared" si="5"/>
        <v>45328</v>
      </c>
      <c r="AD84" s="37">
        <f t="shared" si="4"/>
        <v>45328</v>
      </c>
    </row>
    <row r="85" spans="1:32" x14ac:dyDescent="0.35">
      <c r="B85" s="1">
        <v>83</v>
      </c>
      <c r="C85" t="s">
        <v>219</v>
      </c>
      <c r="D85" s="30">
        <v>5</v>
      </c>
      <c r="E85" s="39"/>
      <c r="F85" s="39"/>
      <c r="G85" s="39">
        <v>41200</v>
      </c>
      <c r="H85" s="39"/>
      <c r="I85" s="39"/>
      <c r="AB85" s="39"/>
      <c r="AC85" s="5">
        <f t="shared" si="5"/>
        <v>41200</v>
      </c>
      <c r="AD85" s="37">
        <f>AC85-41200</f>
        <v>0</v>
      </c>
      <c r="AE85" s="31" t="s">
        <v>143</v>
      </c>
      <c r="AF85" t="s">
        <v>161</v>
      </c>
    </row>
    <row r="86" spans="1:32" x14ac:dyDescent="0.35">
      <c r="B86" s="1">
        <v>84</v>
      </c>
      <c r="C86" t="s">
        <v>220</v>
      </c>
      <c r="D86" s="30">
        <v>5</v>
      </c>
      <c r="E86" s="39"/>
      <c r="F86" s="39"/>
      <c r="G86" s="39"/>
      <c r="I86" s="3">
        <v>12610</v>
      </c>
      <c r="K86" s="3">
        <v>14517.5</v>
      </c>
      <c r="L86" s="3">
        <v>4800</v>
      </c>
      <c r="O86" s="3">
        <v>15515</v>
      </c>
      <c r="R86" s="3">
        <v>24646</v>
      </c>
      <c r="S86" s="3">
        <v>24435</v>
      </c>
      <c r="V86" s="3">
        <v>25413</v>
      </c>
      <c r="Y86" s="3">
        <f>GETPIVOTDATA("Sum of Total",'22-8-26'!$G$2,"Nasabah","BU DIDA")</f>
        <v>41830</v>
      </c>
      <c r="Z86" s="3">
        <f>VLOOKUP(C86,'12-9-26'!$G$2:$I$55,3,0)</f>
        <v>7305</v>
      </c>
      <c r="AC86" s="5">
        <f t="shared" si="5"/>
        <v>171071.5</v>
      </c>
      <c r="AD86" s="37">
        <f>AC86</f>
        <v>171071.5</v>
      </c>
    </row>
    <row r="87" spans="1:32" x14ac:dyDescent="0.35">
      <c r="A87" s="36"/>
      <c r="B87" s="1">
        <v>85</v>
      </c>
      <c r="C87" t="s">
        <v>101</v>
      </c>
      <c r="D87" s="30">
        <v>5</v>
      </c>
      <c r="E87" s="3">
        <v>25600</v>
      </c>
      <c r="F87" s="3">
        <v>13575</v>
      </c>
      <c r="K87" s="3">
        <v>13482.5</v>
      </c>
      <c r="M87" s="3">
        <v>4290</v>
      </c>
      <c r="N87" s="3">
        <v>3600</v>
      </c>
      <c r="P87" s="3">
        <v>26730</v>
      </c>
      <c r="R87" s="3">
        <v>38785</v>
      </c>
      <c r="T87" s="3">
        <v>5799</v>
      </c>
      <c r="V87" s="3">
        <v>15285</v>
      </c>
      <c r="X87" s="3">
        <f>VLOOKUP(C87,'1-8-26'!$G$2:$I$50,3,0)</f>
        <v>4695</v>
      </c>
      <c r="Z87" s="3">
        <f>VLOOKUP(C87,'12-9-26'!$G$2:$I$55,3,0)</f>
        <v>15905</v>
      </c>
      <c r="AC87" s="5">
        <f t="shared" si="5"/>
        <v>167746.5</v>
      </c>
      <c r="AD87" s="37">
        <f>AC87</f>
        <v>167746.5</v>
      </c>
    </row>
    <row r="88" spans="1:32" x14ac:dyDescent="0.35">
      <c r="A88" s="36"/>
      <c r="B88" s="1">
        <v>86</v>
      </c>
      <c r="C88" t="s">
        <v>89</v>
      </c>
      <c r="D88" s="30">
        <v>5</v>
      </c>
      <c r="G88" s="3">
        <v>25130</v>
      </c>
      <c r="H88" s="3">
        <v>14690</v>
      </c>
      <c r="I88" s="3">
        <v>25095</v>
      </c>
      <c r="J88" s="3">
        <v>30015</v>
      </c>
      <c r="K88" s="3">
        <v>40895</v>
      </c>
      <c r="L88" s="3">
        <v>9275</v>
      </c>
      <c r="M88" s="3">
        <v>14485</v>
      </c>
      <c r="N88" s="3">
        <v>23420</v>
      </c>
      <c r="O88" s="3">
        <v>11580</v>
      </c>
      <c r="Q88" s="3">
        <v>38800</v>
      </c>
      <c r="R88" s="3">
        <v>9950</v>
      </c>
      <c r="S88" s="3">
        <v>19385</v>
      </c>
      <c r="T88" s="3">
        <v>30170</v>
      </c>
      <c r="U88" s="3">
        <v>14960</v>
      </c>
      <c r="V88" s="3">
        <v>21273</v>
      </c>
      <c r="W88" s="3">
        <v>34575</v>
      </c>
      <c r="X88" s="3">
        <f>VLOOKUP(C88,'1-8-26'!$G$2:$I$50,3,0)</f>
        <v>16485</v>
      </c>
      <c r="Y88" s="3">
        <f>GETPIVOTDATA("Sum of Total",'22-8-26'!$G$2,"Nasabah","BU ECIN DWI")</f>
        <v>34258</v>
      </c>
      <c r="Z88" s="3">
        <f>VLOOKUP(C88,'12-9-26'!$G$2:$I$55,3,0)</f>
        <v>21945</v>
      </c>
      <c r="AC88" s="5">
        <f t="shared" si="5"/>
        <v>436386</v>
      </c>
      <c r="AD88" s="37">
        <f>AC88-100000-200000</f>
        <v>136386</v>
      </c>
    </row>
    <row r="89" spans="1:32" x14ac:dyDescent="0.35">
      <c r="B89" s="1">
        <v>87</v>
      </c>
      <c r="C89" t="s">
        <v>221</v>
      </c>
      <c r="D89" s="30">
        <v>5</v>
      </c>
      <c r="E89" s="3">
        <v>1195</v>
      </c>
      <c r="U89" s="3">
        <v>16287.5</v>
      </c>
      <c r="V89" s="3">
        <v>1820</v>
      </c>
      <c r="AC89" s="5">
        <f t="shared" si="5"/>
        <v>19302.5</v>
      </c>
      <c r="AD89" s="37">
        <f t="shared" ref="AD89:AD110" si="6">AC89</f>
        <v>19302.5</v>
      </c>
    </row>
    <row r="90" spans="1:32" x14ac:dyDescent="0.35">
      <c r="A90" s="36"/>
      <c r="B90" s="1">
        <v>88</v>
      </c>
      <c r="C90" t="s">
        <v>222</v>
      </c>
      <c r="D90" s="30">
        <v>5</v>
      </c>
      <c r="E90" s="3">
        <v>4530</v>
      </c>
      <c r="I90" s="3">
        <v>12220</v>
      </c>
      <c r="K90" s="3">
        <v>10582.5</v>
      </c>
      <c r="N90" s="3">
        <v>19670</v>
      </c>
      <c r="P90" s="3">
        <v>14570</v>
      </c>
      <c r="R90" s="3">
        <v>28212.5</v>
      </c>
      <c r="W90" s="3">
        <v>36000</v>
      </c>
      <c r="Z90" s="3">
        <f>VLOOKUP(C90,'12-9-26'!$G$2:$I$55,3,0)</f>
        <v>35692.5</v>
      </c>
      <c r="AC90" s="5">
        <f t="shared" si="5"/>
        <v>161477.5</v>
      </c>
      <c r="AD90" s="37">
        <f>AC90-80000</f>
        <v>81477.5</v>
      </c>
    </row>
    <row r="91" spans="1:32" x14ac:dyDescent="0.35">
      <c r="A91" s="36"/>
      <c r="B91" s="1">
        <v>89</v>
      </c>
      <c r="C91" t="s">
        <v>223</v>
      </c>
      <c r="D91" s="30">
        <v>5</v>
      </c>
      <c r="E91" s="3">
        <v>15546</v>
      </c>
      <c r="H91" s="3">
        <v>36695</v>
      </c>
      <c r="I91" s="3">
        <v>12437.5</v>
      </c>
      <c r="K91" s="3">
        <v>48435</v>
      </c>
      <c r="Q91" s="3">
        <v>17330</v>
      </c>
      <c r="AC91" s="5">
        <f t="shared" si="5"/>
        <v>130443.5</v>
      </c>
      <c r="AD91" s="37">
        <f>AC91-110000</f>
        <v>20443.5</v>
      </c>
    </row>
    <row r="92" spans="1:32" x14ac:dyDescent="0.35">
      <c r="A92" s="36"/>
      <c r="B92" s="1">
        <v>90</v>
      </c>
      <c r="C92" t="s">
        <v>224</v>
      </c>
      <c r="D92" s="30">
        <v>5</v>
      </c>
      <c r="E92" s="3">
        <v>6720</v>
      </c>
      <c r="G92" s="3">
        <v>5540</v>
      </c>
      <c r="I92" s="3">
        <v>17760</v>
      </c>
      <c r="K92" s="3">
        <v>12057.5</v>
      </c>
      <c r="M92" s="3">
        <v>5000</v>
      </c>
      <c r="S92" s="3">
        <v>45954</v>
      </c>
      <c r="W92" s="3">
        <v>18073</v>
      </c>
      <c r="Y92" s="3">
        <f>GETPIVOTDATA("Sum of Total",'22-8-26'!$G$2,"Nasabah","BU YANTI")</f>
        <v>13595</v>
      </c>
      <c r="AC92" s="5">
        <f t="shared" si="5"/>
        <v>124699.5</v>
      </c>
      <c r="AD92" s="37">
        <f t="shared" si="6"/>
        <v>124699.5</v>
      </c>
    </row>
    <row r="93" spans="1:32" x14ac:dyDescent="0.35">
      <c r="A93" s="36"/>
      <c r="B93" s="1">
        <v>91</v>
      </c>
      <c r="C93" t="s">
        <v>225</v>
      </c>
      <c r="D93" s="30">
        <v>5</v>
      </c>
      <c r="E93" s="3">
        <v>45685</v>
      </c>
      <c r="F93" s="3">
        <v>15025</v>
      </c>
      <c r="G93" s="3">
        <v>5095</v>
      </c>
      <c r="H93" s="3">
        <v>4670</v>
      </c>
      <c r="I93" s="3">
        <v>3015</v>
      </c>
      <c r="J93" s="3">
        <v>11630</v>
      </c>
      <c r="K93" s="3">
        <v>7010</v>
      </c>
      <c r="L93" s="3">
        <v>4645</v>
      </c>
      <c r="M93" s="3">
        <v>13400</v>
      </c>
      <c r="N93" s="3">
        <v>9300</v>
      </c>
      <c r="O93" s="3">
        <v>29565</v>
      </c>
      <c r="P93" s="3">
        <v>13585</v>
      </c>
      <c r="Q93" s="3">
        <v>9475</v>
      </c>
      <c r="R93" s="3">
        <v>13840</v>
      </c>
      <c r="S93" s="3">
        <v>25940</v>
      </c>
      <c r="U93" s="3">
        <v>52985</v>
      </c>
      <c r="V93" s="3">
        <v>53002</v>
      </c>
      <c r="X93" s="3">
        <f>VLOOKUP(C93,'1-8-26'!$G$2:$I$50,3,0)</f>
        <v>31445</v>
      </c>
      <c r="Y93" s="3">
        <f>GETPIVOTDATA("Sum of Total",'22-8-26'!$G$2,"Nasabah","BU LILIS")</f>
        <v>60998</v>
      </c>
      <c r="Z93" s="3">
        <f>VLOOKUP(C93,'12-9-26'!$G$2:$I$55,3,0)</f>
        <v>57845</v>
      </c>
      <c r="AC93" s="5">
        <f t="shared" si="5"/>
        <v>468155</v>
      </c>
      <c r="AD93" s="37">
        <f t="shared" si="6"/>
        <v>468155</v>
      </c>
    </row>
    <row r="94" spans="1:32" x14ac:dyDescent="0.35">
      <c r="B94" s="1">
        <v>92</v>
      </c>
      <c r="C94" t="s">
        <v>226</v>
      </c>
      <c r="D94" s="30">
        <v>5</v>
      </c>
      <c r="E94" s="3">
        <v>6515</v>
      </c>
      <c r="G94" s="3">
        <v>3665</v>
      </c>
      <c r="K94" s="3">
        <v>1402.5</v>
      </c>
      <c r="AC94" s="5">
        <f t="shared" si="5"/>
        <v>11582.5</v>
      </c>
      <c r="AD94" s="37">
        <f t="shared" si="6"/>
        <v>11582.5</v>
      </c>
    </row>
    <row r="95" spans="1:32" x14ac:dyDescent="0.35">
      <c r="B95" s="1">
        <v>93</v>
      </c>
      <c r="C95" t="s">
        <v>96</v>
      </c>
      <c r="D95" s="30">
        <v>5</v>
      </c>
      <c r="F95" s="3">
        <v>18200</v>
      </c>
      <c r="I95" s="3">
        <v>3277.5</v>
      </c>
      <c r="N95" s="3">
        <v>16720</v>
      </c>
      <c r="S95" s="3">
        <v>109310</v>
      </c>
      <c r="T95" s="3">
        <v>10975</v>
      </c>
      <c r="Y95" s="3">
        <f>GETPIVOTDATA("Sum of Total",'22-8-26'!$G$2,"Nasabah","SYIFA KAMILA")</f>
        <v>2525</v>
      </c>
      <c r="Z95" s="3">
        <f>VLOOKUP(C95,'12-9-26'!$G$2:$I$55,3,0)</f>
        <v>7650</v>
      </c>
      <c r="AC95" s="5">
        <f t="shared" si="5"/>
        <v>168657.5</v>
      </c>
      <c r="AD95" s="37">
        <f>AC95-150000</f>
        <v>18657.5</v>
      </c>
    </row>
    <row r="96" spans="1:32" x14ac:dyDescent="0.35">
      <c r="A96" s="36"/>
      <c r="B96" s="1">
        <v>94</v>
      </c>
      <c r="C96" t="s">
        <v>227</v>
      </c>
      <c r="D96" s="30">
        <v>5</v>
      </c>
      <c r="F96" s="3">
        <v>3735</v>
      </c>
      <c r="H96" s="3">
        <v>5050</v>
      </c>
      <c r="L96" s="3">
        <v>22085</v>
      </c>
      <c r="O96" s="3">
        <v>6215</v>
      </c>
      <c r="Q96" s="3">
        <v>14230</v>
      </c>
      <c r="S96" s="3">
        <v>28280</v>
      </c>
      <c r="V96" s="3">
        <v>12585</v>
      </c>
      <c r="AC96" s="5">
        <f t="shared" si="5"/>
        <v>92180</v>
      </c>
      <c r="AD96" s="37">
        <f t="shared" si="6"/>
        <v>92180</v>
      </c>
    </row>
    <row r="97" spans="1:32" x14ac:dyDescent="0.35">
      <c r="A97" s="36"/>
      <c r="B97" s="1">
        <v>95</v>
      </c>
      <c r="C97" t="s">
        <v>228</v>
      </c>
      <c r="D97" s="30">
        <v>5</v>
      </c>
      <c r="L97" s="3">
        <v>23122</v>
      </c>
      <c r="M97" s="3">
        <v>17855</v>
      </c>
      <c r="Q97" s="3">
        <v>45495</v>
      </c>
      <c r="R97" s="3">
        <v>71540</v>
      </c>
      <c r="S97" s="3">
        <v>12450</v>
      </c>
      <c r="U97" s="3">
        <v>52477.5</v>
      </c>
      <c r="V97" s="3">
        <v>15935</v>
      </c>
      <c r="W97" s="3">
        <v>16898</v>
      </c>
      <c r="X97" s="3">
        <f>VLOOKUP(C97,'1-8-26'!$G$2:$I$50,3,0)</f>
        <v>54915</v>
      </c>
      <c r="Y97" s="3">
        <f>GETPIVOTDATA("Sum of Total",'22-8-26'!$G$2,"Nasabah","OMA CARRISA")</f>
        <v>52888</v>
      </c>
      <c r="Z97" s="3">
        <f>VLOOKUP(C97,'12-9-26'!$G$2:$I$55,3,0)</f>
        <v>41690</v>
      </c>
      <c r="AC97" s="5">
        <f t="shared" si="5"/>
        <v>405265.5</v>
      </c>
      <c r="AD97" s="37">
        <f t="shared" si="6"/>
        <v>405265.5</v>
      </c>
    </row>
    <row r="98" spans="1:32" x14ac:dyDescent="0.35">
      <c r="B98" s="1">
        <v>96</v>
      </c>
      <c r="C98" t="s">
        <v>229</v>
      </c>
      <c r="D98" s="30">
        <v>5</v>
      </c>
      <c r="N98" s="3">
        <v>7000</v>
      </c>
      <c r="AC98" s="5">
        <f t="shared" si="5"/>
        <v>7000</v>
      </c>
      <c r="AD98" s="37">
        <f t="shared" si="6"/>
        <v>7000</v>
      </c>
    </row>
    <row r="99" spans="1:32" x14ac:dyDescent="0.35">
      <c r="B99" s="1">
        <v>97</v>
      </c>
      <c r="C99" t="s">
        <v>230</v>
      </c>
      <c r="D99" s="30">
        <v>5</v>
      </c>
      <c r="O99" s="3">
        <v>29200</v>
      </c>
      <c r="Q99" s="3">
        <v>6055</v>
      </c>
      <c r="R99" s="3">
        <v>20495</v>
      </c>
      <c r="S99" s="3">
        <v>4742.4999999999991</v>
      </c>
      <c r="V99" s="3">
        <v>14325</v>
      </c>
      <c r="W99" s="3">
        <v>16180</v>
      </c>
      <c r="Y99" s="3">
        <f>GETPIVOTDATA("Sum of Total",'22-8-26'!$G$2,"Nasabah","SAHABAT QUR'AN")</f>
        <v>11090</v>
      </c>
      <c r="Z99" s="3">
        <f>VLOOKUP(C99,'12-9-26'!$G$2:$I$55,3,0)</f>
        <v>2695</v>
      </c>
      <c r="AC99" s="5">
        <f t="shared" si="5"/>
        <v>104782.5</v>
      </c>
      <c r="AD99" s="37">
        <f t="shared" si="6"/>
        <v>104782.5</v>
      </c>
    </row>
    <row r="100" spans="1:32" x14ac:dyDescent="0.35">
      <c r="A100" s="36"/>
      <c r="B100" s="1">
        <v>98</v>
      </c>
      <c r="C100" t="s">
        <v>231</v>
      </c>
      <c r="D100" s="30">
        <v>6</v>
      </c>
      <c r="K100" s="3">
        <v>9220</v>
      </c>
      <c r="N100" s="3">
        <v>7230</v>
      </c>
      <c r="U100" s="3">
        <v>10600</v>
      </c>
      <c r="AC100" s="5">
        <f t="shared" si="5"/>
        <v>27050</v>
      </c>
      <c r="AD100" s="37">
        <f t="shared" si="6"/>
        <v>27050</v>
      </c>
    </row>
    <row r="101" spans="1:32" x14ac:dyDescent="0.35">
      <c r="A101" s="36"/>
      <c r="B101" s="1">
        <v>99</v>
      </c>
      <c r="C101" s="14" t="s">
        <v>84</v>
      </c>
      <c r="D101" s="30">
        <v>6</v>
      </c>
      <c r="J101" s="3">
        <v>64760</v>
      </c>
      <c r="L101" s="3">
        <v>13180</v>
      </c>
      <c r="M101" s="3">
        <v>14810</v>
      </c>
      <c r="N101" s="3">
        <v>29895</v>
      </c>
      <c r="P101" s="3">
        <v>65999</v>
      </c>
      <c r="Q101" s="3">
        <v>7105</v>
      </c>
      <c r="R101" s="3">
        <v>36100</v>
      </c>
      <c r="S101" s="3">
        <v>13857.5</v>
      </c>
      <c r="T101" s="3">
        <v>28080</v>
      </c>
      <c r="U101" s="3">
        <v>23027.5</v>
      </c>
      <c r="V101" s="3">
        <v>86060</v>
      </c>
      <c r="W101" s="3">
        <v>47675</v>
      </c>
      <c r="X101" s="3">
        <f>VLOOKUP(C101,'1-8-26'!$G$2:$I$50,3,0)</f>
        <v>40375</v>
      </c>
      <c r="Y101" s="3">
        <f>GETPIVOTDATA("Sum of Total",'22-8-26'!$G$2,"Nasabah","BU HADIYANA")</f>
        <v>66643</v>
      </c>
      <c r="Z101" s="3">
        <f>VLOOKUP(C101,'12-9-26'!$G$2:$I$55,3,0)</f>
        <v>64430</v>
      </c>
      <c r="AC101" s="5">
        <f t="shared" si="5"/>
        <v>601997</v>
      </c>
      <c r="AD101" s="37">
        <f>AC101-500000</f>
        <v>101997</v>
      </c>
    </row>
    <row r="102" spans="1:32" x14ac:dyDescent="0.35">
      <c r="B102" s="1">
        <v>100</v>
      </c>
      <c r="C102" t="s">
        <v>232</v>
      </c>
      <c r="D102" s="30">
        <v>6</v>
      </c>
      <c r="L102" s="3">
        <v>19280</v>
      </c>
      <c r="M102" s="3">
        <v>5970</v>
      </c>
      <c r="N102" s="3">
        <v>1630</v>
      </c>
      <c r="O102" s="3">
        <v>855</v>
      </c>
      <c r="P102" s="3">
        <v>20830</v>
      </c>
      <c r="Q102" s="3">
        <v>7945</v>
      </c>
      <c r="S102" s="3">
        <v>4800</v>
      </c>
      <c r="U102" s="3">
        <v>7500</v>
      </c>
      <c r="V102" s="3">
        <v>7990</v>
      </c>
      <c r="X102" s="3">
        <f>VLOOKUP(C102,'1-8-26'!$G$2:$I$50,3,0)</f>
        <v>11140</v>
      </c>
      <c r="Y102" s="3">
        <f>GETPIVOTDATA("Sum of Total",'22-8-26'!$G$2,"Nasabah","DIPO")</f>
        <v>6500</v>
      </c>
      <c r="AC102" s="5">
        <f t="shared" si="5"/>
        <v>94440</v>
      </c>
      <c r="AD102" s="37">
        <f t="shared" si="6"/>
        <v>94440</v>
      </c>
    </row>
    <row r="103" spans="1:32" x14ac:dyDescent="0.35">
      <c r="B103" s="1">
        <v>101</v>
      </c>
      <c r="C103" t="s">
        <v>233</v>
      </c>
      <c r="D103" s="30">
        <v>7</v>
      </c>
      <c r="J103" s="3">
        <v>71137</v>
      </c>
      <c r="N103" s="3">
        <v>38610</v>
      </c>
      <c r="R103" s="3">
        <v>38500</v>
      </c>
      <c r="W103" s="3">
        <v>45770</v>
      </c>
      <c r="AC103" s="5">
        <f t="shared" si="5"/>
        <v>194017</v>
      </c>
      <c r="AD103" s="37">
        <f t="shared" si="6"/>
        <v>194017</v>
      </c>
    </row>
    <row r="104" spans="1:32" x14ac:dyDescent="0.35">
      <c r="B104" s="1">
        <v>102</v>
      </c>
      <c r="C104" t="s">
        <v>234</v>
      </c>
      <c r="D104" s="30">
        <v>7</v>
      </c>
      <c r="E104" s="39"/>
      <c r="F104" s="39"/>
      <c r="G104" s="39">
        <v>450</v>
      </c>
      <c r="I104" s="3">
        <v>2042.5</v>
      </c>
      <c r="AC104" s="5">
        <f t="shared" si="5"/>
        <v>2492.5</v>
      </c>
      <c r="AD104" s="37">
        <f t="shared" si="6"/>
        <v>2492.5</v>
      </c>
    </row>
    <row r="105" spans="1:32" x14ac:dyDescent="0.35">
      <c r="B105" s="1">
        <v>103</v>
      </c>
      <c r="C105" t="s">
        <v>235</v>
      </c>
      <c r="D105" s="30">
        <v>7</v>
      </c>
      <c r="E105" s="39"/>
      <c r="F105" s="39"/>
      <c r="G105" s="39">
        <v>1247.5</v>
      </c>
      <c r="AC105" s="5">
        <f t="shared" si="5"/>
        <v>1247.5</v>
      </c>
      <c r="AD105" s="37">
        <f t="shared" si="6"/>
        <v>1247.5</v>
      </c>
    </row>
    <row r="106" spans="1:32" x14ac:dyDescent="0.35">
      <c r="B106" s="1">
        <v>104</v>
      </c>
      <c r="C106" t="s">
        <v>95</v>
      </c>
      <c r="D106" s="30">
        <v>7</v>
      </c>
      <c r="E106" s="39"/>
      <c r="F106" s="39"/>
      <c r="G106" s="39">
        <v>14830</v>
      </c>
      <c r="H106" s="3">
        <v>14830</v>
      </c>
      <c r="I106" s="3">
        <v>9190</v>
      </c>
      <c r="J106" s="3">
        <v>4820</v>
      </c>
      <c r="K106" s="3">
        <v>21262.5</v>
      </c>
      <c r="L106" s="3">
        <v>6515</v>
      </c>
      <c r="M106" s="3">
        <v>2500</v>
      </c>
      <c r="N106" s="3">
        <v>45180</v>
      </c>
      <c r="P106" s="3">
        <v>35145</v>
      </c>
      <c r="R106" s="3">
        <v>14005</v>
      </c>
      <c r="T106" s="3">
        <v>13800</v>
      </c>
      <c r="U106" s="3">
        <v>12870</v>
      </c>
      <c r="V106" s="3">
        <v>8945</v>
      </c>
      <c r="AC106" s="5">
        <f t="shared" si="5"/>
        <v>203892.5</v>
      </c>
      <c r="AD106" s="37">
        <f>AC106-200000</f>
        <v>3892.5</v>
      </c>
    </row>
    <row r="107" spans="1:32" x14ac:dyDescent="0.35">
      <c r="B107" s="1">
        <v>105</v>
      </c>
      <c r="C107" t="s">
        <v>236</v>
      </c>
      <c r="D107" s="30">
        <v>7</v>
      </c>
      <c r="E107" s="39"/>
      <c r="F107" s="39"/>
      <c r="G107" s="39"/>
      <c r="I107" s="3">
        <v>21587.5</v>
      </c>
      <c r="AC107" s="5">
        <f t="shared" si="5"/>
        <v>21587.5</v>
      </c>
      <c r="AD107" s="37">
        <f t="shared" si="6"/>
        <v>21587.5</v>
      </c>
    </row>
    <row r="108" spans="1:32" x14ac:dyDescent="0.35">
      <c r="B108" s="1">
        <v>106</v>
      </c>
      <c r="C108" t="s">
        <v>237</v>
      </c>
      <c r="D108" s="30">
        <v>7</v>
      </c>
      <c r="E108" s="39"/>
      <c r="F108" s="39"/>
      <c r="G108" s="39">
        <v>6000</v>
      </c>
      <c r="H108" s="3">
        <v>5150</v>
      </c>
      <c r="J108" s="3">
        <v>4862.5</v>
      </c>
      <c r="L108" s="3">
        <v>5522.5</v>
      </c>
      <c r="AC108" s="5">
        <f t="shared" si="5"/>
        <v>21535</v>
      </c>
      <c r="AD108" s="37">
        <f t="shared" si="6"/>
        <v>21535</v>
      </c>
    </row>
    <row r="109" spans="1:32" x14ac:dyDescent="0.35">
      <c r="B109" s="1">
        <v>107</v>
      </c>
      <c r="C109" t="s">
        <v>238</v>
      </c>
      <c r="D109" s="30">
        <v>7</v>
      </c>
      <c r="E109" s="39"/>
      <c r="F109" s="39"/>
      <c r="G109" s="39"/>
      <c r="I109" s="3">
        <v>1655</v>
      </c>
      <c r="J109" s="3">
        <v>4940</v>
      </c>
      <c r="K109" s="3">
        <v>2550</v>
      </c>
      <c r="L109" s="3">
        <v>4150</v>
      </c>
      <c r="N109" s="3">
        <v>5600</v>
      </c>
      <c r="AC109" s="5">
        <f t="shared" si="5"/>
        <v>18895</v>
      </c>
      <c r="AD109" s="37">
        <f t="shared" si="6"/>
        <v>18895</v>
      </c>
    </row>
    <row r="110" spans="1:32" x14ac:dyDescent="0.35">
      <c r="B110" s="1">
        <v>108</v>
      </c>
      <c r="C110" t="s">
        <v>239</v>
      </c>
      <c r="D110" s="30">
        <v>7</v>
      </c>
      <c r="N110" s="3">
        <v>1170</v>
      </c>
      <c r="AC110" s="5">
        <f t="shared" si="5"/>
        <v>1170</v>
      </c>
      <c r="AD110" s="37">
        <f t="shared" si="6"/>
        <v>1170</v>
      </c>
    </row>
    <row r="111" spans="1:32" x14ac:dyDescent="0.35">
      <c r="B111" s="1">
        <v>109</v>
      </c>
      <c r="C111" t="s">
        <v>240</v>
      </c>
      <c r="D111" s="30" t="s">
        <v>241</v>
      </c>
      <c r="E111" s="39">
        <v>73350</v>
      </c>
      <c r="F111" s="39"/>
      <c r="G111" s="39"/>
      <c r="H111" s="39"/>
      <c r="I111" s="39">
        <v>40477.5</v>
      </c>
      <c r="AB111" s="39"/>
      <c r="AC111" s="5">
        <f t="shared" si="5"/>
        <v>113827.5</v>
      </c>
      <c r="AD111" s="37">
        <f>AC111-72000-41000</f>
        <v>827.5</v>
      </c>
      <c r="AE111" s="31" t="s">
        <v>145</v>
      </c>
      <c r="AF111" t="s">
        <v>161</v>
      </c>
    </row>
    <row r="112" spans="1:32" x14ac:dyDescent="0.35">
      <c r="B112" s="1">
        <v>110</v>
      </c>
      <c r="C112" t="s">
        <v>242</v>
      </c>
      <c r="D112" s="30" t="s">
        <v>241</v>
      </c>
      <c r="E112" s="3">
        <v>937.5</v>
      </c>
      <c r="AC112" s="5">
        <f t="shared" si="5"/>
        <v>937.5</v>
      </c>
      <c r="AD112" s="37">
        <f t="shared" ref="AD112:AD146" si="7">AC112</f>
        <v>937.5</v>
      </c>
    </row>
    <row r="113" spans="2:30" x14ac:dyDescent="0.35">
      <c r="B113" s="1">
        <v>111</v>
      </c>
      <c r="C113" s="14" t="s">
        <v>243</v>
      </c>
      <c r="D113" s="30" t="s">
        <v>244</v>
      </c>
      <c r="G113" s="39"/>
      <c r="H113" s="3">
        <v>11095</v>
      </c>
      <c r="I113" s="3">
        <v>2015</v>
      </c>
      <c r="K113" s="3">
        <v>33130</v>
      </c>
      <c r="V113" s="3">
        <v>10800</v>
      </c>
      <c r="AC113" s="5">
        <f t="shared" si="5"/>
        <v>57040</v>
      </c>
      <c r="AD113" s="37">
        <f t="shared" si="7"/>
        <v>57040</v>
      </c>
    </row>
    <row r="114" spans="2:30" x14ac:dyDescent="0.35">
      <c r="B114" s="1">
        <v>112</v>
      </c>
      <c r="C114" t="s">
        <v>245</v>
      </c>
      <c r="D114" s="30" t="s">
        <v>244</v>
      </c>
      <c r="G114" s="3">
        <v>28245</v>
      </c>
      <c r="H114" s="3">
        <v>13000</v>
      </c>
      <c r="I114" s="3">
        <v>15940</v>
      </c>
      <c r="J114" s="3">
        <v>45602.5</v>
      </c>
      <c r="K114" s="3">
        <v>1177.5</v>
      </c>
      <c r="M114" s="3">
        <v>5180</v>
      </c>
      <c r="T114" s="19">
        <v>36305</v>
      </c>
      <c r="U114" s="3">
        <v>10080</v>
      </c>
      <c r="V114" s="3">
        <v>3915</v>
      </c>
      <c r="W114" s="3">
        <v>3580</v>
      </c>
      <c r="AC114" s="5">
        <f t="shared" si="5"/>
        <v>163025</v>
      </c>
      <c r="AD114" s="37">
        <f>AC114-G114-H114-I114-J114</f>
        <v>60237.5</v>
      </c>
    </row>
    <row r="115" spans="2:30" x14ac:dyDescent="0.35">
      <c r="B115" s="1">
        <v>113</v>
      </c>
      <c r="C115" t="s">
        <v>104</v>
      </c>
      <c r="D115" s="30" t="s">
        <v>246</v>
      </c>
      <c r="G115" s="3">
        <v>2639.9999999999995</v>
      </c>
      <c r="I115" s="3">
        <v>9770</v>
      </c>
      <c r="L115" s="3">
        <v>1805</v>
      </c>
      <c r="N115" s="3">
        <v>8670</v>
      </c>
      <c r="R115" s="3">
        <v>21012</v>
      </c>
      <c r="T115" s="3">
        <v>5600</v>
      </c>
      <c r="AC115" s="5">
        <f t="shared" si="5"/>
        <v>49497</v>
      </c>
      <c r="AD115" s="37">
        <f t="shared" si="7"/>
        <v>49497</v>
      </c>
    </row>
    <row r="116" spans="2:30" x14ac:dyDescent="0.35">
      <c r="B116" s="1">
        <v>114</v>
      </c>
      <c r="C116" t="s">
        <v>247</v>
      </c>
      <c r="D116" s="30" t="s">
        <v>248</v>
      </c>
      <c r="I116" s="3">
        <v>20100</v>
      </c>
      <c r="AC116" s="5">
        <f t="shared" si="5"/>
        <v>20100</v>
      </c>
      <c r="AD116" s="37">
        <f t="shared" si="7"/>
        <v>20100</v>
      </c>
    </row>
    <row r="117" spans="2:30" x14ac:dyDescent="0.35">
      <c r="B117" s="1">
        <v>115</v>
      </c>
      <c r="C117" t="s">
        <v>249</v>
      </c>
      <c r="D117" s="30" t="s">
        <v>248</v>
      </c>
      <c r="P117" s="3">
        <v>1260</v>
      </c>
      <c r="AC117" s="5">
        <f t="shared" si="5"/>
        <v>1260</v>
      </c>
      <c r="AD117" s="37">
        <f t="shared" si="7"/>
        <v>1260</v>
      </c>
    </row>
    <row r="118" spans="2:30" x14ac:dyDescent="0.35">
      <c r="B118" s="1">
        <v>116</v>
      </c>
      <c r="C118" t="s">
        <v>250</v>
      </c>
      <c r="D118" s="30" t="s">
        <v>251</v>
      </c>
      <c r="P118" s="3">
        <v>99935</v>
      </c>
      <c r="Q118" s="3">
        <v>4775</v>
      </c>
      <c r="R118" s="3">
        <v>45415</v>
      </c>
      <c r="S118" s="3">
        <v>11460</v>
      </c>
      <c r="U118" s="3">
        <v>32357.5</v>
      </c>
      <c r="V118" s="3">
        <v>39145</v>
      </c>
      <c r="W118" s="3">
        <v>26158</v>
      </c>
      <c r="X118" s="3">
        <f>VLOOKUP(C118,'1-8-26'!$G$2:$I$50,3,0)</f>
        <v>16973</v>
      </c>
      <c r="Y118" s="3">
        <f>GETPIVOTDATA("Sum of Total",'22-8-26'!$G$2,"Nasabah","BU YANTI BELA")</f>
        <v>35595</v>
      </c>
      <c r="Z118" s="3">
        <f>VLOOKUP(C118,'12-9-26'!$G$2:$I$55,3,0)</f>
        <v>29925</v>
      </c>
      <c r="AC118" s="5">
        <f t="shared" si="5"/>
        <v>341738.5</v>
      </c>
      <c r="AD118" s="37">
        <f t="shared" si="7"/>
        <v>341738.5</v>
      </c>
    </row>
    <row r="119" spans="2:30" x14ac:dyDescent="0.35">
      <c r="B119" s="1">
        <v>117</v>
      </c>
      <c r="C119" t="s">
        <v>252</v>
      </c>
      <c r="D119" s="30">
        <v>5</v>
      </c>
      <c r="R119" s="3">
        <v>14625</v>
      </c>
      <c r="AC119" s="5">
        <f t="shared" si="5"/>
        <v>14625</v>
      </c>
      <c r="AD119" s="37">
        <f t="shared" si="7"/>
        <v>14625</v>
      </c>
    </row>
    <row r="120" spans="2:30" x14ac:dyDescent="0.35">
      <c r="B120" s="1">
        <v>118</v>
      </c>
      <c r="C120" t="s">
        <v>253</v>
      </c>
      <c r="D120" s="30">
        <v>5</v>
      </c>
      <c r="R120" s="3">
        <v>39995</v>
      </c>
      <c r="U120" s="3">
        <v>81762.5</v>
      </c>
      <c r="W120" s="3">
        <v>15258</v>
      </c>
      <c r="Y120" s="3">
        <f>GETPIVOTDATA("Sum of Total",'22-8-26'!$G$2,"Nasabah","BU NATIRA SALMAWATI")</f>
        <v>13715</v>
      </c>
      <c r="AC120" s="5">
        <f t="shared" si="5"/>
        <v>150730.5</v>
      </c>
      <c r="AD120" s="37">
        <f t="shared" si="7"/>
        <v>150730.5</v>
      </c>
    </row>
    <row r="121" spans="2:30" x14ac:dyDescent="0.35">
      <c r="B121" s="1">
        <v>119</v>
      </c>
      <c r="C121" t="s">
        <v>91</v>
      </c>
      <c r="D121" s="30">
        <v>3</v>
      </c>
      <c r="S121" s="3">
        <v>1350</v>
      </c>
      <c r="T121" s="3">
        <v>3440</v>
      </c>
      <c r="U121" s="3">
        <v>32012.5</v>
      </c>
      <c r="V121" s="3">
        <v>15150</v>
      </c>
      <c r="W121" s="3">
        <v>2150</v>
      </c>
      <c r="X121" s="3">
        <f>VLOOKUP(C121,'1-8-26'!$G$2:$I$50,3,0)</f>
        <v>7240</v>
      </c>
      <c r="Z121" s="3">
        <f>VLOOKUP(C121,'12-9-26'!$G$2:$I$55,3,0)</f>
        <v>3010</v>
      </c>
      <c r="AC121" s="5">
        <f t="shared" si="5"/>
        <v>64352.5</v>
      </c>
      <c r="AD121" s="37">
        <f t="shared" si="7"/>
        <v>64352.5</v>
      </c>
    </row>
    <row r="122" spans="2:30" x14ac:dyDescent="0.35">
      <c r="B122" s="1">
        <v>120</v>
      </c>
      <c r="C122" t="s">
        <v>254</v>
      </c>
      <c r="D122" s="30">
        <v>6</v>
      </c>
      <c r="S122" s="3">
        <v>39050</v>
      </c>
      <c r="U122" s="3">
        <v>2437.5</v>
      </c>
      <c r="AC122" s="5">
        <f t="shared" si="5"/>
        <v>41487.5</v>
      </c>
      <c r="AD122" s="37">
        <f t="shared" si="7"/>
        <v>41487.5</v>
      </c>
    </row>
    <row r="123" spans="2:30" x14ac:dyDescent="0.35">
      <c r="B123" s="1">
        <v>121</v>
      </c>
      <c r="C123" t="s">
        <v>255</v>
      </c>
      <c r="D123" s="30" t="s">
        <v>256</v>
      </c>
      <c r="S123" s="3">
        <v>133575</v>
      </c>
      <c r="W123" s="3">
        <v>106400</v>
      </c>
      <c r="AC123" s="5">
        <f t="shared" si="5"/>
        <v>239975</v>
      </c>
      <c r="AD123" s="37">
        <f>AC123-133575-106400</f>
        <v>0</v>
      </c>
    </row>
    <row r="124" spans="2:30" x14ac:dyDescent="0.35">
      <c r="B124" s="1">
        <v>122</v>
      </c>
      <c r="C124" t="s">
        <v>111</v>
      </c>
      <c r="D124" s="30" t="s">
        <v>257</v>
      </c>
      <c r="S124" s="3">
        <v>16800</v>
      </c>
      <c r="T124" s="3">
        <v>7015</v>
      </c>
      <c r="AC124" s="5">
        <f t="shared" si="5"/>
        <v>23815</v>
      </c>
      <c r="AD124" s="37">
        <f t="shared" si="7"/>
        <v>23815</v>
      </c>
    </row>
    <row r="125" spans="2:30" x14ac:dyDescent="0.35">
      <c r="B125" s="1">
        <v>123</v>
      </c>
      <c r="C125" s="14" t="s">
        <v>131</v>
      </c>
      <c r="D125" s="30">
        <v>6</v>
      </c>
      <c r="T125" s="3">
        <v>3550</v>
      </c>
      <c r="V125" s="3">
        <v>39585</v>
      </c>
      <c r="AC125" s="5">
        <f t="shared" si="5"/>
        <v>43135</v>
      </c>
      <c r="AD125" s="37">
        <f t="shared" si="7"/>
        <v>43135</v>
      </c>
    </row>
    <row r="126" spans="2:30" x14ac:dyDescent="0.35">
      <c r="B126" s="1">
        <v>124</v>
      </c>
      <c r="C126" s="14" t="s">
        <v>130</v>
      </c>
      <c r="D126" s="30" t="s">
        <v>248</v>
      </c>
      <c r="T126" s="3">
        <v>900</v>
      </c>
      <c r="U126" s="3">
        <v>5430</v>
      </c>
      <c r="V126" s="3">
        <v>4980</v>
      </c>
      <c r="AC126" s="5">
        <f t="shared" si="5"/>
        <v>11310</v>
      </c>
      <c r="AD126" s="37">
        <f>AC126-11300</f>
        <v>10</v>
      </c>
    </row>
    <row r="127" spans="2:30" x14ac:dyDescent="0.35">
      <c r="B127" s="1">
        <v>125</v>
      </c>
      <c r="C127" s="48" t="s">
        <v>262</v>
      </c>
      <c r="D127" s="30">
        <v>5</v>
      </c>
      <c r="U127" s="3">
        <v>81705</v>
      </c>
      <c r="V127" s="3">
        <v>13200</v>
      </c>
      <c r="AC127" s="5">
        <f t="shared" si="5"/>
        <v>94905</v>
      </c>
      <c r="AD127" s="37">
        <f>AC127-94000</f>
        <v>905</v>
      </c>
    </row>
    <row r="128" spans="2:30" x14ac:dyDescent="0.35">
      <c r="B128" s="1">
        <v>126</v>
      </c>
      <c r="C128" s="48" t="s">
        <v>264</v>
      </c>
      <c r="D128" s="30" t="s">
        <v>267</v>
      </c>
      <c r="U128" s="3">
        <v>4345</v>
      </c>
      <c r="W128" s="3">
        <v>315350.00000000006</v>
      </c>
      <c r="AC128" s="5">
        <f t="shared" si="5"/>
        <v>319695.00000000006</v>
      </c>
      <c r="AD128" s="89">
        <f>AC128-319695</f>
        <v>0</v>
      </c>
    </row>
    <row r="129" spans="2:30" x14ac:dyDescent="0.35">
      <c r="B129" s="1">
        <v>127</v>
      </c>
      <c r="C129" t="s">
        <v>269</v>
      </c>
      <c r="D129" s="1" t="s">
        <v>308</v>
      </c>
      <c r="U129" s="3">
        <v>885</v>
      </c>
      <c r="AC129" s="5">
        <f t="shared" si="5"/>
        <v>885</v>
      </c>
      <c r="AD129" s="37">
        <f>AC129</f>
        <v>885</v>
      </c>
    </row>
    <row r="130" spans="2:30" x14ac:dyDescent="0.35">
      <c r="B130" s="1">
        <v>128</v>
      </c>
      <c r="C130" t="s">
        <v>270</v>
      </c>
      <c r="D130" s="1" t="s">
        <v>308</v>
      </c>
      <c r="U130" s="3">
        <v>300</v>
      </c>
      <c r="V130" s="3">
        <v>300</v>
      </c>
      <c r="W130" s="3">
        <v>3068</v>
      </c>
      <c r="X130" s="3">
        <f>VLOOKUP(C130,'1-8-26'!$G$2:$I$50,3,0)</f>
        <v>315</v>
      </c>
      <c r="AC130" s="5">
        <f t="shared" si="5"/>
        <v>3983</v>
      </c>
      <c r="AD130" s="37">
        <f t="shared" si="7"/>
        <v>3983</v>
      </c>
    </row>
    <row r="131" spans="2:30" x14ac:dyDescent="0.35">
      <c r="B131" s="1">
        <v>129</v>
      </c>
      <c r="C131" t="s">
        <v>271</v>
      </c>
      <c r="D131" s="1" t="s">
        <v>308</v>
      </c>
      <c r="U131" s="3">
        <v>4800</v>
      </c>
      <c r="W131" s="3">
        <v>4500</v>
      </c>
      <c r="X131" s="3">
        <f>VLOOKUP(C131,'1-8-26'!$G$2:$I$50,3,0)</f>
        <v>2495</v>
      </c>
      <c r="AC131" s="5">
        <f t="shared" si="5"/>
        <v>11795</v>
      </c>
      <c r="AD131" s="37">
        <f t="shared" si="7"/>
        <v>11795</v>
      </c>
    </row>
    <row r="132" spans="2:30" x14ac:dyDescent="0.35">
      <c r="B132" s="1">
        <v>130</v>
      </c>
      <c r="C132" t="s">
        <v>272</v>
      </c>
      <c r="D132" s="1" t="s">
        <v>308</v>
      </c>
      <c r="U132" s="3">
        <v>495</v>
      </c>
      <c r="W132" s="3">
        <v>150</v>
      </c>
      <c r="X132" s="3">
        <f>VLOOKUP(C132,'1-8-26'!$G$2:$I$50,3,0)</f>
        <v>3810</v>
      </c>
      <c r="AC132" s="5">
        <f t="shared" ref="AC132:AC146" si="8">SUM(E132:AB132)</f>
        <v>4455</v>
      </c>
      <c r="AD132" s="37">
        <f t="shared" si="7"/>
        <v>4455</v>
      </c>
    </row>
    <row r="133" spans="2:30" x14ac:dyDescent="0.35">
      <c r="B133" s="1">
        <v>131</v>
      </c>
      <c r="C133" t="s">
        <v>273</v>
      </c>
      <c r="D133" s="1" t="s">
        <v>308</v>
      </c>
      <c r="U133" s="3">
        <v>3700</v>
      </c>
      <c r="V133" s="3">
        <v>6305</v>
      </c>
      <c r="AC133" s="5">
        <f t="shared" si="8"/>
        <v>10005</v>
      </c>
      <c r="AD133" s="37">
        <f t="shared" si="7"/>
        <v>10005</v>
      </c>
    </row>
    <row r="134" spans="2:30" x14ac:dyDescent="0.35">
      <c r="B134" s="1">
        <v>132</v>
      </c>
      <c r="C134" t="s">
        <v>274</v>
      </c>
      <c r="D134" s="1" t="s">
        <v>308</v>
      </c>
      <c r="U134" s="3">
        <v>0</v>
      </c>
      <c r="V134" s="3">
        <v>870</v>
      </c>
      <c r="W134" s="3">
        <v>450</v>
      </c>
      <c r="X134" s="3">
        <f>VLOOKUP(C134,'1-8-26'!$G$2:$I$50,3,0)</f>
        <v>795</v>
      </c>
      <c r="AC134" s="5">
        <f t="shared" si="8"/>
        <v>2115</v>
      </c>
      <c r="AD134" s="37">
        <f t="shared" si="7"/>
        <v>2115</v>
      </c>
    </row>
    <row r="135" spans="2:30" x14ac:dyDescent="0.35">
      <c r="B135" s="1">
        <v>133</v>
      </c>
      <c r="C135" s="14" t="s">
        <v>303</v>
      </c>
      <c r="D135" s="1" t="s">
        <v>251</v>
      </c>
      <c r="V135" s="3">
        <v>327280</v>
      </c>
      <c r="Y135" s="3">
        <f>GETPIVOTDATA("Sum of Total",'22-8-26'!$G$2,"Nasabah","BANK SAMPAH DASANA UB")</f>
        <v>8150</v>
      </c>
      <c r="Z135" s="3">
        <f>VLOOKUP(C135,'12-9-26'!$G$2:$I$55,3,0)</f>
        <v>13835</v>
      </c>
      <c r="AC135" s="5">
        <f t="shared" si="8"/>
        <v>349265</v>
      </c>
      <c r="AD135" s="37">
        <f>AC135-327280</f>
        <v>21985</v>
      </c>
    </row>
    <row r="136" spans="2:30" x14ac:dyDescent="0.35">
      <c r="B136" s="1">
        <v>134</v>
      </c>
      <c r="C136" s="14" t="s">
        <v>297</v>
      </c>
      <c r="D136" s="1">
        <v>3</v>
      </c>
      <c r="V136" s="3">
        <v>5188</v>
      </c>
      <c r="W136" s="3">
        <v>3878</v>
      </c>
      <c r="Y136" s="3">
        <f>GETPIVOTDATA("Sum of Total",'22-8-26'!$G$2,"Nasabah","VINA RT 3")</f>
        <v>7323</v>
      </c>
      <c r="Z136" s="3">
        <f>VLOOKUP(C136,'12-9-26'!$G$2:$I$55,3,0)</f>
        <v>4632.5</v>
      </c>
      <c r="AC136" s="5">
        <f t="shared" si="8"/>
        <v>21021.5</v>
      </c>
      <c r="AD136" s="37">
        <f t="shared" si="7"/>
        <v>21021.5</v>
      </c>
    </row>
    <row r="137" spans="2:30" x14ac:dyDescent="0.35">
      <c r="B137" s="1">
        <v>135</v>
      </c>
      <c r="C137" s="14" t="s">
        <v>296</v>
      </c>
      <c r="D137" s="1">
        <v>5</v>
      </c>
      <c r="V137" s="3">
        <v>44750</v>
      </c>
      <c r="AC137" s="5">
        <f t="shared" si="8"/>
        <v>44750</v>
      </c>
      <c r="AD137" s="37">
        <f>AC137-44000</f>
        <v>750</v>
      </c>
    </row>
    <row r="138" spans="2:30" x14ac:dyDescent="0.35">
      <c r="B138" s="1">
        <v>136</v>
      </c>
      <c r="C138" s="14" t="s">
        <v>291</v>
      </c>
      <c r="D138" s="1" t="s">
        <v>308</v>
      </c>
      <c r="V138" s="3">
        <v>435</v>
      </c>
      <c r="AC138" s="5">
        <f t="shared" si="8"/>
        <v>435</v>
      </c>
      <c r="AD138" s="37">
        <f t="shared" si="7"/>
        <v>435</v>
      </c>
    </row>
    <row r="139" spans="2:30" x14ac:dyDescent="0.35">
      <c r="B139" s="1">
        <v>137</v>
      </c>
      <c r="C139" s="14" t="s">
        <v>368</v>
      </c>
      <c r="D139" s="1" t="s">
        <v>257</v>
      </c>
      <c r="W139" s="3">
        <v>13000</v>
      </c>
      <c r="Y139" s="3">
        <f>GETPIVOTDATA("Sum of Total",'22-8-26'!$G$2,"Nasabah","BU LINDA RW 19")</f>
        <v>11120</v>
      </c>
      <c r="AC139" s="5">
        <f t="shared" si="8"/>
        <v>24120</v>
      </c>
      <c r="AD139" s="37">
        <f t="shared" si="7"/>
        <v>24120</v>
      </c>
    </row>
    <row r="140" spans="2:30" x14ac:dyDescent="0.35">
      <c r="B140" s="1">
        <v>138</v>
      </c>
      <c r="C140" s="14" t="s">
        <v>381</v>
      </c>
      <c r="D140" s="1">
        <v>5</v>
      </c>
      <c r="W140" s="3">
        <v>7825</v>
      </c>
      <c r="AC140" s="5">
        <f t="shared" si="8"/>
        <v>7825</v>
      </c>
      <c r="AD140" s="37">
        <f t="shared" si="7"/>
        <v>7825</v>
      </c>
    </row>
    <row r="141" spans="2:30" x14ac:dyDescent="0.35">
      <c r="B141" s="1">
        <v>139</v>
      </c>
      <c r="C141" s="14" t="s">
        <v>422</v>
      </c>
      <c r="D141" s="1" t="s">
        <v>423</v>
      </c>
      <c r="X141" s="3">
        <f>GETPIVOTDATA("Sum of Total",'1-8-26'!$G$2,"Nasabah","BU TUTI RT 17")</f>
        <v>30728</v>
      </c>
      <c r="AC141" s="5">
        <f t="shared" si="8"/>
        <v>30728</v>
      </c>
      <c r="AD141" s="37">
        <f t="shared" si="7"/>
        <v>30728</v>
      </c>
    </row>
    <row r="142" spans="2:30" x14ac:dyDescent="0.35">
      <c r="B142" s="1">
        <v>140</v>
      </c>
      <c r="D142" s="1"/>
      <c r="AC142" s="5">
        <f t="shared" si="8"/>
        <v>0</v>
      </c>
      <c r="AD142" s="37">
        <f t="shared" si="7"/>
        <v>0</v>
      </c>
    </row>
    <row r="143" spans="2:30" x14ac:dyDescent="0.35">
      <c r="B143" s="1">
        <v>141</v>
      </c>
      <c r="D143" s="1"/>
      <c r="AC143" s="5">
        <f t="shared" si="8"/>
        <v>0</v>
      </c>
      <c r="AD143" s="37">
        <f t="shared" si="7"/>
        <v>0</v>
      </c>
    </row>
    <row r="144" spans="2:30" x14ac:dyDescent="0.35">
      <c r="B144" s="1">
        <v>142</v>
      </c>
      <c r="D144" s="1"/>
      <c r="AC144" s="5">
        <f t="shared" si="8"/>
        <v>0</v>
      </c>
      <c r="AD144" s="37">
        <f t="shared" si="7"/>
        <v>0</v>
      </c>
    </row>
    <row r="145" spans="2:31" x14ac:dyDescent="0.35">
      <c r="B145" s="1">
        <v>143</v>
      </c>
      <c r="AC145" s="5">
        <f t="shared" si="8"/>
        <v>0</v>
      </c>
      <c r="AD145" s="37">
        <f t="shared" si="7"/>
        <v>0</v>
      </c>
    </row>
    <row r="146" spans="2:31" x14ac:dyDescent="0.35">
      <c r="B146" s="1">
        <v>144</v>
      </c>
      <c r="AC146" s="5">
        <f t="shared" si="8"/>
        <v>0</v>
      </c>
      <c r="AD146" s="37">
        <f t="shared" si="7"/>
        <v>0</v>
      </c>
    </row>
    <row r="147" spans="2:31" x14ac:dyDescent="0.35">
      <c r="C147" s="20" t="s">
        <v>135</v>
      </c>
      <c r="D147" s="7"/>
      <c r="E147" s="41">
        <f t="shared" ref="E147:AD147" si="9">SUM(E3:E146)</f>
        <v>633711</v>
      </c>
      <c r="F147" s="41">
        <f t="shared" si="9"/>
        <v>620721</v>
      </c>
      <c r="G147" s="41">
        <f t="shared" si="9"/>
        <v>644145</v>
      </c>
      <c r="H147" s="41">
        <f t="shared" si="9"/>
        <v>615287.5</v>
      </c>
      <c r="I147" s="41">
        <f t="shared" si="9"/>
        <v>606410</v>
      </c>
      <c r="J147" s="41">
        <f t="shared" si="9"/>
        <v>639949.5</v>
      </c>
      <c r="K147" s="41">
        <f t="shared" si="9"/>
        <v>765996</v>
      </c>
      <c r="L147" s="41">
        <f t="shared" si="9"/>
        <v>560888.5</v>
      </c>
      <c r="M147" s="41">
        <f t="shared" si="9"/>
        <v>507306.5</v>
      </c>
      <c r="N147" s="41">
        <f t="shared" si="9"/>
        <v>866252.5</v>
      </c>
      <c r="O147" s="41">
        <f t="shared" si="9"/>
        <v>755582.5</v>
      </c>
      <c r="P147" s="41">
        <f t="shared" si="9"/>
        <v>709346.5</v>
      </c>
      <c r="Q147" s="41">
        <f t="shared" si="9"/>
        <v>543322.5</v>
      </c>
      <c r="R147" s="41">
        <f t="shared" si="9"/>
        <v>1190269.5</v>
      </c>
      <c r="S147" s="41">
        <f t="shared" si="9"/>
        <v>893611.5</v>
      </c>
      <c r="T147" s="41">
        <f t="shared" si="9"/>
        <v>388157.5</v>
      </c>
      <c r="U147" s="41">
        <f t="shared" si="9"/>
        <v>865942.5</v>
      </c>
      <c r="V147" s="41">
        <f t="shared" si="9"/>
        <v>1336265</v>
      </c>
      <c r="W147" s="41">
        <f t="shared" si="9"/>
        <v>1160592</v>
      </c>
      <c r="X147" s="41">
        <f t="shared" si="9"/>
        <v>779234</v>
      </c>
      <c r="Y147" s="41">
        <f t="shared" si="9"/>
        <v>797906</v>
      </c>
      <c r="Z147" s="41">
        <f t="shared" si="9"/>
        <v>838637.5</v>
      </c>
      <c r="AA147" s="41"/>
      <c r="AB147" s="41">
        <f t="shared" si="9"/>
        <v>0</v>
      </c>
      <c r="AC147" s="41">
        <f t="shared" si="9"/>
        <v>16719534.5</v>
      </c>
      <c r="AD147" s="41">
        <f t="shared" si="9"/>
        <v>10872737</v>
      </c>
      <c r="AE147" s="42"/>
    </row>
    <row r="148" spans="2:31" x14ac:dyDescent="0.35">
      <c r="AD148" s="5">
        <f>AC147-AD147</f>
        <v>5846797.5</v>
      </c>
    </row>
    <row r="149" spans="2:31" x14ac:dyDescent="0.35">
      <c r="AD149" s="5"/>
    </row>
    <row r="151" spans="2:31" x14ac:dyDescent="0.35">
      <c r="AD151" s="5">
        <f>AD147+[1]Kas!E87</f>
        <v>11357082</v>
      </c>
    </row>
    <row r="152" spans="2:31" x14ac:dyDescent="0.35">
      <c r="AD152" s="5">
        <f>AD151-7511461-400000</f>
        <v>3445621</v>
      </c>
    </row>
    <row r="154" spans="2:31" x14ac:dyDescent="0.35">
      <c r="AC154" s="3">
        <f>GETPIVOTDATA("Sum of Total Harga",'[1]12-7-2025'!$J$2)+GETPIVOTDATA("Sum of Total Harga",'[1]26-7-2025'!$J$2)+GETPIVOTDATA("Sum of Total Harga",'[1]9-8-2025'!$J$2)+GETPIVOTDATA("Sum of Total Harga",'[1]23-8-2025'!$J$2)+GETPIVOTDATA("Sum of Total Harga",'[1]7-9-2025'!$J$2)+GETPIVOTDATA("Sum of Total Harga",'[1]21-9-2025'!$J$2)+GETPIVOTDATA("Sum of Total Harga",'[1]19-10-25'!$J$2)+GETPIVOTDATA("Sum of Total Harga",'[1]1-11-25'!$J$2)+GETPIVOTDATA("Sum of Total Harga",'[1]15-11-25'!$J$2)+GETPIVOTDATA("Sum of Total Harga",'[1]13-12-25'!$J$2)+GETPIVOTDATA("Sum of Total Harga",'[1]3-1-26'!$J$2)+GETPIVOTDATA("Sum of Total Harga",'[1]31-1-26'!$J$4)+GETPIVOTDATA("Sum of Total Harga",'[1]15-02-26'!$J$2)+GETPIVOTDATA("Sum of Total Harga",'[1]5-04-26'!$J$2)+GETPIVOTDATA("Sum of Total Harga",'[1]26-04-26'!$J$2)</f>
        <v>10552830</v>
      </c>
    </row>
    <row r="157" spans="2:31" x14ac:dyDescent="0.35">
      <c r="AD157" s="5">
        <f>AD147-U147</f>
        <v>10006794.5</v>
      </c>
    </row>
  </sheetData>
  <autoFilter ref="C2:AF148" xr:uid="{FDA59580-EED9-4060-83F7-32644587535C}"/>
  <mergeCells count="2">
    <mergeCell ref="E1:N1"/>
    <mergeCell ref="O1:AB1"/>
  </mergeCells>
  <pageMargins left="0.7" right="0.7" top="0.75" bottom="0.75" header="0.3" footer="0.3"/>
  <pageSetup paperSize="9" scale="47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1763-656B-49D5-B8DD-2F4C0D6AAE20}">
  <dimension ref="A2:X358"/>
  <sheetViews>
    <sheetView zoomScale="80" zoomScaleNormal="80" zoomScaleSheetLayoutView="100" workbookViewId="0">
      <selection activeCell="G2" sqref="G2"/>
    </sheetView>
  </sheetViews>
  <sheetFormatPr defaultRowHeight="14.5" x14ac:dyDescent="0.35"/>
  <cols>
    <col min="1" max="2" width="25" customWidth="1"/>
    <col min="3" max="3" width="14.90625" style="57" customWidth="1"/>
    <col min="4" max="5" width="14.90625" style="11" customWidth="1"/>
    <col min="7" max="7" width="22" bestFit="1" customWidth="1"/>
    <col min="8" max="8" width="12.1796875" bestFit="1" customWidth="1"/>
    <col min="9" max="9" width="11.90625" bestFit="1" customWidth="1"/>
    <col min="11" max="11" width="25" bestFit="1" customWidth="1"/>
    <col min="12" max="12" width="12.1796875" bestFit="1" customWidth="1"/>
    <col min="15" max="15" width="26.7265625" bestFit="1" customWidth="1"/>
    <col min="18" max="18" width="11.81640625" bestFit="1" customWidth="1"/>
    <col min="21" max="21" width="12" bestFit="1" customWidth="1"/>
  </cols>
  <sheetData>
    <row r="2" spans="1:24" x14ac:dyDescent="0.35">
      <c r="A2" s="56" t="s">
        <v>82</v>
      </c>
      <c r="B2" s="56" t="s">
        <v>83</v>
      </c>
      <c r="C2" s="90" t="s">
        <v>65</v>
      </c>
      <c r="D2" s="58" t="s">
        <v>66</v>
      </c>
      <c r="E2" s="58" t="s">
        <v>6</v>
      </c>
      <c r="G2" s="15" t="s">
        <v>85</v>
      </c>
      <c r="H2" t="s">
        <v>137</v>
      </c>
      <c r="I2" t="s">
        <v>129</v>
      </c>
      <c r="K2" s="15" t="s">
        <v>85</v>
      </c>
      <c r="L2" t="s">
        <v>137</v>
      </c>
      <c r="N2" s="20" t="s">
        <v>132</v>
      </c>
      <c r="Q2" t="s">
        <v>429</v>
      </c>
      <c r="T2" s="20" t="s">
        <v>298</v>
      </c>
      <c r="W2" t="s">
        <v>429</v>
      </c>
    </row>
    <row r="3" spans="1:24" x14ac:dyDescent="0.35">
      <c r="A3" s="13" t="s">
        <v>351</v>
      </c>
      <c r="B3" s="13" t="s">
        <v>51</v>
      </c>
      <c r="C3" s="43">
        <v>0.55000000000000004</v>
      </c>
      <c r="D3" s="17">
        <v>500</v>
      </c>
      <c r="E3" s="17">
        <f>C3*D3</f>
        <v>275</v>
      </c>
      <c r="G3" s="14" t="s">
        <v>303</v>
      </c>
      <c r="H3">
        <v>38.35</v>
      </c>
      <c r="I3" s="19">
        <v>13835</v>
      </c>
      <c r="K3" s="14" t="s">
        <v>127</v>
      </c>
      <c r="L3">
        <v>1</v>
      </c>
      <c r="N3" s="21" t="s">
        <v>0</v>
      </c>
      <c r="O3" s="22" t="s">
        <v>64</v>
      </c>
      <c r="P3" s="23" t="s">
        <v>133</v>
      </c>
      <c r="Q3" s="22" t="s">
        <v>65</v>
      </c>
      <c r="R3" s="23" t="s">
        <v>134</v>
      </c>
      <c r="T3" s="21" t="s">
        <v>0</v>
      </c>
      <c r="U3" s="22" t="s">
        <v>64</v>
      </c>
      <c r="V3" s="23" t="s">
        <v>133</v>
      </c>
      <c r="W3" s="22" t="s">
        <v>65</v>
      </c>
      <c r="X3" s="23" t="s">
        <v>134</v>
      </c>
    </row>
    <row r="4" spans="1:24" x14ac:dyDescent="0.35">
      <c r="A4" s="13" t="s">
        <v>351</v>
      </c>
      <c r="B4" s="13" t="s">
        <v>60</v>
      </c>
      <c r="C4" s="43">
        <v>0.2</v>
      </c>
      <c r="D4" s="17">
        <v>2500</v>
      </c>
      <c r="E4" s="17">
        <f t="shared" ref="E4:E67" si="0">C4*D4</f>
        <v>500</v>
      </c>
      <c r="G4" s="14" t="s">
        <v>403</v>
      </c>
      <c r="H4">
        <v>3.45</v>
      </c>
      <c r="I4" s="19">
        <v>6385</v>
      </c>
      <c r="K4" s="14" t="s">
        <v>13</v>
      </c>
      <c r="L4">
        <v>29.85</v>
      </c>
      <c r="N4" s="22">
        <v>1</v>
      </c>
      <c r="O4" s="24" t="s">
        <v>7</v>
      </c>
      <c r="P4" s="25">
        <f>VLOOKUP(O4,KamiBox!$C$2:$F$58,4,0)</f>
        <v>200000</v>
      </c>
      <c r="Q4" s="26">
        <f>SUMIF($B$3:$B$357,O4,$C$3:$C$357)</f>
        <v>0</v>
      </c>
      <c r="R4" s="25">
        <f>P4*Q4</f>
        <v>0</v>
      </c>
      <c r="T4" s="22">
        <v>1</v>
      </c>
      <c r="U4" s="77" t="s">
        <v>13</v>
      </c>
      <c r="V4" s="78">
        <f>VLOOKUP(U4,KamiBox!$C$2:$F$58,4,0)</f>
        <v>1500</v>
      </c>
      <c r="W4" s="79">
        <f>SUMIF($B$3:$B$357,U4,$C$3:$C$357)</f>
        <v>29.85</v>
      </c>
      <c r="X4" s="78">
        <f>V4*W4</f>
        <v>44775</v>
      </c>
    </row>
    <row r="5" spans="1:24" x14ac:dyDescent="0.35">
      <c r="A5" s="13" t="s">
        <v>351</v>
      </c>
      <c r="B5" s="13" t="s">
        <v>94</v>
      </c>
      <c r="C5" s="43">
        <v>0.45</v>
      </c>
      <c r="D5" s="17">
        <v>2800</v>
      </c>
      <c r="E5" s="17">
        <f t="shared" si="0"/>
        <v>1260</v>
      </c>
      <c r="G5" s="14" t="s">
        <v>387</v>
      </c>
      <c r="H5">
        <v>19.25</v>
      </c>
      <c r="I5" s="19">
        <v>42865</v>
      </c>
      <c r="K5" s="14" t="s">
        <v>15</v>
      </c>
      <c r="L5">
        <v>21.5</v>
      </c>
      <c r="N5" s="22">
        <v>2</v>
      </c>
      <c r="O5" s="24" t="s">
        <v>9</v>
      </c>
      <c r="P5" s="25">
        <f>VLOOKUP(O5,KamiBox!$C$2:$F$58,4,0)</f>
        <v>9000</v>
      </c>
      <c r="Q5" s="26">
        <f t="shared" ref="Q5:Q59" si="1">SUMIF($B$3:$B$357,O5,$C$3:$C$357)</f>
        <v>0</v>
      </c>
      <c r="R5" s="25">
        <f t="shared" ref="R5:R59" si="2">P5*Q5</f>
        <v>0</v>
      </c>
      <c r="T5" s="22">
        <v>2</v>
      </c>
      <c r="U5" s="77" t="s">
        <v>54</v>
      </c>
      <c r="V5" s="78">
        <v>1700</v>
      </c>
      <c r="W5" s="79">
        <f t="shared" ref="W5:W6" si="3">SUMIF($B$3:$B$357,U5,$C$3:$C$357)</f>
        <v>0.55000000000000004</v>
      </c>
      <c r="X5" s="78">
        <f>V5*W5</f>
        <v>935.00000000000011</v>
      </c>
    </row>
    <row r="6" spans="1:24" x14ac:dyDescent="0.35">
      <c r="A6" s="13" t="s">
        <v>351</v>
      </c>
      <c r="B6" s="13" t="s">
        <v>18</v>
      </c>
      <c r="C6" s="43">
        <v>0.55000000000000004</v>
      </c>
      <c r="D6" s="17">
        <v>150</v>
      </c>
      <c r="E6" s="17">
        <f t="shared" si="0"/>
        <v>82.5</v>
      </c>
      <c r="G6" s="14" t="s">
        <v>327</v>
      </c>
      <c r="H6">
        <v>10.65</v>
      </c>
      <c r="I6" s="19">
        <v>12400</v>
      </c>
      <c r="K6" s="14" t="s">
        <v>18</v>
      </c>
      <c r="L6">
        <v>19.399999999999999</v>
      </c>
      <c r="N6" s="22">
        <v>3</v>
      </c>
      <c r="O6" t="s">
        <v>10</v>
      </c>
      <c r="P6" s="25">
        <f>VLOOKUP(O6,KamiBox!$C$2:$F$58,4,0)</f>
        <v>4000</v>
      </c>
      <c r="Q6" s="26">
        <f t="shared" si="1"/>
        <v>0</v>
      </c>
      <c r="R6" s="25">
        <f t="shared" si="2"/>
        <v>0</v>
      </c>
      <c r="T6" s="22">
        <v>3</v>
      </c>
      <c r="U6" s="77" t="s">
        <v>266</v>
      </c>
      <c r="V6" s="78">
        <v>1700</v>
      </c>
      <c r="W6" s="79">
        <f t="shared" si="3"/>
        <v>2.5</v>
      </c>
      <c r="X6" s="78">
        <f>V6*W6</f>
        <v>4250</v>
      </c>
    </row>
    <row r="7" spans="1:24" x14ac:dyDescent="0.35">
      <c r="A7" s="13" t="s">
        <v>351</v>
      </c>
      <c r="B7" s="13" t="s">
        <v>39</v>
      </c>
      <c r="C7" s="43">
        <v>1.05</v>
      </c>
      <c r="D7" s="17">
        <v>1500</v>
      </c>
      <c r="E7" s="17">
        <f t="shared" si="0"/>
        <v>1575</v>
      </c>
      <c r="G7" s="14" t="s">
        <v>339</v>
      </c>
      <c r="H7">
        <v>6.5500000000000007</v>
      </c>
      <c r="I7" s="19">
        <v>4217.5</v>
      </c>
      <c r="K7" s="14" t="s">
        <v>94</v>
      </c>
      <c r="L7">
        <v>67.600000000000009</v>
      </c>
      <c r="N7" s="22">
        <v>4</v>
      </c>
      <c r="O7" s="24" t="s">
        <v>11</v>
      </c>
      <c r="P7" s="25">
        <f>VLOOKUP(O7,KamiBox!$C$2:$F$58,4,0)</f>
        <v>10000</v>
      </c>
      <c r="Q7" s="26">
        <v>0</v>
      </c>
      <c r="R7" s="25">
        <f t="shared" si="2"/>
        <v>0</v>
      </c>
      <c r="S7">
        <v>1</v>
      </c>
      <c r="T7" s="22"/>
      <c r="U7" s="86" t="s">
        <v>135</v>
      </c>
      <c r="V7" s="25"/>
      <c r="W7" s="87">
        <f>SUM(W4:W6)</f>
        <v>32.900000000000006</v>
      </c>
      <c r="X7" s="88">
        <f>SUM(X4:X6)</f>
        <v>49960</v>
      </c>
    </row>
    <row r="8" spans="1:24" x14ac:dyDescent="0.35">
      <c r="A8" s="13" t="s">
        <v>351</v>
      </c>
      <c r="B8" s="13" t="s">
        <v>25</v>
      </c>
      <c r="C8" s="43">
        <v>0.7</v>
      </c>
      <c r="D8" s="17">
        <v>1000</v>
      </c>
      <c r="E8" s="17">
        <f t="shared" si="0"/>
        <v>700</v>
      </c>
      <c r="G8" s="14" t="s">
        <v>361</v>
      </c>
      <c r="H8">
        <v>16.2</v>
      </c>
      <c r="I8" s="19">
        <v>22035</v>
      </c>
      <c r="K8" s="14" t="s">
        <v>22</v>
      </c>
      <c r="L8">
        <v>4.0999999999999996</v>
      </c>
      <c r="N8" s="22">
        <v>5</v>
      </c>
      <c r="O8" s="24" t="s">
        <v>12</v>
      </c>
      <c r="P8" s="25">
        <f>VLOOKUP(O8,KamiBox!$C$2:$F$58,4,0)</f>
        <v>1000</v>
      </c>
      <c r="Q8" s="26">
        <f t="shared" si="1"/>
        <v>0</v>
      </c>
      <c r="R8" s="25">
        <f t="shared" si="2"/>
        <v>0</v>
      </c>
    </row>
    <row r="9" spans="1:24" x14ac:dyDescent="0.35">
      <c r="A9" s="13" t="s">
        <v>351</v>
      </c>
      <c r="B9" s="13" t="s">
        <v>53</v>
      </c>
      <c r="C9" s="43">
        <v>0.55000000000000004</v>
      </c>
      <c r="D9" s="17">
        <v>300</v>
      </c>
      <c r="E9" s="17">
        <f t="shared" si="0"/>
        <v>165</v>
      </c>
      <c r="G9" s="14" t="s">
        <v>415</v>
      </c>
      <c r="H9">
        <v>4</v>
      </c>
      <c r="I9" s="19">
        <v>7305</v>
      </c>
      <c r="K9" s="14" t="s">
        <v>125</v>
      </c>
      <c r="L9">
        <v>18.649999999999999</v>
      </c>
      <c r="N9" s="22">
        <v>6</v>
      </c>
      <c r="O9" s="24" t="s">
        <v>13</v>
      </c>
      <c r="P9" s="25"/>
      <c r="Q9" s="26"/>
      <c r="R9" s="25">
        <f t="shared" si="2"/>
        <v>0</v>
      </c>
    </row>
    <row r="10" spans="1:24" x14ac:dyDescent="0.35">
      <c r="A10" s="13" t="s">
        <v>351</v>
      </c>
      <c r="B10" s="13" t="s">
        <v>13</v>
      </c>
      <c r="C10" s="43">
        <v>0.15</v>
      </c>
      <c r="D10" s="17">
        <v>500</v>
      </c>
      <c r="E10" s="17">
        <f t="shared" si="0"/>
        <v>75</v>
      </c>
      <c r="G10" s="14" t="s">
        <v>365</v>
      </c>
      <c r="H10">
        <v>17.100000000000001</v>
      </c>
      <c r="I10" s="19">
        <v>21945</v>
      </c>
      <c r="K10" s="14" t="s">
        <v>25</v>
      </c>
      <c r="L10">
        <v>68.100000000000023</v>
      </c>
      <c r="N10" s="22">
        <v>7</v>
      </c>
      <c r="O10" s="24" t="s">
        <v>15</v>
      </c>
      <c r="P10" s="25">
        <f>VLOOKUP(O10,KamiBox!$C$2:$F$58,4,0)</f>
        <v>4000</v>
      </c>
      <c r="Q10" s="26">
        <f t="shared" si="1"/>
        <v>21.5</v>
      </c>
      <c r="R10" s="25">
        <f t="shared" si="2"/>
        <v>86000</v>
      </c>
    </row>
    <row r="11" spans="1:24" x14ac:dyDescent="0.35">
      <c r="A11" s="13" t="s">
        <v>338</v>
      </c>
      <c r="B11" s="13" t="s">
        <v>29</v>
      </c>
      <c r="C11" s="43">
        <v>2.25</v>
      </c>
      <c r="D11" s="17">
        <v>1600</v>
      </c>
      <c r="E11" s="17">
        <f t="shared" si="0"/>
        <v>3600</v>
      </c>
      <c r="G11" s="14" t="s">
        <v>332</v>
      </c>
      <c r="H11">
        <v>2.2000000000000002</v>
      </c>
      <c r="I11" s="19">
        <v>3010</v>
      </c>
      <c r="K11" s="14" t="s">
        <v>26</v>
      </c>
      <c r="L11">
        <v>21.349999999999998</v>
      </c>
      <c r="N11" s="22">
        <v>8</v>
      </c>
      <c r="O11" s="24" t="s">
        <v>16</v>
      </c>
      <c r="P11" s="25">
        <f>VLOOKUP(O11,KamiBox!$C$2:$F$58,4,0)</f>
        <v>400</v>
      </c>
      <c r="Q11" s="26">
        <f t="shared" si="1"/>
        <v>0</v>
      </c>
      <c r="R11" s="25">
        <f t="shared" si="2"/>
        <v>0</v>
      </c>
    </row>
    <row r="12" spans="1:24" x14ac:dyDescent="0.35">
      <c r="A12" s="13" t="s">
        <v>338</v>
      </c>
      <c r="B12" s="13" t="s">
        <v>22</v>
      </c>
      <c r="C12" s="43">
        <v>1.1499999999999999</v>
      </c>
      <c r="D12" s="17">
        <v>1600</v>
      </c>
      <c r="E12" s="17">
        <f t="shared" si="0"/>
        <v>1839.9999999999998</v>
      </c>
      <c r="G12" s="14" t="s">
        <v>320</v>
      </c>
      <c r="H12">
        <v>2.25</v>
      </c>
      <c r="I12" s="19">
        <v>1175</v>
      </c>
      <c r="K12" s="14" t="s">
        <v>128</v>
      </c>
      <c r="L12">
        <v>2.8</v>
      </c>
      <c r="N12" s="22">
        <v>9</v>
      </c>
      <c r="O12" s="24" t="s">
        <v>17</v>
      </c>
      <c r="P12" s="25">
        <f>VLOOKUP(O12,KamiBox!$C$2:$F$58,4,0)</f>
        <v>100</v>
      </c>
      <c r="Q12" s="26">
        <f t="shared" si="1"/>
        <v>0</v>
      </c>
      <c r="R12" s="25">
        <f t="shared" si="2"/>
        <v>0</v>
      </c>
    </row>
    <row r="13" spans="1:24" x14ac:dyDescent="0.35">
      <c r="A13" s="13" t="s">
        <v>338</v>
      </c>
      <c r="B13" s="13" t="s">
        <v>53</v>
      </c>
      <c r="C13" s="43">
        <v>1.8</v>
      </c>
      <c r="D13" s="17">
        <v>300</v>
      </c>
      <c r="E13" s="17">
        <f t="shared" si="0"/>
        <v>540</v>
      </c>
      <c r="G13" s="14" t="s">
        <v>345</v>
      </c>
      <c r="H13">
        <v>36.450000000000003</v>
      </c>
      <c r="I13" s="19">
        <v>64430</v>
      </c>
      <c r="K13" s="14" t="s">
        <v>29</v>
      </c>
      <c r="L13">
        <v>3.15</v>
      </c>
      <c r="N13" s="22">
        <v>10</v>
      </c>
      <c r="O13" s="24" t="s">
        <v>18</v>
      </c>
      <c r="P13" s="25">
        <f>VLOOKUP(O13,KamiBox!$C$2:$F$58,4,0)</f>
        <v>200</v>
      </c>
      <c r="Q13" s="26">
        <f t="shared" si="1"/>
        <v>19.399999999999999</v>
      </c>
      <c r="R13" s="25">
        <f t="shared" si="2"/>
        <v>3879.9999999999995</v>
      </c>
    </row>
    <row r="14" spans="1:24" x14ac:dyDescent="0.35">
      <c r="A14" s="13" t="s">
        <v>399</v>
      </c>
      <c r="B14" s="13" t="s">
        <v>263</v>
      </c>
      <c r="C14" s="43">
        <v>0.8</v>
      </c>
      <c r="D14" s="17">
        <v>400</v>
      </c>
      <c r="E14" s="17">
        <f t="shared" si="0"/>
        <v>320</v>
      </c>
      <c r="G14" s="14" t="s">
        <v>324</v>
      </c>
      <c r="H14">
        <v>4.6500000000000004</v>
      </c>
      <c r="I14" s="19">
        <v>5320</v>
      </c>
      <c r="K14" s="14" t="s">
        <v>100</v>
      </c>
      <c r="L14">
        <v>1.9</v>
      </c>
      <c r="N14" s="22">
        <v>11</v>
      </c>
      <c r="O14" s="24" t="s">
        <v>19</v>
      </c>
      <c r="P14" s="25">
        <f>VLOOKUP(O14,KamiBox!$C$2:$F$58,4,0)</f>
        <v>100</v>
      </c>
      <c r="Q14" s="26">
        <f t="shared" si="1"/>
        <v>0</v>
      </c>
      <c r="R14" s="25">
        <f t="shared" si="2"/>
        <v>0</v>
      </c>
    </row>
    <row r="15" spans="1:24" x14ac:dyDescent="0.35">
      <c r="A15" s="13" t="s">
        <v>399</v>
      </c>
      <c r="B15" s="13" t="s">
        <v>26</v>
      </c>
      <c r="C15" s="43">
        <v>0.4</v>
      </c>
      <c r="D15" s="17">
        <v>1000</v>
      </c>
      <c r="E15" s="17">
        <f t="shared" si="0"/>
        <v>400</v>
      </c>
      <c r="G15" s="14" t="s">
        <v>388</v>
      </c>
      <c r="H15">
        <v>11.950000000000001</v>
      </c>
      <c r="I15" s="19">
        <v>15905</v>
      </c>
      <c r="K15" s="14" t="s">
        <v>34</v>
      </c>
      <c r="L15">
        <v>45.70000000000001</v>
      </c>
      <c r="N15" s="22">
        <v>12</v>
      </c>
      <c r="O15" s="24" t="s">
        <v>20</v>
      </c>
      <c r="P15" s="25">
        <f>VLOOKUP(O15,KamiBox!$C$2:$F$58,4,0)</f>
        <v>800</v>
      </c>
      <c r="Q15" s="26">
        <f t="shared" si="1"/>
        <v>0</v>
      </c>
      <c r="R15" s="25">
        <f t="shared" si="2"/>
        <v>0</v>
      </c>
    </row>
    <row r="16" spans="1:24" x14ac:dyDescent="0.35">
      <c r="A16" s="13" t="s">
        <v>399</v>
      </c>
      <c r="B16" s="13" t="s">
        <v>13</v>
      </c>
      <c r="C16" s="43">
        <v>0.5</v>
      </c>
      <c r="D16" s="17">
        <v>500</v>
      </c>
      <c r="E16" s="17">
        <f t="shared" si="0"/>
        <v>250</v>
      </c>
      <c r="G16" s="14" t="s">
        <v>386</v>
      </c>
      <c r="H16">
        <v>28.600000000000005</v>
      </c>
      <c r="I16" s="19">
        <v>57845</v>
      </c>
      <c r="K16" s="14" t="s">
        <v>293</v>
      </c>
      <c r="L16">
        <v>2.7</v>
      </c>
      <c r="N16" s="22">
        <v>13</v>
      </c>
      <c r="O16" s="24" t="s">
        <v>94</v>
      </c>
      <c r="P16" s="25">
        <f>VLOOKUP(O16,KamiBox!$C$2:$F$58,4,0)</f>
        <v>5000</v>
      </c>
      <c r="Q16" s="26">
        <f>SUMIF($B$3:$B$357,O16,$C$3:$C$357)+4</f>
        <v>71.600000000000009</v>
      </c>
      <c r="R16" s="25">
        <f t="shared" si="2"/>
        <v>358000.00000000006</v>
      </c>
    </row>
    <row r="17" spans="1:19" x14ac:dyDescent="0.35">
      <c r="A17" s="13" t="s">
        <v>399</v>
      </c>
      <c r="B17" s="13" t="s">
        <v>53</v>
      </c>
      <c r="C17" s="43">
        <v>1.6</v>
      </c>
      <c r="D17" s="17">
        <v>300</v>
      </c>
      <c r="E17" s="17">
        <f t="shared" si="0"/>
        <v>480</v>
      </c>
      <c r="G17" s="14" t="s">
        <v>389</v>
      </c>
      <c r="H17">
        <v>2.9000000000000004</v>
      </c>
      <c r="I17" s="19">
        <v>3325</v>
      </c>
      <c r="K17" s="14" t="s">
        <v>39</v>
      </c>
      <c r="L17">
        <v>19.599999999999998</v>
      </c>
      <c r="N17" s="22">
        <v>14</v>
      </c>
      <c r="O17" s="24" t="s">
        <v>22</v>
      </c>
      <c r="P17" s="25">
        <f>VLOOKUP(O17,KamiBox!$C$2:$F$58,4,0)</f>
        <v>2500</v>
      </c>
      <c r="Q17" s="26">
        <f t="shared" si="1"/>
        <v>4.0999999999999996</v>
      </c>
      <c r="R17" s="25">
        <f t="shared" si="2"/>
        <v>10250</v>
      </c>
    </row>
    <row r="18" spans="1:19" x14ac:dyDescent="0.35">
      <c r="A18" s="13" t="s">
        <v>399</v>
      </c>
      <c r="B18" s="13" t="s">
        <v>51</v>
      </c>
      <c r="C18" s="43">
        <v>0.5</v>
      </c>
      <c r="D18" s="17">
        <v>500</v>
      </c>
      <c r="E18" s="17">
        <f t="shared" si="0"/>
        <v>250</v>
      </c>
      <c r="G18" s="14" t="s">
        <v>344</v>
      </c>
      <c r="H18">
        <v>1.7000000000000002</v>
      </c>
      <c r="I18" s="19">
        <v>3290.0000000000005</v>
      </c>
      <c r="K18" s="14" t="s">
        <v>41</v>
      </c>
      <c r="L18">
        <v>103.14999999999999</v>
      </c>
      <c r="N18" s="22">
        <v>15</v>
      </c>
      <c r="O18" s="24" t="s">
        <v>23</v>
      </c>
      <c r="P18" s="25">
        <f>VLOOKUP(O18,KamiBox!$C$2:$F$58,4,0)</f>
        <v>1000</v>
      </c>
      <c r="Q18" s="26">
        <f t="shared" si="1"/>
        <v>0</v>
      </c>
      <c r="R18" s="25">
        <f t="shared" si="2"/>
        <v>0</v>
      </c>
    </row>
    <row r="19" spans="1:19" x14ac:dyDescent="0.35">
      <c r="A19" s="13" t="s">
        <v>323</v>
      </c>
      <c r="B19" s="13" t="s">
        <v>94</v>
      </c>
      <c r="C19" s="43">
        <v>0.45</v>
      </c>
      <c r="D19" s="17">
        <v>2800</v>
      </c>
      <c r="E19" s="17">
        <f t="shared" si="0"/>
        <v>1260</v>
      </c>
      <c r="G19" s="14" t="s">
        <v>355</v>
      </c>
      <c r="H19">
        <v>9.3000000000000007</v>
      </c>
      <c r="I19" s="19">
        <v>9020</v>
      </c>
      <c r="K19" s="14" t="s">
        <v>263</v>
      </c>
      <c r="L19">
        <v>1.05</v>
      </c>
      <c r="N19" s="22">
        <v>16</v>
      </c>
      <c r="O19" s="24" t="s">
        <v>125</v>
      </c>
      <c r="P19" s="25">
        <f>VLOOKUP(O19,KamiBox!$C$2:$F$58,4,0)</f>
        <v>1000</v>
      </c>
      <c r="Q19" s="26">
        <f t="shared" si="1"/>
        <v>18.649999999999999</v>
      </c>
      <c r="R19" s="25">
        <f t="shared" si="2"/>
        <v>18650</v>
      </c>
    </row>
    <row r="20" spans="1:19" x14ac:dyDescent="0.35">
      <c r="A20" s="13" t="s">
        <v>323</v>
      </c>
      <c r="B20" s="13" t="s">
        <v>25</v>
      </c>
      <c r="C20" s="43">
        <v>1.2</v>
      </c>
      <c r="D20" s="17">
        <v>1000</v>
      </c>
      <c r="E20" s="17">
        <f t="shared" si="0"/>
        <v>1200</v>
      </c>
      <c r="G20" s="14" t="s">
        <v>390</v>
      </c>
      <c r="H20">
        <v>10.95</v>
      </c>
      <c r="I20" s="19">
        <v>17960</v>
      </c>
      <c r="K20" s="14" t="s">
        <v>46</v>
      </c>
      <c r="L20">
        <v>0.7</v>
      </c>
      <c r="N20" s="22">
        <v>17</v>
      </c>
      <c r="O20" s="24" t="s">
        <v>25</v>
      </c>
      <c r="P20" s="25">
        <f>VLOOKUP(O20,KamiBox!$C$2:$F$58,4,0)</f>
        <v>1200</v>
      </c>
      <c r="Q20" s="26">
        <f t="shared" si="1"/>
        <v>68.100000000000023</v>
      </c>
      <c r="R20" s="25">
        <f t="shared" si="2"/>
        <v>81720.000000000029</v>
      </c>
    </row>
    <row r="21" spans="1:19" x14ac:dyDescent="0.35">
      <c r="A21" s="13" t="s">
        <v>323</v>
      </c>
      <c r="B21" s="13" t="s">
        <v>53</v>
      </c>
      <c r="C21" s="43">
        <v>0.5</v>
      </c>
      <c r="D21" s="17">
        <v>300</v>
      </c>
      <c r="E21" s="17">
        <f t="shared" si="0"/>
        <v>150</v>
      </c>
      <c r="G21" s="14" t="s">
        <v>336</v>
      </c>
      <c r="H21">
        <v>2.0500000000000003</v>
      </c>
      <c r="I21" s="19">
        <v>1785</v>
      </c>
      <c r="K21" s="14" t="s">
        <v>51</v>
      </c>
      <c r="L21">
        <v>39.400000000000006</v>
      </c>
      <c r="N21" s="22">
        <v>18</v>
      </c>
      <c r="O21" s="24" t="s">
        <v>26</v>
      </c>
      <c r="P21" s="25">
        <f>VLOOKUP(O21,KamiBox!$C$2:$F$58,4,0)</f>
        <v>1000</v>
      </c>
      <c r="Q21" s="26">
        <f t="shared" si="1"/>
        <v>21.349999999999998</v>
      </c>
      <c r="R21" s="25">
        <f t="shared" si="2"/>
        <v>21349.999999999996</v>
      </c>
    </row>
    <row r="22" spans="1:19" x14ac:dyDescent="0.35">
      <c r="A22" s="13" t="s">
        <v>329</v>
      </c>
      <c r="B22" s="13" t="s">
        <v>126</v>
      </c>
      <c r="C22" s="43">
        <v>0.8</v>
      </c>
      <c r="D22" s="17">
        <v>1800</v>
      </c>
      <c r="E22" s="17">
        <f t="shared" si="0"/>
        <v>1440</v>
      </c>
      <c r="G22" s="14" t="s">
        <v>323</v>
      </c>
      <c r="H22">
        <v>2.15</v>
      </c>
      <c r="I22" s="19">
        <v>2610</v>
      </c>
      <c r="K22" s="14" t="s">
        <v>53</v>
      </c>
      <c r="L22">
        <v>79.649999999999991</v>
      </c>
      <c r="N22" s="22">
        <v>19</v>
      </c>
      <c r="O22" s="24" t="s">
        <v>27</v>
      </c>
      <c r="P22" s="25">
        <f>VLOOKUP(O22,KamiBox!$C$2:$F$58,4,0)</f>
        <v>3000</v>
      </c>
      <c r="Q22" s="26">
        <f t="shared" si="1"/>
        <v>0</v>
      </c>
      <c r="R22" s="25">
        <f t="shared" si="2"/>
        <v>0</v>
      </c>
    </row>
    <row r="23" spans="1:19" x14ac:dyDescent="0.35">
      <c r="A23" s="13" t="s">
        <v>329</v>
      </c>
      <c r="B23" s="13" t="s">
        <v>25</v>
      </c>
      <c r="C23" s="43">
        <v>1.7</v>
      </c>
      <c r="D23" s="17">
        <v>1000</v>
      </c>
      <c r="E23" s="17">
        <f t="shared" si="0"/>
        <v>1700</v>
      </c>
      <c r="G23" s="14" t="s">
        <v>401</v>
      </c>
      <c r="H23">
        <v>15.9</v>
      </c>
      <c r="I23" s="19">
        <v>45355</v>
      </c>
      <c r="K23" s="14" t="s">
        <v>54</v>
      </c>
      <c r="L23">
        <v>0.55000000000000004</v>
      </c>
      <c r="N23" s="22">
        <v>20</v>
      </c>
      <c r="O23" s="24" t="s">
        <v>28</v>
      </c>
      <c r="P23" s="25">
        <f>VLOOKUP(O23,KamiBox!$C$2:$F$58,4,0)</f>
        <v>4000</v>
      </c>
      <c r="Q23" s="26">
        <f>GETPIVOTDATA("Berat",$K$2,"Material","Gelas PP Bersih (bening)")+1</f>
        <v>3.8</v>
      </c>
      <c r="R23" s="25">
        <f t="shared" si="2"/>
        <v>15200</v>
      </c>
    </row>
    <row r="24" spans="1:19" x14ac:dyDescent="0.35">
      <c r="A24" s="13" t="s">
        <v>329</v>
      </c>
      <c r="B24" s="13" t="s">
        <v>13</v>
      </c>
      <c r="C24" s="43">
        <v>0.85</v>
      </c>
      <c r="D24" s="17">
        <v>500</v>
      </c>
      <c r="E24" s="17">
        <f t="shared" si="0"/>
        <v>425</v>
      </c>
      <c r="G24" s="14" t="s">
        <v>364</v>
      </c>
      <c r="H24">
        <v>10.5</v>
      </c>
      <c r="I24" s="19">
        <v>17720</v>
      </c>
      <c r="K24" s="14" t="s">
        <v>266</v>
      </c>
      <c r="L24">
        <v>2.5</v>
      </c>
      <c r="N24" s="22">
        <v>21</v>
      </c>
      <c r="O24" s="24" t="s">
        <v>29</v>
      </c>
      <c r="P24" s="25">
        <f>VLOOKUP(O24,KamiBox!$C$2:$F$58,4,0)</f>
        <v>2000</v>
      </c>
      <c r="Q24" s="26">
        <f t="shared" si="1"/>
        <v>3.15</v>
      </c>
      <c r="R24" s="25">
        <f t="shared" si="2"/>
        <v>6300</v>
      </c>
    </row>
    <row r="25" spans="1:19" x14ac:dyDescent="0.35">
      <c r="A25" s="13" t="s">
        <v>329</v>
      </c>
      <c r="B25" s="13" t="s">
        <v>51</v>
      </c>
      <c r="C25" s="43">
        <v>2.35</v>
      </c>
      <c r="D25" s="17">
        <v>500</v>
      </c>
      <c r="E25" s="17">
        <f t="shared" si="0"/>
        <v>1175</v>
      </c>
      <c r="G25" s="14" t="s">
        <v>398</v>
      </c>
      <c r="H25">
        <v>14.8</v>
      </c>
      <c r="I25" s="19">
        <v>44980</v>
      </c>
      <c r="K25" s="14" t="s">
        <v>126</v>
      </c>
      <c r="L25">
        <v>5.6</v>
      </c>
      <c r="N25" s="22">
        <v>22</v>
      </c>
      <c r="O25" s="24" t="s">
        <v>30</v>
      </c>
      <c r="P25" s="25">
        <f>VLOOKUP(O25,KamiBox!$C$2:$F$58,4,0)</f>
        <v>5000</v>
      </c>
      <c r="Q25" s="26">
        <f t="shared" si="1"/>
        <v>0</v>
      </c>
      <c r="R25" s="25">
        <f t="shared" si="2"/>
        <v>0</v>
      </c>
    </row>
    <row r="26" spans="1:19" x14ac:dyDescent="0.35">
      <c r="A26" s="13" t="s">
        <v>329</v>
      </c>
      <c r="B26" s="13" t="s">
        <v>53</v>
      </c>
      <c r="C26" s="43">
        <v>1.05</v>
      </c>
      <c r="D26" s="17">
        <v>300</v>
      </c>
      <c r="E26" s="17">
        <f t="shared" si="0"/>
        <v>315</v>
      </c>
      <c r="G26" s="14" t="s">
        <v>353</v>
      </c>
      <c r="H26">
        <v>11.400000000000002</v>
      </c>
      <c r="I26" s="19">
        <v>15720</v>
      </c>
      <c r="K26" s="14" t="s">
        <v>57</v>
      </c>
      <c r="L26">
        <v>2.25</v>
      </c>
      <c r="N26" s="22">
        <v>23</v>
      </c>
      <c r="O26" s="24" t="s">
        <v>100</v>
      </c>
      <c r="P26" s="25">
        <f>VLOOKUP(O26,KamiBox!$C$2:$F$58,4,0)</f>
        <v>2000</v>
      </c>
      <c r="Q26" s="26">
        <f t="shared" si="1"/>
        <v>1.9</v>
      </c>
      <c r="R26" s="25">
        <f t="shared" si="2"/>
        <v>3800</v>
      </c>
    </row>
    <row r="27" spans="1:19" x14ac:dyDescent="0.35">
      <c r="A27" s="13" t="s">
        <v>329</v>
      </c>
      <c r="B27" s="13" t="s">
        <v>94</v>
      </c>
      <c r="C27" s="43">
        <v>0.9</v>
      </c>
      <c r="D27" s="17">
        <v>2800</v>
      </c>
      <c r="E27" s="17">
        <f t="shared" si="0"/>
        <v>2520</v>
      </c>
      <c r="G27" s="14" t="s">
        <v>341</v>
      </c>
      <c r="H27">
        <v>9.0500000000000007</v>
      </c>
      <c r="I27" s="19">
        <v>8790</v>
      </c>
      <c r="K27" s="14" t="s">
        <v>60</v>
      </c>
      <c r="L27">
        <v>4.8000000000000016</v>
      </c>
      <c r="N27" s="22">
        <v>24</v>
      </c>
      <c r="O27" s="24" t="s">
        <v>33</v>
      </c>
      <c r="P27" s="25">
        <f>VLOOKUP(O27,KamiBox!$C$2:$F$58,4,0)</f>
        <v>700</v>
      </c>
      <c r="Q27" s="26">
        <f t="shared" si="1"/>
        <v>0</v>
      </c>
      <c r="R27" s="25">
        <f t="shared" si="2"/>
        <v>0</v>
      </c>
    </row>
    <row r="28" spans="1:19" x14ac:dyDescent="0.35">
      <c r="A28" s="13" t="s">
        <v>366</v>
      </c>
      <c r="B28" s="13" t="s">
        <v>26</v>
      </c>
      <c r="C28" s="43">
        <f>0.85+1.15+1.05</f>
        <v>3.05</v>
      </c>
      <c r="D28" s="17">
        <v>1000</v>
      </c>
      <c r="E28" s="17">
        <f t="shared" si="0"/>
        <v>3050</v>
      </c>
      <c r="G28" s="14" t="s">
        <v>350</v>
      </c>
      <c r="H28">
        <v>3.1999999999999997</v>
      </c>
      <c r="I28" s="19">
        <v>5025</v>
      </c>
      <c r="K28" s="14" t="s">
        <v>61</v>
      </c>
      <c r="L28">
        <v>1.5000000000000002</v>
      </c>
      <c r="N28" s="22">
        <v>25</v>
      </c>
      <c r="O28" s="24" t="s">
        <v>34</v>
      </c>
      <c r="P28" s="25">
        <v>7000</v>
      </c>
      <c r="Q28" s="26">
        <f>SUMIF($B$3:$B$357,O28,$C$3:$C$357)+3.5</f>
        <v>49.20000000000001</v>
      </c>
      <c r="R28" s="25">
        <f t="shared" si="2"/>
        <v>344400.00000000006</v>
      </c>
      <c r="S28">
        <v>3.5</v>
      </c>
    </row>
    <row r="29" spans="1:19" x14ac:dyDescent="0.35">
      <c r="A29" s="13" t="s">
        <v>366</v>
      </c>
      <c r="B29" s="13" t="s">
        <v>15</v>
      </c>
      <c r="C29" s="43">
        <v>1.7</v>
      </c>
      <c r="D29" s="17">
        <v>2500</v>
      </c>
      <c r="E29" s="17">
        <f t="shared" si="0"/>
        <v>4250</v>
      </c>
      <c r="G29" s="14" t="s">
        <v>322</v>
      </c>
      <c r="H29">
        <v>5.2</v>
      </c>
      <c r="I29" s="19">
        <v>11560</v>
      </c>
      <c r="K29" s="14" t="s">
        <v>124</v>
      </c>
      <c r="L29">
        <v>568.54999999999995</v>
      </c>
      <c r="N29" s="22">
        <v>26</v>
      </c>
      <c r="O29" s="24" t="s">
        <v>35</v>
      </c>
      <c r="P29" s="25">
        <f>VLOOKUP(O29,KamiBox!$C$2:$F$58,4,0)</f>
        <v>1500</v>
      </c>
      <c r="Q29" s="26">
        <f>GETPIVOTDATA("Berat",$K$2,"Material","Kabel Alumunium")</f>
        <v>2.7</v>
      </c>
      <c r="R29" s="25">
        <f t="shared" si="2"/>
        <v>4050.0000000000005</v>
      </c>
    </row>
    <row r="30" spans="1:19" x14ac:dyDescent="0.35">
      <c r="A30" s="13" t="s">
        <v>366</v>
      </c>
      <c r="B30" s="13" t="s">
        <v>18</v>
      </c>
      <c r="C30" s="43">
        <v>0.4</v>
      </c>
      <c r="D30" s="17">
        <v>150</v>
      </c>
      <c r="E30" s="17">
        <f t="shared" si="0"/>
        <v>60</v>
      </c>
      <c r="G30" s="14" t="s">
        <v>428</v>
      </c>
      <c r="H30">
        <v>11.15</v>
      </c>
      <c r="I30" s="19">
        <v>17115</v>
      </c>
      <c r="N30" s="22">
        <v>27</v>
      </c>
      <c r="O30" s="24" t="s">
        <v>37</v>
      </c>
      <c r="P30" s="25">
        <f>VLOOKUP(O30,KamiBox!$C$2:$F$58,4,0)</f>
        <v>2000</v>
      </c>
      <c r="Q30" s="26">
        <f>GETPIVOTDATA("Berat",$K$2,"Material","STAL/Kabin/Enamel")</f>
        <v>5.6</v>
      </c>
      <c r="R30" s="25">
        <f t="shared" si="2"/>
        <v>11200</v>
      </c>
    </row>
    <row r="31" spans="1:19" x14ac:dyDescent="0.35">
      <c r="A31" s="13" t="s">
        <v>366</v>
      </c>
      <c r="B31" s="13" t="s">
        <v>94</v>
      </c>
      <c r="C31" s="43">
        <v>1</v>
      </c>
      <c r="D31" s="17">
        <v>2800</v>
      </c>
      <c r="E31" s="17">
        <f t="shared" si="0"/>
        <v>2800</v>
      </c>
      <c r="G31" s="14" t="s">
        <v>329</v>
      </c>
      <c r="H31">
        <v>7.65</v>
      </c>
      <c r="I31" s="19">
        <v>7575</v>
      </c>
      <c r="N31" s="22">
        <v>28</v>
      </c>
      <c r="O31" s="24" t="s">
        <v>38</v>
      </c>
      <c r="P31" s="25">
        <f>VLOOKUP(O31,KamiBox!$C$2:$F$58,4,0)</f>
        <v>100</v>
      </c>
      <c r="Q31" s="26">
        <f t="shared" si="1"/>
        <v>0</v>
      </c>
      <c r="R31" s="25">
        <f t="shared" si="2"/>
        <v>0</v>
      </c>
    </row>
    <row r="32" spans="1:19" x14ac:dyDescent="0.35">
      <c r="A32" s="13" t="s">
        <v>366</v>
      </c>
      <c r="B32" s="13" t="s">
        <v>25</v>
      </c>
      <c r="C32" s="43">
        <v>1.4</v>
      </c>
      <c r="D32" s="17">
        <v>1000</v>
      </c>
      <c r="E32" s="17">
        <f t="shared" si="0"/>
        <v>1400</v>
      </c>
      <c r="G32" s="14" t="s">
        <v>357</v>
      </c>
      <c r="H32">
        <v>16.5</v>
      </c>
      <c r="I32" s="19">
        <v>35692.5</v>
      </c>
      <c r="K32" s="14" t="s">
        <v>73</v>
      </c>
      <c r="N32" s="22">
        <v>29</v>
      </c>
      <c r="O32" s="24" t="s">
        <v>39</v>
      </c>
      <c r="P32" s="25">
        <f>VLOOKUP(O32,KamiBox!$C$2:$F$58,4,0)</f>
        <v>2000</v>
      </c>
      <c r="Q32" s="26">
        <f t="shared" si="1"/>
        <v>19.599999999999998</v>
      </c>
      <c r="R32" s="25">
        <f t="shared" si="2"/>
        <v>39199.999999999993</v>
      </c>
    </row>
    <row r="33" spans="1:18" x14ac:dyDescent="0.35">
      <c r="A33" s="13" t="s">
        <v>366</v>
      </c>
      <c r="B33" s="13" t="s">
        <v>51</v>
      </c>
      <c r="C33" s="43">
        <v>2.2000000000000002</v>
      </c>
      <c r="D33" s="17">
        <v>500</v>
      </c>
      <c r="E33" s="17">
        <f t="shared" si="0"/>
        <v>1100</v>
      </c>
      <c r="G33" s="14" t="s">
        <v>395</v>
      </c>
      <c r="H33">
        <v>14.15</v>
      </c>
      <c r="I33" s="19">
        <v>29660</v>
      </c>
      <c r="K33" s="5">
        <f>(R60+X7)-GETPIVOTDATA("Sum of Total",$G$2)</f>
        <v>504907.50000000023</v>
      </c>
      <c r="N33" s="22">
        <v>30</v>
      </c>
      <c r="O33" s="24" t="s">
        <v>40</v>
      </c>
      <c r="P33" s="25">
        <f>VLOOKUP(O33,KamiBox!$C$2:$F$58,4,0)</f>
        <v>1800</v>
      </c>
      <c r="Q33" s="26">
        <f t="shared" si="1"/>
        <v>0</v>
      </c>
      <c r="R33" s="25">
        <f t="shared" si="2"/>
        <v>0</v>
      </c>
    </row>
    <row r="34" spans="1:18" x14ac:dyDescent="0.35">
      <c r="A34" s="13" t="s">
        <v>366</v>
      </c>
      <c r="B34" s="13" t="s">
        <v>13</v>
      </c>
      <c r="C34" s="43">
        <v>0.55000000000000004</v>
      </c>
      <c r="D34" s="17">
        <v>500</v>
      </c>
      <c r="E34" s="17">
        <f t="shared" si="0"/>
        <v>275</v>
      </c>
      <c r="G34" s="14" t="s">
        <v>425</v>
      </c>
      <c r="H34">
        <v>4.6500000000000004</v>
      </c>
      <c r="I34" s="19">
        <v>3535</v>
      </c>
      <c r="N34" s="22">
        <v>31</v>
      </c>
      <c r="O34" s="24" t="s">
        <v>41</v>
      </c>
      <c r="P34" s="25">
        <f>VLOOKUP(O34,KamiBox!$C$2:$F$58,4,0)</f>
        <v>1800</v>
      </c>
      <c r="Q34" s="26">
        <f>SUMIF($B$3:$B$357,O34,$C$3:$C$357)+5</f>
        <v>108.14999999999999</v>
      </c>
      <c r="R34" s="25">
        <f t="shared" si="2"/>
        <v>194669.99999999997</v>
      </c>
    </row>
    <row r="35" spans="1:18" x14ac:dyDescent="0.35">
      <c r="A35" s="13" t="s">
        <v>366</v>
      </c>
      <c r="B35" s="13" t="s">
        <v>41</v>
      </c>
      <c r="C35" s="43">
        <v>0.9</v>
      </c>
      <c r="D35" s="17">
        <v>1000</v>
      </c>
      <c r="E35" s="17">
        <f t="shared" si="0"/>
        <v>900</v>
      </c>
      <c r="G35" s="14" t="s">
        <v>348</v>
      </c>
      <c r="H35">
        <v>2.9</v>
      </c>
      <c r="I35" s="19">
        <v>3790</v>
      </c>
      <c r="N35" s="22">
        <v>32</v>
      </c>
      <c r="O35" s="24" t="s">
        <v>42</v>
      </c>
      <c r="P35" s="25">
        <f>VLOOKUP(O35,KamiBox!$C$2:$F$58,4,0)</f>
        <v>4000</v>
      </c>
      <c r="Q35" s="26">
        <f t="shared" si="1"/>
        <v>0</v>
      </c>
      <c r="R35" s="25">
        <f t="shared" si="2"/>
        <v>0</v>
      </c>
    </row>
    <row r="36" spans="1:18" x14ac:dyDescent="0.35">
      <c r="A36" s="13" t="s">
        <v>366</v>
      </c>
      <c r="B36" s="13" t="s">
        <v>53</v>
      </c>
      <c r="C36" s="43">
        <v>0.8</v>
      </c>
      <c r="D36" s="17">
        <v>300</v>
      </c>
      <c r="E36" s="17">
        <f t="shared" si="0"/>
        <v>240</v>
      </c>
      <c r="G36" s="14" t="s">
        <v>354</v>
      </c>
      <c r="H36">
        <v>2.75</v>
      </c>
      <c r="I36" s="19">
        <v>3475</v>
      </c>
      <c r="N36" s="47">
        <v>33</v>
      </c>
      <c r="O36" s="91" t="s">
        <v>392</v>
      </c>
      <c r="P36" s="25">
        <v>20000</v>
      </c>
      <c r="Q36" s="26">
        <f t="shared" si="1"/>
        <v>0</v>
      </c>
      <c r="R36" s="25">
        <f t="shared" si="2"/>
        <v>0</v>
      </c>
    </row>
    <row r="37" spans="1:18" x14ac:dyDescent="0.35">
      <c r="A37" s="13" t="s">
        <v>366</v>
      </c>
      <c r="B37" s="13" t="s">
        <v>127</v>
      </c>
      <c r="C37" s="43">
        <v>0.05</v>
      </c>
      <c r="D37" s="17">
        <v>8000</v>
      </c>
      <c r="E37" s="17">
        <f t="shared" si="0"/>
        <v>400</v>
      </c>
      <c r="G37" s="14" t="s">
        <v>340</v>
      </c>
      <c r="H37">
        <v>3.6</v>
      </c>
      <c r="I37" s="19">
        <v>2025</v>
      </c>
      <c r="N37" s="22">
        <v>34</v>
      </c>
      <c r="O37" s="24" t="s">
        <v>43</v>
      </c>
      <c r="P37" s="25">
        <f>VLOOKUP(O37,KamiBox!$C$2:$F$58,4,0)</f>
        <v>60000</v>
      </c>
      <c r="Q37" s="26">
        <f t="shared" si="1"/>
        <v>0</v>
      </c>
      <c r="R37" s="25">
        <f t="shared" si="2"/>
        <v>0</v>
      </c>
    </row>
    <row r="38" spans="1:18" x14ac:dyDescent="0.35">
      <c r="A38" s="13" t="s">
        <v>366</v>
      </c>
      <c r="B38" s="13" t="s">
        <v>39</v>
      </c>
      <c r="C38" s="43">
        <v>0.25</v>
      </c>
      <c r="D38" s="17">
        <v>1500</v>
      </c>
      <c r="E38" s="17">
        <f t="shared" si="0"/>
        <v>375</v>
      </c>
      <c r="G38" s="14" t="s">
        <v>359</v>
      </c>
      <c r="H38">
        <v>13.95</v>
      </c>
      <c r="I38" s="19">
        <v>19667.5</v>
      </c>
      <c r="N38" s="22">
        <v>35</v>
      </c>
      <c r="O38" s="24" t="s">
        <v>44</v>
      </c>
      <c r="P38" s="25">
        <f>VLOOKUP(O38,KamiBox!$C$2:$F$58,4,0)</f>
        <v>700</v>
      </c>
      <c r="Q38" s="26">
        <f t="shared" si="1"/>
        <v>0</v>
      </c>
      <c r="R38" s="25">
        <f t="shared" si="2"/>
        <v>0</v>
      </c>
    </row>
    <row r="39" spans="1:18" x14ac:dyDescent="0.35">
      <c r="A39" s="13" t="s">
        <v>390</v>
      </c>
      <c r="B39" s="13" t="s">
        <v>34</v>
      </c>
      <c r="C39" s="43">
        <v>1.3</v>
      </c>
      <c r="D39" s="17">
        <v>5000</v>
      </c>
      <c r="E39" s="17">
        <f t="shared" si="0"/>
        <v>6500</v>
      </c>
      <c r="G39" s="14" t="s">
        <v>426</v>
      </c>
      <c r="H39">
        <v>21.15</v>
      </c>
      <c r="I39" s="19">
        <v>19180</v>
      </c>
      <c r="N39" s="22">
        <v>36</v>
      </c>
      <c r="O39" s="24" t="s">
        <v>46</v>
      </c>
      <c r="P39" s="25">
        <f>VLOOKUP(O39,KamiBox!$C$2:$F$58,4,0)</f>
        <v>4000</v>
      </c>
      <c r="Q39" s="26">
        <f>SUMIF($B$3:$B$357,O39,$C$3:$C$357)+0.1</f>
        <v>0.79999999999999993</v>
      </c>
      <c r="R39" s="25">
        <f t="shared" si="2"/>
        <v>3199.9999999999995</v>
      </c>
    </row>
    <row r="40" spans="1:18" x14ac:dyDescent="0.35">
      <c r="A40" s="13" t="s">
        <v>390</v>
      </c>
      <c r="B40" s="13" t="s">
        <v>39</v>
      </c>
      <c r="C40" s="43">
        <v>0.15</v>
      </c>
      <c r="D40" s="17">
        <v>1500</v>
      </c>
      <c r="E40" s="17">
        <f t="shared" si="0"/>
        <v>225</v>
      </c>
      <c r="G40" s="14" t="s">
        <v>362</v>
      </c>
      <c r="H40">
        <v>23.700000000000003</v>
      </c>
      <c r="I40" s="19">
        <v>29925</v>
      </c>
      <c r="N40" s="22">
        <v>37</v>
      </c>
      <c r="O40" s="24" t="s">
        <v>47</v>
      </c>
      <c r="P40" s="25">
        <f>VLOOKUP(O40,KamiBox!$C$2:$F$58,4,0)</f>
        <v>50000</v>
      </c>
      <c r="Q40" s="26">
        <f t="shared" si="1"/>
        <v>0</v>
      </c>
      <c r="R40" s="25">
        <f t="shared" si="2"/>
        <v>0</v>
      </c>
    </row>
    <row r="41" spans="1:18" x14ac:dyDescent="0.35">
      <c r="A41" s="13" t="s">
        <v>390</v>
      </c>
      <c r="B41" s="13" t="s">
        <v>94</v>
      </c>
      <c r="C41" s="43">
        <v>1.45</v>
      </c>
      <c r="D41" s="17">
        <v>2800</v>
      </c>
      <c r="E41" s="17">
        <f t="shared" si="0"/>
        <v>4060</v>
      </c>
      <c r="G41" s="14" t="s">
        <v>360</v>
      </c>
      <c r="H41">
        <v>6.35</v>
      </c>
      <c r="I41" s="19">
        <v>8120</v>
      </c>
      <c r="N41" s="22">
        <v>38</v>
      </c>
      <c r="O41" s="24" t="s">
        <v>48</v>
      </c>
      <c r="P41" s="25">
        <f>VLOOKUP(O41,KamiBox!$C$2:$F$58,4,0)</f>
        <v>35000</v>
      </c>
      <c r="Q41" s="26">
        <f t="shared" si="1"/>
        <v>0</v>
      </c>
      <c r="R41" s="25">
        <f t="shared" si="2"/>
        <v>0</v>
      </c>
    </row>
    <row r="42" spans="1:18" x14ac:dyDescent="0.35">
      <c r="A42" s="13" t="s">
        <v>390</v>
      </c>
      <c r="B42" s="13" t="s">
        <v>53</v>
      </c>
      <c r="C42" s="43">
        <v>1.25</v>
      </c>
      <c r="D42" s="17">
        <v>300</v>
      </c>
      <c r="E42" s="17">
        <f t="shared" si="0"/>
        <v>375</v>
      </c>
      <c r="G42" s="14" t="s">
        <v>338</v>
      </c>
      <c r="H42">
        <v>5.2</v>
      </c>
      <c r="I42" s="19">
        <v>5980</v>
      </c>
      <c r="N42" s="22">
        <v>39</v>
      </c>
      <c r="O42" s="24" t="s">
        <v>49</v>
      </c>
      <c r="P42" s="25">
        <f>VLOOKUP(O42,KamiBox!$C$2:$F$58,4,0)</f>
        <v>50000</v>
      </c>
      <c r="Q42" s="26">
        <f t="shared" si="1"/>
        <v>0</v>
      </c>
      <c r="R42" s="25">
        <f t="shared" si="2"/>
        <v>0</v>
      </c>
    </row>
    <row r="43" spans="1:18" x14ac:dyDescent="0.35">
      <c r="A43" s="13" t="s">
        <v>390</v>
      </c>
      <c r="B43" s="13" t="s">
        <v>25</v>
      </c>
      <c r="C43" s="43">
        <v>6.8</v>
      </c>
      <c r="D43" s="17">
        <v>1000</v>
      </c>
      <c r="E43" s="17">
        <f t="shared" si="0"/>
        <v>6800</v>
      </c>
      <c r="G43" s="14" t="s">
        <v>399</v>
      </c>
      <c r="H43">
        <v>3.8000000000000003</v>
      </c>
      <c r="I43" s="19">
        <v>1700</v>
      </c>
      <c r="N43" s="22">
        <v>40</v>
      </c>
      <c r="O43" s="24" t="s">
        <v>50</v>
      </c>
      <c r="P43" s="25"/>
      <c r="Q43" s="26">
        <f t="shared" si="1"/>
        <v>0</v>
      </c>
      <c r="R43" s="25">
        <f t="shared" si="2"/>
        <v>0</v>
      </c>
    </row>
    <row r="44" spans="1:18" x14ac:dyDescent="0.35">
      <c r="A44" s="13" t="s">
        <v>394</v>
      </c>
      <c r="B44" s="13" t="s">
        <v>39</v>
      </c>
      <c r="C44" s="43">
        <v>0.5</v>
      </c>
      <c r="D44" s="17">
        <v>1500</v>
      </c>
      <c r="E44" s="17">
        <f t="shared" si="0"/>
        <v>750</v>
      </c>
      <c r="G44" s="14" t="s">
        <v>318</v>
      </c>
      <c r="H44">
        <v>26.349999999999998</v>
      </c>
      <c r="I44" s="19">
        <v>35367.5</v>
      </c>
      <c r="N44" s="22">
        <v>41</v>
      </c>
      <c r="O44" s="24" t="s">
        <v>51</v>
      </c>
      <c r="P44" s="25">
        <f>VLOOKUP(O44,KamiBox!$C$2:$F$58,4,0)</f>
        <v>700</v>
      </c>
      <c r="Q44" s="26">
        <f t="shared" si="1"/>
        <v>39.400000000000006</v>
      </c>
      <c r="R44" s="25">
        <f t="shared" si="2"/>
        <v>27580.000000000004</v>
      </c>
    </row>
    <row r="45" spans="1:18" x14ac:dyDescent="0.35">
      <c r="A45" s="13" t="s">
        <v>394</v>
      </c>
      <c r="B45" s="13" t="s">
        <v>26</v>
      </c>
      <c r="C45" s="43">
        <v>0.7</v>
      </c>
      <c r="D45" s="17">
        <v>1000</v>
      </c>
      <c r="E45" s="17">
        <f t="shared" si="0"/>
        <v>700</v>
      </c>
      <c r="G45" s="14" t="s">
        <v>402</v>
      </c>
      <c r="H45">
        <v>9.75</v>
      </c>
      <c r="I45" s="19">
        <v>22350</v>
      </c>
      <c r="N45" s="22">
        <v>42</v>
      </c>
      <c r="O45" s="24" t="s">
        <v>52</v>
      </c>
      <c r="P45" s="25"/>
      <c r="Q45" s="26">
        <f t="shared" si="1"/>
        <v>0</v>
      </c>
      <c r="R45" s="25">
        <f t="shared" si="2"/>
        <v>0</v>
      </c>
    </row>
    <row r="46" spans="1:18" x14ac:dyDescent="0.35">
      <c r="A46" s="13" t="s">
        <v>394</v>
      </c>
      <c r="B46" s="13" t="s">
        <v>51</v>
      </c>
      <c r="C46" s="43">
        <v>0.8</v>
      </c>
      <c r="D46" s="17">
        <v>500</v>
      </c>
      <c r="E46" s="17">
        <f t="shared" si="0"/>
        <v>400</v>
      </c>
      <c r="G46" s="14" t="s">
        <v>427</v>
      </c>
      <c r="H46">
        <v>6.25</v>
      </c>
      <c r="I46" s="19">
        <v>11935</v>
      </c>
      <c r="N46" s="22">
        <v>43</v>
      </c>
      <c r="O46" s="24" t="s">
        <v>53</v>
      </c>
      <c r="P46" s="25">
        <f>VLOOKUP(O46,KamiBox!$C$2:$F$58,4,0)</f>
        <v>500</v>
      </c>
      <c r="Q46" s="26">
        <f>SUMIF($B$3:$B$357,O46,$C$3:$C$357)+2</f>
        <v>81.649999999999991</v>
      </c>
      <c r="R46" s="25">
        <f t="shared" si="2"/>
        <v>40824.999999999993</v>
      </c>
    </row>
    <row r="47" spans="1:18" x14ac:dyDescent="0.35">
      <c r="A47" s="13" t="s">
        <v>394</v>
      </c>
      <c r="B47" s="13" t="s">
        <v>53</v>
      </c>
      <c r="C47" s="43">
        <v>0.4</v>
      </c>
      <c r="D47" s="17">
        <v>300</v>
      </c>
      <c r="E47" s="17">
        <f t="shared" si="0"/>
        <v>120</v>
      </c>
      <c r="G47" s="14" t="s">
        <v>356</v>
      </c>
      <c r="H47">
        <v>40.000000000000007</v>
      </c>
      <c r="I47" s="19">
        <v>41690</v>
      </c>
      <c r="N47" s="22">
        <v>44</v>
      </c>
      <c r="O47" s="24" t="s">
        <v>54</v>
      </c>
      <c r="P47" s="25"/>
      <c r="Q47" s="26"/>
      <c r="R47" s="25">
        <f t="shared" si="2"/>
        <v>0</v>
      </c>
    </row>
    <row r="48" spans="1:18" x14ac:dyDescent="0.35">
      <c r="A48" s="13" t="s">
        <v>340</v>
      </c>
      <c r="B48" s="13" t="s">
        <v>25</v>
      </c>
      <c r="C48" s="43">
        <v>0.55000000000000004</v>
      </c>
      <c r="D48" s="17">
        <v>1000</v>
      </c>
      <c r="E48" s="17">
        <f t="shared" si="0"/>
        <v>550</v>
      </c>
      <c r="G48" s="14" t="s">
        <v>335</v>
      </c>
      <c r="H48">
        <v>10.750000000000002</v>
      </c>
      <c r="I48" s="19">
        <v>26075</v>
      </c>
      <c r="N48" s="22">
        <v>45</v>
      </c>
      <c r="O48" s="24" t="s">
        <v>266</v>
      </c>
      <c r="P48" s="25"/>
      <c r="Q48" s="26"/>
      <c r="R48" s="25">
        <f t="shared" si="2"/>
        <v>0</v>
      </c>
    </row>
    <row r="49" spans="1:18" x14ac:dyDescent="0.35">
      <c r="A49" s="13" t="s">
        <v>340</v>
      </c>
      <c r="B49" s="13" t="s">
        <v>53</v>
      </c>
      <c r="C49" s="43">
        <v>1.35</v>
      </c>
      <c r="D49" s="17">
        <v>300</v>
      </c>
      <c r="E49" s="17">
        <f t="shared" si="0"/>
        <v>405</v>
      </c>
      <c r="G49" s="14" t="s">
        <v>394</v>
      </c>
      <c r="H49">
        <v>2.4</v>
      </c>
      <c r="I49" s="19">
        <v>1970</v>
      </c>
      <c r="N49" s="22">
        <v>46</v>
      </c>
      <c r="O49" s="24" t="s">
        <v>55</v>
      </c>
      <c r="P49" s="25">
        <f>VLOOKUP(O49,KamiBox!$C$2:$F$58,4,0)</f>
        <v>900</v>
      </c>
      <c r="Q49" s="26">
        <f t="shared" si="1"/>
        <v>0</v>
      </c>
      <c r="R49" s="25">
        <f t="shared" si="2"/>
        <v>0</v>
      </c>
    </row>
    <row r="50" spans="1:18" x14ac:dyDescent="0.35">
      <c r="A50" s="13" t="s">
        <v>340</v>
      </c>
      <c r="B50" s="13" t="s">
        <v>60</v>
      </c>
      <c r="C50" s="43">
        <v>0.25</v>
      </c>
      <c r="D50" s="17">
        <v>2500</v>
      </c>
      <c r="E50" s="17">
        <f t="shared" si="0"/>
        <v>625</v>
      </c>
      <c r="G50" s="14" t="s">
        <v>330</v>
      </c>
      <c r="H50">
        <v>11.850000000000001</v>
      </c>
      <c r="I50" s="19">
        <v>16170</v>
      </c>
      <c r="N50" s="22">
        <v>46</v>
      </c>
      <c r="O50" s="24" t="s">
        <v>56</v>
      </c>
      <c r="P50" s="25">
        <f>VLOOKUP(O50,KamiBox!$C$2:$F$58,4,0)</f>
        <v>700</v>
      </c>
      <c r="Q50" s="26">
        <f t="shared" si="1"/>
        <v>0</v>
      </c>
      <c r="R50" s="25">
        <f t="shared" si="2"/>
        <v>0</v>
      </c>
    </row>
    <row r="51" spans="1:18" x14ac:dyDescent="0.35">
      <c r="A51" s="13" t="s">
        <v>340</v>
      </c>
      <c r="B51" s="13" t="s">
        <v>18</v>
      </c>
      <c r="C51" s="43">
        <v>0.8</v>
      </c>
      <c r="D51" s="17">
        <v>150</v>
      </c>
      <c r="E51" s="17">
        <f t="shared" si="0"/>
        <v>120</v>
      </c>
      <c r="G51" s="14" t="s">
        <v>352</v>
      </c>
      <c r="H51">
        <v>2.85</v>
      </c>
      <c r="I51" s="19">
        <v>2695</v>
      </c>
      <c r="N51" s="22">
        <v>47</v>
      </c>
      <c r="O51" s="24" t="s">
        <v>57</v>
      </c>
      <c r="P51" s="25">
        <f>VLOOKUP(O51,KamiBox!$C$2:$F$58,4,0)</f>
        <v>400</v>
      </c>
      <c r="Q51" s="26">
        <f t="shared" si="1"/>
        <v>2.25</v>
      </c>
      <c r="R51" s="25">
        <f t="shared" si="2"/>
        <v>900</v>
      </c>
    </row>
    <row r="52" spans="1:18" x14ac:dyDescent="0.35">
      <c r="A52" s="13" t="s">
        <v>340</v>
      </c>
      <c r="B52" s="13" t="s">
        <v>13</v>
      </c>
      <c r="C52" s="43">
        <v>0.65</v>
      </c>
      <c r="D52" s="17">
        <v>500</v>
      </c>
      <c r="E52" s="17">
        <f t="shared" si="0"/>
        <v>325</v>
      </c>
      <c r="G52" s="14" t="s">
        <v>366</v>
      </c>
      <c r="H52">
        <v>12.300000000000002</v>
      </c>
      <c r="I52" s="19">
        <v>14850</v>
      </c>
      <c r="N52" s="22">
        <v>48</v>
      </c>
      <c r="O52" s="24" t="s">
        <v>58</v>
      </c>
      <c r="P52" s="25">
        <f>VLOOKUP(O52,KamiBox!$C$2:$F$58,4,0)</f>
        <v>60000</v>
      </c>
      <c r="Q52" s="26">
        <f t="shared" si="1"/>
        <v>0</v>
      </c>
      <c r="R52" s="25">
        <f t="shared" si="2"/>
        <v>0</v>
      </c>
    </row>
    <row r="53" spans="1:18" x14ac:dyDescent="0.35">
      <c r="A53" s="13" t="s">
        <v>344</v>
      </c>
      <c r="B53" s="13" t="s">
        <v>13</v>
      </c>
      <c r="C53" s="43">
        <v>0.15</v>
      </c>
      <c r="D53" s="17">
        <v>500</v>
      </c>
      <c r="E53" s="17">
        <f t="shared" si="0"/>
        <v>75</v>
      </c>
      <c r="G53" s="14" t="s">
        <v>414</v>
      </c>
      <c r="H53">
        <v>3.6</v>
      </c>
      <c r="I53" s="19">
        <v>7650</v>
      </c>
      <c r="N53" s="22">
        <v>49</v>
      </c>
      <c r="O53" s="24" t="s">
        <v>59</v>
      </c>
      <c r="P53" s="25">
        <f>VLOOKUP(O53,KamiBox!$C$2:$F$58,4,0)</f>
        <v>150</v>
      </c>
      <c r="Q53" s="26">
        <f t="shared" si="1"/>
        <v>0</v>
      </c>
      <c r="R53" s="25">
        <f t="shared" si="2"/>
        <v>0</v>
      </c>
    </row>
    <row r="54" spans="1:18" x14ac:dyDescent="0.35">
      <c r="A54" s="13" t="s">
        <v>344</v>
      </c>
      <c r="B54" s="13" t="s">
        <v>53</v>
      </c>
      <c r="C54" s="43">
        <v>0.45</v>
      </c>
      <c r="D54" s="17">
        <v>300</v>
      </c>
      <c r="E54" s="17">
        <f t="shared" si="0"/>
        <v>135</v>
      </c>
      <c r="G54" s="14" t="s">
        <v>351</v>
      </c>
      <c r="H54">
        <v>4.2</v>
      </c>
      <c r="I54" s="19">
        <v>4632.5</v>
      </c>
      <c r="N54" s="22">
        <v>50</v>
      </c>
      <c r="O54" s="24" t="s">
        <v>60</v>
      </c>
      <c r="P54" s="25">
        <f>VLOOKUP(O54,KamiBox!$C$2:$F$58,4,0)</f>
        <v>3000</v>
      </c>
      <c r="Q54" s="26">
        <f t="shared" si="1"/>
        <v>4.8000000000000016</v>
      </c>
      <c r="R54" s="25">
        <f t="shared" si="2"/>
        <v>14400.000000000005</v>
      </c>
    </row>
    <row r="55" spans="1:18" x14ac:dyDescent="0.35">
      <c r="A55" s="13" t="s">
        <v>344</v>
      </c>
      <c r="B55" s="13" t="s">
        <v>94</v>
      </c>
      <c r="C55" s="43">
        <v>1.1000000000000001</v>
      </c>
      <c r="D55" s="17">
        <v>2800</v>
      </c>
      <c r="E55" s="17">
        <f t="shared" si="0"/>
        <v>3080.0000000000005</v>
      </c>
      <c r="G55" s="14" t="s">
        <v>124</v>
      </c>
      <c r="H55">
        <v>568.54999999999995</v>
      </c>
      <c r="I55" s="19">
        <v>838637.5</v>
      </c>
      <c r="N55" s="22">
        <v>51</v>
      </c>
      <c r="O55" s="24" t="s">
        <v>61</v>
      </c>
      <c r="P55" s="25">
        <f>VLOOKUP(O55,KamiBox!$C$2:$F$58,4,0)</f>
        <v>4500</v>
      </c>
      <c r="Q55" s="26">
        <f t="shared" si="1"/>
        <v>1.5000000000000002</v>
      </c>
      <c r="R55" s="25">
        <f t="shared" si="2"/>
        <v>6750.0000000000009</v>
      </c>
    </row>
    <row r="56" spans="1:18" x14ac:dyDescent="0.35">
      <c r="A56" s="13" t="s">
        <v>336</v>
      </c>
      <c r="B56" s="13" t="s">
        <v>53</v>
      </c>
      <c r="C56" s="43">
        <v>0.8</v>
      </c>
      <c r="D56" s="17">
        <v>300</v>
      </c>
      <c r="E56" s="17">
        <f t="shared" si="0"/>
        <v>240</v>
      </c>
      <c r="N56" s="22">
        <v>52</v>
      </c>
      <c r="O56" s="24" t="s">
        <v>62</v>
      </c>
      <c r="P56" s="25">
        <f>VLOOKUP(O56,KamiBox!$C$2:$F$58,4,0)</f>
        <v>20000</v>
      </c>
      <c r="Q56" s="26">
        <f t="shared" si="1"/>
        <v>0</v>
      </c>
      <c r="R56" s="25">
        <f t="shared" si="2"/>
        <v>0</v>
      </c>
    </row>
    <row r="57" spans="1:18" x14ac:dyDescent="0.35">
      <c r="A57" s="13" t="s">
        <v>336</v>
      </c>
      <c r="B57" s="13" t="s">
        <v>94</v>
      </c>
      <c r="C57" s="43">
        <v>0.4</v>
      </c>
      <c r="D57" s="17">
        <v>2800</v>
      </c>
      <c r="E57" s="17">
        <f t="shared" si="0"/>
        <v>1120</v>
      </c>
      <c r="N57" s="22">
        <v>53</v>
      </c>
      <c r="O57" s="24" t="s">
        <v>63</v>
      </c>
      <c r="P57" s="25">
        <f>VLOOKUP(O57,KamiBox!$C$2:$F$58,4,0)</f>
        <v>1000</v>
      </c>
      <c r="Q57" s="26">
        <f t="shared" si="1"/>
        <v>0</v>
      </c>
      <c r="R57" s="25">
        <f t="shared" si="2"/>
        <v>0</v>
      </c>
    </row>
    <row r="58" spans="1:18" x14ac:dyDescent="0.35">
      <c r="A58" s="13" t="s">
        <v>336</v>
      </c>
      <c r="B58" s="13" t="s">
        <v>51</v>
      </c>
      <c r="C58" s="43">
        <v>0.85</v>
      </c>
      <c r="D58" s="17">
        <v>500</v>
      </c>
      <c r="E58" s="17">
        <f t="shared" si="0"/>
        <v>425</v>
      </c>
      <c r="N58" s="22">
        <v>54</v>
      </c>
      <c r="O58" s="24" t="s">
        <v>263</v>
      </c>
      <c r="P58" s="25">
        <f>VLOOKUP(O58,KamiBox!$C$2:$F$58,4,0)</f>
        <v>1200</v>
      </c>
      <c r="Q58" s="26">
        <f t="shared" si="1"/>
        <v>1.05</v>
      </c>
      <c r="R58" s="25">
        <f t="shared" si="2"/>
        <v>1260</v>
      </c>
    </row>
    <row r="59" spans="1:18" x14ac:dyDescent="0.35">
      <c r="A59" s="13" t="s">
        <v>395</v>
      </c>
      <c r="B59" s="13" t="s">
        <v>41</v>
      </c>
      <c r="C59" s="43">
        <v>3.9</v>
      </c>
      <c r="D59" s="17">
        <v>1000</v>
      </c>
      <c r="E59" s="17">
        <f t="shared" si="0"/>
        <v>3900</v>
      </c>
      <c r="N59" s="47">
        <v>55</v>
      </c>
      <c r="O59" s="24" t="s">
        <v>319</v>
      </c>
      <c r="P59" s="25">
        <f>VLOOKUP(O59,KamiBox!$C$2:$F$58,4,0)</f>
        <v>2000</v>
      </c>
      <c r="Q59" s="26">
        <f t="shared" si="1"/>
        <v>0</v>
      </c>
      <c r="R59" s="25">
        <f t="shared" si="2"/>
        <v>0</v>
      </c>
    </row>
    <row r="60" spans="1:18" x14ac:dyDescent="0.35">
      <c r="A60" s="13" t="s">
        <v>395</v>
      </c>
      <c r="B60" s="13" t="s">
        <v>13</v>
      </c>
      <c r="C60" s="43">
        <v>1.4</v>
      </c>
      <c r="D60" s="17">
        <v>500</v>
      </c>
      <c r="E60" s="17">
        <f t="shared" si="0"/>
        <v>700</v>
      </c>
      <c r="N60" s="24"/>
      <c r="O60" s="24"/>
      <c r="P60" s="27" t="s">
        <v>135</v>
      </c>
      <c r="Q60" s="27">
        <f>SUM(Q4:Q59)</f>
        <v>550.25</v>
      </c>
      <c r="R60" s="28">
        <f>SUM(R6:R59)</f>
        <v>1293585.0000000002</v>
      </c>
    </row>
    <row r="61" spans="1:18" x14ac:dyDescent="0.35">
      <c r="A61" s="13" t="s">
        <v>395</v>
      </c>
      <c r="B61" s="13" t="s">
        <v>51</v>
      </c>
      <c r="C61" s="43">
        <v>1</v>
      </c>
      <c r="D61" s="17">
        <v>500</v>
      </c>
      <c r="E61" s="17">
        <f t="shared" si="0"/>
        <v>500</v>
      </c>
    </row>
    <row r="62" spans="1:18" x14ac:dyDescent="0.35">
      <c r="A62" s="13" t="s">
        <v>395</v>
      </c>
      <c r="B62" s="13" t="s">
        <v>53</v>
      </c>
      <c r="C62" s="43">
        <v>2.4</v>
      </c>
      <c r="D62" s="17">
        <v>300</v>
      </c>
      <c r="E62" s="17">
        <f t="shared" si="0"/>
        <v>720</v>
      </c>
    </row>
    <row r="63" spans="1:18" x14ac:dyDescent="0.35">
      <c r="A63" s="13" t="s">
        <v>395</v>
      </c>
      <c r="B63" s="13" t="s">
        <v>94</v>
      </c>
      <c r="C63" s="43">
        <v>1.55</v>
      </c>
      <c r="D63" s="17">
        <v>2800</v>
      </c>
      <c r="E63" s="17">
        <f t="shared" si="0"/>
        <v>4340</v>
      </c>
    </row>
    <row r="64" spans="1:18" x14ac:dyDescent="0.35">
      <c r="A64" s="13" t="s">
        <v>395</v>
      </c>
      <c r="B64" s="13" t="s">
        <v>34</v>
      </c>
      <c r="C64" s="43">
        <v>3.9</v>
      </c>
      <c r="D64" s="17">
        <v>5000</v>
      </c>
      <c r="E64" s="17">
        <f t="shared" si="0"/>
        <v>19500</v>
      </c>
    </row>
    <row r="65" spans="1:5" x14ac:dyDescent="0.35">
      <c r="A65" s="13" t="s">
        <v>414</v>
      </c>
      <c r="B65" s="13" t="s">
        <v>94</v>
      </c>
      <c r="C65" s="43">
        <v>2.25</v>
      </c>
      <c r="D65" s="17">
        <v>2800</v>
      </c>
      <c r="E65" s="17">
        <f t="shared" si="0"/>
        <v>6300</v>
      </c>
    </row>
    <row r="66" spans="1:5" x14ac:dyDescent="0.35">
      <c r="A66" s="13" t="s">
        <v>414</v>
      </c>
      <c r="B66" s="13" t="s">
        <v>25</v>
      </c>
      <c r="C66" s="43">
        <v>1.35</v>
      </c>
      <c r="D66" s="17">
        <v>1000</v>
      </c>
      <c r="E66" s="17">
        <f t="shared" si="0"/>
        <v>1350</v>
      </c>
    </row>
    <row r="67" spans="1:5" x14ac:dyDescent="0.35">
      <c r="A67" s="13" t="s">
        <v>389</v>
      </c>
      <c r="B67" s="13" t="s">
        <v>41</v>
      </c>
      <c r="C67" s="43">
        <v>0.8</v>
      </c>
      <c r="D67" s="17">
        <v>1000</v>
      </c>
      <c r="E67" s="17">
        <f t="shared" si="0"/>
        <v>800</v>
      </c>
    </row>
    <row r="68" spans="1:5" x14ac:dyDescent="0.35">
      <c r="A68" s="13" t="s">
        <v>389</v>
      </c>
      <c r="B68" s="13" t="s">
        <v>25</v>
      </c>
      <c r="C68" s="43">
        <v>0.4</v>
      </c>
      <c r="D68" s="17">
        <v>1000</v>
      </c>
      <c r="E68" s="17">
        <f t="shared" ref="E68:E131" si="4">C68*D68</f>
        <v>400</v>
      </c>
    </row>
    <row r="69" spans="1:5" x14ac:dyDescent="0.35">
      <c r="A69" s="13" t="s">
        <v>389</v>
      </c>
      <c r="B69" s="13" t="s">
        <v>39</v>
      </c>
      <c r="C69" s="43">
        <v>0.85</v>
      </c>
      <c r="D69" s="17">
        <v>1500</v>
      </c>
      <c r="E69" s="17">
        <f t="shared" si="4"/>
        <v>1275</v>
      </c>
    </row>
    <row r="70" spans="1:5" x14ac:dyDescent="0.35">
      <c r="A70" s="13" t="s">
        <v>389</v>
      </c>
      <c r="B70" s="13" t="s">
        <v>26</v>
      </c>
      <c r="C70" s="43">
        <v>0.85</v>
      </c>
      <c r="D70" s="17">
        <v>1000</v>
      </c>
      <c r="E70" s="17">
        <f t="shared" si="4"/>
        <v>850</v>
      </c>
    </row>
    <row r="71" spans="1:5" x14ac:dyDescent="0.35">
      <c r="A71" s="13" t="s">
        <v>359</v>
      </c>
      <c r="B71" s="13" t="s">
        <v>128</v>
      </c>
      <c r="C71" s="43">
        <v>0.15</v>
      </c>
      <c r="D71" s="17">
        <v>3500</v>
      </c>
      <c r="E71" s="17">
        <f t="shared" si="4"/>
        <v>525</v>
      </c>
    </row>
    <row r="72" spans="1:5" x14ac:dyDescent="0.35">
      <c r="A72" s="13" t="s">
        <v>359</v>
      </c>
      <c r="B72" s="13" t="s">
        <v>51</v>
      </c>
      <c r="C72" s="43">
        <v>0.65</v>
      </c>
      <c r="D72" s="17">
        <v>500</v>
      </c>
      <c r="E72" s="17">
        <f t="shared" si="4"/>
        <v>325</v>
      </c>
    </row>
    <row r="73" spans="1:5" x14ac:dyDescent="0.35">
      <c r="A73" s="13" t="s">
        <v>359</v>
      </c>
      <c r="B73" s="13" t="s">
        <v>126</v>
      </c>
      <c r="C73" s="43">
        <v>0.6</v>
      </c>
      <c r="D73" s="17">
        <v>1800</v>
      </c>
      <c r="E73" s="17">
        <f t="shared" si="4"/>
        <v>1080</v>
      </c>
    </row>
    <row r="74" spans="1:5" x14ac:dyDescent="0.35">
      <c r="A74" s="13" t="s">
        <v>359</v>
      </c>
      <c r="B74" s="13" t="s">
        <v>39</v>
      </c>
      <c r="C74" s="43">
        <v>0.25</v>
      </c>
      <c r="D74" s="17">
        <v>1500</v>
      </c>
      <c r="E74" s="17">
        <f t="shared" si="4"/>
        <v>375</v>
      </c>
    </row>
    <row r="75" spans="1:5" x14ac:dyDescent="0.35">
      <c r="A75" s="13" t="s">
        <v>359</v>
      </c>
      <c r="B75" s="13" t="s">
        <v>127</v>
      </c>
      <c r="C75" s="43">
        <v>0.15</v>
      </c>
      <c r="D75" s="17">
        <v>8000</v>
      </c>
      <c r="E75" s="17">
        <f t="shared" si="4"/>
        <v>1200</v>
      </c>
    </row>
    <row r="76" spans="1:5" x14ac:dyDescent="0.35">
      <c r="A76" s="13" t="s">
        <v>359</v>
      </c>
      <c r="B76" s="13" t="s">
        <v>53</v>
      </c>
      <c r="C76" s="43">
        <v>1.1499999999999999</v>
      </c>
      <c r="D76" s="17">
        <v>300</v>
      </c>
      <c r="E76" s="17">
        <f t="shared" si="4"/>
        <v>345</v>
      </c>
    </row>
    <row r="77" spans="1:5" x14ac:dyDescent="0.35">
      <c r="A77" s="13" t="s">
        <v>359</v>
      </c>
      <c r="B77" s="13" t="s">
        <v>25</v>
      </c>
      <c r="C77" s="43">
        <v>1.6</v>
      </c>
      <c r="D77" s="17">
        <v>1000</v>
      </c>
      <c r="E77" s="17">
        <f t="shared" si="4"/>
        <v>1600</v>
      </c>
    </row>
    <row r="78" spans="1:5" x14ac:dyDescent="0.35">
      <c r="A78" s="13" t="s">
        <v>359</v>
      </c>
      <c r="B78" s="13" t="s">
        <v>60</v>
      </c>
      <c r="C78" s="43">
        <v>0.25</v>
      </c>
      <c r="D78" s="17">
        <v>2500</v>
      </c>
      <c r="E78" s="17">
        <f t="shared" si="4"/>
        <v>625</v>
      </c>
    </row>
    <row r="79" spans="1:5" x14ac:dyDescent="0.35">
      <c r="A79" s="13" t="s">
        <v>359</v>
      </c>
      <c r="B79" s="13" t="s">
        <v>94</v>
      </c>
      <c r="C79" s="43">
        <v>3.3</v>
      </c>
      <c r="D79" s="17">
        <v>2800</v>
      </c>
      <c r="E79" s="17">
        <f t="shared" si="4"/>
        <v>9240</v>
      </c>
    </row>
    <row r="80" spans="1:5" x14ac:dyDescent="0.35">
      <c r="A80" s="13" t="s">
        <v>359</v>
      </c>
      <c r="B80" s="13" t="s">
        <v>41</v>
      </c>
      <c r="C80" s="43">
        <v>3.1</v>
      </c>
      <c r="D80" s="17">
        <v>1000</v>
      </c>
      <c r="E80" s="17">
        <f t="shared" si="4"/>
        <v>3100</v>
      </c>
    </row>
    <row r="81" spans="1:5" x14ac:dyDescent="0.35">
      <c r="A81" s="13" t="s">
        <v>359</v>
      </c>
      <c r="B81" s="13" t="s">
        <v>13</v>
      </c>
      <c r="C81" s="43">
        <v>2.4</v>
      </c>
      <c r="D81" s="17">
        <v>500</v>
      </c>
      <c r="E81" s="17">
        <f t="shared" si="4"/>
        <v>1200</v>
      </c>
    </row>
    <row r="82" spans="1:5" x14ac:dyDescent="0.35">
      <c r="A82" s="13" t="s">
        <v>359</v>
      </c>
      <c r="B82" s="13" t="s">
        <v>57</v>
      </c>
      <c r="C82" s="43">
        <v>0.35</v>
      </c>
      <c r="D82" s="17">
        <v>150</v>
      </c>
      <c r="E82" s="17">
        <f t="shared" si="4"/>
        <v>52.5</v>
      </c>
    </row>
    <row r="83" spans="1:5" x14ac:dyDescent="0.35">
      <c r="A83" s="13" t="s">
        <v>339</v>
      </c>
      <c r="B83" s="13" t="s">
        <v>61</v>
      </c>
      <c r="C83" s="43">
        <v>0.3</v>
      </c>
      <c r="D83" s="17">
        <v>3500</v>
      </c>
      <c r="E83" s="17">
        <f t="shared" si="4"/>
        <v>1050</v>
      </c>
    </row>
    <row r="84" spans="1:5" x14ac:dyDescent="0.35">
      <c r="A84" s="13" t="s">
        <v>339</v>
      </c>
      <c r="B84" s="13" t="s">
        <v>18</v>
      </c>
      <c r="C84" s="43">
        <v>1.05</v>
      </c>
      <c r="D84" s="17">
        <v>150</v>
      </c>
      <c r="E84" s="17">
        <f t="shared" si="4"/>
        <v>157.5</v>
      </c>
    </row>
    <row r="85" spans="1:5" x14ac:dyDescent="0.35">
      <c r="A85" s="13" t="s">
        <v>339</v>
      </c>
      <c r="B85" s="13" t="s">
        <v>125</v>
      </c>
      <c r="C85" s="43">
        <v>2.2999999999999998</v>
      </c>
      <c r="D85" s="17">
        <v>800</v>
      </c>
      <c r="E85" s="17">
        <f t="shared" si="4"/>
        <v>1839.9999999999998</v>
      </c>
    </row>
    <row r="86" spans="1:5" x14ac:dyDescent="0.35">
      <c r="A86" s="13" t="s">
        <v>339</v>
      </c>
      <c r="B86" s="13" t="s">
        <v>51</v>
      </c>
      <c r="C86" s="43">
        <v>1.5</v>
      </c>
      <c r="D86" s="17">
        <v>500</v>
      </c>
      <c r="E86" s="17">
        <f t="shared" si="4"/>
        <v>750</v>
      </c>
    </row>
    <row r="87" spans="1:5" x14ac:dyDescent="0.35">
      <c r="A87" s="13" t="s">
        <v>339</v>
      </c>
      <c r="B87" s="13" t="s">
        <v>53</v>
      </c>
      <c r="C87" s="43">
        <v>1.4</v>
      </c>
      <c r="D87" s="17">
        <v>300</v>
      </c>
      <c r="E87" s="17">
        <f t="shared" si="4"/>
        <v>420</v>
      </c>
    </row>
    <row r="88" spans="1:5" x14ac:dyDescent="0.35">
      <c r="A88" s="13" t="s">
        <v>330</v>
      </c>
      <c r="B88" s="13" t="s">
        <v>26</v>
      </c>
      <c r="C88" s="43">
        <v>0.65</v>
      </c>
      <c r="D88" s="17">
        <v>1000</v>
      </c>
      <c r="E88" s="17">
        <f t="shared" si="4"/>
        <v>650</v>
      </c>
    </row>
    <row r="89" spans="1:5" x14ac:dyDescent="0.35">
      <c r="A89" s="13" t="s">
        <v>330</v>
      </c>
      <c r="B89" s="13" t="s">
        <v>41</v>
      </c>
      <c r="C89" s="43">
        <v>8.8000000000000007</v>
      </c>
      <c r="D89" s="17">
        <v>1000</v>
      </c>
      <c r="E89" s="17">
        <f t="shared" si="4"/>
        <v>8800</v>
      </c>
    </row>
    <row r="90" spans="1:5" x14ac:dyDescent="0.35">
      <c r="A90" s="13" t="s">
        <v>330</v>
      </c>
      <c r="B90" s="13" t="s">
        <v>94</v>
      </c>
      <c r="C90" s="43">
        <v>2.4</v>
      </c>
      <c r="D90" s="17">
        <v>2800</v>
      </c>
      <c r="E90" s="17">
        <f t="shared" si="4"/>
        <v>6720</v>
      </c>
    </row>
    <row r="91" spans="1:5" x14ac:dyDescent="0.35">
      <c r="A91" s="13" t="s">
        <v>332</v>
      </c>
      <c r="B91" s="13" t="s">
        <v>25</v>
      </c>
      <c r="C91" s="43">
        <v>0.85</v>
      </c>
      <c r="D91" s="17">
        <v>1000</v>
      </c>
      <c r="E91" s="17">
        <f t="shared" si="4"/>
        <v>850</v>
      </c>
    </row>
    <row r="92" spans="1:5" x14ac:dyDescent="0.35">
      <c r="A92" s="13" t="s">
        <v>332</v>
      </c>
      <c r="B92" s="13" t="s">
        <v>22</v>
      </c>
      <c r="C92" s="43">
        <v>1.35</v>
      </c>
      <c r="D92" s="17">
        <v>1600</v>
      </c>
      <c r="E92" s="17">
        <f t="shared" si="4"/>
        <v>2160</v>
      </c>
    </row>
    <row r="93" spans="1:5" x14ac:dyDescent="0.35">
      <c r="A93" s="13" t="s">
        <v>320</v>
      </c>
      <c r="B93" s="13" t="s">
        <v>39</v>
      </c>
      <c r="C93" s="43">
        <v>0.15</v>
      </c>
      <c r="D93" s="17">
        <v>1500</v>
      </c>
      <c r="E93" s="17">
        <f t="shared" si="4"/>
        <v>225</v>
      </c>
    </row>
    <row r="94" spans="1:5" x14ac:dyDescent="0.35">
      <c r="A94" s="13" t="s">
        <v>320</v>
      </c>
      <c r="B94" s="13" t="s">
        <v>53</v>
      </c>
      <c r="C94" s="43">
        <v>0.25</v>
      </c>
      <c r="D94" s="17">
        <v>300</v>
      </c>
      <c r="E94" s="17">
        <f t="shared" si="4"/>
        <v>75</v>
      </c>
    </row>
    <row r="95" spans="1:5" x14ac:dyDescent="0.35">
      <c r="A95" s="13" t="s">
        <v>320</v>
      </c>
      <c r="B95" s="13" t="s">
        <v>18</v>
      </c>
      <c r="C95" s="43">
        <v>1</v>
      </c>
      <c r="D95" s="17">
        <v>150</v>
      </c>
      <c r="E95" s="17">
        <f t="shared" si="4"/>
        <v>150</v>
      </c>
    </row>
    <row r="96" spans="1:5" x14ac:dyDescent="0.35">
      <c r="A96" s="13" t="s">
        <v>320</v>
      </c>
      <c r="B96" s="13" t="s">
        <v>26</v>
      </c>
      <c r="C96" s="43">
        <v>0.6</v>
      </c>
      <c r="D96" s="17">
        <v>1000</v>
      </c>
      <c r="E96" s="17">
        <f t="shared" si="4"/>
        <v>600</v>
      </c>
    </row>
    <row r="97" spans="1:5" x14ac:dyDescent="0.35">
      <c r="A97" s="13" t="s">
        <v>320</v>
      </c>
      <c r="B97" s="13" t="s">
        <v>13</v>
      </c>
      <c r="C97" s="43">
        <v>0.25</v>
      </c>
      <c r="D97" s="17">
        <v>500</v>
      </c>
      <c r="E97" s="17">
        <f t="shared" si="4"/>
        <v>125</v>
      </c>
    </row>
    <row r="98" spans="1:5" x14ac:dyDescent="0.35">
      <c r="A98" s="13" t="s">
        <v>350</v>
      </c>
      <c r="B98" s="13" t="s">
        <v>25</v>
      </c>
      <c r="C98" s="43">
        <v>0.25</v>
      </c>
      <c r="D98" s="17">
        <v>1000</v>
      </c>
      <c r="E98" s="17">
        <f t="shared" si="4"/>
        <v>250</v>
      </c>
    </row>
    <row r="99" spans="1:5" x14ac:dyDescent="0.35">
      <c r="A99" s="13" t="s">
        <v>350</v>
      </c>
      <c r="B99" s="13" t="s">
        <v>41</v>
      </c>
      <c r="C99" s="43">
        <v>1.45</v>
      </c>
      <c r="D99" s="17">
        <v>1000</v>
      </c>
      <c r="E99" s="17">
        <f t="shared" si="4"/>
        <v>1450</v>
      </c>
    </row>
    <row r="100" spans="1:5" x14ac:dyDescent="0.35">
      <c r="A100" s="13" t="s">
        <v>350</v>
      </c>
      <c r="B100" s="13" t="s">
        <v>53</v>
      </c>
      <c r="C100" s="43">
        <v>0.35</v>
      </c>
      <c r="D100" s="17">
        <v>300</v>
      </c>
      <c r="E100" s="17">
        <f t="shared" si="4"/>
        <v>105</v>
      </c>
    </row>
    <row r="101" spans="1:5" x14ac:dyDescent="0.35">
      <c r="A101" s="13" t="s">
        <v>350</v>
      </c>
      <c r="B101" s="13" t="s">
        <v>94</v>
      </c>
      <c r="C101" s="43">
        <v>1.1499999999999999</v>
      </c>
      <c r="D101" s="17">
        <v>2800</v>
      </c>
      <c r="E101" s="17">
        <f t="shared" si="4"/>
        <v>3219.9999999999995</v>
      </c>
    </row>
    <row r="102" spans="1:5" x14ac:dyDescent="0.35">
      <c r="A102" s="13" t="s">
        <v>425</v>
      </c>
      <c r="B102" s="13" t="s">
        <v>26</v>
      </c>
      <c r="C102" s="43">
        <v>0.3</v>
      </c>
      <c r="D102" s="17">
        <v>1000</v>
      </c>
      <c r="E102" s="17">
        <f t="shared" si="4"/>
        <v>300</v>
      </c>
    </row>
    <row r="103" spans="1:5" x14ac:dyDescent="0.35">
      <c r="A103" s="13" t="s">
        <v>425</v>
      </c>
      <c r="B103" s="13" t="s">
        <v>13</v>
      </c>
      <c r="C103" s="43">
        <v>0.2</v>
      </c>
      <c r="D103" s="17">
        <v>500</v>
      </c>
      <c r="E103" s="17">
        <f t="shared" si="4"/>
        <v>100</v>
      </c>
    </row>
    <row r="104" spans="1:5" x14ac:dyDescent="0.35">
      <c r="A104" s="13" t="s">
        <v>425</v>
      </c>
      <c r="B104" s="13" t="s">
        <v>53</v>
      </c>
      <c r="C104" s="43">
        <v>1.45</v>
      </c>
      <c r="D104" s="17">
        <v>300</v>
      </c>
      <c r="E104" s="17">
        <f t="shared" si="4"/>
        <v>435</v>
      </c>
    </row>
    <row r="105" spans="1:5" x14ac:dyDescent="0.35">
      <c r="A105" s="13" t="s">
        <v>425</v>
      </c>
      <c r="B105" s="13" t="s">
        <v>41</v>
      </c>
      <c r="C105" s="43">
        <v>2.7</v>
      </c>
      <c r="D105" s="17">
        <v>1000</v>
      </c>
      <c r="E105" s="17">
        <f t="shared" si="4"/>
        <v>2700</v>
      </c>
    </row>
    <row r="106" spans="1:5" x14ac:dyDescent="0.35">
      <c r="A106" s="13" t="s">
        <v>362</v>
      </c>
      <c r="B106" s="13" t="s">
        <v>94</v>
      </c>
      <c r="C106" s="43">
        <v>4.55</v>
      </c>
      <c r="D106" s="17">
        <v>2800</v>
      </c>
      <c r="E106" s="17">
        <f t="shared" si="4"/>
        <v>12740</v>
      </c>
    </row>
    <row r="107" spans="1:5" x14ac:dyDescent="0.35">
      <c r="A107" s="13" t="s">
        <v>362</v>
      </c>
      <c r="B107" s="13" t="s">
        <v>13</v>
      </c>
      <c r="C107" s="43">
        <v>2.2999999999999998</v>
      </c>
      <c r="D107" s="17">
        <v>500</v>
      </c>
      <c r="E107" s="17">
        <f t="shared" si="4"/>
        <v>1150</v>
      </c>
    </row>
    <row r="108" spans="1:5" x14ac:dyDescent="0.35">
      <c r="A108" s="13" t="s">
        <v>362</v>
      </c>
      <c r="B108" s="13" t="s">
        <v>53</v>
      </c>
      <c r="C108" s="43">
        <v>0.85</v>
      </c>
      <c r="D108" s="17">
        <v>300</v>
      </c>
      <c r="E108" s="17">
        <f t="shared" si="4"/>
        <v>255</v>
      </c>
    </row>
    <row r="109" spans="1:5" x14ac:dyDescent="0.35">
      <c r="A109" s="13" t="s">
        <v>362</v>
      </c>
      <c r="B109" s="13" t="s">
        <v>39</v>
      </c>
      <c r="C109" s="43">
        <v>2</v>
      </c>
      <c r="D109" s="17">
        <v>1500</v>
      </c>
      <c r="E109" s="17">
        <f t="shared" si="4"/>
        <v>3000</v>
      </c>
    </row>
    <row r="110" spans="1:5" x14ac:dyDescent="0.35">
      <c r="A110" s="13" t="s">
        <v>362</v>
      </c>
      <c r="B110" s="13" t="s">
        <v>41</v>
      </c>
      <c r="C110" s="43">
        <v>7.9</v>
      </c>
      <c r="D110" s="17">
        <v>1000</v>
      </c>
      <c r="E110" s="17">
        <f t="shared" si="4"/>
        <v>7900</v>
      </c>
    </row>
    <row r="111" spans="1:5" x14ac:dyDescent="0.35">
      <c r="A111" s="13" t="s">
        <v>362</v>
      </c>
      <c r="B111" s="13" t="s">
        <v>125</v>
      </c>
      <c r="C111" s="43">
        <v>6.1</v>
      </c>
      <c r="D111" s="17">
        <v>800</v>
      </c>
      <c r="E111" s="17">
        <f t="shared" si="4"/>
        <v>4880</v>
      </c>
    </row>
    <row r="112" spans="1:5" x14ac:dyDescent="0.35">
      <c r="A112" s="13" t="s">
        <v>354</v>
      </c>
      <c r="B112" s="13" t="s">
        <v>25</v>
      </c>
      <c r="C112" s="43">
        <v>0.3</v>
      </c>
      <c r="D112" s="17">
        <v>1000</v>
      </c>
      <c r="E112" s="17">
        <f t="shared" si="4"/>
        <v>300</v>
      </c>
    </row>
    <row r="113" spans="1:5" x14ac:dyDescent="0.35">
      <c r="A113" s="13" t="s">
        <v>354</v>
      </c>
      <c r="B113" s="13" t="s">
        <v>39</v>
      </c>
      <c r="C113" s="43">
        <v>0.7</v>
      </c>
      <c r="D113" s="17">
        <v>1500</v>
      </c>
      <c r="E113" s="17">
        <f t="shared" si="4"/>
        <v>1050</v>
      </c>
    </row>
    <row r="114" spans="1:5" x14ac:dyDescent="0.35">
      <c r="A114" s="13" t="s">
        <v>354</v>
      </c>
      <c r="B114" s="13" t="s">
        <v>41</v>
      </c>
      <c r="C114" s="43">
        <v>0.8</v>
      </c>
      <c r="D114" s="17">
        <v>1000</v>
      </c>
      <c r="E114" s="17">
        <f t="shared" si="4"/>
        <v>800</v>
      </c>
    </row>
    <row r="115" spans="1:5" x14ac:dyDescent="0.35">
      <c r="A115" s="13" t="s">
        <v>354</v>
      </c>
      <c r="B115" s="13" t="s">
        <v>22</v>
      </c>
      <c r="C115" s="43">
        <v>0.8</v>
      </c>
      <c r="D115" s="17">
        <v>1600</v>
      </c>
      <c r="E115" s="17">
        <f t="shared" si="4"/>
        <v>1280</v>
      </c>
    </row>
    <row r="116" spans="1:5" x14ac:dyDescent="0.35">
      <c r="A116" s="13" t="s">
        <v>354</v>
      </c>
      <c r="B116" s="13" t="s">
        <v>53</v>
      </c>
      <c r="C116" s="43">
        <v>0.15</v>
      </c>
      <c r="D116" s="17">
        <v>300</v>
      </c>
      <c r="E116" s="17">
        <f t="shared" si="4"/>
        <v>45</v>
      </c>
    </row>
    <row r="117" spans="1:5" x14ac:dyDescent="0.35">
      <c r="A117" s="13" t="s">
        <v>426</v>
      </c>
      <c r="B117" s="13" t="s">
        <v>293</v>
      </c>
      <c r="C117" s="43">
        <v>0.6</v>
      </c>
      <c r="D117" s="17">
        <v>1400</v>
      </c>
      <c r="E117" s="17">
        <f t="shared" si="4"/>
        <v>840</v>
      </c>
    </row>
    <row r="118" spans="1:5" x14ac:dyDescent="0.35">
      <c r="A118" s="13" t="s">
        <v>426</v>
      </c>
      <c r="B118" s="13" t="s">
        <v>60</v>
      </c>
      <c r="C118" s="43">
        <v>0.45</v>
      </c>
      <c r="D118" s="17">
        <v>2500</v>
      </c>
      <c r="E118" s="17">
        <f t="shared" si="4"/>
        <v>1125</v>
      </c>
    </row>
    <row r="119" spans="1:5" x14ac:dyDescent="0.35">
      <c r="A119" s="13" t="s">
        <v>426</v>
      </c>
      <c r="B119" s="13" t="s">
        <v>18</v>
      </c>
      <c r="C119" s="43">
        <v>3.55</v>
      </c>
      <c r="D119" s="17">
        <v>150</v>
      </c>
      <c r="E119" s="17">
        <f t="shared" si="4"/>
        <v>532.5</v>
      </c>
    </row>
    <row r="120" spans="1:5" x14ac:dyDescent="0.35">
      <c r="A120" s="13" t="s">
        <v>426</v>
      </c>
      <c r="B120" s="13" t="s">
        <v>13</v>
      </c>
      <c r="C120" s="43">
        <v>1.25</v>
      </c>
      <c r="D120" s="17">
        <v>500</v>
      </c>
      <c r="E120" s="17">
        <f t="shared" si="4"/>
        <v>625</v>
      </c>
    </row>
    <row r="121" spans="1:5" x14ac:dyDescent="0.35">
      <c r="A121" s="13" t="s">
        <v>426</v>
      </c>
      <c r="B121" s="13" t="s">
        <v>61</v>
      </c>
      <c r="C121" s="43">
        <v>0.45</v>
      </c>
      <c r="D121" s="17">
        <v>3500</v>
      </c>
      <c r="E121" s="17">
        <f t="shared" si="4"/>
        <v>1575</v>
      </c>
    </row>
    <row r="122" spans="1:5" x14ac:dyDescent="0.35">
      <c r="A122" s="13" t="s">
        <v>426</v>
      </c>
      <c r="B122" s="13" t="s">
        <v>266</v>
      </c>
      <c r="C122" s="43">
        <v>0.75</v>
      </c>
      <c r="D122" s="17">
        <v>1000</v>
      </c>
      <c r="E122" s="17">
        <f t="shared" si="4"/>
        <v>750</v>
      </c>
    </row>
    <row r="123" spans="1:5" x14ac:dyDescent="0.35">
      <c r="A123" s="13" t="s">
        <v>426</v>
      </c>
      <c r="B123" s="13" t="s">
        <v>41</v>
      </c>
      <c r="C123" s="43">
        <v>4.8499999999999996</v>
      </c>
      <c r="D123" s="17">
        <v>1000</v>
      </c>
      <c r="E123" s="17">
        <f t="shared" si="4"/>
        <v>4850</v>
      </c>
    </row>
    <row r="124" spans="1:5" x14ac:dyDescent="0.35">
      <c r="A124" s="13" t="s">
        <v>426</v>
      </c>
      <c r="B124" s="13" t="s">
        <v>263</v>
      </c>
      <c r="C124" s="43">
        <v>0.25</v>
      </c>
      <c r="D124" s="17">
        <v>400</v>
      </c>
      <c r="E124" s="17">
        <f t="shared" si="4"/>
        <v>100</v>
      </c>
    </row>
    <row r="125" spans="1:5" x14ac:dyDescent="0.35">
      <c r="A125" s="13" t="s">
        <v>426</v>
      </c>
      <c r="B125" s="13" t="s">
        <v>51</v>
      </c>
      <c r="C125" s="43">
        <v>3.55</v>
      </c>
      <c r="D125" s="17">
        <v>500</v>
      </c>
      <c r="E125" s="17">
        <f t="shared" si="4"/>
        <v>1775</v>
      </c>
    </row>
    <row r="126" spans="1:5" x14ac:dyDescent="0.35">
      <c r="A126" s="13" t="s">
        <v>426</v>
      </c>
      <c r="B126" s="13" t="s">
        <v>53</v>
      </c>
      <c r="C126" s="43">
        <v>1.45</v>
      </c>
      <c r="D126" s="17">
        <v>300</v>
      </c>
      <c r="E126" s="17">
        <f t="shared" si="4"/>
        <v>435</v>
      </c>
    </row>
    <row r="127" spans="1:5" x14ac:dyDescent="0.35">
      <c r="A127" s="13" t="s">
        <v>426</v>
      </c>
      <c r="B127" s="13" t="s">
        <v>25</v>
      </c>
      <c r="C127" s="43">
        <f>1.9+0.45</f>
        <v>2.35</v>
      </c>
      <c r="D127" s="17">
        <v>1000</v>
      </c>
      <c r="E127" s="17">
        <f t="shared" si="4"/>
        <v>2350</v>
      </c>
    </row>
    <row r="128" spans="1:5" x14ac:dyDescent="0.35">
      <c r="A128" s="13" t="s">
        <v>426</v>
      </c>
      <c r="B128" s="13" t="s">
        <v>57</v>
      </c>
      <c r="C128" s="43">
        <v>0.15</v>
      </c>
      <c r="D128" s="17">
        <v>150</v>
      </c>
      <c r="E128" s="17">
        <f t="shared" si="4"/>
        <v>22.5</v>
      </c>
    </row>
    <row r="129" spans="1:5" x14ac:dyDescent="0.35">
      <c r="A129" s="13" t="s">
        <v>426</v>
      </c>
      <c r="B129" s="13" t="s">
        <v>94</v>
      </c>
      <c r="C129" s="43">
        <v>1.5</v>
      </c>
      <c r="D129" s="17">
        <v>2800</v>
      </c>
      <c r="E129" s="17">
        <f t="shared" si="4"/>
        <v>4200</v>
      </c>
    </row>
    <row r="130" spans="1:5" x14ac:dyDescent="0.35">
      <c r="A130" s="13" t="s">
        <v>355</v>
      </c>
      <c r="B130" s="13" t="s">
        <v>94</v>
      </c>
      <c r="C130" s="43">
        <v>1.2</v>
      </c>
      <c r="D130" s="17">
        <v>2800</v>
      </c>
      <c r="E130" s="17">
        <f t="shared" si="4"/>
        <v>3360</v>
      </c>
    </row>
    <row r="131" spans="1:5" x14ac:dyDescent="0.35">
      <c r="A131" s="13" t="s">
        <v>355</v>
      </c>
      <c r="B131" s="13" t="s">
        <v>53</v>
      </c>
      <c r="C131" s="43">
        <v>3.2</v>
      </c>
      <c r="D131" s="17">
        <v>300</v>
      </c>
      <c r="E131" s="17">
        <f t="shared" si="4"/>
        <v>960</v>
      </c>
    </row>
    <row r="132" spans="1:5" x14ac:dyDescent="0.35">
      <c r="A132" s="13" t="s">
        <v>355</v>
      </c>
      <c r="B132" s="13" t="s">
        <v>13</v>
      </c>
      <c r="C132" s="43">
        <v>0.4</v>
      </c>
      <c r="D132" s="17">
        <v>500</v>
      </c>
      <c r="E132" s="17">
        <f t="shared" ref="E132:E195" si="5">C132*D132</f>
        <v>200</v>
      </c>
    </row>
    <row r="133" spans="1:5" x14ac:dyDescent="0.35">
      <c r="A133" s="13" t="s">
        <v>355</v>
      </c>
      <c r="B133" s="13" t="s">
        <v>25</v>
      </c>
      <c r="C133" s="43">
        <f>2.4+0.75</f>
        <v>3.15</v>
      </c>
      <c r="D133" s="17">
        <v>1000</v>
      </c>
      <c r="E133" s="17">
        <f t="shared" si="5"/>
        <v>3150</v>
      </c>
    </row>
    <row r="134" spans="1:5" x14ac:dyDescent="0.35">
      <c r="A134" s="13" t="s">
        <v>355</v>
      </c>
      <c r="B134" s="13" t="s">
        <v>41</v>
      </c>
      <c r="C134" s="43">
        <v>1.35</v>
      </c>
      <c r="D134" s="17">
        <v>1000</v>
      </c>
      <c r="E134" s="17">
        <f t="shared" si="5"/>
        <v>1350</v>
      </c>
    </row>
    <row r="135" spans="1:5" x14ac:dyDescent="0.35">
      <c r="A135" s="13" t="s">
        <v>365</v>
      </c>
      <c r="B135" s="13" t="s">
        <v>18</v>
      </c>
      <c r="C135" s="43">
        <v>0.2</v>
      </c>
      <c r="D135" s="17">
        <v>150</v>
      </c>
      <c r="E135" s="17">
        <f t="shared" si="5"/>
        <v>30</v>
      </c>
    </row>
    <row r="136" spans="1:5" x14ac:dyDescent="0.35">
      <c r="A136" s="13" t="s">
        <v>365</v>
      </c>
      <c r="B136" s="13" t="s">
        <v>26</v>
      </c>
      <c r="C136" s="43">
        <v>1.05</v>
      </c>
      <c r="D136" s="17">
        <v>1000</v>
      </c>
      <c r="E136" s="17">
        <f t="shared" si="5"/>
        <v>1050</v>
      </c>
    </row>
    <row r="137" spans="1:5" x14ac:dyDescent="0.35">
      <c r="A137" s="13" t="s">
        <v>365</v>
      </c>
      <c r="B137" s="13" t="s">
        <v>13</v>
      </c>
      <c r="C137" s="43">
        <v>0.25</v>
      </c>
      <c r="D137" s="17">
        <v>500</v>
      </c>
      <c r="E137" s="17">
        <f t="shared" si="5"/>
        <v>125</v>
      </c>
    </row>
    <row r="138" spans="1:5" x14ac:dyDescent="0.35">
      <c r="A138" s="13" t="s">
        <v>365</v>
      </c>
      <c r="B138" s="13" t="s">
        <v>61</v>
      </c>
      <c r="C138" s="43">
        <v>0.1</v>
      </c>
      <c r="D138" s="17">
        <v>3500</v>
      </c>
      <c r="E138" s="17">
        <f t="shared" si="5"/>
        <v>350</v>
      </c>
    </row>
    <row r="139" spans="1:5" x14ac:dyDescent="0.35">
      <c r="A139" s="13" t="s">
        <v>365</v>
      </c>
      <c r="B139" s="13" t="s">
        <v>60</v>
      </c>
      <c r="C139" s="43">
        <v>0.1</v>
      </c>
      <c r="D139" s="17">
        <v>2500</v>
      </c>
      <c r="E139" s="17">
        <f t="shared" si="5"/>
        <v>250</v>
      </c>
    </row>
    <row r="140" spans="1:5" x14ac:dyDescent="0.35">
      <c r="A140" s="13" t="s">
        <v>365</v>
      </c>
      <c r="B140" s="13" t="s">
        <v>39</v>
      </c>
      <c r="C140" s="43">
        <v>0.7</v>
      </c>
      <c r="D140" s="17">
        <v>1500</v>
      </c>
      <c r="E140" s="17">
        <f t="shared" si="5"/>
        <v>1050</v>
      </c>
    </row>
    <row r="141" spans="1:5" x14ac:dyDescent="0.35">
      <c r="A141" s="13" t="s">
        <v>365</v>
      </c>
      <c r="B141" s="13" t="s">
        <v>94</v>
      </c>
      <c r="C141" s="43">
        <v>2.15</v>
      </c>
      <c r="D141" s="17">
        <v>2800</v>
      </c>
      <c r="E141" s="17">
        <f t="shared" si="5"/>
        <v>6020</v>
      </c>
    </row>
    <row r="142" spans="1:5" x14ac:dyDescent="0.35">
      <c r="A142" s="13" t="s">
        <v>365</v>
      </c>
      <c r="B142" s="13" t="s">
        <v>53</v>
      </c>
      <c r="C142" s="43">
        <v>1.4</v>
      </c>
      <c r="D142" s="17">
        <v>300</v>
      </c>
      <c r="E142" s="17">
        <f t="shared" si="5"/>
        <v>420</v>
      </c>
    </row>
    <row r="143" spans="1:5" x14ac:dyDescent="0.35">
      <c r="A143" s="13" t="s">
        <v>365</v>
      </c>
      <c r="B143" s="13" t="s">
        <v>128</v>
      </c>
      <c r="C143" s="43">
        <v>0.6</v>
      </c>
      <c r="D143" s="17">
        <v>3500</v>
      </c>
      <c r="E143" s="17">
        <f t="shared" si="5"/>
        <v>2100</v>
      </c>
    </row>
    <row r="144" spans="1:5" x14ac:dyDescent="0.35">
      <c r="A144" s="13" t="s">
        <v>365</v>
      </c>
      <c r="B144" s="13" t="s">
        <v>41</v>
      </c>
      <c r="C144" s="43">
        <v>10.55</v>
      </c>
      <c r="D144" s="17">
        <v>1000</v>
      </c>
      <c r="E144" s="17">
        <f t="shared" si="5"/>
        <v>10550</v>
      </c>
    </row>
    <row r="145" spans="1:5" x14ac:dyDescent="0.35">
      <c r="A145" s="13" t="s">
        <v>356</v>
      </c>
      <c r="B145" s="13" t="s">
        <v>41</v>
      </c>
      <c r="C145" s="43">
        <v>0.2</v>
      </c>
      <c r="D145" s="17">
        <v>1000</v>
      </c>
      <c r="E145" s="17">
        <f t="shared" si="5"/>
        <v>200</v>
      </c>
    </row>
    <row r="146" spans="1:5" x14ac:dyDescent="0.35">
      <c r="A146" s="13" t="s">
        <v>356</v>
      </c>
      <c r="B146" s="13" t="s">
        <v>25</v>
      </c>
      <c r="C146" s="43">
        <v>12.3</v>
      </c>
      <c r="D146" s="17">
        <v>1000</v>
      </c>
      <c r="E146" s="17">
        <f t="shared" si="5"/>
        <v>12300</v>
      </c>
    </row>
    <row r="147" spans="1:5" x14ac:dyDescent="0.35">
      <c r="A147" s="13" t="s">
        <v>356</v>
      </c>
      <c r="B147" s="13" t="s">
        <v>94</v>
      </c>
      <c r="C147" s="43">
        <v>5.2</v>
      </c>
      <c r="D147" s="17">
        <v>2800</v>
      </c>
      <c r="E147" s="17">
        <f t="shared" si="5"/>
        <v>14560</v>
      </c>
    </row>
    <row r="148" spans="1:5" x14ac:dyDescent="0.35">
      <c r="A148" s="13" t="s">
        <v>356</v>
      </c>
      <c r="B148" s="13" t="s">
        <v>60</v>
      </c>
      <c r="C148" s="43">
        <v>0.6</v>
      </c>
      <c r="D148" s="17">
        <v>2500</v>
      </c>
      <c r="E148" s="17">
        <f t="shared" si="5"/>
        <v>1500</v>
      </c>
    </row>
    <row r="149" spans="1:5" x14ac:dyDescent="0.35">
      <c r="A149" s="13" t="s">
        <v>356</v>
      </c>
      <c r="B149" s="13" t="s">
        <v>18</v>
      </c>
      <c r="C149" s="43">
        <v>3.7</v>
      </c>
      <c r="D149" s="17">
        <v>150</v>
      </c>
      <c r="E149" s="17">
        <f t="shared" si="5"/>
        <v>555</v>
      </c>
    </row>
    <row r="150" spans="1:5" x14ac:dyDescent="0.35">
      <c r="A150" s="13" t="s">
        <v>356</v>
      </c>
      <c r="B150" s="13" t="s">
        <v>39</v>
      </c>
      <c r="C150" s="43">
        <v>2.35</v>
      </c>
      <c r="D150" s="17">
        <v>1500</v>
      </c>
      <c r="E150" s="17">
        <f t="shared" si="5"/>
        <v>3525</v>
      </c>
    </row>
    <row r="151" spans="1:5" x14ac:dyDescent="0.35">
      <c r="A151" s="13" t="s">
        <v>356</v>
      </c>
      <c r="B151" s="13" t="s">
        <v>13</v>
      </c>
      <c r="C151" s="43">
        <v>1.3</v>
      </c>
      <c r="D151" s="17">
        <v>500</v>
      </c>
      <c r="E151" s="17">
        <f t="shared" si="5"/>
        <v>650</v>
      </c>
    </row>
    <row r="152" spans="1:5" x14ac:dyDescent="0.35">
      <c r="A152" s="13" t="s">
        <v>356</v>
      </c>
      <c r="B152" s="13" t="s">
        <v>125</v>
      </c>
      <c r="C152" s="43">
        <v>7.05</v>
      </c>
      <c r="D152" s="17">
        <v>800</v>
      </c>
      <c r="E152" s="17">
        <f t="shared" si="5"/>
        <v>5640</v>
      </c>
    </row>
    <row r="153" spans="1:5" x14ac:dyDescent="0.35">
      <c r="A153" s="13" t="s">
        <v>356</v>
      </c>
      <c r="B153" s="13" t="s">
        <v>53</v>
      </c>
      <c r="C153" s="43">
        <v>4.45</v>
      </c>
      <c r="D153" s="17">
        <v>300</v>
      </c>
      <c r="E153" s="17">
        <f t="shared" si="5"/>
        <v>1335</v>
      </c>
    </row>
    <row r="154" spans="1:5" x14ac:dyDescent="0.35">
      <c r="A154" s="13" t="s">
        <v>356</v>
      </c>
      <c r="B154" s="13" t="s">
        <v>51</v>
      </c>
      <c r="C154" s="43">
        <v>2.85</v>
      </c>
      <c r="D154" s="17">
        <v>500</v>
      </c>
      <c r="E154" s="17">
        <f t="shared" si="5"/>
        <v>1425</v>
      </c>
    </row>
    <row r="155" spans="1:5" x14ac:dyDescent="0.35">
      <c r="A155" s="13" t="s">
        <v>324</v>
      </c>
      <c r="B155" s="13" t="s">
        <v>13</v>
      </c>
      <c r="C155" s="43">
        <v>0.3</v>
      </c>
      <c r="D155" s="17">
        <v>500</v>
      </c>
      <c r="E155" s="17">
        <f t="shared" si="5"/>
        <v>150</v>
      </c>
    </row>
    <row r="156" spans="1:5" x14ac:dyDescent="0.35">
      <c r="A156" s="13" t="s">
        <v>324</v>
      </c>
      <c r="B156" s="13" t="s">
        <v>53</v>
      </c>
      <c r="C156" s="43">
        <v>0.2</v>
      </c>
      <c r="D156" s="17">
        <v>300</v>
      </c>
      <c r="E156" s="17">
        <f t="shared" si="5"/>
        <v>60</v>
      </c>
    </row>
    <row r="157" spans="1:5" x14ac:dyDescent="0.35">
      <c r="A157" s="13" t="s">
        <v>324</v>
      </c>
      <c r="B157" s="13" t="s">
        <v>41</v>
      </c>
      <c r="C157" s="43">
        <v>0.45</v>
      </c>
      <c r="D157" s="17">
        <v>1000</v>
      </c>
      <c r="E157" s="17">
        <f t="shared" si="5"/>
        <v>450</v>
      </c>
    </row>
    <row r="158" spans="1:5" x14ac:dyDescent="0.35">
      <c r="A158" s="13" t="s">
        <v>324</v>
      </c>
      <c r="B158" s="13" t="s">
        <v>94</v>
      </c>
      <c r="C158" s="43">
        <v>0.45</v>
      </c>
      <c r="D158" s="17">
        <v>2800</v>
      </c>
      <c r="E158" s="17">
        <f t="shared" si="5"/>
        <v>1260</v>
      </c>
    </row>
    <row r="159" spans="1:5" x14ac:dyDescent="0.35">
      <c r="A159" s="13" t="s">
        <v>324</v>
      </c>
      <c r="B159" s="13" t="s">
        <v>60</v>
      </c>
      <c r="C159" s="43">
        <v>0.1</v>
      </c>
      <c r="D159" s="17">
        <v>2500</v>
      </c>
      <c r="E159" s="17">
        <f t="shared" si="5"/>
        <v>250</v>
      </c>
    </row>
    <row r="160" spans="1:5" x14ac:dyDescent="0.35">
      <c r="A160" s="13" t="s">
        <v>324</v>
      </c>
      <c r="B160" s="13" t="s">
        <v>25</v>
      </c>
      <c r="C160" s="43">
        <v>3.15</v>
      </c>
      <c r="D160" s="17">
        <v>1000</v>
      </c>
      <c r="E160" s="17">
        <f t="shared" si="5"/>
        <v>3150</v>
      </c>
    </row>
    <row r="161" spans="1:5" x14ac:dyDescent="0.35">
      <c r="A161" s="13" t="s">
        <v>401</v>
      </c>
      <c r="B161" s="13" t="s">
        <v>39</v>
      </c>
      <c r="C161" s="43">
        <v>0.35</v>
      </c>
      <c r="D161" s="17">
        <v>1500</v>
      </c>
      <c r="E161" s="17">
        <f t="shared" si="5"/>
        <v>525</v>
      </c>
    </row>
    <row r="162" spans="1:5" x14ac:dyDescent="0.35">
      <c r="A162" s="13" t="s">
        <v>401</v>
      </c>
      <c r="B162" s="13" t="s">
        <v>13</v>
      </c>
      <c r="C162" s="43">
        <v>1.2</v>
      </c>
      <c r="D162" s="17">
        <v>500</v>
      </c>
      <c r="E162" s="17">
        <f t="shared" si="5"/>
        <v>600</v>
      </c>
    </row>
    <row r="163" spans="1:5" x14ac:dyDescent="0.35">
      <c r="A163" s="13" t="s">
        <v>401</v>
      </c>
      <c r="B163" s="13" t="s">
        <v>25</v>
      </c>
      <c r="C163" s="43">
        <v>0.05</v>
      </c>
      <c r="D163" s="17">
        <v>1000</v>
      </c>
      <c r="E163" s="17">
        <f t="shared" si="5"/>
        <v>50</v>
      </c>
    </row>
    <row r="164" spans="1:5" x14ac:dyDescent="0.35">
      <c r="A164" s="13" t="s">
        <v>401</v>
      </c>
      <c r="B164" s="13" t="s">
        <v>94</v>
      </c>
      <c r="C164" s="43">
        <v>0.5</v>
      </c>
      <c r="D164" s="17">
        <v>2800</v>
      </c>
      <c r="E164" s="17">
        <f t="shared" si="5"/>
        <v>1400</v>
      </c>
    </row>
    <row r="165" spans="1:5" x14ac:dyDescent="0.35">
      <c r="A165" s="13" t="s">
        <v>401</v>
      </c>
      <c r="B165" s="13" t="s">
        <v>41</v>
      </c>
      <c r="C165" s="43">
        <v>3.45</v>
      </c>
      <c r="D165" s="17">
        <v>1000</v>
      </c>
      <c r="E165" s="17">
        <f t="shared" si="5"/>
        <v>3450</v>
      </c>
    </row>
    <row r="166" spans="1:5" x14ac:dyDescent="0.35">
      <c r="A166" s="13" t="s">
        <v>401</v>
      </c>
      <c r="B166" s="13" t="s">
        <v>51</v>
      </c>
      <c r="C166" s="43">
        <v>1.35</v>
      </c>
      <c r="D166" s="17">
        <v>500</v>
      </c>
      <c r="E166" s="17">
        <f t="shared" si="5"/>
        <v>675</v>
      </c>
    </row>
    <row r="167" spans="1:5" x14ac:dyDescent="0.35">
      <c r="A167" s="13" t="s">
        <v>401</v>
      </c>
      <c r="B167" s="13" t="s">
        <v>53</v>
      </c>
      <c r="C167" s="43">
        <v>1.35</v>
      </c>
      <c r="D167" s="17">
        <v>300</v>
      </c>
      <c r="E167" s="17">
        <f t="shared" si="5"/>
        <v>405</v>
      </c>
    </row>
    <row r="168" spans="1:5" x14ac:dyDescent="0.35">
      <c r="A168" s="13" t="s">
        <v>388</v>
      </c>
      <c r="B168" s="13" t="s">
        <v>57</v>
      </c>
      <c r="C168" s="43">
        <v>1.75</v>
      </c>
      <c r="D168" s="17">
        <v>150</v>
      </c>
      <c r="E168" s="17">
        <f t="shared" si="5"/>
        <v>262.5</v>
      </c>
    </row>
    <row r="169" spans="1:5" x14ac:dyDescent="0.35">
      <c r="A169" s="13" t="s">
        <v>427</v>
      </c>
      <c r="B169" s="13" t="s">
        <v>18</v>
      </c>
      <c r="C169" s="43">
        <v>0.1</v>
      </c>
      <c r="D169" s="17">
        <v>150</v>
      </c>
      <c r="E169" s="17">
        <f t="shared" si="5"/>
        <v>15</v>
      </c>
    </row>
    <row r="170" spans="1:5" x14ac:dyDescent="0.35">
      <c r="A170" s="13" t="s">
        <v>427</v>
      </c>
      <c r="B170" s="13" t="s">
        <v>39</v>
      </c>
      <c r="C170" s="43">
        <v>0.75</v>
      </c>
      <c r="D170" s="17">
        <v>1500</v>
      </c>
      <c r="E170" s="17">
        <f t="shared" si="5"/>
        <v>1125</v>
      </c>
    </row>
    <row r="171" spans="1:5" x14ac:dyDescent="0.35">
      <c r="A171" s="13" t="s">
        <v>427</v>
      </c>
      <c r="B171" s="13" t="s">
        <v>51</v>
      </c>
      <c r="C171" s="43">
        <v>0.15</v>
      </c>
      <c r="D171" s="17">
        <v>500</v>
      </c>
      <c r="E171" s="17">
        <f t="shared" si="5"/>
        <v>75</v>
      </c>
    </row>
    <row r="172" spans="1:5" x14ac:dyDescent="0.35">
      <c r="A172" s="13" t="s">
        <v>427</v>
      </c>
      <c r="B172" s="13" t="s">
        <v>25</v>
      </c>
      <c r="C172" s="43">
        <v>0.45</v>
      </c>
      <c r="D172" s="17">
        <v>1000</v>
      </c>
      <c r="E172" s="17">
        <f t="shared" si="5"/>
        <v>450</v>
      </c>
    </row>
    <row r="173" spans="1:5" x14ac:dyDescent="0.35">
      <c r="A173" s="13" t="s">
        <v>427</v>
      </c>
      <c r="B173" s="13" t="s">
        <v>60</v>
      </c>
      <c r="C173" s="43">
        <v>0.15</v>
      </c>
      <c r="D173" s="17">
        <v>2500</v>
      </c>
      <c r="E173" s="17">
        <f t="shared" si="5"/>
        <v>375</v>
      </c>
    </row>
    <row r="174" spans="1:5" x14ac:dyDescent="0.35">
      <c r="A174" s="13" t="s">
        <v>427</v>
      </c>
      <c r="B174" s="13" t="s">
        <v>53</v>
      </c>
      <c r="C174" s="43">
        <v>1.25</v>
      </c>
      <c r="D174" s="17">
        <v>300</v>
      </c>
      <c r="E174" s="17">
        <f t="shared" si="5"/>
        <v>375</v>
      </c>
    </row>
    <row r="175" spans="1:5" x14ac:dyDescent="0.35">
      <c r="A175" s="13" t="s">
        <v>427</v>
      </c>
      <c r="B175" s="13" t="s">
        <v>94</v>
      </c>
      <c r="C175" s="43">
        <v>3.4</v>
      </c>
      <c r="D175" s="17">
        <v>2800</v>
      </c>
      <c r="E175" s="17">
        <f t="shared" si="5"/>
        <v>9520</v>
      </c>
    </row>
    <row r="176" spans="1:5" x14ac:dyDescent="0.35">
      <c r="A176" s="13" t="s">
        <v>387</v>
      </c>
      <c r="B176" s="13" t="s">
        <v>60</v>
      </c>
      <c r="C176" s="43">
        <v>0.15</v>
      </c>
      <c r="D176" s="17">
        <v>2500</v>
      </c>
      <c r="E176" s="17">
        <f t="shared" si="5"/>
        <v>375</v>
      </c>
    </row>
    <row r="177" spans="1:5" x14ac:dyDescent="0.35">
      <c r="A177" s="13" t="s">
        <v>387</v>
      </c>
      <c r="B177" s="13" t="s">
        <v>100</v>
      </c>
      <c r="C177" s="43">
        <v>0.35</v>
      </c>
      <c r="D177" s="17">
        <v>1400</v>
      </c>
      <c r="E177" s="17">
        <f t="shared" si="5"/>
        <v>489.99999999999994</v>
      </c>
    </row>
    <row r="178" spans="1:5" x14ac:dyDescent="0.35">
      <c r="A178" s="13" t="s">
        <v>387</v>
      </c>
      <c r="B178" s="13" t="s">
        <v>41</v>
      </c>
      <c r="C178" s="43">
        <v>1.35</v>
      </c>
      <c r="D178" s="17">
        <v>1000</v>
      </c>
      <c r="E178" s="17">
        <f t="shared" si="5"/>
        <v>1350</v>
      </c>
    </row>
    <row r="179" spans="1:5" x14ac:dyDescent="0.35">
      <c r="A179" s="13" t="s">
        <v>387</v>
      </c>
      <c r="B179" s="13" t="s">
        <v>25</v>
      </c>
      <c r="C179" s="43">
        <v>0.45</v>
      </c>
      <c r="D179" s="17">
        <v>1000</v>
      </c>
      <c r="E179" s="17">
        <f t="shared" si="5"/>
        <v>450</v>
      </c>
    </row>
    <row r="180" spans="1:5" x14ac:dyDescent="0.35">
      <c r="A180" s="13" t="s">
        <v>387</v>
      </c>
      <c r="B180" s="13" t="s">
        <v>53</v>
      </c>
      <c r="C180" s="43">
        <v>1.05</v>
      </c>
      <c r="D180" s="17">
        <v>300</v>
      </c>
      <c r="E180" s="17">
        <f t="shared" si="5"/>
        <v>315</v>
      </c>
    </row>
    <row r="181" spans="1:5" x14ac:dyDescent="0.35">
      <c r="A181" s="13" t="s">
        <v>387</v>
      </c>
      <c r="B181" s="13" t="s">
        <v>15</v>
      </c>
      <c r="C181" s="43">
        <v>9.0500000000000007</v>
      </c>
      <c r="D181" s="17">
        <v>2500</v>
      </c>
      <c r="E181" s="17">
        <f t="shared" si="5"/>
        <v>22625</v>
      </c>
    </row>
    <row r="182" spans="1:5" x14ac:dyDescent="0.35">
      <c r="A182" s="13" t="s">
        <v>387</v>
      </c>
      <c r="B182" s="13" t="s">
        <v>13</v>
      </c>
      <c r="C182" s="43">
        <v>0.8</v>
      </c>
      <c r="D182" s="17">
        <v>500</v>
      </c>
      <c r="E182" s="17">
        <f t="shared" si="5"/>
        <v>400</v>
      </c>
    </row>
    <row r="183" spans="1:5" x14ac:dyDescent="0.35">
      <c r="A183" s="13" t="s">
        <v>387</v>
      </c>
      <c r="B183" s="13" t="s">
        <v>51</v>
      </c>
      <c r="C183" s="43">
        <v>1.35</v>
      </c>
      <c r="D183" s="17">
        <v>500</v>
      </c>
      <c r="E183" s="17">
        <f t="shared" si="5"/>
        <v>675</v>
      </c>
    </row>
    <row r="184" spans="1:5" x14ac:dyDescent="0.35">
      <c r="A184" s="13" t="s">
        <v>387</v>
      </c>
      <c r="B184" s="13" t="s">
        <v>94</v>
      </c>
      <c r="C184" s="43">
        <v>0.7</v>
      </c>
      <c r="D184" s="17">
        <v>2800</v>
      </c>
      <c r="E184" s="17">
        <f t="shared" si="5"/>
        <v>1959.9999999999998</v>
      </c>
    </row>
    <row r="185" spans="1:5" x14ac:dyDescent="0.35">
      <c r="A185" s="13" t="s">
        <v>387</v>
      </c>
      <c r="B185" s="13" t="s">
        <v>26</v>
      </c>
      <c r="C185" s="43">
        <v>0.7</v>
      </c>
      <c r="D185" s="17">
        <v>1000</v>
      </c>
      <c r="E185" s="17">
        <f t="shared" si="5"/>
        <v>700</v>
      </c>
    </row>
    <row r="186" spans="1:5" x14ac:dyDescent="0.35">
      <c r="A186" s="13" t="s">
        <v>387</v>
      </c>
      <c r="B186" s="13" t="s">
        <v>39</v>
      </c>
      <c r="C186" s="43">
        <v>0.85</v>
      </c>
      <c r="D186" s="17">
        <v>1500</v>
      </c>
      <c r="E186" s="17">
        <f t="shared" si="5"/>
        <v>1275</v>
      </c>
    </row>
    <row r="187" spans="1:5" x14ac:dyDescent="0.35">
      <c r="A187" s="13" t="s">
        <v>387</v>
      </c>
      <c r="B187" s="13" t="s">
        <v>34</v>
      </c>
      <c r="C187" s="43">
        <v>2.4500000000000002</v>
      </c>
      <c r="D187" s="17">
        <v>5000</v>
      </c>
      <c r="E187" s="17">
        <f t="shared" si="5"/>
        <v>12250</v>
      </c>
    </row>
    <row r="188" spans="1:5" x14ac:dyDescent="0.35">
      <c r="A188" s="13" t="s">
        <v>345</v>
      </c>
      <c r="B188" s="13" t="s">
        <v>41</v>
      </c>
      <c r="C188" s="43">
        <v>15.7</v>
      </c>
      <c r="D188" s="17">
        <v>1000</v>
      </c>
      <c r="E188" s="17">
        <f t="shared" si="5"/>
        <v>15700</v>
      </c>
    </row>
    <row r="189" spans="1:5" x14ac:dyDescent="0.35">
      <c r="A189" s="13" t="s">
        <v>345</v>
      </c>
      <c r="B189" s="13" t="s">
        <v>60</v>
      </c>
      <c r="C189" s="43">
        <v>0.45</v>
      </c>
      <c r="D189" s="17">
        <v>2500</v>
      </c>
      <c r="E189" s="17">
        <f t="shared" si="5"/>
        <v>1125</v>
      </c>
    </row>
    <row r="190" spans="1:5" x14ac:dyDescent="0.35">
      <c r="A190" s="13" t="s">
        <v>345</v>
      </c>
      <c r="B190" s="13" t="s">
        <v>61</v>
      </c>
      <c r="C190" s="43">
        <v>0.25</v>
      </c>
      <c r="D190" s="17">
        <v>3500</v>
      </c>
      <c r="E190" s="17">
        <f t="shared" si="5"/>
        <v>875</v>
      </c>
    </row>
    <row r="191" spans="1:5" x14ac:dyDescent="0.35">
      <c r="A191" s="13" t="s">
        <v>345</v>
      </c>
      <c r="B191" s="13" t="s">
        <v>53</v>
      </c>
      <c r="C191" s="43">
        <v>1.55</v>
      </c>
      <c r="D191" s="17">
        <v>300</v>
      </c>
      <c r="E191" s="17">
        <f t="shared" si="5"/>
        <v>465</v>
      </c>
    </row>
    <row r="192" spans="1:5" x14ac:dyDescent="0.35">
      <c r="A192" s="13" t="s">
        <v>345</v>
      </c>
      <c r="B192" s="13" t="s">
        <v>54</v>
      </c>
      <c r="C192" s="43">
        <v>0.55000000000000004</v>
      </c>
      <c r="D192" s="17">
        <v>800</v>
      </c>
      <c r="E192" s="17">
        <f t="shared" si="5"/>
        <v>440.00000000000006</v>
      </c>
    </row>
    <row r="193" spans="1:5" x14ac:dyDescent="0.35">
      <c r="A193" s="13" t="s">
        <v>345</v>
      </c>
      <c r="B193" s="13" t="s">
        <v>25</v>
      </c>
      <c r="C193" s="43">
        <v>2.35</v>
      </c>
      <c r="D193" s="17">
        <v>1000</v>
      </c>
      <c r="E193" s="17">
        <f t="shared" si="5"/>
        <v>2350</v>
      </c>
    </row>
    <row r="194" spans="1:5" x14ac:dyDescent="0.35">
      <c r="A194" s="13" t="s">
        <v>345</v>
      </c>
      <c r="B194" s="13" t="s">
        <v>18</v>
      </c>
      <c r="C194" s="43">
        <v>2.8</v>
      </c>
      <c r="D194" s="17">
        <v>150</v>
      </c>
      <c r="E194" s="17">
        <f t="shared" si="5"/>
        <v>420</v>
      </c>
    </row>
    <row r="195" spans="1:5" x14ac:dyDescent="0.35">
      <c r="A195" s="13" t="s">
        <v>345</v>
      </c>
      <c r="B195" s="13" t="s">
        <v>26</v>
      </c>
      <c r="C195" s="43">
        <v>1.9</v>
      </c>
      <c r="D195" s="17">
        <v>1000</v>
      </c>
      <c r="E195" s="17">
        <f t="shared" si="5"/>
        <v>1900</v>
      </c>
    </row>
    <row r="196" spans="1:5" x14ac:dyDescent="0.35">
      <c r="A196" s="13" t="s">
        <v>345</v>
      </c>
      <c r="B196" s="13" t="s">
        <v>128</v>
      </c>
      <c r="C196" s="43">
        <v>1.05</v>
      </c>
      <c r="D196" s="17">
        <v>3500</v>
      </c>
      <c r="E196" s="17">
        <f t="shared" ref="E196:E259" si="6">C196*D196</f>
        <v>3675</v>
      </c>
    </row>
    <row r="197" spans="1:5" x14ac:dyDescent="0.35">
      <c r="A197" s="13" t="s">
        <v>345</v>
      </c>
      <c r="B197" s="13" t="s">
        <v>94</v>
      </c>
      <c r="C197" s="43">
        <v>5.35</v>
      </c>
      <c r="D197" s="17">
        <v>2800</v>
      </c>
      <c r="E197" s="17">
        <f t="shared" si="6"/>
        <v>14979.999999999998</v>
      </c>
    </row>
    <row r="198" spans="1:5" x14ac:dyDescent="0.35">
      <c r="A198" s="13" t="s">
        <v>345</v>
      </c>
      <c r="B198" s="13" t="s">
        <v>34</v>
      </c>
      <c r="C198" s="43">
        <v>4.5</v>
      </c>
      <c r="D198" s="17">
        <v>5000</v>
      </c>
      <c r="E198" s="17">
        <f t="shared" si="6"/>
        <v>22500</v>
      </c>
    </row>
    <row r="199" spans="1:5" x14ac:dyDescent="0.35">
      <c r="A199" s="13" t="s">
        <v>386</v>
      </c>
      <c r="B199" s="13" t="s">
        <v>34</v>
      </c>
      <c r="C199" s="43">
        <v>6.65</v>
      </c>
      <c r="D199" s="17">
        <v>5000</v>
      </c>
      <c r="E199" s="17">
        <f t="shared" si="6"/>
        <v>33250</v>
      </c>
    </row>
    <row r="200" spans="1:5" x14ac:dyDescent="0.35">
      <c r="A200" s="13" t="s">
        <v>386</v>
      </c>
      <c r="B200" s="13" t="s">
        <v>13</v>
      </c>
      <c r="C200" s="43">
        <v>1.1499999999999999</v>
      </c>
      <c r="D200" s="17">
        <v>500</v>
      </c>
      <c r="E200" s="17">
        <f t="shared" si="6"/>
        <v>575</v>
      </c>
    </row>
    <row r="201" spans="1:5" x14ac:dyDescent="0.35">
      <c r="A201" s="13" t="s">
        <v>386</v>
      </c>
      <c r="B201" s="13" t="s">
        <v>18</v>
      </c>
      <c r="C201" s="43">
        <v>1</v>
      </c>
      <c r="D201" s="17">
        <v>150</v>
      </c>
      <c r="E201" s="17">
        <f t="shared" si="6"/>
        <v>150</v>
      </c>
    </row>
    <row r="202" spans="1:5" x14ac:dyDescent="0.35">
      <c r="A202" s="13" t="s">
        <v>386</v>
      </c>
      <c r="B202" s="13" t="s">
        <v>15</v>
      </c>
      <c r="C202" s="43">
        <v>1.55</v>
      </c>
      <c r="D202" s="17">
        <v>2500</v>
      </c>
      <c r="E202" s="17">
        <f t="shared" si="6"/>
        <v>3875</v>
      </c>
    </row>
    <row r="203" spans="1:5" x14ac:dyDescent="0.35">
      <c r="A203" s="13" t="s">
        <v>386</v>
      </c>
      <c r="B203" s="13" t="s">
        <v>94</v>
      </c>
      <c r="C203" s="43">
        <v>2.8</v>
      </c>
      <c r="D203" s="17">
        <v>2800</v>
      </c>
      <c r="E203" s="17">
        <f t="shared" si="6"/>
        <v>7839.9999999999991</v>
      </c>
    </row>
    <row r="204" spans="1:5" x14ac:dyDescent="0.35">
      <c r="A204" s="13" t="s">
        <v>386</v>
      </c>
      <c r="B204" s="13" t="s">
        <v>29</v>
      </c>
      <c r="C204" s="43">
        <v>0.25</v>
      </c>
      <c r="D204" s="17">
        <v>1600</v>
      </c>
      <c r="E204" s="17">
        <f t="shared" si="6"/>
        <v>400</v>
      </c>
    </row>
    <row r="205" spans="1:5" x14ac:dyDescent="0.35">
      <c r="A205" s="13" t="s">
        <v>386</v>
      </c>
      <c r="B205" s="13" t="s">
        <v>39</v>
      </c>
      <c r="C205" s="43">
        <v>0.15</v>
      </c>
      <c r="D205" s="17">
        <v>1500</v>
      </c>
      <c r="E205" s="17">
        <f t="shared" si="6"/>
        <v>225</v>
      </c>
    </row>
    <row r="206" spans="1:5" x14ac:dyDescent="0.35">
      <c r="A206" s="13" t="s">
        <v>386</v>
      </c>
      <c r="B206" s="13" t="s">
        <v>25</v>
      </c>
      <c r="C206" s="43">
        <v>0.95</v>
      </c>
      <c r="D206" s="17">
        <v>1000</v>
      </c>
      <c r="E206" s="17">
        <f t="shared" si="6"/>
        <v>950</v>
      </c>
    </row>
    <row r="207" spans="1:5" x14ac:dyDescent="0.35">
      <c r="A207" s="13" t="s">
        <v>386</v>
      </c>
      <c r="B207" s="13" t="s">
        <v>41</v>
      </c>
      <c r="C207" s="43">
        <v>6.6</v>
      </c>
      <c r="D207" s="17">
        <v>1000</v>
      </c>
      <c r="E207" s="17">
        <f t="shared" si="6"/>
        <v>6600</v>
      </c>
    </row>
    <row r="208" spans="1:5" x14ac:dyDescent="0.35">
      <c r="A208" s="13" t="s">
        <v>386</v>
      </c>
      <c r="B208" s="13" t="s">
        <v>53</v>
      </c>
      <c r="C208" s="43">
        <v>3.35</v>
      </c>
      <c r="D208" s="17">
        <v>300</v>
      </c>
      <c r="E208" s="17">
        <f t="shared" si="6"/>
        <v>1005</v>
      </c>
    </row>
    <row r="209" spans="1:5" x14ac:dyDescent="0.35">
      <c r="A209" s="13" t="s">
        <v>386</v>
      </c>
      <c r="B209" s="13" t="s">
        <v>51</v>
      </c>
      <c r="C209" s="43">
        <v>3.85</v>
      </c>
      <c r="D209" s="17">
        <v>500</v>
      </c>
      <c r="E209" s="17">
        <f t="shared" si="6"/>
        <v>1925</v>
      </c>
    </row>
    <row r="210" spans="1:5" x14ac:dyDescent="0.35">
      <c r="A210" s="13" t="s">
        <v>386</v>
      </c>
      <c r="B210" s="13" t="s">
        <v>128</v>
      </c>
      <c r="C210" s="43">
        <v>0.3</v>
      </c>
      <c r="D210" s="17">
        <v>3500</v>
      </c>
      <c r="E210" s="17">
        <f t="shared" si="6"/>
        <v>1050</v>
      </c>
    </row>
    <row r="211" spans="1:5" x14ac:dyDescent="0.35">
      <c r="A211" s="13" t="s">
        <v>401</v>
      </c>
      <c r="B211" s="13" t="s">
        <v>34</v>
      </c>
      <c r="C211" s="43">
        <v>7.65</v>
      </c>
      <c r="D211" s="17">
        <v>5000</v>
      </c>
      <c r="E211" s="17">
        <f t="shared" si="6"/>
        <v>38250</v>
      </c>
    </row>
    <row r="212" spans="1:5" x14ac:dyDescent="0.35">
      <c r="A212" s="13" t="s">
        <v>341</v>
      </c>
      <c r="B212" s="13" t="s">
        <v>51</v>
      </c>
      <c r="C212" s="43">
        <v>1.55</v>
      </c>
      <c r="D212" s="17">
        <v>500</v>
      </c>
      <c r="E212" s="17">
        <f t="shared" si="6"/>
        <v>775</v>
      </c>
    </row>
    <row r="213" spans="1:5" x14ac:dyDescent="0.35">
      <c r="A213" s="13" t="s">
        <v>341</v>
      </c>
      <c r="B213" s="13" t="s">
        <v>26</v>
      </c>
      <c r="C213" s="43">
        <v>1.1000000000000001</v>
      </c>
      <c r="D213" s="17">
        <v>1000</v>
      </c>
      <c r="E213" s="17">
        <f t="shared" si="6"/>
        <v>1100</v>
      </c>
    </row>
    <row r="214" spans="1:5" x14ac:dyDescent="0.35">
      <c r="A214" s="13" t="s">
        <v>341</v>
      </c>
      <c r="B214" s="13" t="s">
        <v>53</v>
      </c>
      <c r="C214" s="43">
        <v>0.15</v>
      </c>
      <c r="D214" s="17">
        <v>300</v>
      </c>
      <c r="E214" s="17">
        <f t="shared" si="6"/>
        <v>45</v>
      </c>
    </row>
    <row r="215" spans="1:5" x14ac:dyDescent="0.35">
      <c r="A215" s="13" t="s">
        <v>341</v>
      </c>
      <c r="B215" s="13" t="s">
        <v>100</v>
      </c>
      <c r="C215" s="43">
        <v>1.55</v>
      </c>
      <c r="D215" s="17">
        <v>1400</v>
      </c>
      <c r="E215" s="17">
        <f t="shared" si="6"/>
        <v>2170</v>
      </c>
    </row>
    <row r="216" spans="1:5" x14ac:dyDescent="0.35">
      <c r="A216" s="13" t="s">
        <v>341</v>
      </c>
      <c r="B216" s="13" t="s">
        <v>25</v>
      </c>
      <c r="C216" s="43">
        <v>4.7</v>
      </c>
      <c r="D216" s="17">
        <v>1000</v>
      </c>
      <c r="E216" s="17">
        <f t="shared" si="6"/>
        <v>4700</v>
      </c>
    </row>
    <row r="217" spans="1:5" x14ac:dyDescent="0.35">
      <c r="A217" s="13" t="s">
        <v>398</v>
      </c>
      <c r="B217" s="13" t="s">
        <v>39</v>
      </c>
      <c r="C217" s="43">
        <v>0.2</v>
      </c>
      <c r="D217" s="17">
        <v>1500</v>
      </c>
      <c r="E217" s="17">
        <f t="shared" si="6"/>
        <v>300</v>
      </c>
    </row>
    <row r="218" spans="1:5" x14ac:dyDescent="0.35">
      <c r="A218" s="13" t="s">
        <v>398</v>
      </c>
      <c r="B218" s="13" t="s">
        <v>25</v>
      </c>
      <c r="C218" s="43">
        <v>0.9</v>
      </c>
      <c r="D218" s="17">
        <v>1000</v>
      </c>
      <c r="E218" s="17">
        <f t="shared" si="6"/>
        <v>900</v>
      </c>
    </row>
    <row r="219" spans="1:5" x14ac:dyDescent="0.35">
      <c r="A219" s="13" t="s">
        <v>398</v>
      </c>
      <c r="B219" s="13" t="s">
        <v>51</v>
      </c>
      <c r="C219" s="43">
        <v>1.1499999999999999</v>
      </c>
      <c r="D219" s="17">
        <v>500</v>
      </c>
      <c r="E219" s="17">
        <f t="shared" si="6"/>
        <v>575</v>
      </c>
    </row>
    <row r="220" spans="1:5" x14ac:dyDescent="0.35">
      <c r="A220" s="13" t="s">
        <v>398</v>
      </c>
      <c r="B220" s="13" t="s">
        <v>60</v>
      </c>
      <c r="C220" s="43">
        <v>0.25</v>
      </c>
      <c r="D220" s="17">
        <v>2500</v>
      </c>
      <c r="E220" s="17">
        <f t="shared" si="6"/>
        <v>625</v>
      </c>
    </row>
    <row r="221" spans="1:5" x14ac:dyDescent="0.35">
      <c r="A221" s="13" t="s">
        <v>398</v>
      </c>
      <c r="B221" s="13" t="s">
        <v>41</v>
      </c>
      <c r="C221" s="43">
        <v>3</v>
      </c>
      <c r="D221" s="17">
        <v>1000</v>
      </c>
      <c r="E221" s="17">
        <f t="shared" si="6"/>
        <v>3000</v>
      </c>
    </row>
    <row r="222" spans="1:5" x14ac:dyDescent="0.35">
      <c r="A222" s="13" t="s">
        <v>398</v>
      </c>
      <c r="B222" s="13" t="s">
        <v>22</v>
      </c>
      <c r="C222" s="43">
        <v>0.3</v>
      </c>
      <c r="D222" s="17">
        <v>1600</v>
      </c>
      <c r="E222" s="17">
        <f t="shared" si="6"/>
        <v>480</v>
      </c>
    </row>
    <row r="223" spans="1:5" x14ac:dyDescent="0.35">
      <c r="A223" s="13" t="s">
        <v>398</v>
      </c>
      <c r="B223" s="13" t="s">
        <v>94</v>
      </c>
      <c r="C223" s="43">
        <v>1.2</v>
      </c>
      <c r="D223" s="17">
        <v>2800</v>
      </c>
      <c r="E223" s="17">
        <f t="shared" si="6"/>
        <v>3360</v>
      </c>
    </row>
    <row r="224" spans="1:5" x14ac:dyDescent="0.35">
      <c r="A224" s="13" t="s">
        <v>398</v>
      </c>
      <c r="B224" s="13" t="s">
        <v>53</v>
      </c>
      <c r="C224" s="43">
        <v>0.55000000000000004</v>
      </c>
      <c r="D224" s="17">
        <v>300</v>
      </c>
      <c r="E224" s="17">
        <f t="shared" si="6"/>
        <v>165</v>
      </c>
    </row>
    <row r="225" spans="1:5" x14ac:dyDescent="0.35">
      <c r="A225" s="13" t="s">
        <v>398</v>
      </c>
      <c r="B225" s="13" t="s">
        <v>13</v>
      </c>
      <c r="C225" s="43">
        <v>0.15</v>
      </c>
      <c r="D225" s="17">
        <v>500</v>
      </c>
      <c r="E225" s="17">
        <f t="shared" si="6"/>
        <v>75</v>
      </c>
    </row>
    <row r="226" spans="1:5" x14ac:dyDescent="0.35">
      <c r="A226" s="13" t="s">
        <v>398</v>
      </c>
      <c r="B226" s="13" t="s">
        <v>34</v>
      </c>
      <c r="C226" s="43">
        <v>7.1</v>
      </c>
      <c r="D226" s="17">
        <v>5000</v>
      </c>
      <c r="E226" s="17">
        <f t="shared" si="6"/>
        <v>35500</v>
      </c>
    </row>
    <row r="227" spans="1:5" x14ac:dyDescent="0.35">
      <c r="A227" s="13" t="s">
        <v>348</v>
      </c>
      <c r="B227" s="13" t="s">
        <v>13</v>
      </c>
      <c r="C227" s="43">
        <v>0.35</v>
      </c>
      <c r="D227" s="17">
        <v>500</v>
      </c>
      <c r="E227" s="17">
        <f t="shared" si="6"/>
        <v>175</v>
      </c>
    </row>
    <row r="228" spans="1:5" x14ac:dyDescent="0.35">
      <c r="A228" s="13" t="s">
        <v>348</v>
      </c>
      <c r="B228" s="13" t="s">
        <v>51</v>
      </c>
      <c r="C228" s="43">
        <v>0.4</v>
      </c>
      <c r="D228" s="17">
        <v>500</v>
      </c>
      <c r="E228" s="17">
        <f t="shared" si="6"/>
        <v>200</v>
      </c>
    </row>
    <row r="229" spans="1:5" x14ac:dyDescent="0.35">
      <c r="A229" s="13" t="s">
        <v>348</v>
      </c>
      <c r="B229" s="13" t="s">
        <v>53</v>
      </c>
      <c r="C229" s="43">
        <v>0.7</v>
      </c>
      <c r="D229" s="17">
        <v>300</v>
      </c>
      <c r="E229" s="17">
        <f t="shared" si="6"/>
        <v>210</v>
      </c>
    </row>
    <row r="230" spans="1:5" x14ac:dyDescent="0.35">
      <c r="A230" s="13" t="s">
        <v>348</v>
      </c>
      <c r="B230" s="13" t="s">
        <v>128</v>
      </c>
      <c r="C230" s="43">
        <v>0.15</v>
      </c>
      <c r="D230" s="17">
        <v>3500</v>
      </c>
      <c r="E230" s="17">
        <f t="shared" si="6"/>
        <v>525</v>
      </c>
    </row>
    <row r="231" spans="1:5" x14ac:dyDescent="0.35">
      <c r="A231" s="13" t="s">
        <v>348</v>
      </c>
      <c r="B231" s="13" t="s">
        <v>25</v>
      </c>
      <c r="C231" s="43">
        <v>0.5</v>
      </c>
      <c r="D231" s="17">
        <v>1000</v>
      </c>
      <c r="E231" s="17">
        <f t="shared" si="6"/>
        <v>500</v>
      </c>
    </row>
    <row r="232" spans="1:5" x14ac:dyDescent="0.35">
      <c r="A232" s="13" t="s">
        <v>348</v>
      </c>
      <c r="B232" s="13" t="s">
        <v>60</v>
      </c>
      <c r="C232" s="43">
        <v>0.2</v>
      </c>
      <c r="D232" s="17">
        <v>2500</v>
      </c>
      <c r="E232" s="17">
        <f t="shared" si="6"/>
        <v>500</v>
      </c>
    </row>
    <row r="233" spans="1:5" x14ac:dyDescent="0.35">
      <c r="A233" s="13" t="s">
        <v>348</v>
      </c>
      <c r="B233" s="13" t="s">
        <v>94</v>
      </c>
      <c r="C233" s="43">
        <v>0.6</v>
      </c>
      <c r="D233" s="17">
        <v>2800</v>
      </c>
      <c r="E233" s="17">
        <f t="shared" si="6"/>
        <v>1680</v>
      </c>
    </row>
    <row r="234" spans="1:5" x14ac:dyDescent="0.35">
      <c r="A234" s="13" t="s">
        <v>352</v>
      </c>
      <c r="B234" s="13" t="s">
        <v>94</v>
      </c>
      <c r="C234" s="43">
        <v>0.4</v>
      </c>
      <c r="D234" s="17">
        <v>2800</v>
      </c>
      <c r="E234" s="17">
        <f t="shared" si="6"/>
        <v>1120</v>
      </c>
    </row>
    <row r="235" spans="1:5" x14ac:dyDescent="0.35">
      <c r="A235" s="13" t="s">
        <v>352</v>
      </c>
      <c r="B235" s="13" t="s">
        <v>13</v>
      </c>
      <c r="C235" s="43">
        <v>0.2</v>
      </c>
      <c r="D235" s="17">
        <v>500</v>
      </c>
      <c r="E235" s="17">
        <f t="shared" si="6"/>
        <v>100</v>
      </c>
    </row>
    <row r="236" spans="1:5" x14ac:dyDescent="0.35">
      <c r="A236" s="13" t="s">
        <v>352</v>
      </c>
      <c r="B236" s="13" t="s">
        <v>51</v>
      </c>
      <c r="C236" s="43">
        <v>0.15</v>
      </c>
      <c r="D236" s="17">
        <v>500</v>
      </c>
      <c r="E236" s="17">
        <f t="shared" si="6"/>
        <v>75</v>
      </c>
    </row>
    <row r="237" spans="1:5" x14ac:dyDescent="0.35">
      <c r="A237" s="13" t="s">
        <v>352</v>
      </c>
      <c r="B237" s="13" t="s">
        <v>53</v>
      </c>
      <c r="C237" s="43">
        <v>1</v>
      </c>
      <c r="D237" s="17">
        <v>300</v>
      </c>
      <c r="E237" s="17">
        <f t="shared" si="6"/>
        <v>300</v>
      </c>
    </row>
    <row r="238" spans="1:5" x14ac:dyDescent="0.35">
      <c r="A238" s="13" t="s">
        <v>352</v>
      </c>
      <c r="B238" s="13" t="s">
        <v>25</v>
      </c>
      <c r="C238" s="43">
        <v>1.1000000000000001</v>
      </c>
      <c r="D238" s="17">
        <v>1000</v>
      </c>
      <c r="E238" s="17">
        <f t="shared" si="6"/>
        <v>1100</v>
      </c>
    </row>
    <row r="239" spans="1:5" x14ac:dyDescent="0.35">
      <c r="A239" s="13" t="s">
        <v>327</v>
      </c>
      <c r="B239" s="13" t="s">
        <v>51</v>
      </c>
      <c r="C239" s="43">
        <v>2.6</v>
      </c>
      <c r="D239" s="17">
        <v>500</v>
      </c>
      <c r="E239" s="17">
        <f t="shared" si="6"/>
        <v>1300</v>
      </c>
    </row>
    <row r="240" spans="1:5" x14ac:dyDescent="0.35">
      <c r="A240" s="13" t="s">
        <v>327</v>
      </c>
      <c r="B240" s="13" t="s">
        <v>39</v>
      </c>
      <c r="C240" s="43">
        <v>0.4</v>
      </c>
      <c r="D240" s="17">
        <v>1500</v>
      </c>
      <c r="E240" s="17">
        <f t="shared" si="6"/>
        <v>600</v>
      </c>
    </row>
    <row r="241" spans="1:5" x14ac:dyDescent="0.35">
      <c r="A241" s="13" t="s">
        <v>327</v>
      </c>
      <c r="B241" s="13" t="s">
        <v>94</v>
      </c>
      <c r="C241" s="43">
        <v>0.95</v>
      </c>
      <c r="D241" s="17">
        <v>2800</v>
      </c>
      <c r="E241" s="17">
        <f t="shared" si="6"/>
        <v>2660</v>
      </c>
    </row>
    <row r="242" spans="1:5" x14ac:dyDescent="0.35">
      <c r="A242" s="13" t="s">
        <v>327</v>
      </c>
      <c r="B242" s="13" t="s">
        <v>13</v>
      </c>
      <c r="C242" s="43">
        <v>0.25</v>
      </c>
      <c r="D242" s="17">
        <v>500</v>
      </c>
      <c r="E242" s="17">
        <f t="shared" si="6"/>
        <v>125</v>
      </c>
    </row>
    <row r="243" spans="1:5" x14ac:dyDescent="0.35">
      <c r="A243" s="13" t="s">
        <v>327</v>
      </c>
      <c r="B243" s="13" t="s">
        <v>18</v>
      </c>
      <c r="C243" s="43">
        <v>1.4</v>
      </c>
      <c r="D243" s="17">
        <v>150</v>
      </c>
      <c r="E243" s="17">
        <f t="shared" si="6"/>
        <v>210</v>
      </c>
    </row>
    <row r="244" spans="1:5" x14ac:dyDescent="0.35">
      <c r="A244" s="13" t="s">
        <v>327</v>
      </c>
      <c r="B244" s="13" t="s">
        <v>25</v>
      </c>
      <c r="C244" s="43">
        <v>1.75</v>
      </c>
      <c r="D244" s="17">
        <v>1000</v>
      </c>
      <c r="E244" s="17">
        <f t="shared" si="6"/>
        <v>1750</v>
      </c>
    </row>
    <row r="245" spans="1:5" x14ac:dyDescent="0.35">
      <c r="A245" s="13" t="s">
        <v>327</v>
      </c>
      <c r="B245" s="13" t="s">
        <v>53</v>
      </c>
      <c r="C245" s="43">
        <v>0.65</v>
      </c>
      <c r="D245" s="17">
        <v>300</v>
      </c>
      <c r="E245" s="17">
        <f t="shared" si="6"/>
        <v>195</v>
      </c>
    </row>
    <row r="246" spans="1:5" x14ac:dyDescent="0.35">
      <c r="A246" s="13" t="s">
        <v>327</v>
      </c>
      <c r="B246" s="13" t="s">
        <v>293</v>
      </c>
      <c r="C246" s="43">
        <v>0.15</v>
      </c>
      <c r="D246" s="17">
        <v>1400</v>
      </c>
      <c r="E246" s="17">
        <f t="shared" si="6"/>
        <v>210</v>
      </c>
    </row>
    <row r="247" spans="1:5" x14ac:dyDescent="0.35">
      <c r="A247" s="13" t="s">
        <v>327</v>
      </c>
      <c r="B247" s="13" t="s">
        <v>126</v>
      </c>
      <c r="C247" s="43">
        <v>1.95</v>
      </c>
      <c r="D247" s="17">
        <v>1800</v>
      </c>
      <c r="E247" s="17">
        <f t="shared" si="6"/>
        <v>3510</v>
      </c>
    </row>
    <row r="248" spans="1:5" x14ac:dyDescent="0.35">
      <c r="A248" s="13" t="s">
        <v>327</v>
      </c>
      <c r="B248" s="13" t="s">
        <v>127</v>
      </c>
      <c r="C248" s="43">
        <v>0.15</v>
      </c>
      <c r="D248" s="17">
        <v>8000</v>
      </c>
      <c r="E248" s="17">
        <f t="shared" si="6"/>
        <v>1200</v>
      </c>
    </row>
    <row r="249" spans="1:5" x14ac:dyDescent="0.35">
      <c r="A249" s="13" t="s">
        <v>327</v>
      </c>
      <c r="B249" s="13" t="s">
        <v>29</v>
      </c>
      <c r="C249" s="43">
        <v>0.4</v>
      </c>
      <c r="D249" s="17">
        <v>1600</v>
      </c>
      <c r="E249" s="17">
        <f t="shared" si="6"/>
        <v>640</v>
      </c>
    </row>
    <row r="250" spans="1:5" x14ac:dyDescent="0.35">
      <c r="A250" s="13" t="s">
        <v>415</v>
      </c>
      <c r="B250" s="13" t="s">
        <v>15</v>
      </c>
      <c r="C250" s="43">
        <v>2.15</v>
      </c>
      <c r="D250" s="17">
        <v>2500</v>
      </c>
      <c r="E250" s="17">
        <f t="shared" si="6"/>
        <v>5375</v>
      </c>
    </row>
    <row r="251" spans="1:5" x14ac:dyDescent="0.35">
      <c r="A251" s="13" t="s">
        <v>415</v>
      </c>
      <c r="B251" s="13" t="s">
        <v>293</v>
      </c>
      <c r="C251" s="43">
        <v>0.2</v>
      </c>
      <c r="D251" s="17">
        <v>1400</v>
      </c>
      <c r="E251" s="17">
        <f t="shared" si="6"/>
        <v>280</v>
      </c>
    </row>
    <row r="252" spans="1:5" x14ac:dyDescent="0.35">
      <c r="A252" s="13" t="s">
        <v>415</v>
      </c>
      <c r="B252" s="13" t="s">
        <v>41</v>
      </c>
      <c r="C252" s="43">
        <v>1.65</v>
      </c>
      <c r="D252" s="17">
        <v>1000</v>
      </c>
      <c r="E252" s="17">
        <f t="shared" si="6"/>
        <v>1650</v>
      </c>
    </row>
    <row r="253" spans="1:5" x14ac:dyDescent="0.35">
      <c r="A253" s="13" t="s">
        <v>357</v>
      </c>
      <c r="B253" s="13" t="s">
        <v>13</v>
      </c>
      <c r="C253" s="43">
        <v>0.25</v>
      </c>
      <c r="D253" s="17">
        <v>500</v>
      </c>
      <c r="E253" s="17">
        <f t="shared" si="6"/>
        <v>125</v>
      </c>
    </row>
    <row r="254" spans="1:5" x14ac:dyDescent="0.35">
      <c r="A254" s="13" t="s">
        <v>357</v>
      </c>
      <c r="B254" s="13" t="s">
        <v>125</v>
      </c>
      <c r="C254" s="43">
        <v>1.65</v>
      </c>
      <c r="D254" s="17">
        <v>800</v>
      </c>
      <c r="E254" s="17">
        <f t="shared" si="6"/>
        <v>1320</v>
      </c>
    </row>
    <row r="255" spans="1:5" x14ac:dyDescent="0.35">
      <c r="A255" s="13" t="s">
        <v>357</v>
      </c>
      <c r="B255" s="13" t="s">
        <v>53</v>
      </c>
      <c r="C255" s="43">
        <v>0.6</v>
      </c>
      <c r="D255" s="17">
        <v>300</v>
      </c>
      <c r="E255" s="17">
        <f t="shared" si="6"/>
        <v>180</v>
      </c>
    </row>
    <row r="256" spans="1:5" x14ac:dyDescent="0.35">
      <c r="A256" s="13" t="s">
        <v>357</v>
      </c>
      <c r="B256" s="13" t="s">
        <v>127</v>
      </c>
      <c r="C256" s="43">
        <v>0.25</v>
      </c>
      <c r="D256" s="17">
        <v>8000</v>
      </c>
      <c r="E256" s="17">
        <f t="shared" si="6"/>
        <v>2000</v>
      </c>
    </row>
    <row r="257" spans="1:5" x14ac:dyDescent="0.35">
      <c r="A257" s="13" t="s">
        <v>357</v>
      </c>
      <c r="B257" s="13" t="s">
        <v>60</v>
      </c>
      <c r="C257" s="43">
        <v>0.5</v>
      </c>
      <c r="D257" s="17">
        <v>2500</v>
      </c>
      <c r="E257" s="17">
        <f t="shared" si="6"/>
        <v>1250</v>
      </c>
    </row>
    <row r="258" spans="1:5" x14ac:dyDescent="0.35">
      <c r="A258" s="13" t="s">
        <v>357</v>
      </c>
      <c r="B258" s="13" t="s">
        <v>25</v>
      </c>
      <c r="C258" s="43">
        <v>2.5499999999999998</v>
      </c>
      <c r="D258" s="17">
        <v>1000</v>
      </c>
      <c r="E258" s="17">
        <f t="shared" si="6"/>
        <v>2550</v>
      </c>
    </row>
    <row r="259" spans="1:5" x14ac:dyDescent="0.35">
      <c r="A259" s="13" t="s">
        <v>357</v>
      </c>
      <c r="B259" s="13" t="s">
        <v>26</v>
      </c>
      <c r="C259" s="43">
        <v>2.25</v>
      </c>
      <c r="D259" s="17">
        <v>1000</v>
      </c>
      <c r="E259" s="17">
        <f t="shared" si="6"/>
        <v>2250</v>
      </c>
    </row>
    <row r="260" spans="1:5" x14ac:dyDescent="0.35">
      <c r="A260" s="13" t="s">
        <v>357</v>
      </c>
      <c r="B260" s="13" t="s">
        <v>18</v>
      </c>
      <c r="C260" s="43">
        <v>1.25</v>
      </c>
      <c r="D260" s="17">
        <v>150</v>
      </c>
      <c r="E260" s="17">
        <f t="shared" ref="E260:E323" si="7">C260*D260</f>
        <v>187.5</v>
      </c>
    </row>
    <row r="261" spans="1:5" x14ac:dyDescent="0.35">
      <c r="A261" s="13" t="s">
        <v>357</v>
      </c>
      <c r="B261" s="13" t="s">
        <v>15</v>
      </c>
      <c r="C261" s="43">
        <v>0.9</v>
      </c>
      <c r="D261" s="17">
        <v>2500</v>
      </c>
      <c r="E261" s="17">
        <f t="shared" si="7"/>
        <v>2250</v>
      </c>
    </row>
    <row r="262" spans="1:5" x14ac:dyDescent="0.35">
      <c r="A262" s="13" t="s">
        <v>357</v>
      </c>
      <c r="B262" s="13" t="s">
        <v>94</v>
      </c>
      <c r="C262" s="43">
        <v>3.6</v>
      </c>
      <c r="D262" s="17">
        <v>2800</v>
      </c>
      <c r="E262" s="17">
        <f t="shared" si="7"/>
        <v>10080</v>
      </c>
    </row>
    <row r="263" spans="1:5" x14ac:dyDescent="0.35">
      <c r="A263" s="13" t="s">
        <v>357</v>
      </c>
      <c r="B263" s="13" t="s">
        <v>34</v>
      </c>
      <c r="C263" s="43">
        <v>2.7</v>
      </c>
      <c r="D263" s="17">
        <v>5000</v>
      </c>
      <c r="E263" s="17">
        <f t="shared" si="7"/>
        <v>13500</v>
      </c>
    </row>
    <row r="264" spans="1:5" x14ac:dyDescent="0.35">
      <c r="A264" s="13" t="s">
        <v>322</v>
      </c>
      <c r="B264" s="13" t="s">
        <v>125</v>
      </c>
      <c r="C264" s="43">
        <v>1.55</v>
      </c>
      <c r="D264" s="17">
        <v>800</v>
      </c>
      <c r="E264" s="17">
        <f t="shared" si="7"/>
        <v>1240</v>
      </c>
    </row>
    <row r="265" spans="1:5" x14ac:dyDescent="0.35">
      <c r="A265" s="13" t="s">
        <v>322</v>
      </c>
      <c r="B265" s="13" t="s">
        <v>34</v>
      </c>
      <c r="C265" s="43">
        <v>1.65</v>
      </c>
      <c r="D265" s="17">
        <v>5000</v>
      </c>
      <c r="E265" s="17">
        <f t="shared" si="7"/>
        <v>8250</v>
      </c>
    </row>
    <row r="266" spans="1:5" x14ac:dyDescent="0.35">
      <c r="A266" s="13" t="s">
        <v>322</v>
      </c>
      <c r="B266" s="13" t="s">
        <v>41</v>
      </c>
      <c r="C266" s="43">
        <v>1.05</v>
      </c>
      <c r="D266" s="17">
        <v>1000</v>
      </c>
      <c r="E266" s="17">
        <f t="shared" si="7"/>
        <v>1050</v>
      </c>
    </row>
    <row r="267" spans="1:5" x14ac:dyDescent="0.35">
      <c r="A267" s="13" t="s">
        <v>322</v>
      </c>
      <c r="B267" s="13" t="s">
        <v>53</v>
      </c>
      <c r="C267" s="43">
        <v>0.15</v>
      </c>
      <c r="D267" s="17">
        <v>300</v>
      </c>
      <c r="E267" s="17">
        <f t="shared" si="7"/>
        <v>45</v>
      </c>
    </row>
    <row r="268" spans="1:5" x14ac:dyDescent="0.35">
      <c r="A268" s="13" t="s">
        <v>322</v>
      </c>
      <c r="B268" s="13" t="s">
        <v>60</v>
      </c>
      <c r="C268" s="43">
        <v>0.15</v>
      </c>
      <c r="D268" s="17">
        <v>2500</v>
      </c>
      <c r="E268" s="17">
        <f t="shared" si="7"/>
        <v>375</v>
      </c>
    </row>
    <row r="269" spans="1:5" x14ac:dyDescent="0.35">
      <c r="A269" s="13" t="s">
        <v>322</v>
      </c>
      <c r="B269" s="13" t="s">
        <v>13</v>
      </c>
      <c r="C269" s="43">
        <v>0.1</v>
      </c>
      <c r="D269" s="17">
        <v>500</v>
      </c>
      <c r="E269" s="17">
        <f t="shared" si="7"/>
        <v>50</v>
      </c>
    </row>
    <row r="270" spans="1:5" x14ac:dyDescent="0.35">
      <c r="A270" s="13" t="s">
        <v>322</v>
      </c>
      <c r="B270" s="13" t="s">
        <v>26</v>
      </c>
      <c r="C270" s="43">
        <v>0.55000000000000004</v>
      </c>
      <c r="D270" s="17">
        <v>1000</v>
      </c>
      <c r="E270" s="17">
        <f t="shared" si="7"/>
        <v>550</v>
      </c>
    </row>
    <row r="271" spans="1:5" x14ac:dyDescent="0.35">
      <c r="A271" s="13" t="s">
        <v>388</v>
      </c>
      <c r="B271" s="13" t="s">
        <v>25</v>
      </c>
      <c r="C271" s="43">
        <v>0.6</v>
      </c>
      <c r="D271" s="17">
        <v>1000</v>
      </c>
      <c r="E271" s="17">
        <f t="shared" si="7"/>
        <v>600</v>
      </c>
    </row>
    <row r="272" spans="1:5" x14ac:dyDescent="0.35">
      <c r="A272" s="13" t="s">
        <v>388</v>
      </c>
      <c r="B272" s="13" t="s">
        <v>13</v>
      </c>
      <c r="C272" s="43">
        <v>1.1000000000000001</v>
      </c>
      <c r="D272" s="17">
        <v>500</v>
      </c>
      <c r="E272" s="17">
        <f t="shared" si="7"/>
        <v>550</v>
      </c>
    </row>
    <row r="273" spans="1:5" x14ac:dyDescent="0.35">
      <c r="A273" s="13" t="s">
        <v>388</v>
      </c>
      <c r="B273" s="13" t="s">
        <v>61</v>
      </c>
      <c r="C273" s="43">
        <v>0.3</v>
      </c>
      <c r="D273" s="17">
        <v>3500</v>
      </c>
      <c r="E273" s="17">
        <f t="shared" si="7"/>
        <v>1050</v>
      </c>
    </row>
    <row r="274" spans="1:5" x14ac:dyDescent="0.35">
      <c r="A274" s="13" t="s">
        <v>388</v>
      </c>
      <c r="B274" s="13" t="s">
        <v>51</v>
      </c>
      <c r="C274" s="43">
        <v>0.65</v>
      </c>
      <c r="D274" s="17">
        <v>500</v>
      </c>
      <c r="E274" s="17">
        <f t="shared" si="7"/>
        <v>325</v>
      </c>
    </row>
    <row r="275" spans="1:5" x14ac:dyDescent="0.35">
      <c r="A275" s="13" t="s">
        <v>388</v>
      </c>
      <c r="B275" s="13" t="s">
        <v>41</v>
      </c>
      <c r="C275" s="43">
        <v>0.7</v>
      </c>
      <c r="D275" s="17">
        <v>1000</v>
      </c>
      <c r="E275" s="17">
        <f t="shared" si="7"/>
        <v>700</v>
      </c>
    </row>
    <row r="276" spans="1:5" x14ac:dyDescent="0.35">
      <c r="A276" s="13" t="s">
        <v>388</v>
      </c>
      <c r="B276" s="13" t="s">
        <v>53</v>
      </c>
      <c r="C276" s="43">
        <v>1.6</v>
      </c>
      <c r="D276" s="17">
        <v>300</v>
      </c>
      <c r="E276" s="17">
        <f t="shared" si="7"/>
        <v>480</v>
      </c>
    </row>
    <row r="277" spans="1:5" x14ac:dyDescent="0.35">
      <c r="A277" s="13" t="s">
        <v>388</v>
      </c>
      <c r="B277" s="13" t="s">
        <v>18</v>
      </c>
      <c r="C277" s="43">
        <v>1.25</v>
      </c>
      <c r="D277" s="17">
        <v>150</v>
      </c>
      <c r="E277" s="17">
        <f t="shared" si="7"/>
        <v>187.5</v>
      </c>
    </row>
    <row r="278" spans="1:5" x14ac:dyDescent="0.35">
      <c r="A278" s="13" t="s">
        <v>388</v>
      </c>
      <c r="B278" s="13" t="s">
        <v>39</v>
      </c>
      <c r="C278" s="43">
        <v>1.9</v>
      </c>
      <c r="D278" s="17">
        <v>1500</v>
      </c>
      <c r="E278" s="17">
        <f t="shared" si="7"/>
        <v>2850</v>
      </c>
    </row>
    <row r="279" spans="1:5" x14ac:dyDescent="0.35">
      <c r="A279" s="13" t="s">
        <v>388</v>
      </c>
      <c r="B279" s="13" t="s">
        <v>26</v>
      </c>
      <c r="C279" s="43">
        <v>0.4</v>
      </c>
      <c r="D279" s="17">
        <v>1000</v>
      </c>
      <c r="E279" s="17">
        <f t="shared" si="7"/>
        <v>400</v>
      </c>
    </row>
    <row r="280" spans="1:5" x14ac:dyDescent="0.35">
      <c r="A280" s="13" t="s">
        <v>388</v>
      </c>
      <c r="B280" s="13" t="s">
        <v>34</v>
      </c>
      <c r="C280" s="43">
        <v>1.7</v>
      </c>
      <c r="D280" s="17">
        <v>5000</v>
      </c>
      <c r="E280" s="17">
        <f t="shared" si="7"/>
        <v>8500</v>
      </c>
    </row>
    <row r="281" spans="1:5" x14ac:dyDescent="0.35">
      <c r="A281" s="13" t="s">
        <v>402</v>
      </c>
      <c r="B281" s="13" t="s">
        <v>53</v>
      </c>
      <c r="C281" s="43">
        <v>0.4</v>
      </c>
      <c r="D281" s="17">
        <v>300</v>
      </c>
      <c r="E281" s="17">
        <f t="shared" si="7"/>
        <v>120</v>
      </c>
    </row>
    <row r="282" spans="1:5" x14ac:dyDescent="0.35">
      <c r="A282" s="13" t="s">
        <v>402</v>
      </c>
      <c r="B282" s="13" t="s">
        <v>25</v>
      </c>
      <c r="C282" s="43">
        <v>0.7</v>
      </c>
      <c r="D282" s="17">
        <v>1000</v>
      </c>
      <c r="E282" s="17">
        <f t="shared" si="7"/>
        <v>700</v>
      </c>
    </row>
    <row r="283" spans="1:5" x14ac:dyDescent="0.35">
      <c r="A283" s="13" t="s">
        <v>402</v>
      </c>
      <c r="B283" s="13" t="s">
        <v>39</v>
      </c>
      <c r="C283" s="43">
        <v>0.4</v>
      </c>
      <c r="D283" s="17">
        <v>1500</v>
      </c>
      <c r="E283" s="17">
        <f t="shared" si="7"/>
        <v>600</v>
      </c>
    </row>
    <row r="284" spans="1:5" x14ac:dyDescent="0.35">
      <c r="A284" s="13" t="s">
        <v>402</v>
      </c>
      <c r="B284" s="13" t="s">
        <v>29</v>
      </c>
      <c r="C284" s="43">
        <v>0.25</v>
      </c>
      <c r="D284" s="17">
        <v>1600</v>
      </c>
      <c r="E284" s="17">
        <f t="shared" si="7"/>
        <v>400</v>
      </c>
    </row>
    <row r="285" spans="1:5" x14ac:dyDescent="0.35">
      <c r="A285" s="13" t="s">
        <v>402</v>
      </c>
      <c r="B285" s="13" t="s">
        <v>94</v>
      </c>
      <c r="C285" s="43">
        <v>0.6</v>
      </c>
      <c r="D285" s="17">
        <v>2800</v>
      </c>
      <c r="E285" s="17">
        <f t="shared" si="7"/>
        <v>1680</v>
      </c>
    </row>
    <row r="286" spans="1:5" x14ac:dyDescent="0.35">
      <c r="A286" s="13" t="s">
        <v>402</v>
      </c>
      <c r="B286" s="13" t="s">
        <v>60</v>
      </c>
      <c r="C286" s="43">
        <v>0.05</v>
      </c>
      <c r="D286" s="17">
        <v>2500</v>
      </c>
      <c r="E286" s="17">
        <f t="shared" si="7"/>
        <v>125</v>
      </c>
    </row>
    <row r="287" spans="1:5" x14ac:dyDescent="0.35">
      <c r="A287" s="13" t="s">
        <v>402</v>
      </c>
      <c r="B287" s="13" t="s">
        <v>61</v>
      </c>
      <c r="C287" s="43">
        <v>0.1</v>
      </c>
      <c r="D287" s="17">
        <v>3500</v>
      </c>
      <c r="E287" s="17">
        <f t="shared" si="7"/>
        <v>350</v>
      </c>
    </row>
    <row r="288" spans="1:5" x14ac:dyDescent="0.35">
      <c r="A288" s="13" t="s">
        <v>402</v>
      </c>
      <c r="B288" s="13" t="s">
        <v>41</v>
      </c>
      <c r="C288" s="43">
        <v>1.25</v>
      </c>
      <c r="D288" s="17">
        <v>1000</v>
      </c>
      <c r="E288" s="17">
        <f t="shared" si="7"/>
        <v>1250</v>
      </c>
    </row>
    <row r="289" spans="1:5" x14ac:dyDescent="0.35">
      <c r="A289" s="13" t="s">
        <v>402</v>
      </c>
      <c r="B289" s="13" t="s">
        <v>34</v>
      </c>
      <c r="C289" s="43">
        <v>0.85</v>
      </c>
      <c r="D289" s="17">
        <v>5000</v>
      </c>
      <c r="E289" s="17">
        <f t="shared" si="7"/>
        <v>4250</v>
      </c>
    </row>
    <row r="290" spans="1:5" x14ac:dyDescent="0.35">
      <c r="A290" s="13" t="s">
        <v>402</v>
      </c>
      <c r="B290" s="13" t="s">
        <v>15</v>
      </c>
      <c r="C290" s="43">
        <v>5.15</v>
      </c>
      <c r="D290" s="17">
        <v>2500</v>
      </c>
      <c r="E290" s="17">
        <f t="shared" si="7"/>
        <v>12875</v>
      </c>
    </row>
    <row r="291" spans="1:5" x14ac:dyDescent="0.35">
      <c r="A291" s="13" t="s">
        <v>318</v>
      </c>
      <c r="B291" s="13" t="s">
        <v>18</v>
      </c>
      <c r="C291" s="43">
        <v>0.35</v>
      </c>
      <c r="D291" s="17">
        <v>150</v>
      </c>
      <c r="E291" s="17">
        <f t="shared" si="7"/>
        <v>52.5</v>
      </c>
    </row>
    <row r="292" spans="1:5" x14ac:dyDescent="0.35">
      <c r="A292" s="13" t="s">
        <v>318</v>
      </c>
      <c r="B292" s="13" t="s">
        <v>126</v>
      </c>
      <c r="C292" s="43">
        <v>0.25</v>
      </c>
      <c r="D292" s="17">
        <v>1800</v>
      </c>
      <c r="E292" s="17">
        <f t="shared" si="7"/>
        <v>450</v>
      </c>
    </row>
    <row r="293" spans="1:5" x14ac:dyDescent="0.35">
      <c r="A293" s="13" t="s">
        <v>318</v>
      </c>
      <c r="B293" s="13" t="s">
        <v>22</v>
      </c>
      <c r="C293" s="43">
        <v>0.3</v>
      </c>
      <c r="D293" s="17">
        <v>1600</v>
      </c>
      <c r="E293" s="17">
        <f t="shared" si="7"/>
        <v>480</v>
      </c>
    </row>
    <row r="294" spans="1:5" x14ac:dyDescent="0.35">
      <c r="A294" s="13" t="s">
        <v>318</v>
      </c>
      <c r="B294" s="13" t="s">
        <v>266</v>
      </c>
      <c r="C294" s="43">
        <v>1.75</v>
      </c>
      <c r="D294" s="17">
        <v>1000</v>
      </c>
      <c r="E294" s="17">
        <f t="shared" si="7"/>
        <v>1750</v>
      </c>
    </row>
    <row r="295" spans="1:5" x14ac:dyDescent="0.35">
      <c r="A295" s="13" t="s">
        <v>318</v>
      </c>
      <c r="B295" s="13" t="s">
        <v>293</v>
      </c>
      <c r="C295" s="43">
        <v>1.25</v>
      </c>
      <c r="D295" s="17">
        <v>1400</v>
      </c>
      <c r="E295" s="17">
        <f t="shared" si="7"/>
        <v>1750</v>
      </c>
    </row>
    <row r="296" spans="1:5" x14ac:dyDescent="0.35">
      <c r="A296" s="13" t="s">
        <v>318</v>
      </c>
      <c r="B296" s="13" t="s">
        <v>25</v>
      </c>
      <c r="C296" s="43">
        <f>5.5+4.75</f>
        <v>10.25</v>
      </c>
      <c r="D296" s="17">
        <v>1000</v>
      </c>
      <c r="E296" s="17">
        <f t="shared" si="7"/>
        <v>10250</v>
      </c>
    </row>
    <row r="297" spans="1:5" x14ac:dyDescent="0.35">
      <c r="A297" s="13" t="s">
        <v>318</v>
      </c>
      <c r="B297" s="13" t="s">
        <v>53</v>
      </c>
      <c r="C297" s="43">
        <v>1.1000000000000001</v>
      </c>
      <c r="D297" s="17">
        <v>300</v>
      </c>
      <c r="E297" s="17">
        <f t="shared" si="7"/>
        <v>330</v>
      </c>
    </row>
    <row r="298" spans="1:5" x14ac:dyDescent="0.35">
      <c r="A298" s="13" t="s">
        <v>318</v>
      </c>
      <c r="B298" s="13" t="s">
        <v>41</v>
      </c>
      <c r="C298" s="43">
        <v>5.25</v>
      </c>
      <c r="D298" s="17">
        <v>1000</v>
      </c>
      <c r="E298" s="17">
        <f t="shared" si="7"/>
        <v>5250</v>
      </c>
    </row>
    <row r="299" spans="1:5" x14ac:dyDescent="0.35">
      <c r="A299" s="13" t="s">
        <v>318</v>
      </c>
      <c r="B299" s="13" t="s">
        <v>60</v>
      </c>
      <c r="C299" s="43">
        <v>0.3</v>
      </c>
      <c r="D299" s="17">
        <v>2500</v>
      </c>
      <c r="E299" s="17">
        <f t="shared" si="7"/>
        <v>750</v>
      </c>
    </row>
    <row r="300" spans="1:5" x14ac:dyDescent="0.35">
      <c r="A300" s="13" t="s">
        <v>318</v>
      </c>
      <c r="B300" s="13" t="s">
        <v>94</v>
      </c>
      <c r="C300" s="43">
        <v>4.5999999999999996</v>
      </c>
      <c r="D300" s="17">
        <v>2800</v>
      </c>
      <c r="E300" s="17">
        <f t="shared" si="7"/>
        <v>12879.999999999998</v>
      </c>
    </row>
    <row r="301" spans="1:5" x14ac:dyDescent="0.35">
      <c r="A301" s="13" t="s">
        <v>318</v>
      </c>
      <c r="B301" s="13" t="s">
        <v>39</v>
      </c>
      <c r="C301" s="43">
        <v>0.95</v>
      </c>
      <c r="D301" s="17">
        <v>1500</v>
      </c>
      <c r="E301" s="17">
        <f t="shared" si="7"/>
        <v>1425</v>
      </c>
    </row>
    <row r="302" spans="1:5" x14ac:dyDescent="0.35">
      <c r="A302" s="13" t="s">
        <v>353</v>
      </c>
      <c r="B302" s="13" t="s">
        <v>39</v>
      </c>
      <c r="C302" s="43">
        <v>2.5</v>
      </c>
      <c r="D302" s="17">
        <v>1500</v>
      </c>
      <c r="E302" s="17">
        <f t="shared" si="7"/>
        <v>3750</v>
      </c>
    </row>
    <row r="303" spans="1:5" x14ac:dyDescent="0.35">
      <c r="A303" s="13" t="s">
        <v>353</v>
      </c>
      <c r="B303" s="13" t="s">
        <v>60</v>
      </c>
      <c r="C303" s="43">
        <v>0.2</v>
      </c>
      <c r="D303" s="17">
        <v>2500</v>
      </c>
      <c r="E303" s="17">
        <f t="shared" si="7"/>
        <v>500</v>
      </c>
    </row>
    <row r="304" spans="1:5" x14ac:dyDescent="0.35">
      <c r="A304" s="13" t="s">
        <v>353</v>
      </c>
      <c r="B304" s="13" t="s">
        <v>25</v>
      </c>
      <c r="C304" s="43">
        <v>1.95</v>
      </c>
      <c r="D304" s="17">
        <v>1000</v>
      </c>
      <c r="E304" s="17">
        <f t="shared" si="7"/>
        <v>1950</v>
      </c>
    </row>
    <row r="305" spans="1:5" x14ac:dyDescent="0.35">
      <c r="A305" s="13" t="s">
        <v>353</v>
      </c>
      <c r="B305" s="13" t="s">
        <v>94</v>
      </c>
      <c r="C305" s="43">
        <v>2.0499999999999998</v>
      </c>
      <c r="D305" s="17">
        <v>2800</v>
      </c>
      <c r="E305" s="17">
        <f t="shared" si="7"/>
        <v>5739.9999999999991</v>
      </c>
    </row>
    <row r="306" spans="1:5" x14ac:dyDescent="0.35">
      <c r="A306" s="13" t="s">
        <v>353</v>
      </c>
      <c r="B306" s="13" t="s">
        <v>53</v>
      </c>
      <c r="C306" s="43">
        <v>1.1000000000000001</v>
      </c>
      <c r="D306" s="17">
        <v>300</v>
      </c>
      <c r="E306" s="17">
        <f t="shared" si="7"/>
        <v>330</v>
      </c>
    </row>
    <row r="307" spans="1:5" x14ac:dyDescent="0.35">
      <c r="A307" s="13" t="s">
        <v>353</v>
      </c>
      <c r="B307" s="13" t="s">
        <v>13</v>
      </c>
      <c r="C307" s="43">
        <v>0.3</v>
      </c>
      <c r="D307" s="17">
        <v>500</v>
      </c>
      <c r="E307" s="17">
        <f t="shared" si="7"/>
        <v>150</v>
      </c>
    </row>
    <row r="308" spans="1:5" x14ac:dyDescent="0.35">
      <c r="A308" s="13" t="s">
        <v>353</v>
      </c>
      <c r="B308" s="13" t="s">
        <v>41</v>
      </c>
      <c r="C308" s="43">
        <v>3.3</v>
      </c>
      <c r="D308" s="17">
        <v>1000</v>
      </c>
      <c r="E308" s="17">
        <f t="shared" si="7"/>
        <v>3300</v>
      </c>
    </row>
    <row r="309" spans="1:5" x14ac:dyDescent="0.35">
      <c r="A309" s="13" t="s">
        <v>335</v>
      </c>
      <c r="B309" s="13" t="s">
        <v>60</v>
      </c>
      <c r="C309" s="43">
        <v>0.15</v>
      </c>
      <c r="D309" s="17">
        <v>2500</v>
      </c>
      <c r="E309" s="17">
        <f t="shared" si="7"/>
        <v>375</v>
      </c>
    </row>
    <row r="310" spans="1:5" x14ac:dyDescent="0.35">
      <c r="A310" s="13" t="s">
        <v>335</v>
      </c>
      <c r="B310" s="13" t="s">
        <v>94</v>
      </c>
      <c r="C310" s="43">
        <v>1.6</v>
      </c>
      <c r="D310" s="17">
        <v>2800</v>
      </c>
      <c r="E310" s="17">
        <f t="shared" si="7"/>
        <v>4480</v>
      </c>
    </row>
    <row r="311" spans="1:5" x14ac:dyDescent="0.35">
      <c r="A311" s="13" t="s">
        <v>335</v>
      </c>
      <c r="B311" s="13" t="s">
        <v>34</v>
      </c>
      <c r="C311" s="43">
        <v>3.15</v>
      </c>
      <c r="D311" s="17">
        <v>5000</v>
      </c>
      <c r="E311" s="17">
        <f t="shared" si="7"/>
        <v>15750</v>
      </c>
    </row>
    <row r="312" spans="1:5" x14ac:dyDescent="0.35">
      <c r="A312" s="13" t="s">
        <v>335</v>
      </c>
      <c r="B312" s="13" t="s">
        <v>26</v>
      </c>
      <c r="C312" s="43">
        <v>2.15</v>
      </c>
      <c r="D312" s="17">
        <v>1000</v>
      </c>
      <c r="E312" s="17">
        <f t="shared" si="7"/>
        <v>2150</v>
      </c>
    </row>
    <row r="313" spans="1:5" x14ac:dyDescent="0.35">
      <c r="A313" s="13" t="s">
        <v>335</v>
      </c>
      <c r="B313" s="13" t="s">
        <v>13</v>
      </c>
      <c r="C313" s="43">
        <v>0.2</v>
      </c>
      <c r="D313" s="17">
        <v>500</v>
      </c>
      <c r="E313" s="17">
        <f t="shared" si="7"/>
        <v>100</v>
      </c>
    </row>
    <row r="314" spans="1:5" x14ac:dyDescent="0.35">
      <c r="A314" s="13" t="s">
        <v>335</v>
      </c>
      <c r="B314" s="13" t="s">
        <v>53</v>
      </c>
      <c r="C314" s="43">
        <v>0.4</v>
      </c>
      <c r="D314" s="17">
        <v>300</v>
      </c>
      <c r="E314" s="17">
        <f t="shared" si="7"/>
        <v>120</v>
      </c>
    </row>
    <row r="315" spans="1:5" x14ac:dyDescent="0.35">
      <c r="A315" s="13" t="s">
        <v>335</v>
      </c>
      <c r="B315" s="13" t="s">
        <v>41</v>
      </c>
      <c r="C315" s="43">
        <v>3.1</v>
      </c>
      <c r="D315" s="17">
        <v>1000</v>
      </c>
      <c r="E315" s="17">
        <f t="shared" si="7"/>
        <v>3100</v>
      </c>
    </row>
    <row r="316" spans="1:5" x14ac:dyDescent="0.35">
      <c r="A316" s="13" t="s">
        <v>428</v>
      </c>
      <c r="B316" s="13" t="s">
        <v>60</v>
      </c>
      <c r="C316" s="43">
        <v>0.15</v>
      </c>
      <c r="D316" s="17">
        <v>2500</v>
      </c>
      <c r="E316" s="17">
        <f t="shared" si="7"/>
        <v>375</v>
      </c>
    </row>
    <row r="317" spans="1:5" x14ac:dyDescent="0.35">
      <c r="A317" s="13" t="s">
        <v>428</v>
      </c>
      <c r="B317" s="13" t="s">
        <v>51</v>
      </c>
      <c r="C317" s="43">
        <v>0.1</v>
      </c>
      <c r="D317" s="17">
        <v>500</v>
      </c>
      <c r="E317" s="17">
        <f t="shared" si="7"/>
        <v>50</v>
      </c>
    </row>
    <row r="318" spans="1:5" x14ac:dyDescent="0.35">
      <c r="A318" s="13" t="s">
        <v>428</v>
      </c>
      <c r="B318" s="13" t="s">
        <v>53</v>
      </c>
      <c r="C318" s="43">
        <v>0.7</v>
      </c>
      <c r="D318" s="17">
        <v>300</v>
      </c>
      <c r="E318" s="17">
        <f t="shared" si="7"/>
        <v>210</v>
      </c>
    </row>
    <row r="319" spans="1:5" x14ac:dyDescent="0.35">
      <c r="A319" s="13" t="s">
        <v>428</v>
      </c>
      <c r="B319" s="13" t="s">
        <v>41</v>
      </c>
      <c r="C319" s="43">
        <v>5</v>
      </c>
      <c r="D319" s="17">
        <v>1000</v>
      </c>
      <c r="E319" s="17">
        <f t="shared" si="7"/>
        <v>5000</v>
      </c>
    </row>
    <row r="320" spans="1:5" x14ac:dyDescent="0.35">
      <c r="A320" s="13" t="s">
        <v>428</v>
      </c>
      <c r="B320" s="13" t="s">
        <v>15</v>
      </c>
      <c r="C320" s="43">
        <v>1</v>
      </c>
      <c r="D320" s="17">
        <v>2500</v>
      </c>
      <c r="E320" s="17">
        <f t="shared" si="7"/>
        <v>2500</v>
      </c>
    </row>
    <row r="321" spans="1:5" x14ac:dyDescent="0.35">
      <c r="A321" s="13" t="s">
        <v>428</v>
      </c>
      <c r="B321" s="13" t="s">
        <v>126</v>
      </c>
      <c r="C321" s="43">
        <v>1.1000000000000001</v>
      </c>
      <c r="D321" s="17">
        <v>1800</v>
      </c>
      <c r="E321" s="17">
        <f t="shared" si="7"/>
        <v>1980.0000000000002</v>
      </c>
    </row>
    <row r="322" spans="1:5" x14ac:dyDescent="0.35">
      <c r="A322" s="13" t="s">
        <v>428</v>
      </c>
      <c r="B322" s="13" t="s">
        <v>25</v>
      </c>
      <c r="C322" s="43">
        <v>0.3</v>
      </c>
      <c r="D322" s="17">
        <v>1000</v>
      </c>
      <c r="E322" s="17">
        <f t="shared" si="7"/>
        <v>300</v>
      </c>
    </row>
    <row r="323" spans="1:5" x14ac:dyDescent="0.35">
      <c r="A323" s="13" t="s">
        <v>428</v>
      </c>
      <c r="B323" s="13" t="s">
        <v>22</v>
      </c>
      <c r="C323" s="43">
        <v>0.2</v>
      </c>
      <c r="D323" s="17">
        <v>1600</v>
      </c>
      <c r="E323" s="17">
        <f t="shared" si="7"/>
        <v>320</v>
      </c>
    </row>
    <row r="324" spans="1:5" x14ac:dyDescent="0.35">
      <c r="A324" s="13" t="s">
        <v>428</v>
      </c>
      <c r="B324" s="13" t="s">
        <v>126</v>
      </c>
      <c r="C324" s="43">
        <v>0.9</v>
      </c>
      <c r="D324" s="17">
        <v>1800</v>
      </c>
      <c r="E324" s="17">
        <f t="shared" ref="E324:E357" si="8">C324*D324</f>
        <v>1620</v>
      </c>
    </row>
    <row r="325" spans="1:5" x14ac:dyDescent="0.35">
      <c r="A325" s="13" t="s">
        <v>428</v>
      </c>
      <c r="B325" s="13" t="s">
        <v>94</v>
      </c>
      <c r="C325" s="43">
        <v>1.7</v>
      </c>
      <c r="D325" s="17">
        <v>2800</v>
      </c>
      <c r="E325" s="17">
        <f t="shared" si="8"/>
        <v>4760</v>
      </c>
    </row>
    <row r="326" spans="1:5" x14ac:dyDescent="0.35">
      <c r="A326" s="13" t="s">
        <v>364</v>
      </c>
      <c r="B326" s="13" t="s">
        <v>46</v>
      </c>
      <c r="C326" s="43">
        <v>0.7</v>
      </c>
      <c r="D326" s="17">
        <v>2700</v>
      </c>
      <c r="E326" s="17">
        <f t="shared" si="8"/>
        <v>1889.9999999999998</v>
      </c>
    </row>
    <row r="327" spans="1:5" x14ac:dyDescent="0.35">
      <c r="A327" s="13" t="s">
        <v>364</v>
      </c>
      <c r="B327" s="13" t="s">
        <v>34</v>
      </c>
      <c r="C327" s="43">
        <v>0.6</v>
      </c>
      <c r="D327" s="17">
        <v>5000</v>
      </c>
      <c r="E327" s="17">
        <f t="shared" si="8"/>
        <v>3000</v>
      </c>
    </row>
    <row r="328" spans="1:5" x14ac:dyDescent="0.35">
      <c r="A328" s="13" t="s">
        <v>364</v>
      </c>
      <c r="B328" s="13" t="s">
        <v>293</v>
      </c>
      <c r="C328" s="43">
        <v>0.5</v>
      </c>
      <c r="D328" s="17">
        <v>1400</v>
      </c>
      <c r="E328" s="17">
        <f t="shared" si="8"/>
        <v>700</v>
      </c>
    </row>
    <row r="329" spans="1:5" x14ac:dyDescent="0.35">
      <c r="A329" s="13" t="s">
        <v>364</v>
      </c>
      <c r="B329" s="13" t="s">
        <v>39</v>
      </c>
      <c r="C329" s="43">
        <v>0.7</v>
      </c>
      <c r="D329" s="17">
        <v>1500</v>
      </c>
      <c r="E329" s="17">
        <f t="shared" si="8"/>
        <v>1050</v>
      </c>
    </row>
    <row r="330" spans="1:5" x14ac:dyDescent="0.35">
      <c r="A330" s="13" t="s">
        <v>364</v>
      </c>
      <c r="B330" s="13" t="s">
        <v>53</v>
      </c>
      <c r="C330" s="43">
        <v>0.15</v>
      </c>
      <c r="D330" s="17">
        <v>300</v>
      </c>
      <c r="E330" s="17">
        <f t="shared" si="8"/>
        <v>45</v>
      </c>
    </row>
    <row r="331" spans="1:5" x14ac:dyDescent="0.35">
      <c r="A331" s="13" t="s">
        <v>364</v>
      </c>
      <c r="B331" s="13" t="s">
        <v>13</v>
      </c>
      <c r="C331" s="43">
        <v>0.2</v>
      </c>
      <c r="D331" s="17">
        <v>500</v>
      </c>
      <c r="E331" s="17">
        <f t="shared" si="8"/>
        <v>100</v>
      </c>
    </row>
    <row r="332" spans="1:5" x14ac:dyDescent="0.35">
      <c r="A332" s="13" t="s">
        <v>364</v>
      </c>
      <c r="B332" s="13" t="s">
        <v>26</v>
      </c>
      <c r="C332" s="43">
        <v>1.8</v>
      </c>
      <c r="D332" s="17">
        <v>1000</v>
      </c>
      <c r="E332" s="17">
        <f t="shared" si="8"/>
        <v>1800</v>
      </c>
    </row>
    <row r="333" spans="1:5" x14ac:dyDescent="0.35">
      <c r="A333" s="13" t="s">
        <v>364</v>
      </c>
      <c r="B333" s="13" t="s">
        <v>60</v>
      </c>
      <c r="C333" s="43">
        <v>0.15</v>
      </c>
      <c r="D333" s="17">
        <v>2500</v>
      </c>
      <c r="E333" s="17">
        <f t="shared" si="8"/>
        <v>375</v>
      </c>
    </row>
    <row r="334" spans="1:5" x14ac:dyDescent="0.35">
      <c r="A334" s="13" t="s">
        <v>364</v>
      </c>
      <c r="B334" s="13" t="s">
        <v>94</v>
      </c>
      <c r="C334" s="43">
        <v>1.7</v>
      </c>
      <c r="D334" s="17">
        <v>2800</v>
      </c>
      <c r="E334" s="17">
        <f t="shared" si="8"/>
        <v>4760</v>
      </c>
    </row>
    <row r="335" spans="1:5" x14ac:dyDescent="0.35">
      <c r="A335" s="13" t="s">
        <v>364</v>
      </c>
      <c r="B335" s="13" t="s">
        <v>41</v>
      </c>
      <c r="C335" s="43">
        <v>4</v>
      </c>
      <c r="D335" s="17">
        <v>1000</v>
      </c>
      <c r="E335" s="17">
        <f t="shared" si="8"/>
        <v>4000</v>
      </c>
    </row>
    <row r="336" spans="1:5" x14ac:dyDescent="0.35">
      <c r="A336" s="13" t="s">
        <v>360</v>
      </c>
      <c r="B336" s="13" t="s">
        <v>51</v>
      </c>
      <c r="C336" s="43">
        <v>2.4</v>
      </c>
      <c r="D336" s="17">
        <v>500</v>
      </c>
      <c r="E336" s="17">
        <f t="shared" si="8"/>
        <v>1200</v>
      </c>
    </row>
    <row r="337" spans="1:6" x14ac:dyDescent="0.35">
      <c r="A337" s="13" t="s">
        <v>360</v>
      </c>
      <c r="B337" s="13" t="s">
        <v>128</v>
      </c>
      <c r="C337" s="43">
        <v>0.4</v>
      </c>
      <c r="D337" s="17">
        <v>3500</v>
      </c>
      <c r="E337" s="17">
        <f t="shared" si="8"/>
        <v>1400</v>
      </c>
    </row>
    <row r="338" spans="1:6" x14ac:dyDescent="0.35">
      <c r="A338" s="13" t="s">
        <v>360</v>
      </c>
      <c r="B338" s="13" t="s">
        <v>53</v>
      </c>
      <c r="C338" s="43">
        <v>1.3</v>
      </c>
      <c r="D338" s="17">
        <v>300</v>
      </c>
      <c r="E338" s="17">
        <f t="shared" si="8"/>
        <v>390</v>
      </c>
    </row>
    <row r="339" spans="1:6" x14ac:dyDescent="0.35">
      <c r="A339" s="13" t="s">
        <v>360</v>
      </c>
      <c r="B339" s="13" t="s">
        <v>26</v>
      </c>
      <c r="C339" s="43">
        <v>0.65</v>
      </c>
      <c r="D339" s="17">
        <v>1000</v>
      </c>
      <c r="E339" s="17">
        <f t="shared" si="8"/>
        <v>650</v>
      </c>
    </row>
    <row r="340" spans="1:6" x14ac:dyDescent="0.35">
      <c r="A340" s="13" t="s">
        <v>360</v>
      </c>
      <c r="B340" s="13" t="s">
        <v>94</v>
      </c>
      <c r="C340" s="43">
        <v>1.6</v>
      </c>
      <c r="D340" s="17">
        <v>2800</v>
      </c>
      <c r="E340" s="17">
        <f t="shared" si="8"/>
        <v>4480</v>
      </c>
    </row>
    <row r="341" spans="1:6" x14ac:dyDescent="0.35">
      <c r="A341" s="14" t="s">
        <v>303</v>
      </c>
      <c r="B341" s="13" t="s">
        <v>53</v>
      </c>
      <c r="C341" s="43">
        <v>26.7</v>
      </c>
      <c r="D341" s="17">
        <v>300</v>
      </c>
      <c r="E341" s="17">
        <f t="shared" si="8"/>
        <v>8010</v>
      </c>
      <c r="F341" s="19"/>
    </row>
    <row r="342" spans="1:6" x14ac:dyDescent="0.35">
      <c r="A342" s="14" t="s">
        <v>303</v>
      </c>
      <c r="B342" s="13" t="s">
        <v>13</v>
      </c>
      <c r="C342" s="43">
        <v>10.7</v>
      </c>
      <c r="D342" s="17">
        <v>500</v>
      </c>
      <c r="E342" s="17">
        <f t="shared" si="8"/>
        <v>5350</v>
      </c>
    </row>
    <row r="343" spans="1:6" x14ac:dyDescent="0.35">
      <c r="A343" s="14" t="s">
        <v>303</v>
      </c>
      <c r="B343" s="13" t="s">
        <v>51</v>
      </c>
      <c r="C343" s="43">
        <v>0.95</v>
      </c>
      <c r="D343" s="17">
        <v>500</v>
      </c>
      <c r="E343" s="17">
        <f t="shared" si="8"/>
        <v>475</v>
      </c>
    </row>
    <row r="344" spans="1:6" x14ac:dyDescent="0.35">
      <c r="A344" s="13" t="s">
        <v>361</v>
      </c>
      <c r="B344" s="13" t="s">
        <v>94</v>
      </c>
      <c r="C344" s="43">
        <v>1.95</v>
      </c>
      <c r="D344" s="17">
        <v>2800</v>
      </c>
      <c r="E344" s="17">
        <f t="shared" si="8"/>
        <v>5460</v>
      </c>
    </row>
    <row r="345" spans="1:6" x14ac:dyDescent="0.35">
      <c r="A345" s="13" t="s">
        <v>361</v>
      </c>
      <c r="B345" s="13" t="s">
        <v>26</v>
      </c>
      <c r="C345" s="43">
        <v>2.25</v>
      </c>
      <c r="D345" s="17">
        <v>1000</v>
      </c>
      <c r="E345" s="17">
        <f t="shared" si="8"/>
        <v>2250</v>
      </c>
    </row>
    <row r="346" spans="1:6" x14ac:dyDescent="0.35">
      <c r="A346" s="13" t="s">
        <v>361</v>
      </c>
      <c r="B346" s="13" t="s">
        <v>53</v>
      </c>
      <c r="C346" s="43">
        <v>4</v>
      </c>
      <c r="D346" s="17">
        <v>300</v>
      </c>
      <c r="E346" s="17">
        <f t="shared" si="8"/>
        <v>1200</v>
      </c>
    </row>
    <row r="347" spans="1:6" x14ac:dyDescent="0.35">
      <c r="A347" s="13" t="s">
        <v>361</v>
      </c>
      <c r="B347" s="13" t="s">
        <v>34</v>
      </c>
      <c r="C347" s="43">
        <v>1.5</v>
      </c>
      <c r="D347" s="17">
        <v>5000</v>
      </c>
      <c r="E347" s="17">
        <f t="shared" si="8"/>
        <v>7500</v>
      </c>
    </row>
    <row r="348" spans="1:6" x14ac:dyDescent="0.35">
      <c r="A348" s="13" t="s">
        <v>361</v>
      </c>
      <c r="B348" s="13" t="s">
        <v>127</v>
      </c>
      <c r="C348" s="43">
        <v>0.15</v>
      </c>
      <c r="D348" s="17">
        <v>8000</v>
      </c>
      <c r="E348" s="17">
        <f t="shared" si="8"/>
        <v>1200</v>
      </c>
    </row>
    <row r="349" spans="1:6" x14ac:dyDescent="0.35">
      <c r="A349" s="13" t="s">
        <v>361</v>
      </c>
      <c r="B349" s="13" t="s">
        <v>39</v>
      </c>
      <c r="C349" s="43">
        <v>1.25</v>
      </c>
      <c r="D349" s="17">
        <v>1500</v>
      </c>
      <c r="E349" s="17">
        <f t="shared" si="8"/>
        <v>1875</v>
      </c>
    </row>
    <row r="350" spans="1:6" x14ac:dyDescent="0.35">
      <c r="A350" s="13" t="s">
        <v>361</v>
      </c>
      <c r="B350" s="13" t="s">
        <v>51</v>
      </c>
      <c r="C350" s="43">
        <v>5.0999999999999996</v>
      </c>
      <c r="D350" s="17">
        <v>500</v>
      </c>
      <c r="E350" s="17">
        <f t="shared" si="8"/>
        <v>2550</v>
      </c>
    </row>
    <row r="351" spans="1:6" x14ac:dyDescent="0.35">
      <c r="A351" s="13" t="s">
        <v>403</v>
      </c>
      <c r="B351" s="13" t="s">
        <v>53</v>
      </c>
      <c r="C351" s="43">
        <v>0.6</v>
      </c>
      <c r="D351" s="17">
        <v>300</v>
      </c>
      <c r="E351" s="17">
        <f t="shared" si="8"/>
        <v>180</v>
      </c>
    </row>
    <row r="352" spans="1:6" x14ac:dyDescent="0.35">
      <c r="A352" s="13" t="s">
        <v>403</v>
      </c>
      <c r="B352" s="13" t="s">
        <v>127</v>
      </c>
      <c r="C352" s="43">
        <v>0.25</v>
      </c>
      <c r="D352" s="17">
        <v>8000</v>
      </c>
      <c r="E352" s="17">
        <f t="shared" si="8"/>
        <v>2000</v>
      </c>
    </row>
    <row r="353" spans="1:5" x14ac:dyDescent="0.35">
      <c r="A353" s="13" t="s">
        <v>403</v>
      </c>
      <c r="B353" s="13" t="s">
        <v>39</v>
      </c>
      <c r="C353" s="43">
        <v>0.25</v>
      </c>
      <c r="D353" s="17">
        <v>1500</v>
      </c>
      <c r="E353" s="17">
        <f t="shared" si="8"/>
        <v>375</v>
      </c>
    </row>
    <row r="354" spans="1:5" x14ac:dyDescent="0.35">
      <c r="A354" s="13" t="s">
        <v>403</v>
      </c>
      <c r="B354" s="13" t="s">
        <v>25</v>
      </c>
      <c r="C354" s="43">
        <v>0.5</v>
      </c>
      <c r="D354" s="17">
        <v>1000</v>
      </c>
      <c r="E354" s="17">
        <f t="shared" si="8"/>
        <v>500</v>
      </c>
    </row>
    <row r="355" spans="1:5" x14ac:dyDescent="0.35">
      <c r="A355" s="13" t="s">
        <v>403</v>
      </c>
      <c r="B355" s="13" t="s">
        <v>128</v>
      </c>
      <c r="C355" s="43">
        <v>0.15</v>
      </c>
      <c r="D355" s="17">
        <v>3500</v>
      </c>
      <c r="E355" s="17">
        <f t="shared" si="8"/>
        <v>525</v>
      </c>
    </row>
    <row r="356" spans="1:5" x14ac:dyDescent="0.35">
      <c r="A356" s="13" t="s">
        <v>403</v>
      </c>
      <c r="B356" s="13" t="s">
        <v>51</v>
      </c>
      <c r="C356" s="43">
        <v>0.85</v>
      </c>
      <c r="D356" s="17">
        <v>500</v>
      </c>
      <c r="E356" s="17">
        <f t="shared" si="8"/>
        <v>425</v>
      </c>
    </row>
    <row r="357" spans="1:5" x14ac:dyDescent="0.35">
      <c r="A357" s="13" t="s">
        <v>403</v>
      </c>
      <c r="B357" s="13" t="s">
        <v>94</v>
      </c>
      <c r="C357" s="43">
        <v>0.85</v>
      </c>
      <c r="D357" s="17">
        <v>2800</v>
      </c>
      <c r="E357" s="17">
        <f t="shared" si="8"/>
        <v>2380</v>
      </c>
    </row>
    <row r="358" spans="1:5" x14ac:dyDescent="0.35">
      <c r="C358" s="57">
        <f>SUM(C3:C357)</f>
        <v>568.54999999999984</v>
      </c>
      <c r="E358" s="57">
        <f>SUM(E3:E357)</f>
        <v>838637.5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4C55-1D0B-4804-B1A6-C8254278EB7F}">
  <dimension ref="A2:Y333"/>
  <sheetViews>
    <sheetView topLeftCell="E35" zoomScale="70" zoomScaleNormal="70" zoomScaleSheetLayoutView="100" workbookViewId="0">
      <selection activeCell="L52" sqref="L52"/>
    </sheetView>
  </sheetViews>
  <sheetFormatPr defaultRowHeight="14.5" x14ac:dyDescent="0.35"/>
  <cols>
    <col min="1" max="2" width="25" customWidth="1"/>
    <col min="3" max="3" width="14.90625" customWidth="1"/>
    <col min="4" max="5" width="14.90625" style="63" customWidth="1"/>
    <col min="7" max="7" width="23.6328125" bestFit="1" customWidth="1"/>
    <col min="8" max="8" width="11.6328125" style="57" bestFit="1" customWidth="1"/>
    <col min="9" max="9" width="11.36328125" bestFit="1" customWidth="1"/>
    <col min="11" max="11" width="25" bestFit="1" customWidth="1"/>
    <col min="12" max="12" width="11.6328125" bestFit="1" customWidth="1"/>
    <col min="16" max="16" width="26.36328125" bestFit="1" customWidth="1"/>
    <col min="18" max="18" width="19.08984375" bestFit="1" customWidth="1"/>
    <col min="19" max="19" width="11.6328125" bestFit="1" customWidth="1"/>
    <col min="22" max="22" width="12" bestFit="1" customWidth="1"/>
  </cols>
  <sheetData>
    <row r="2" spans="1:25" x14ac:dyDescent="0.35">
      <c r="A2" s="56" t="s">
        <v>82</v>
      </c>
      <c r="B2" s="56" t="s">
        <v>83</v>
      </c>
      <c r="C2" s="56" t="s">
        <v>65</v>
      </c>
      <c r="D2" s="56" t="s">
        <v>66</v>
      </c>
      <c r="E2" s="56" t="s">
        <v>6</v>
      </c>
      <c r="G2" s="15" t="s">
        <v>85</v>
      </c>
      <c r="H2" t="s">
        <v>137</v>
      </c>
      <c r="I2" t="s">
        <v>129</v>
      </c>
      <c r="K2" s="15" t="s">
        <v>85</v>
      </c>
      <c r="L2" t="s">
        <v>137</v>
      </c>
      <c r="O2" s="20" t="s">
        <v>132</v>
      </c>
      <c r="R2" t="s">
        <v>420</v>
      </c>
      <c r="U2" s="20" t="s">
        <v>298</v>
      </c>
      <c r="X2" t="s">
        <v>420</v>
      </c>
    </row>
    <row r="3" spans="1:25" x14ac:dyDescent="0.35">
      <c r="A3" s="13" t="s">
        <v>413</v>
      </c>
      <c r="B3" s="13" t="s">
        <v>13</v>
      </c>
      <c r="C3" s="43">
        <v>1</v>
      </c>
      <c r="D3" s="13">
        <v>500</v>
      </c>
      <c r="E3" s="13">
        <v>500</v>
      </c>
      <c r="G3" s="14" t="s">
        <v>333</v>
      </c>
      <c r="H3" s="29">
        <v>5.2</v>
      </c>
      <c r="I3" s="19">
        <v>6230</v>
      </c>
      <c r="K3" s="14" t="s">
        <v>127</v>
      </c>
      <c r="L3">
        <v>0.2</v>
      </c>
      <c r="O3" s="21" t="s">
        <v>0</v>
      </c>
      <c r="P3" s="22" t="s">
        <v>64</v>
      </c>
      <c r="Q3" s="23" t="s">
        <v>133</v>
      </c>
      <c r="R3" s="22" t="s">
        <v>65</v>
      </c>
      <c r="S3" s="23" t="s">
        <v>134</v>
      </c>
      <c r="U3" s="21" t="s">
        <v>0</v>
      </c>
      <c r="V3" s="22" t="s">
        <v>64</v>
      </c>
      <c r="W3" s="23" t="s">
        <v>133</v>
      </c>
      <c r="X3" s="22" t="s">
        <v>65</v>
      </c>
      <c r="Y3" s="23" t="s">
        <v>134</v>
      </c>
    </row>
    <row r="4" spans="1:25" x14ac:dyDescent="0.35">
      <c r="A4" s="13" t="s">
        <v>413</v>
      </c>
      <c r="B4" s="13" t="s">
        <v>53</v>
      </c>
      <c r="C4" s="43">
        <v>0.65</v>
      </c>
      <c r="D4" s="13">
        <v>300</v>
      </c>
      <c r="E4" s="13">
        <v>195</v>
      </c>
      <c r="G4" s="14" t="s">
        <v>403</v>
      </c>
      <c r="H4" s="29">
        <v>7.15</v>
      </c>
      <c r="I4" s="19">
        <v>7705</v>
      </c>
      <c r="K4" s="14" t="s">
        <v>13</v>
      </c>
      <c r="L4">
        <v>18.5</v>
      </c>
      <c r="O4" s="22">
        <v>1</v>
      </c>
      <c r="P4" s="24" t="s">
        <v>7</v>
      </c>
      <c r="Q4" s="25">
        <f>VLOOKUP(P4,KamiBox!$C$2:$F$58,4,0)</f>
        <v>200000</v>
      </c>
      <c r="R4" s="26">
        <f>SUMIF($B$3:$B$332,P4,$C$3:$C$332)</f>
        <v>0</v>
      </c>
      <c r="S4" s="25">
        <f>Q4*R4</f>
        <v>0</v>
      </c>
      <c r="U4" s="22">
        <v>1</v>
      </c>
      <c r="V4" s="77" t="s">
        <v>13</v>
      </c>
      <c r="W4" s="78">
        <f>VLOOKUP(V4,KamiBox!$C$2:$F$58,4,0)</f>
        <v>1500</v>
      </c>
      <c r="X4" s="79">
        <f t="shared" ref="X4:X6" si="0">SUMIF($B$3:$B$346,V4,$C$3:$C$346)</f>
        <v>18.5</v>
      </c>
      <c r="Y4" s="78">
        <f>W4*X4</f>
        <v>27750</v>
      </c>
    </row>
    <row r="5" spans="1:25" x14ac:dyDescent="0.35">
      <c r="A5" s="13" t="s">
        <v>413</v>
      </c>
      <c r="B5" s="13" t="s">
        <v>18</v>
      </c>
      <c r="C5" s="43">
        <v>2.95</v>
      </c>
      <c r="D5" s="13">
        <v>150</v>
      </c>
      <c r="E5" s="13">
        <v>443</v>
      </c>
      <c r="G5" s="14" t="s">
        <v>387</v>
      </c>
      <c r="H5" s="29">
        <v>10.050000000000001</v>
      </c>
      <c r="I5" s="19">
        <v>20928</v>
      </c>
      <c r="K5" s="14" t="s">
        <v>15</v>
      </c>
      <c r="L5">
        <v>17.25</v>
      </c>
      <c r="O5" s="22">
        <v>2</v>
      </c>
      <c r="P5" s="24" t="s">
        <v>9</v>
      </c>
      <c r="Q5" s="25">
        <f>VLOOKUP(P5,KamiBox!$C$2:$F$58,4,0)</f>
        <v>9000</v>
      </c>
      <c r="R5" s="26">
        <f>SUMIF($B$3:$B$332,P5,$C$3:$C$332)</f>
        <v>0</v>
      </c>
      <c r="S5" s="25">
        <f t="shared" ref="S5:S59" si="1">Q5*R5</f>
        <v>0</v>
      </c>
      <c r="U5" s="22">
        <v>2</v>
      </c>
      <c r="V5" s="77" t="s">
        <v>54</v>
      </c>
      <c r="W5" s="78">
        <v>1700</v>
      </c>
      <c r="X5" s="79">
        <f t="shared" si="0"/>
        <v>0.5</v>
      </c>
      <c r="Y5" s="78">
        <f>W5*X5</f>
        <v>850</v>
      </c>
    </row>
    <row r="6" spans="1:25" x14ac:dyDescent="0.35">
      <c r="A6" s="13" t="s">
        <v>413</v>
      </c>
      <c r="B6" s="13" t="s">
        <v>26</v>
      </c>
      <c r="C6" s="43">
        <v>2.4500000000000002</v>
      </c>
      <c r="D6" s="13">
        <v>1000</v>
      </c>
      <c r="E6" s="13">
        <v>2450</v>
      </c>
      <c r="G6" s="14" t="s">
        <v>327</v>
      </c>
      <c r="H6" s="29">
        <v>7.3999999999999995</v>
      </c>
      <c r="I6" s="19">
        <v>8985</v>
      </c>
      <c r="K6" s="14" t="s">
        <v>18</v>
      </c>
      <c r="L6">
        <v>29.3</v>
      </c>
      <c r="O6" s="22">
        <v>3</v>
      </c>
      <c r="P6" t="s">
        <v>10</v>
      </c>
      <c r="Q6" s="25">
        <f>VLOOKUP(P6,KamiBox!$C$2:$F$58,4,0)</f>
        <v>4000</v>
      </c>
      <c r="R6" s="26">
        <f>SUMIF($B$3:$B$332,P6,$C$3:$C$332)</f>
        <v>0</v>
      </c>
      <c r="S6" s="25">
        <f t="shared" si="1"/>
        <v>0</v>
      </c>
      <c r="U6" s="22">
        <v>3</v>
      </c>
      <c r="V6" s="77" t="s">
        <v>266</v>
      </c>
      <c r="W6" s="78">
        <v>1700</v>
      </c>
      <c r="X6" s="79">
        <f t="shared" si="0"/>
        <v>0.35</v>
      </c>
      <c r="Y6" s="78">
        <f>W6*X6</f>
        <v>595</v>
      </c>
    </row>
    <row r="7" spans="1:25" x14ac:dyDescent="0.35">
      <c r="A7" s="13" t="s">
        <v>328</v>
      </c>
      <c r="B7" s="13" t="s">
        <v>94</v>
      </c>
      <c r="C7" s="43">
        <v>1</v>
      </c>
      <c r="D7" s="13">
        <v>2800</v>
      </c>
      <c r="E7" s="13">
        <v>2800</v>
      </c>
      <c r="G7" s="14" t="s">
        <v>361</v>
      </c>
      <c r="H7" s="29">
        <v>37.150000000000006</v>
      </c>
      <c r="I7" s="19">
        <v>33875</v>
      </c>
      <c r="K7" s="14" t="s">
        <v>94</v>
      </c>
      <c r="L7">
        <v>52.45000000000001</v>
      </c>
      <c r="O7" s="22">
        <v>4</v>
      </c>
      <c r="P7" s="24" t="s">
        <v>11</v>
      </c>
      <c r="Q7" s="25">
        <f>VLOOKUP(P7,KamiBox!$C$2:$F$58,4,0)</f>
        <v>10000</v>
      </c>
      <c r="R7" s="26">
        <v>0.2</v>
      </c>
      <c r="S7" s="25">
        <f t="shared" si="1"/>
        <v>2000</v>
      </c>
      <c r="U7" s="22"/>
      <c r="V7" s="86" t="s">
        <v>135</v>
      </c>
      <c r="W7" s="25"/>
      <c r="X7" s="87">
        <f>SUM(X4:X6)</f>
        <v>19.350000000000001</v>
      </c>
      <c r="Y7" s="88">
        <f>SUM(Y4:Y6)</f>
        <v>29195</v>
      </c>
    </row>
    <row r="8" spans="1:25" x14ac:dyDescent="0.35">
      <c r="A8" s="13" t="s">
        <v>328</v>
      </c>
      <c r="B8" s="13" t="s">
        <v>13</v>
      </c>
      <c r="C8" s="43">
        <v>0.25</v>
      </c>
      <c r="D8" s="13">
        <v>500</v>
      </c>
      <c r="E8" s="13">
        <v>125</v>
      </c>
      <c r="G8" s="14" t="s">
        <v>415</v>
      </c>
      <c r="H8" s="29">
        <v>35</v>
      </c>
      <c r="I8" s="19">
        <v>41830</v>
      </c>
      <c r="K8" s="14" t="s">
        <v>22</v>
      </c>
      <c r="L8">
        <v>6.7000000000000011</v>
      </c>
      <c r="O8" s="22">
        <v>5</v>
      </c>
      <c r="P8" s="24" t="s">
        <v>12</v>
      </c>
      <c r="Q8" s="25">
        <f>VLOOKUP(P8,KamiBox!$C$2:$F$58,4,0)</f>
        <v>1000</v>
      </c>
      <c r="R8" s="26">
        <f>SUMIF($B$3:$B$332,P8,$C$3:$C$332)</f>
        <v>0</v>
      </c>
      <c r="S8" s="25">
        <f t="shared" si="1"/>
        <v>0</v>
      </c>
      <c r="Y8">
        <f>'1-8-26'!X7</f>
        <v>23945.000000000004</v>
      </c>
    </row>
    <row r="9" spans="1:25" x14ac:dyDescent="0.35">
      <c r="A9" s="13" t="s">
        <v>328</v>
      </c>
      <c r="B9" s="13" t="s">
        <v>41</v>
      </c>
      <c r="C9" s="43">
        <v>0.65</v>
      </c>
      <c r="D9" s="13">
        <v>1000</v>
      </c>
      <c r="E9" s="13">
        <v>650</v>
      </c>
      <c r="G9" s="14" t="s">
        <v>365</v>
      </c>
      <c r="H9" s="29">
        <v>18.850000000000001</v>
      </c>
      <c r="I9" s="19">
        <v>34258</v>
      </c>
      <c r="K9" s="14" t="s">
        <v>125</v>
      </c>
      <c r="L9">
        <v>12.5</v>
      </c>
      <c r="O9" s="22">
        <v>6</v>
      </c>
      <c r="P9" s="24" t="s">
        <v>13</v>
      </c>
      <c r="Q9" s="25"/>
      <c r="R9" s="26"/>
      <c r="S9" s="25">
        <f t="shared" si="1"/>
        <v>0</v>
      </c>
    </row>
    <row r="10" spans="1:25" x14ac:dyDescent="0.35">
      <c r="A10" s="13" t="s">
        <v>328</v>
      </c>
      <c r="B10" s="13" t="s">
        <v>25</v>
      </c>
      <c r="C10" s="43">
        <v>1.3</v>
      </c>
      <c r="D10" s="13">
        <v>1000</v>
      </c>
      <c r="E10" s="13">
        <v>1300</v>
      </c>
      <c r="G10" s="14" t="s">
        <v>345</v>
      </c>
      <c r="H10" s="29">
        <v>41.8</v>
      </c>
      <c r="I10" s="19">
        <v>66643</v>
      </c>
      <c r="K10" s="14" t="s">
        <v>25</v>
      </c>
      <c r="L10">
        <v>69.500000000000014</v>
      </c>
      <c r="O10" s="22">
        <v>7</v>
      </c>
      <c r="P10" s="24" t="s">
        <v>15</v>
      </c>
      <c r="Q10" s="25">
        <f>VLOOKUP(P10,KamiBox!$C$2:$F$58,4,0)</f>
        <v>4000</v>
      </c>
      <c r="R10" s="26">
        <f t="shared" ref="R10:R15" si="2">SUMIF($B$3:$B$332,P10,$C$3:$C$332)</f>
        <v>17.25</v>
      </c>
      <c r="S10" s="25">
        <f t="shared" si="1"/>
        <v>69000</v>
      </c>
    </row>
    <row r="11" spans="1:25" x14ac:dyDescent="0.35">
      <c r="A11" s="13" t="s">
        <v>328</v>
      </c>
      <c r="B11" s="13" t="s">
        <v>51</v>
      </c>
      <c r="C11" s="43">
        <v>0.45</v>
      </c>
      <c r="D11" s="13">
        <v>500</v>
      </c>
      <c r="E11" s="13">
        <v>225</v>
      </c>
      <c r="G11" s="14" t="s">
        <v>385</v>
      </c>
      <c r="H11" s="29">
        <v>5.9999999999999991</v>
      </c>
      <c r="I11" s="19">
        <v>6050</v>
      </c>
      <c r="K11" s="14" t="s">
        <v>26</v>
      </c>
      <c r="L11">
        <v>50.399999999999991</v>
      </c>
      <c r="O11" s="22">
        <v>8</v>
      </c>
      <c r="P11" s="24" t="s">
        <v>16</v>
      </c>
      <c r="Q11" s="25">
        <f>VLOOKUP(P11,KamiBox!$C$2:$F$58,4,0)</f>
        <v>400</v>
      </c>
      <c r="R11" s="26">
        <f t="shared" si="2"/>
        <v>0</v>
      </c>
      <c r="S11" s="25">
        <f t="shared" si="1"/>
        <v>0</v>
      </c>
    </row>
    <row r="12" spans="1:25" x14ac:dyDescent="0.35">
      <c r="A12" s="13" t="s">
        <v>328</v>
      </c>
      <c r="B12" s="13" t="s">
        <v>61</v>
      </c>
      <c r="C12" s="43">
        <v>0.1</v>
      </c>
      <c r="D12" s="13">
        <v>3500</v>
      </c>
      <c r="E12" s="13">
        <v>350</v>
      </c>
      <c r="G12" s="14" t="s">
        <v>324</v>
      </c>
      <c r="H12" s="29">
        <v>2.4500000000000002</v>
      </c>
      <c r="I12" s="19">
        <v>3045</v>
      </c>
      <c r="K12" s="14" t="s">
        <v>128</v>
      </c>
      <c r="L12">
        <v>2.5</v>
      </c>
      <c r="O12" s="22">
        <v>9</v>
      </c>
      <c r="P12" s="24" t="s">
        <v>17</v>
      </c>
      <c r="Q12" s="25">
        <f>VLOOKUP(P12,KamiBox!$C$2:$F$58,4,0)</f>
        <v>100</v>
      </c>
      <c r="R12" s="26">
        <f t="shared" si="2"/>
        <v>0</v>
      </c>
      <c r="S12" s="25">
        <f t="shared" si="1"/>
        <v>0</v>
      </c>
    </row>
    <row r="13" spans="1:25" x14ac:dyDescent="0.35">
      <c r="A13" s="13" t="s">
        <v>328</v>
      </c>
      <c r="B13" s="13" t="s">
        <v>18</v>
      </c>
      <c r="C13" s="43">
        <v>0.55000000000000004</v>
      </c>
      <c r="D13" s="13">
        <v>150</v>
      </c>
      <c r="E13" s="13">
        <v>83</v>
      </c>
      <c r="G13" s="14" t="s">
        <v>417</v>
      </c>
      <c r="H13" s="29">
        <v>3.6</v>
      </c>
      <c r="I13" s="19">
        <v>5803</v>
      </c>
      <c r="K13" s="14" t="s">
        <v>29</v>
      </c>
      <c r="L13">
        <v>2.2000000000000002</v>
      </c>
      <c r="O13" s="22">
        <v>10</v>
      </c>
      <c r="P13" s="24" t="s">
        <v>18</v>
      </c>
      <c r="Q13" s="25">
        <f>VLOOKUP(P13,KamiBox!$C$2:$F$58,4,0)</f>
        <v>200</v>
      </c>
      <c r="R13" s="26">
        <f t="shared" si="2"/>
        <v>29.3</v>
      </c>
      <c r="S13" s="25">
        <f t="shared" si="1"/>
        <v>5860</v>
      </c>
    </row>
    <row r="14" spans="1:25" x14ac:dyDescent="0.35">
      <c r="A14" s="13" t="s">
        <v>328</v>
      </c>
      <c r="B14" s="13" t="s">
        <v>39</v>
      </c>
      <c r="C14" s="43">
        <v>0.6</v>
      </c>
      <c r="D14" s="13">
        <v>1500</v>
      </c>
      <c r="E14" s="13">
        <v>900</v>
      </c>
      <c r="G14" s="14" t="s">
        <v>386</v>
      </c>
      <c r="H14" s="29">
        <v>29.450000000000006</v>
      </c>
      <c r="I14" s="19">
        <v>60998</v>
      </c>
      <c r="K14" s="14" t="s">
        <v>100</v>
      </c>
      <c r="L14">
        <v>35</v>
      </c>
      <c r="O14" s="22">
        <v>11</v>
      </c>
      <c r="P14" s="24" t="s">
        <v>19</v>
      </c>
      <c r="Q14" s="25">
        <f>VLOOKUP(P14,KamiBox!$C$2:$F$58,4,0)</f>
        <v>100</v>
      </c>
      <c r="R14" s="26">
        <f t="shared" si="2"/>
        <v>0</v>
      </c>
      <c r="S14" s="25">
        <f t="shared" si="1"/>
        <v>0</v>
      </c>
    </row>
    <row r="15" spans="1:25" x14ac:dyDescent="0.35">
      <c r="A15" s="13" t="s">
        <v>328</v>
      </c>
      <c r="B15" s="13" t="s">
        <v>53</v>
      </c>
      <c r="C15" s="43">
        <v>0.65</v>
      </c>
      <c r="D15" s="13">
        <v>300</v>
      </c>
      <c r="E15" s="13">
        <v>195</v>
      </c>
      <c r="G15" s="14" t="s">
        <v>337</v>
      </c>
      <c r="H15" s="29">
        <v>10.85</v>
      </c>
      <c r="I15" s="19">
        <v>11120</v>
      </c>
      <c r="K15" s="14" t="s">
        <v>34</v>
      </c>
      <c r="L15">
        <v>28.8</v>
      </c>
      <c r="O15" s="22">
        <v>12</v>
      </c>
      <c r="P15" s="24" t="s">
        <v>20</v>
      </c>
      <c r="Q15" s="25">
        <f>VLOOKUP(P15,KamiBox!$C$2:$F$58,4,0)</f>
        <v>800</v>
      </c>
      <c r="R15" s="26">
        <f t="shared" si="2"/>
        <v>0</v>
      </c>
      <c r="S15" s="25">
        <f t="shared" si="1"/>
        <v>0</v>
      </c>
    </row>
    <row r="16" spans="1:25" x14ac:dyDescent="0.35">
      <c r="A16" s="13" t="s">
        <v>366</v>
      </c>
      <c r="B16" s="13" t="s">
        <v>26</v>
      </c>
      <c r="C16" s="43">
        <v>22.95</v>
      </c>
      <c r="D16" s="13">
        <v>1000</v>
      </c>
      <c r="E16" s="13">
        <v>22950</v>
      </c>
      <c r="G16" s="14" t="s">
        <v>344</v>
      </c>
      <c r="H16" s="29">
        <v>2.7</v>
      </c>
      <c r="I16" s="19">
        <v>2730</v>
      </c>
      <c r="K16" s="14" t="s">
        <v>39</v>
      </c>
      <c r="L16">
        <v>9.7000000000000011</v>
      </c>
      <c r="O16" s="22">
        <v>13</v>
      </c>
      <c r="P16" s="24" t="s">
        <v>94</v>
      </c>
      <c r="Q16" s="25">
        <f>VLOOKUP(P16,KamiBox!$C$2:$F$58,4,0)</f>
        <v>5000</v>
      </c>
      <c r="R16" s="26">
        <f>SUMIF($B$3:$B$332,P16,$C$3:$C$332)+4</f>
        <v>56.45000000000001</v>
      </c>
      <c r="S16" s="25">
        <f t="shared" si="1"/>
        <v>282250.00000000006</v>
      </c>
    </row>
    <row r="17" spans="1:19" x14ac:dyDescent="0.35">
      <c r="A17" s="13" t="s">
        <v>384</v>
      </c>
      <c r="B17" s="13" t="s">
        <v>125</v>
      </c>
      <c r="C17" s="43">
        <v>5</v>
      </c>
      <c r="D17" s="13">
        <v>800</v>
      </c>
      <c r="E17" s="13">
        <v>4000</v>
      </c>
      <c r="G17" s="14" t="s">
        <v>358</v>
      </c>
      <c r="H17" s="29">
        <v>13.799999999999999</v>
      </c>
      <c r="I17" s="19">
        <v>13715</v>
      </c>
      <c r="K17" s="14" t="s">
        <v>41</v>
      </c>
      <c r="L17">
        <v>167.54999999999998</v>
      </c>
      <c r="O17" s="22">
        <v>14</v>
      </c>
      <c r="P17" s="24" t="s">
        <v>22</v>
      </c>
      <c r="Q17" s="25">
        <f>VLOOKUP(P17,KamiBox!$C$2:$F$58,4,0)</f>
        <v>2500</v>
      </c>
      <c r="R17" s="26">
        <f>SUMIF($B$3:$B$332,P17,$C$3:$C$332)</f>
        <v>6.7000000000000011</v>
      </c>
      <c r="S17" s="25">
        <f t="shared" si="1"/>
        <v>16750.000000000004</v>
      </c>
    </row>
    <row r="18" spans="1:19" x14ac:dyDescent="0.35">
      <c r="A18" s="13" t="s">
        <v>384</v>
      </c>
      <c r="B18" s="13" t="s">
        <v>25</v>
      </c>
      <c r="C18" s="43">
        <v>1.25</v>
      </c>
      <c r="D18" s="13">
        <v>1000</v>
      </c>
      <c r="E18" s="13">
        <v>1250</v>
      </c>
      <c r="G18" s="14" t="s">
        <v>416</v>
      </c>
      <c r="H18" s="29">
        <v>4.3499999999999996</v>
      </c>
      <c r="I18" s="19">
        <v>5335</v>
      </c>
      <c r="K18" s="14" t="s">
        <v>263</v>
      </c>
      <c r="L18">
        <v>0.1</v>
      </c>
      <c r="O18" s="22">
        <v>15</v>
      </c>
      <c r="P18" s="24" t="s">
        <v>23</v>
      </c>
      <c r="Q18" s="25">
        <f>VLOOKUP(P18,KamiBox!$C$2:$F$58,4,0)</f>
        <v>1000</v>
      </c>
      <c r="R18" s="26">
        <f>SUMIF($B$3:$B$332,P18,$C$3:$C$332)</f>
        <v>0</v>
      </c>
      <c r="S18" s="25">
        <f t="shared" si="1"/>
        <v>0</v>
      </c>
    </row>
    <row r="19" spans="1:19" x14ac:dyDescent="0.35">
      <c r="A19" s="13" t="s">
        <v>384</v>
      </c>
      <c r="B19" s="13" t="s">
        <v>26</v>
      </c>
      <c r="C19" s="43">
        <v>1.25</v>
      </c>
      <c r="D19" s="13">
        <v>1000</v>
      </c>
      <c r="E19" s="13">
        <v>1250</v>
      </c>
      <c r="G19" s="14" t="s">
        <v>336</v>
      </c>
      <c r="H19" s="29">
        <v>3.65</v>
      </c>
      <c r="I19" s="19">
        <v>4685</v>
      </c>
      <c r="K19" s="14" t="s">
        <v>51</v>
      </c>
      <c r="L19">
        <v>41.5</v>
      </c>
      <c r="O19" s="22">
        <v>16</v>
      </c>
      <c r="P19" s="24" t="s">
        <v>125</v>
      </c>
      <c r="Q19" s="25">
        <f>VLOOKUP(P19,KamiBox!$C$2:$F$58,4,0)</f>
        <v>1000</v>
      </c>
      <c r="R19" s="26">
        <f>SUMIF($B$3:$B$332,P19,$C$3:$C$332)</f>
        <v>12.5</v>
      </c>
      <c r="S19" s="25">
        <f t="shared" si="1"/>
        <v>12500</v>
      </c>
    </row>
    <row r="20" spans="1:19" x14ac:dyDescent="0.35">
      <c r="A20" s="13" t="s">
        <v>350</v>
      </c>
      <c r="B20" s="13" t="s">
        <v>25</v>
      </c>
      <c r="C20" s="43">
        <v>0.15</v>
      </c>
      <c r="D20" s="13">
        <v>1000</v>
      </c>
      <c r="E20" s="13">
        <v>150</v>
      </c>
      <c r="G20" s="14" t="s">
        <v>323</v>
      </c>
      <c r="H20" s="29">
        <v>4.4000000000000004</v>
      </c>
      <c r="I20" s="19">
        <v>3370</v>
      </c>
      <c r="K20" s="14" t="s">
        <v>53</v>
      </c>
      <c r="L20">
        <v>69.149999999999991</v>
      </c>
      <c r="O20" s="22">
        <v>17</v>
      </c>
      <c r="P20" s="24" t="s">
        <v>25</v>
      </c>
      <c r="Q20" s="25">
        <f>VLOOKUP(P20,KamiBox!$C$2:$F$58,4,0)</f>
        <v>1200</v>
      </c>
      <c r="R20" s="26">
        <f>SUMIF($B$3:$B$332,P20,$C$3:$C$332)+0.2</f>
        <v>69.700000000000017</v>
      </c>
      <c r="S20" s="25">
        <f t="shared" si="1"/>
        <v>83640.000000000015</v>
      </c>
    </row>
    <row r="21" spans="1:19" x14ac:dyDescent="0.35">
      <c r="A21" s="13" t="s">
        <v>350</v>
      </c>
      <c r="B21" s="13" t="s">
        <v>18</v>
      </c>
      <c r="C21" s="43">
        <v>1.1499999999999999</v>
      </c>
      <c r="D21" s="13">
        <v>150</v>
      </c>
      <c r="E21" s="13">
        <v>173</v>
      </c>
      <c r="G21" s="14" t="s">
        <v>401</v>
      </c>
      <c r="H21" s="29">
        <v>11.799999999999999</v>
      </c>
      <c r="I21" s="19">
        <v>11105</v>
      </c>
      <c r="K21" s="14" t="s">
        <v>54</v>
      </c>
      <c r="L21">
        <v>0.5</v>
      </c>
      <c r="O21" s="22">
        <v>18</v>
      </c>
      <c r="P21" s="24" t="s">
        <v>26</v>
      </c>
      <c r="Q21" s="25">
        <f>VLOOKUP(P21,KamiBox!$C$2:$F$58,4,0)</f>
        <v>1000</v>
      </c>
      <c r="R21" s="26">
        <f>SUMIF($B$3:$B$332,P21,$C$3:$C$332)+2</f>
        <v>52.399999999999991</v>
      </c>
      <c r="S21" s="25">
        <f t="shared" si="1"/>
        <v>52399.999999999993</v>
      </c>
    </row>
    <row r="22" spans="1:19" x14ac:dyDescent="0.35">
      <c r="A22" s="13" t="s">
        <v>350</v>
      </c>
      <c r="B22" s="13" t="s">
        <v>51</v>
      </c>
      <c r="C22" s="43">
        <v>1.25</v>
      </c>
      <c r="D22" s="13">
        <v>500</v>
      </c>
      <c r="E22" s="13">
        <v>625</v>
      </c>
      <c r="G22" s="14" t="s">
        <v>364</v>
      </c>
      <c r="H22" s="29">
        <v>15.4</v>
      </c>
      <c r="I22" s="19">
        <v>34440</v>
      </c>
      <c r="K22" s="14" t="s">
        <v>266</v>
      </c>
      <c r="L22">
        <v>0.35</v>
      </c>
      <c r="O22" s="22">
        <v>19</v>
      </c>
      <c r="P22" s="24" t="s">
        <v>27</v>
      </c>
      <c r="Q22" s="25">
        <f>VLOOKUP(P22,KamiBox!$C$2:$F$58,4,0)</f>
        <v>3000</v>
      </c>
      <c r="R22" s="26">
        <f>SUMIF($B$3:$B$332,P22,$C$3:$C$332)</f>
        <v>0</v>
      </c>
      <c r="S22" s="25">
        <f t="shared" si="1"/>
        <v>0</v>
      </c>
    </row>
    <row r="23" spans="1:19" x14ac:dyDescent="0.35">
      <c r="A23" s="13" t="s">
        <v>350</v>
      </c>
      <c r="B23" s="13" t="s">
        <v>94</v>
      </c>
      <c r="C23" s="43">
        <v>0.55000000000000004</v>
      </c>
      <c r="D23" s="13">
        <v>2800</v>
      </c>
      <c r="E23" s="13">
        <v>1540</v>
      </c>
      <c r="G23" s="14" t="s">
        <v>341</v>
      </c>
      <c r="H23" s="29">
        <v>21.549999999999997</v>
      </c>
      <c r="I23" s="19">
        <v>26550</v>
      </c>
      <c r="K23" s="14" t="s">
        <v>126</v>
      </c>
      <c r="L23">
        <v>2.5999999999999996</v>
      </c>
      <c r="O23" s="22">
        <v>20</v>
      </c>
      <c r="P23" s="24" t="s">
        <v>28</v>
      </c>
      <c r="Q23" s="25">
        <f>VLOOKUP(P23,KamiBox!$C$2:$F$58,4,0)</f>
        <v>4000</v>
      </c>
      <c r="R23" s="26">
        <v>2.5</v>
      </c>
      <c r="S23" s="25">
        <f t="shared" si="1"/>
        <v>10000</v>
      </c>
    </row>
    <row r="24" spans="1:19" x14ac:dyDescent="0.35">
      <c r="A24" s="13" t="s">
        <v>350</v>
      </c>
      <c r="B24" s="13" t="s">
        <v>53</v>
      </c>
      <c r="C24" s="43">
        <v>0.1</v>
      </c>
      <c r="D24" s="13">
        <v>300</v>
      </c>
      <c r="E24" s="13">
        <v>30</v>
      </c>
      <c r="G24" s="14" t="s">
        <v>350</v>
      </c>
      <c r="H24" s="29">
        <v>3.3499999999999996</v>
      </c>
      <c r="I24" s="19">
        <v>2593</v>
      </c>
      <c r="K24" s="14" t="s">
        <v>60</v>
      </c>
      <c r="L24">
        <v>5.6999999999999993</v>
      </c>
      <c r="O24" s="22">
        <v>21</v>
      </c>
      <c r="P24" s="24" t="s">
        <v>29</v>
      </c>
      <c r="Q24" s="25">
        <f>VLOOKUP(P24,KamiBox!$C$2:$F$58,4,0)</f>
        <v>2000</v>
      </c>
      <c r="R24" s="26">
        <f>SUMIF($B$3:$B$332,P24,$C$3:$C$332)</f>
        <v>2.2000000000000002</v>
      </c>
      <c r="S24" s="25">
        <f t="shared" si="1"/>
        <v>4400</v>
      </c>
    </row>
    <row r="25" spans="1:19" x14ac:dyDescent="0.35">
      <c r="A25" s="13" t="s">
        <v>350</v>
      </c>
      <c r="B25" s="13" t="s">
        <v>13</v>
      </c>
      <c r="C25" s="43">
        <v>0.15</v>
      </c>
      <c r="D25" s="13">
        <v>500</v>
      </c>
      <c r="E25" s="13">
        <v>75</v>
      </c>
      <c r="G25" s="14" t="s">
        <v>363</v>
      </c>
      <c r="H25" s="29">
        <v>6.45</v>
      </c>
      <c r="I25" s="19">
        <v>5830</v>
      </c>
      <c r="K25" s="14" t="s">
        <v>61</v>
      </c>
      <c r="L25">
        <v>0.95000000000000007</v>
      </c>
      <c r="O25" s="22">
        <v>22</v>
      </c>
      <c r="P25" s="24" t="s">
        <v>30</v>
      </c>
      <c r="Q25" s="25">
        <f>VLOOKUP(P25,KamiBox!$C$2:$F$58,4,0)</f>
        <v>5000</v>
      </c>
      <c r="R25" s="26">
        <f>SUMIF($B$3:$B$332,P25,$C$3:$C$332)</f>
        <v>0</v>
      </c>
      <c r="S25" s="25">
        <f t="shared" si="1"/>
        <v>0</v>
      </c>
    </row>
    <row r="26" spans="1:19" x14ac:dyDescent="0.35">
      <c r="A26" s="13" t="s">
        <v>336</v>
      </c>
      <c r="B26" s="13" t="s">
        <v>25</v>
      </c>
      <c r="C26" s="43">
        <v>0.85</v>
      </c>
      <c r="D26" s="13">
        <v>1000</v>
      </c>
      <c r="E26" s="13">
        <v>850</v>
      </c>
      <c r="G26" s="14" t="s">
        <v>400</v>
      </c>
      <c r="H26" s="29">
        <v>7.3500000000000005</v>
      </c>
      <c r="I26" s="19">
        <v>8195</v>
      </c>
      <c r="K26" s="14" t="s">
        <v>63</v>
      </c>
      <c r="L26">
        <v>0.2</v>
      </c>
      <c r="M26" t="s">
        <v>418</v>
      </c>
      <c r="O26" s="22">
        <v>23</v>
      </c>
      <c r="P26" s="24" t="s">
        <v>100</v>
      </c>
      <c r="Q26" s="25">
        <f>VLOOKUP(P26,KamiBox!$C$2:$F$58,4,0)</f>
        <v>2000</v>
      </c>
      <c r="R26" s="26">
        <f>SUMIF($B$3:$B$332,P26,$C$3:$C$332)</f>
        <v>35</v>
      </c>
      <c r="S26" s="25">
        <f t="shared" si="1"/>
        <v>70000</v>
      </c>
    </row>
    <row r="27" spans="1:19" x14ac:dyDescent="0.35">
      <c r="A27" s="13" t="s">
        <v>336</v>
      </c>
      <c r="B27" s="13" t="s">
        <v>51</v>
      </c>
      <c r="C27" s="43">
        <v>0.5</v>
      </c>
      <c r="D27" s="13">
        <v>500</v>
      </c>
      <c r="E27" s="13">
        <v>250</v>
      </c>
      <c r="G27" s="14" t="s">
        <v>348</v>
      </c>
      <c r="H27" s="29">
        <v>17.400000000000002</v>
      </c>
      <c r="I27" s="19">
        <v>25025</v>
      </c>
      <c r="K27" s="14" t="s">
        <v>124</v>
      </c>
      <c r="L27">
        <v>623.60000000000014</v>
      </c>
      <c r="O27" s="22">
        <v>24</v>
      </c>
      <c r="P27" s="24" t="s">
        <v>33</v>
      </c>
      <c r="Q27" s="25">
        <f>VLOOKUP(P27,KamiBox!$C$2:$F$58,4,0)</f>
        <v>700</v>
      </c>
      <c r="R27" s="26">
        <f>SUMIF($B$3:$B$332,P27,$C$3:$C$332)</f>
        <v>0</v>
      </c>
      <c r="S27" s="25">
        <f t="shared" si="1"/>
        <v>0</v>
      </c>
    </row>
    <row r="28" spans="1:19" x14ac:dyDescent="0.35">
      <c r="A28" s="13" t="s">
        <v>336</v>
      </c>
      <c r="B28" s="13" t="s">
        <v>26</v>
      </c>
      <c r="C28" s="43">
        <v>0.25</v>
      </c>
      <c r="D28" s="13">
        <v>1000</v>
      </c>
      <c r="E28" s="13">
        <v>250</v>
      </c>
      <c r="G28" s="14" t="s">
        <v>354</v>
      </c>
      <c r="H28" s="29">
        <v>4.95</v>
      </c>
      <c r="I28" s="19">
        <v>5850</v>
      </c>
      <c r="O28" s="22">
        <v>25</v>
      </c>
      <c r="P28" s="24" t="s">
        <v>34</v>
      </c>
      <c r="Q28" s="25">
        <v>7000</v>
      </c>
      <c r="R28" s="26">
        <f>SUMIF($B$3:$B$332,P28,$C$3:$C$332)+42.55</f>
        <v>71.349999999999994</v>
      </c>
      <c r="S28" s="25">
        <f t="shared" si="1"/>
        <v>499449.99999999994</v>
      </c>
    </row>
    <row r="29" spans="1:19" x14ac:dyDescent="0.35">
      <c r="A29" s="13" t="s">
        <v>336</v>
      </c>
      <c r="B29" s="13" t="s">
        <v>53</v>
      </c>
      <c r="C29" s="43">
        <v>0.95</v>
      </c>
      <c r="D29" s="13">
        <v>300</v>
      </c>
      <c r="E29" s="13">
        <v>285</v>
      </c>
      <c r="G29" s="14" t="s">
        <v>326</v>
      </c>
      <c r="H29" s="29">
        <v>13.149999999999999</v>
      </c>
      <c r="I29" s="19">
        <v>19158</v>
      </c>
      <c r="O29" s="22">
        <v>26</v>
      </c>
      <c r="P29" s="24" t="s">
        <v>35</v>
      </c>
      <c r="Q29" s="25">
        <f>VLOOKUP(P29,KamiBox!$C$2:$F$58,4,0)</f>
        <v>1500</v>
      </c>
      <c r="R29" s="26">
        <f>SUMIF($B$3:$B$332,P29,$C$3:$C$332)</f>
        <v>0</v>
      </c>
      <c r="S29" s="25">
        <f t="shared" si="1"/>
        <v>0</v>
      </c>
    </row>
    <row r="30" spans="1:19" x14ac:dyDescent="0.35">
      <c r="A30" s="13" t="s">
        <v>336</v>
      </c>
      <c r="B30" s="13" t="s">
        <v>60</v>
      </c>
      <c r="C30" s="43">
        <v>0.1</v>
      </c>
      <c r="D30" s="13">
        <v>2500</v>
      </c>
      <c r="E30" s="13">
        <v>250</v>
      </c>
      <c r="G30" s="14" t="s">
        <v>340</v>
      </c>
      <c r="H30" s="29">
        <v>32.700000000000003</v>
      </c>
      <c r="I30" s="19">
        <v>50750</v>
      </c>
      <c r="O30" s="22">
        <v>27</v>
      </c>
      <c r="P30" s="24" t="s">
        <v>37</v>
      </c>
      <c r="Q30" s="25">
        <f>VLOOKUP(P30,KamiBox!$C$2:$F$58,4,0)</f>
        <v>2000</v>
      </c>
      <c r="R30" s="26">
        <v>2.6</v>
      </c>
      <c r="S30" s="25">
        <f t="shared" si="1"/>
        <v>5200</v>
      </c>
    </row>
    <row r="31" spans="1:19" x14ac:dyDescent="0.35">
      <c r="A31" s="13" t="s">
        <v>336</v>
      </c>
      <c r="B31" s="13" t="s">
        <v>94</v>
      </c>
      <c r="C31" s="43">
        <v>1</v>
      </c>
      <c r="D31" s="13">
        <v>2800</v>
      </c>
      <c r="E31" s="13">
        <v>2800</v>
      </c>
      <c r="G31" s="14" t="s">
        <v>346</v>
      </c>
      <c r="H31" s="29">
        <v>6.25</v>
      </c>
      <c r="I31" s="19">
        <v>8720</v>
      </c>
      <c r="K31" t="s">
        <v>73</v>
      </c>
      <c r="O31" s="22">
        <v>28</v>
      </c>
      <c r="P31" s="24" t="s">
        <v>38</v>
      </c>
      <c r="Q31" s="25">
        <f>VLOOKUP(P31,KamiBox!$C$2:$F$58,4,0)</f>
        <v>100</v>
      </c>
      <c r="R31" s="26">
        <f t="shared" ref="R31:R46" si="3">SUMIF($B$3:$B$332,P31,$C$3:$C$332)</f>
        <v>0</v>
      </c>
      <c r="S31" s="25">
        <f t="shared" si="1"/>
        <v>0</v>
      </c>
    </row>
    <row r="32" spans="1:19" x14ac:dyDescent="0.35">
      <c r="A32" s="13" t="s">
        <v>345</v>
      </c>
      <c r="B32" s="13" t="s">
        <v>94</v>
      </c>
      <c r="C32" s="43">
        <v>1.5</v>
      </c>
      <c r="D32" s="13">
        <v>2800</v>
      </c>
      <c r="E32" s="13">
        <v>4200</v>
      </c>
      <c r="G32" s="14" t="s">
        <v>359</v>
      </c>
      <c r="H32" s="29">
        <v>7.5500000000000007</v>
      </c>
      <c r="I32" s="19">
        <v>9033</v>
      </c>
      <c r="K32" s="5">
        <f>S60-GETPIVOTDATA("Sum of Total",$G$2)</f>
        <v>721654</v>
      </c>
      <c r="O32" s="22">
        <v>29</v>
      </c>
      <c r="P32" s="24" t="s">
        <v>39</v>
      </c>
      <c r="Q32" s="25">
        <f>VLOOKUP(P32,KamiBox!$C$2:$F$58,4,0)</f>
        <v>2000</v>
      </c>
      <c r="R32" s="26">
        <f t="shared" si="3"/>
        <v>9.7000000000000011</v>
      </c>
      <c r="S32" s="25">
        <f t="shared" si="1"/>
        <v>19400.000000000004</v>
      </c>
    </row>
    <row r="33" spans="1:19" x14ac:dyDescent="0.35">
      <c r="A33" s="13" t="s">
        <v>387</v>
      </c>
      <c r="B33" s="13" t="s">
        <v>39</v>
      </c>
      <c r="C33" s="43">
        <v>0.15</v>
      </c>
      <c r="D33" s="13">
        <v>1500</v>
      </c>
      <c r="E33" s="13">
        <v>225</v>
      </c>
      <c r="G33" s="14" t="s">
        <v>349</v>
      </c>
      <c r="H33" s="29">
        <v>12.55</v>
      </c>
      <c r="I33" s="19">
        <v>13595</v>
      </c>
      <c r="O33" s="22">
        <v>30</v>
      </c>
      <c r="P33" s="24" t="s">
        <v>40</v>
      </c>
      <c r="Q33" s="25">
        <f>VLOOKUP(P33,KamiBox!$C$2:$F$58,4,0)</f>
        <v>1800</v>
      </c>
      <c r="R33" s="26">
        <f t="shared" si="3"/>
        <v>0</v>
      </c>
      <c r="S33" s="25">
        <f t="shared" si="1"/>
        <v>0</v>
      </c>
    </row>
    <row r="34" spans="1:19" x14ac:dyDescent="0.35">
      <c r="A34" s="13" t="s">
        <v>349</v>
      </c>
      <c r="B34" s="13" t="s">
        <v>53</v>
      </c>
      <c r="C34" s="43">
        <v>2.35</v>
      </c>
      <c r="D34" s="13">
        <v>300</v>
      </c>
      <c r="E34" s="13">
        <v>705</v>
      </c>
      <c r="G34" s="14" t="s">
        <v>362</v>
      </c>
      <c r="H34" s="29">
        <v>33.200000000000003</v>
      </c>
      <c r="I34" s="19">
        <v>35595</v>
      </c>
      <c r="O34" s="22">
        <v>31</v>
      </c>
      <c r="P34" s="24" t="s">
        <v>41</v>
      </c>
      <c r="Q34" s="25">
        <f>VLOOKUP(P34,KamiBox!$C$2:$F$58,4,0)</f>
        <v>1800</v>
      </c>
      <c r="R34" s="26">
        <f t="shared" si="3"/>
        <v>167.54999999999998</v>
      </c>
      <c r="S34" s="25">
        <f t="shared" si="1"/>
        <v>301589.99999999994</v>
      </c>
    </row>
    <row r="35" spans="1:19" x14ac:dyDescent="0.35">
      <c r="A35" s="13" t="s">
        <v>386</v>
      </c>
      <c r="B35" s="13" t="s">
        <v>34</v>
      </c>
      <c r="C35" s="43">
        <v>6.85</v>
      </c>
      <c r="D35" s="13">
        <v>5000</v>
      </c>
      <c r="E35" s="13">
        <v>34250</v>
      </c>
      <c r="G35" s="14" t="s">
        <v>360</v>
      </c>
      <c r="H35" s="29">
        <v>3.95</v>
      </c>
      <c r="I35" s="19">
        <v>5760</v>
      </c>
      <c r="O35" s="22">
        <v>32</v>
      </c>
      <c r="P35" s="24" t="s">
        <v>42</v>
      </c>
      <c r="Q35" s="25">
        <f>VLOOKUP(P35,KamiBox!$C$2:$F$58,4,0)</f>
        <v>4000</v>
      </c>
      <c r="R35" s="26">
        <f t="shared" si="3"/>
        <v>0</v>
      </c>
      <c r="S35" s="25">
        <f t="shared" si="1"/>
        <v>0</v>
      </c>
    </row>
    <row r="36" spans="1:19" x14ac:dyDescent="0.35">
      <c r="A36" s="13" t="s">
        <v>386</v>
      </c>
      <c r="B36" s="13" t="s">
        <v>60</v>
      </c>
      <c r="C36" s="43">
        <v>1.65</v>
      </c>
      <c r="D36" s="13">
        <v>2500</v>
      </c>
      <c r="E36" s="13">
        <v>4125</v>
      </c>
      <c r="G36" s="14" t="s">
        <v>343</v>
      </c>
      <c r="H36" s="29">
        <v>11.500000000000002</v>
      </c>
      <c r="I36" s="19">
        <v>32030</v>
      </c>
      <c r="O36" s="47">
        <v>33</v>
      </c>
      <c r="P36" s="91" t="s">
        <v>392</v>
      </c>
      <c r="Q36" s="25">
        <v>20000</v>
      </c>
      <c r="R36" s="26">
        <f t="shared" si="3"/>
        <v>0</v>
      </c>
      <c r="S36" s="25">
        <f t="shared" si="1"/>
        <v>0</v>
      </c>
    </row>
    <row r="37" spans="1:19" x14ac:dyDescent="0.35">
      <c r="A37" s="13" t="s">
        <v>386</v>
      </c>
      <c r="B37" s="13" t="s">
        <v>53</v>
      </c>
      <c r="C37" s="43">
        <v>2.0499999999999998</v>
      </c>
      <c r="D37" s="13">
        <v>300</v>
      </c>
      <c r="E37" s="13">
        <v>615</v>
      </c>
      <c r="G37" s="14" t="s">
        <v>384</v>
      </c>
      <c r="H37" s="29">
        <v>7.5</v>
      </c>
      <c r="I37" s="19">
        <v>6500</v>
      </c>
      <c r="O37" s="22">
        <v>34</v>
      </c>
      <c r="P37" s="24" t="s">
        <v>43</v>
      </c>
      <c r="Q37" s="25">
        <f>VLOOKUP(P37,KamiBox!$C$2:$F$58,4,0)</f>
        <v>60000</v>
      </c>
      <c r="R37" s="26">
        <f t="shared" si="3"/>
        <v>0</v>
      </c>
      <c r="S37" s="25">
        <f t="shared" si="1"/>
        <v>0</v>
      </c>
    </row>
    <row r="38" spans="1:19" x14ac:dyDescent="0.35">
      <c r="A38" s="13" t="s">
        <v>386</v>
      </c>
      <c r="B38" s="13" t="s">
        <v>51</v>
      </c>
      <c r="C38" s="43">
        <v>0.05</v>
      </c>
      <c r="D38" s="13">
        <v>500</v>
      </c>
      <c r="E38" s="13">
        <v>25</v>
      </c>
      <c r="G38" s="14" t="s">
        <v>338</v>
      </c>
      <c r="H38" s="29">
        <v>3.75</v>
      </c>
      <c r="I38" s="19">
        <v>4830</v>
      </c>
      <c r="O38" s="22">
        <v>35</v>
      </c>
      <c r="P38" s="24" t="s">
        <v>44</v>
      </c>
      <c r="Q38" s="25">
        <f>VLOOKUP(P38,KamiBox!$C$2:$F$58,4,0)</f>
        <v>700</v>
      </c>
      <c r="R38" s="26">
        <f t="shared" si="3"/>
        <v>0</v>
      </c>
      <c r="S38" s="25">
        <f t="shared" si="1"/>
        <v>0</v>
      </c>
    </row>
    <row r="39" spans="1:19" x14ac:dyDescent="0.35">
      <c r="A39" s="13" t="s">
        <v>386</v>
      </c>
      <c r="B39" s="13" t="s">
        <v>13</v>
      </c>
      <c r="C39" s="43">
        <v>1.95</v>
      </c>
      <c r="D39" s="13">
        <v>500</v>
      </c>
      <c r="E39" s="13">
        <v>975</v>
      </c>
      <c r="G39" s="14" t="s">
        <v>399</v>
      </c>
      <c r="H39" s="29">
        <v>4.4499999999999993</v>
      </c>
      <c r="I39" s="19">
        <v>2680</v>
      </c>
      <c r="O39" s="22">
        <v>36</v>
      </c>
      <c r="P39" s="24" t="s">
        <v>46</v>
      </c>
      <c r="Q39" s="25">
        <f>VLOOKUP(P39,KamiBox!$C$2:$F$58,4,0)</f>
        <v>4000</v>
      </c>
      <c r="R39" s="26">
        <f t="shared" si="3"/>
        <v>0</v>
      </c>
      <c r="S39" s="25">
        <f t="shared" si="1"/>
        <v>0</v>
      </c>
    </row>
    <row r="40" spans="1:19" x14ac:dyDescent="0.35">
      <c r="A40" s="13" t="s">
        <v>386</v>
      </c>
      <c r="B40" s="13" t="s">
        <v>94</v>
      </c>
      <c r="C40" s="43">
        <v>1.95</v>
      </c>
      <c r="D40" s="13">
        <v>2800</v>
      </c>
      <c r="E40" s="13">
        <v>5460</v>
      </c>
      <c r="G40" s="14" t="s">
        <v>318</v>
      </c>
      <c r="H40" s="29">
        <v>7.45</v>
      </c>
      <c r="I40" s="19">
        <v>15375</v>
      </c>
      <c r="O40" s="22">
        <v>37</v>
      </c>
      <c r="P40" s="24" t="s">
        <v>47</v>
      </c>
      <c r="Q40" s="25">
        <f>VLOOKUP(P40,KamiBox!$C$2:$F$58,4,0)</f>
        <v>50000</v>
      </c>
      <c r="R40" s="26">
        <f t="shared" si="3"/>
        <v>0</v>
      </c>
      <c r="S40" s="25">
        <f t="shared" si="1"/>
        <v>0</v>
      </c>
    </row>
    <row r="41" spans="1:19" x14ac:dyDescent="0.35">
      <c r="A41" s="13" t="s">
        <v>386</v>
      </c>
      <c r="B41" s="13" t="s">
        <v>41</v>
      </c>
      <c r="C41" s="43">
        <v>4.55</v>
      </c>
      <c r="D41" s="13">
        <v>1000</v>
      </c>
      <c r="E41" s="13">
        <v>4550</v>
      </c>
      <c r="G41" s="14" t="s">
        <v>402</v>
      </c>
      <c r="H41" s="29">
        <v>17.600000000000001</v>
      </c>
      <c r="I41" s="19">
        <v>21845</v>
      </c>
      <c r="O41" s="22">
        <v>38</v>
      </c>
      <c r="P41" s="24" t="s">
        <v>48</v>
      </c>
      <c r="Q41" s="25">
        <f>VLOOKUP(P41,KamiBox!$C$2:$F$58,4,0)</f>
        <v>35000</v>
      </c>
      <c r="R41" s="26">
        <f t="shared" si="3"/>
        <v>0</v>
      </c>
      <c r="S41" s="25">
        <f t="shared" si="1"/>
        <v>0</v>
      </c>
    </row>
    <row r="42" spans="1:19" x14ac:dyDescent="0.35">
      <c r="A42" s="13" t="s">
        <v>323</v>
      </c>
      <c r="B42" s="13" t="s">
        <v>53</v>
      </c>
      <c r="C42" s="43">
        <v>0.65</v>
      </c>
      <c r="D42" s="13">
        <v>300</v>
      </c>
      <c r="E42" s="13">
        <v>195</v>
      </c>
      <c r="G42" s="14" t="s">
        <v>356</v>
      </c>
      <c r="H42" s="29">
        <v>48.45000000000001</v>
      </c>
      <c r="I42" s="19">
        <v>52888</v>
      </c>
      <c r="O42" s="22">
        <v>39</v>
      </c>
      <c r="P42" s="24" t="s">
        <v>49</v>
      </c>
      <c r="Q42" s="25">
        <f>VLOOKUP(P42,KamiBox!$C$2:$F$58,4,0)</f>
        <v>50000</v>
      </c>
      <c r="R42" s="26">
        <f t="shared" si="3"/>
        <v>0</v>
      </c>
      <c r="S42" s="25">
        <f t="shared" si="1"/>
        <v>0</v>
      </c>
    </row>
    <row r="43" spans="1:19" x14ac:dyDescent="0.35">
      <c r="A43" s="13" t="s">
        <v>323</v>
      </c>
      <c r="B43" s="13" t="s">
        <v>13</v>
      </c>
      <c r="C43" s="43">
        <v>0.6</v>
      </c>
      <c r="D43" s="13">
        <v>500</v>
      </c>
      <c r="E43" s="13">
        <v>300</v>
      </c>
      <c r="G43" s="14" t="s">
        <v>413</v>
      </c>
      <c r="H43" s="29">
        <v>7.05</v>
      </c>
      <c r="I43" s="19">
        <v>3588</v>
      </c>
      <c r="O43" s="22">
        <v>40</v>
      </c>
      <c r="P43" s="24" t="s">
        <v>50</v>
      </c>
      <c r="Q43" s="25"/>
      <c r="R43" s="26">
        <f t="shared" si="3"/>
        <v>0</v>
      </c>
      <c r="S43" s="25">
        <f t="shared" si="1"/>
        <v>0</v>
      </c>
    </row>
    <row r="44" spans="1:19" x14ac:dyDescent="0.35">
      <c r="A44" s="13" t="s">
        <v>323</v>
      </c>
      <c r="B44" s="13" t="s">
        <v>51</v>
      </c>
      <c r="C44" s="43">
        <v>1.85</v>
      </c>
      <c r="D44" s="13">
        <v>500</v>
      </c>
      <c r="E44" s="13">
        <v>925</v>
      </c>
      <c r="G44" s="14" t="s">
        <v>352</v>
      </c>
      <c r="H44" s="29">
        <v>9.9</v>
      </c>
      <c r="I44" s="19">
        <v>11090</v>
      </c>
      <c r="O44" s="22">
        <v>41</v>
      </c>
      <c r="P44" s="24" t="s">
        <v>51</v>
      </c>
      <c r="Q44" s="25">
        <f>VLOOKUP(P44,KamiBox!$C$2:$F$58,4,0)</f>
        <v>700</v>
      </c>
      <c r="R44" s="26">
        <f t="shared" si="3"/>
        <v>41.5</v>
      </c>
      <c r="S44" s="25">
        <f t="shared" si="1"/>
        <v>29050</v>
      </c>
    </row>
    <row r="45" spans="1:19" x14ac:dyDescent="0.35">
      <c r="A45" s="13" t="s">
        <v>323</v>
      </c>
      <c r="B45" s="13" t="s">
        <v>39</v>
      </c>
      <c r="C45" s="43">
        <v>1.3</v>
      </c>
      <c r="D45" s="13">
        <v>1500</v>
      </c>
      <c r="E45" s="13">
        <v>1950</v>
      </c>
      <c r="G45" s="14" t="s">
        <v>366</v>
      </c>
      <c r="H45" s="29">
        <v>22.95</v>
      </c>
      <c r="I45" s="19">
        <v>22950</v>
      </c>
      <c r="O45" s="22">
        <v>42</v>
      </c>
      <c r="P45" s="24" t="s">
        <v>52</v>
      </c>
      <c r="Q45" s="25"/>
      <c r="R45" s="26">
        <f t="shared" si="3"/>
        <v>0</v>
      </c>
      <c r="S45" s="25">
        <f t="shared" si="1"/>
        <v>0</v>
      </c>
    </row>
    <row r="46" spans="1:19" x14ac:dyDescent="0.35">
      <c r="A46" s="13" t="s">
        <v>351</v>
      </c>
      <c r="B46" s="13" t="s">
        <v>53</v>
      </c>
      <c r="C46" s="43">
        <v>1.3</v>
      </c>
      <c r="D46" s="13">
        <v>300</v>
      </c>
      <c r="E46" s="13">
        <v>390</v>
      </c>
      <c r="G46" s="14" t="s">
        <v>414</v>
      </c>
      <c r="H46" s="29">
        <v>2.15</v>
      </c>
      <c r="I46" s="19">
        <v>2525</v>
      </c>
      <c r="O46" s="22">
        <v>43</v>
      </c>
      <c r="P46" s="24" t="s">
        <v>53</v>
      </c>
      <c r="Q46" s="25">
        <f>VLOOKUP(P46,KamiBox!$C$2:$F$58,4,0)</f>
        <v>500</v>
      </c>
      <c r="R46" s="26">
        <f t="shared" si="3"/>
        <v>69.149999999999991</v>
      </c>
      <c r="S46" s="25">
        <f t="shared" si="1"/>
        <v>34574.999999999993</v>
      </c>
    </row>
    <row r="47" spans="1:19" x14ac:dyDescent="0.35">
      <c r="A47" s="13" t="s">
        <v>351</v>
      </c>
      <c r="B47" s="13" t="s">
        <v>127</v>
      </c>
      <c r="C47" s="43">
        <v>0.15</v>
      </c>
      <c r="D47" s="13">
        <v>8000</v>
      </c>
      <c r="E47" s="13">
        <v>1200</v>
      </c>
      <c r="G47" s="14" t="s">
        <v>328</v>
      </c>
      <c r="H47" s="29">
        <v>5.5500000000000007</v>
      </c>
      <c r="I47" s="19">
        <v>6628</v>
      </c>
      <c r="O47" s="22">
        <v>44</v>
      </c>
      <c r="P47" s="24" t="s">
        <v>54</v>
      </c>
      <c r="Q47" s="25"/>
      <c r="R47" s="26"/>
      <c r="S47" s="25">
        <f t="shared" si="1"/>
        <v>0</v>
      </c>
    </row>
    <row r="48" spans="1:19" x14ac:dyDescent="0.35">
      <c r="A48" s="13" t="s">
        <v>351</v>
      </c>
      <c r="B48" s="13" t="s">
        <v>39</v>
      </c>
      <c r="C48" s="43">
        <v>0.15</v>
      </c>
      <c r="D48" s="13">
        <v>1500</v>
      </c>
      <c r="E48" s="13">
        <v>225</v>
      </c>
      <c r="G48" s="14" t="s">
        <v>351</v>
      </c>
      <c r="H48" s="29">
        <v>10.349999999999998</v>
      </c>
      <c r="I48" s="19">
        <v>7323</v>
      </c>
      <c r="O48" s="22">
        <v>45</v>
      </c>
      <c r="P48" s="24" t="s">
        <v>266</v>
      </c>
      <c r="Q48" s="25"/>
      <c r="R48" s="26"/>
      <c r="S48" s="25">
        <f t="shared" si="1"/>
        <v>0</v>
      </c>
    </row>
    <row r="49" spans="1:19" x14ac:dyDescent="0.35">
      <c r="A49" s="13" t="s">
        <v>351</v>
      </c>
      <c r="B49" s="13" t="s">
        <v>18</v>
      </c>
      <c r="C49" s="43">
        <v>3.55</v>
      </c>
      <c r="D49" s="13">
        <v>150</v>
      </c>
      <c r="E49" s="13">
        <v>533</v>
      </c>
      <c r="G49" s="14" t="s">
        <v>419</v>
      </c>
      <c r="H49" s="29">
        <v>23.5</v>
      </c>
      <c r="I49" s="19">
        <v>8150</v>
      </c>
      <c r="O49" s="22">
        <v>46</v>
      </c>
      <c r="P49" s="24" t="s">
        <v>55</v>
      </c>
      <c r="Q49" s="25">
        <f>VLOOKUP(P49,KamiBox!$C$2:$F$58,4,0)</f>
        <v>900</v>
      </c>
      <c r="R49" s="26">
        <f t="shared" ref="R49:R56" si="4">SUMIF($B$3:$B$332,P49,$C$3:$C$332)</f>
        <v>0</v>
      </c>
      <c r="S49" s="25">
        <f t="shared" si="1"/>
        <v>0</v>
      </c>
    </row>
    <row r="50" spans="1:19" x14ac:dyDescent="0.35">
      <c r="A50" s="13" t="s">
        <v>351</v>
      </c>
      <c r="B50" s="13" t="s">
        <v>25</v>
      </c>
      <c r="C50" s="43">
        <v>2.65</v>
      </c>
      <c r="D50" s="13">
        <v>1000</v>
      </c>
      <c r="E50" s="13">
        <v>2650</v>
      </c>
      <c r="G50" s="14" t="s">
        <v>124</v>
      </c>
      <c r="H50" s="29">
        <v>623.59999999999991</v>
      </c>
      <c r="I50" s="19">
        <v>797906</v>
      </c>
      <c r="O50" s="22">
        <v>46</v>
      </c>
      <c r="P50" s="24" t="s">
        <v>56</v>
      </c>
      <c r="Q50" s="25">
        <f>VLOOKUP(P50,KamiBox!$C$2:$F$58,4,0)</f>
        <v>700</v>
      </c>
      <c r="R50" s="26">
        <f t="shared" si="4"/>
        <v>0</v>
      </c>
      <c r="S50" s="25">
        <f t="shared" si="1"/>
        <v>0</v>
      </c>
    </row>
    <row r="51" spans="1:19" x14ac:dyDescent="0.35">
      <c r="A51" s="13" t="s">
        <v>351</v>
      </c>
      <c r="B51" s="13" t="s">
        <v>41</v>
      </c>
      <c r="C51" s="43">
        <v>2.1</v>
      </c>
      <c r="D51" s="13">
        <v>1000</v>
      </c>
      <c r="E51" s="13">
        <v>2100</v>
      </c>
      <c r="O51" s="22">
        <v>47</v>
      </c>
      <c r="P51" s="24" t="s">
        <v>57</v>
      </c>
      <c r="Q51" s="25">
        <f>VLOOKUP(P51,KamiBox!$C$2:$F$58,4,0)</f>
        <v>400</v>
      </c>
      <c r="R51" s="26">
        <f t="shared" si="4"/>
        <v>0</v>
      </c>
      <c r="S51" s="25">
        <f t="shared" si="1"/>
        <v>0</v>
      </c>
    </row>
    <row r="52" spans="1:19" x14ac:dyDescent="0.35">
      <c r="A52" s="13" t="s">
        <v>351</v>
      </c>
      <c r="B52" s="13" t="s">
        <v>51</v>
      </c>
      <c r="C52" s="43">
        <v>0.45</v>
      </c>
      <c r="D52" s="13">
        <v>500</v>
      </c>
      <c r="E52" s="13">
        <v>225</v>
      </c>
      <c r="O52" s="22">
        <v>48</v>
      </c>
      <c r="P52" s="24" t="s">
        <v>58</v>
      </c>
      <c r="Q52" s="25">
        <f>VLOOKUP(P52,KamiBox!$C$2:$F$58,4,0)</f>
        <v>60000</v>
      </c>
      <c r="R52" s="26">
        <f t="shared" si="4"/>
        <v>0</v>
      </c>
      <c r="S52" s="25">
        <f t="shared" si="1"/>
        <v>0</v>
      </c>
    </row>
    <row r="53" spans="1:19" x14ac:dyDescent="0.35">
      <c r="A53" s="13" t="s">
        <v>386</v>
      </c>
      <c r="B53" s="13" t="s">
        <v>39</v>
      </c>
      <c r="C53" s="43">
        <v>0.35</v>
      </c>
      <c r="D53" s="13">
        <v>1500</v>
      </c>
      <c r="E53" s="13">
        <v>525</v>
      </c>
      <c r="O53" s="22">
        <v>49</v>
      </c>
      <c r="P53" s="24" t="s">
        <v>59</v>
      </c>
      <c r="Q53" s="25">
        <f>VLOOKUP(P53,KamiBox!$C$2:$F$58,4,0)</f>
        <v>150</v>
      </c>
      <c r="R53" s="26">
        <f t="shared" si="4"/>
        <v>0</v>
      </c>
      <c r="S53" s="25">
        <f t="shared" si="1"/>
        <v>0</v>
      </c>
    </row>
    <row r="54" spans="1:19" x14ac:dyDescent="0.35">
      <c r="A54" s="13" t="s">
        <v>414</v>
      </c>
      <c r="B54" s="13" t="s">
        <v>26</v>
      </c>
      <c r="C54" s="43">
        <v>1.9</v>
      </c>
      <c r="D54" s="13">
        <v>1000</v>
      </c>
      <c r="E54" s="13">
        <v>1900</v>
      </c>
      <c r="O54" s="22">
        <v>50</v>
      </c>
      <c r="P54" s="24" t="s">
        <v>60</v>
      </c>
      <c r="Q54" s="25">
        <f>VLOOKUP(P54,KamiBox!$C$2:$F$58,4,0)</f>
        <v>3000</v>
      </c>
      <c r="R54" s="26">
        <f t="shared" si="4"/>
        <v>5.6999999999999993</v>
      </c>
      <c r="S54" s="25">
        <f t="shared" si="1"/>
        <v>17099.999999999996</v>
      </c>
    </row>
    <row r="55" spans="1:19" x14ac:dyDescent="0.35">
      <c r="A55" s="13" t="s">
        <v>414</v>
      </c>
      <c r="B55" s="13" t="s">
        <v>60</v>
      </c>
      <c r="C55" s="43">
        <v>0.25</v>
      </c>
      <c r="D55" s="13">
        <v>2500</v>
      </c>
      <c r="E55" s="13">
        <v>625</v>
      </c>
      <c r="O55" s="22">
        <v>51</v>
      </c>
      <c r="P55" s="24" t="s">
        <v>61</v>
      </c>
      <c r="Q55" s="25">
        <f>VLOOKUP(P55,KamiBox!$C$2:$F$58,4,0)</f>
        <v>4500</v>
      </c>
      <c r="R55" s="26">
        <f t="shared" si="4"/>
        <v>0.95000000000000007</v>
      </c>
      <c r="S55" s="25">
        <f t="shared" si="1"/>
        <v>4275</v>
      </c>
    </row>
    <row r="56" spans="1:19" x14ac:dyDescent="0.35">
      <c r="A56" s="13" t="s">
        <v>324</v>
      </c>
      <c r="B56" s="13" t="s">
        <v>51</v>
      </c>
      <c r="C56" s="43">
        <v>0.5</v>
      </c>
      <c r="D56" s="13">
        <v>500</v>
      </c>
      <c r="E56" s="13">
        <v>250</v>
      </c>
      <c r="O56" s="22">
        <v>52</v>
      </c>
      <c r="P56" s="24" t="s">
        <v>62</v>
      </c>
      <c r="Q56" s="25">
        <f>VLOOKUP(P56,KamiBox!$C$2:$F$58,4,0)</f>
        <v>20000</v>
      </c>
      <c r="R56" s="26">
        <f t="shared" si="4"/>
        <v>0</v>
      </c>
      <c r="S56" s="25">
        <f t="shared" si="1"/>
        <v>0</v>
      </c>
    </row>
    <row r="57" spans="1:19" x14ac:dyDescent="0.35">
      <c r="A57" s="13" t="s">
        <v>324</v>
      </c>
      <c r="B57" s="13" t="s">
        <v>60</v>
      </c>
      <c r="C57" s="43">
        <v>0.1</v>
      </c>
      <c r="D57" s="13">
        <v>2500</v>
      </c>
      <c r="E57" s="13">
        <v>250</v>
      </c>
      <c r="O57" s="22">
        <v>53</v>
      </c>
      <c r="P57" s="24" t="s">
        <v>63</v>
      </c>
      <c r="Q57" s="25">
        <f>VLOOKUP(P57,KamiBox!$C$2:$F$58,4,0)</f>
        <v>1000</v>
      </c>
      <c r="R57" s="26">
        <v>0</v>
      </c>
      <c r="S57" s="25">
        <f t="shared" si="1"/>
        <v>0</v>
      </c>
    </row>
    <row r="58" spans="1:19" x14ac:dyDescent="0.35">
      <c r="A58" s="13" t="s">
        <v>324</v>
      </c>
      <c r="B58" s="13" t="s">
        <v>13</v>
      </c>
      <c r="C58" s="43">
        <v>0.2</v>
      </c>
      <c r="D58" s="13">
        <v>500</v>
      </c>
      <c r="E58" s="13">
        <v>100</v>
      </c>
      <c r="O58" s="22">
        <v>54</v>
      </c>
      <c r="P58" s="24" t="s">
        <v>263</v>
      </c>
      <c r="Q58" s="25">
        <f>VLOOKUP(P58,KamiBox!$C$2:$F$58,4,0)</f>
        <v>1200</v>
      </c>
      <c r="R58" s="26">
        <f>SUMIF($B$3:$B$332,P58,$C$3:$C$332)</f>
        <v>0.1</v>
      </c>
      <c r="S58" s="25">
        <f t="shared" si="1"/>
        <v>120</v>
      </c>
    </row>
    <row r="59" spans="1:19" x14ac:dyDescent="0.35">
      <c r="A59" s="13" t="s">
        <v>324</v>
      </c>
      <c r="B59" s="13" t="s">
        <v>53</v>
      </c>
      <c r="C59" s="43">
        <v>0.15</v>
      </c>
      <c r="D59" s="13">
        <v>300</v>
      </c>
      <c r="E59" s="13">
        <v>45</v>
      </c>
      <c r="O59" s="47">
        <v>55</v>
      </c>
      <c r="P59" s="24" t="s">
        <v>319</v>
      </c>
      <c r="Q59" s="25">
        <f>VLOOKUP(P59,KamiBox!$C$2:$F$58,4,0)</f>
        <v>2000</v>
      </c>
      <c r="R59" s="26">
        <f>SUMIF($B$3:$B$332,P59,$C$3:$C$332)</f>
        <v>0</v>
      </c>
      <c r="S59" s="25">
        <f t="shared" si="1"/>
        <v>0</v>
      </c>
    </row>
    <row r="60" spans="1:19" x14ac:dyDescent="0.35">
      <c r="A60" s="13" t="s">
        <v>324</v>
      </c>
      <c r="B60" s="13" t="s">
        <v>94</v>
      </c>
      <c r="C60" s="43">
        <v>0.5</v>
      </c>
      <c r="D60" s="13">
        <v>2800</v>
      </c>
      <c r="E60" s="13">
        <v>1400</v>
      </c>
      <c r="O60" s="24"/>
      <c r="P60" s="24"/>
      <c r="Q60" s="27" t="s">
        <v>135</v>
      </c>
      <c r="R60" s="27">
        <f>SUM(R4:R59)</f>
        <v>652.80000000000007</v>
      </c>
      <c r="S60" s="28">
        <f>SUM(S6:S59)</f>
        <v>1519560</v>
      </c>
    </row>
    <row r="61" spans="1:19" x14ac:dyDescent="0.35">
      <c r="A61" s="13" t="s">
        <v>324</v>
      </c>
      <c r="B61" s="13" t="s">
        <v>41</v>
      </c>
      <c r="C61" s="43">
        <v>1</v>
      </c>
      <c r="D61" s="13">
        <v>1000</v>
      </c>
      <c r="E61" s="13">
        <v>1000</v>
      </c>
    </row>
    <row r="62" spans="1:19" x14ac:dyDescent="0.35">
      <c r="A62" s="13" t="s">
        <v>344</v>
      </c>
      <c r="B62" s="13" t="s">
        <v>25</v>
      </c>
      <c r="C62" s="43">
        <v>0.4</v>
      </c>
      <c r="D62" s="13">
        <v>1000</v>
      </c>
      <c r="E62" s="13">
        <v>400</v>
      </c>
    </row>
    <row r="63" spans="1:19" x14ac:dyDescent="0.35">
      <c r="A63" s="13" t="s">
        <v>344</v>
      </c>
      <c r="B63" s="13" t="s">
        <v>39</v>
      </c>
      <c r="C63" s="43">
        <v>0.45</v>
      </c>
      <c r="D63" s="13">
        <v>1500</v>
      </c>
      <c r="E63" s="13">
        <v>675</v>
      </c>
    </row>
    <row r="64" spans="1:19" x14ac:dyDescent="0.35">
      <c r="A64" s="13" t="s">
        <v>344</v>
      </c>
      <c r="B64" s="13" t="s">
        <v>94</v>
      </c>
      <c r="C64" s="43">
        <v>0.4</v>
      </c>
      <c r="D64" s="13">
        <v>2800</v>
      </c>
      <c r="E64" s="13">
        <v>1120</v>
      </c>
    </row>
    <row r="65" spans="1:5" x14ac:dyDescent="0.35">
      <c r="A65" s="13" t="s">
        <v>344</v>
      </c>
      <c r="B65" s="13" t="s">
        <v>13</v>
      </c>
      <c r="C65" s="43">
        <v>0.5</v>
      </c>
      <c r="D65" s="13">
        <v>500</v>
      </c>
      <c r="E65" s="13">
        <v>250</v>
      </c>
    </row>
    <row r="66" spans="1:5" x14ac:dyDescent="0.35">
      <c r="A66" s="13" t="s">
        <v>344</v>
      </c>
      <c r="B66" s="13" t="s">
        <v>53</v>
      </c>
      <c r="C66" s="43">
        <v>0.95</v>
      </c>
      <c r="D66" s="13">
        <v>300</v>
      </c>
      <c r="E66" s="13">
        <v>285</v>
      </c>
    </row>
    <row r="67" spans="1:5" x14ac:dyDescent="0.35">
      <c r="A67" s="13" t="s">
        <v>386</v>
      </c>
      <c r="B67" s="13" t="s">
        <v>41</v>
      </c>
      <c r="C67" s="43">
        <v>1.3</v>
      </c>
      <c r="D67" s="13">
        <v>1000</v>
      </c>
      <c r="E67" s="13">
        <v>1300</v>
      </c>
    </row>
    <row r="68" spans="1:5" x14ac:dyDescent="0.35">
      <c r="A68" s="13" t="s">
        <v>386</v>
      </c>
      <c r="B68" s="13" t="s">
        <v>51</v>
      </c>
      <c r="C68" s="43">
        <v>2.2999999999999998</v>
      </c>
      <c r="D68" s="13">
        <v>500</v>
      </c>
      <c r="E68" s="13">
        <v>1150</v>
      </c>
    </row>
    <row r="69" spans="1:5" x14ac:dyDescent="0.35">
      <c r="A69" s="13" t="s">
        <v>386</v>
      </c>
      <c r="B69" s="13" t="s">
        <v>39</v>
      </c>
      <c r="C69" s="43">
        <v>0.1</v>
      </c>
      <c r="D69" s="13">
        <v>1500</v>
      </c>
      <c r="E69" s="13">
        <v>150</v>
      </c>
    </row>
    <row r="70" spans="1:5" x14ac:dyDescent="0.35">
      <c r="A70" s="13" t="s">
        <v>386</v>
      </c>
      <c r="B70" s="13" t="s">
        <v>126</v>
      </c>
      <c r="C70" s="43">
        <v>0.35</v>
      </c>
      <c r="D70" s="13">
        <v>1800</v>
      </c>
      <c r="E70" s="13">
        <v>630</v>
      </c>
    </row>
    <row r="71" spans="1:5" x14ac:dyDescent="0.35">
      <c r="A71" s="13" t="s">
        <v>386</v>
      </c>
      <c r="B71" s="13" t="s">
        <v>18</v>
      </c>
      <c r="C71" s="43">
        <v>1.1499999999999999</v>
      </c>
      <c r="D71" s="13">
        <v>150</v>
      </c>
      <c r="E71" s="13">
        <v>173</v>
      </c>
    </row>
    <row r="72" spans="1:5" x14ac:dyDescent="0.35">
      <c r="A72" s="13" t="s">
        <v>386</v>
      </c>
      <c r="B72" s="13" t="s">
        <v>25</v>
      </c>
      <c r="C72" s="43">
        <v>3.25</v>
      </c>
      <c r="D72" s="13">
        <v>1000</v>
      </c>
      <c r="E72" s="13">
        <v>3250</v>
      </c>
    </row>
    <row r="73" spans="1:5" x14ac:dyDescent="0.35">
      <c r="A73" s="13" t="s">
        <v>386</v>
      </c>
      <c r="B73" s="13" t="s">
        <v>29</v>
      </c>
      <c r="C73" s="43">
        <v>0.55000000000000004</v>
      </c>
      <c r="D73" s="13">
        <v>1600</v>
      </c>
      <c r="E73" s="13">
        <v>880</v>
      </c>
    </row>
    <row r="74" spans="1:5" x14ac:dyDescent="0.35">
      <c r="A74" s="13" t="s">
        <v>386</v>
      </c>
      <c r="B74" s="13" t="s">
        <v>94</v>
      </c>
      <c r="C74" s="43">
        <v>1.05</v>
      </c>
      <c r="D74" s="13">
        <v>2800</v>
      </c>
      <c r="E74" s="13">
        <v>2940</v>
      </c>
    </row>
    <row r="75" spans="1:5" x14ac:dyDescent="0.35">
      <c r="A75" s="13" t="s">
        <v>352</v>
      </c>
      <c r="B75" s="13" t="s">
        <v>25</v>
      </c>
      <c r="C75" s="43">
        <v>2.7</v>
      </c>
      <c r="D75" s="13">
        <v>1000</v>
      </c>
      <c r="E75" s="13">
        <v>2700</v>
      </c>
    </row>
    <row r="76" spans="1:5" x14ac:dyDescent="0.35">
      <c r="A76" s="13" t="s">
        <v>352</v>
      </c>
      <c r="B76" s="13" t="s">
        <v>26</v>
      </c>
      <c r="C76" s="43">
        <v>0.65</v>
      </c>
      <c r="D76" s="13">
        <v>1000</v>
      </c>
      <c r="E76" s="13">
        <v>650</v>
      </c>
    </row>
    <row r="77" spans="1:5" x14ac:dyDescent="0.35">
      <c r="A77" s="13" t="s">
        <v>352</v>
      </c>
      <c r="B77" s="13" t="s">
        <v>13</v>
      </c>
      <c r="C77" s="43">
        <v>0.3</v>
      </c>
      <c r="D77" s="13">
        <v>500</v>
      </c>
      <c r="E77" s="13">
        <v>150</v>
      </c>
    </row>
    <row r="78" spans="1:5" x14ac:dyDescent="0.35">
      <c r="A78" s="13" t="s">
        <v>352</v>
      </c>
      <c r="B78" s="13" t="s">
        <v>53</v>
      </c>
      <c r="C78" s="43">
        <v>0.7</v>
      </c>
      <c r="D78" s="13">
        <v>300</v>
      </c>
      <c r="E78" s="13">
        <v>210</v>
      </c>
    </row>
    <row r="79" spans="1:5" x14ac:dyDescent="0.35">
      <c r="A79" s="13" t="s">
        <v>352</v>
      </c>
      <c r="B79" s="13" t="s">
        <v>94</v>
      </c>
      <c r="C79" s="43">
        <v>1.05</v>
      </c>
      <c r="D79" s="13">
        <v>2800</v>
      </c>
      <c r="E79" s="13">
        <v>2940</v>
      </c>
    </row>
    <row r="80" spans="1:5" x14ac:dyDescent="0.35">
      <c r="A80" s="13" t="s">
        <v>352</v>
      </c>
      <c r="B80" s="13" t="s">
        <v>41</v>
      </c>
      <c r="C80" s="43">
        <v>4.4000000000000004</v>
      </c>
      <c r="D80" s="13">
        <v>1000</v>
      </c>
      <c r="E80" s="13">
        <v>4400</v>
      </c>
    </row>
    <row r="81" spans="1:5" x14ac:dyDescent="0.35">
      <c r="A81" s="13" t="s">
        <v>352</v>
      </c>
      <c r="B81" s="13" t="s">
        <v>263</v>
      </c>
      <c r="C81" s="43">
        <v>0.1</v>
      </c>
      <c r="D81" s="13">
        <v>400</v>
      </c>
      <c r="E81" s="13">
        <v>40</v>
      </c>
    </row>
    <row r="82" spans="1:5" x14ac:dyDescent="0.35">
      <c r="A82" s="13" t="s">
        <v>343</v>
      </c>
      <c r="B82" s="13" t="s">
        <v>34</v>
      </c>
      <c r="C82" s="43">
        <v>5.55</v>
      </c>
      <c r="D82" s="13">
        <v>5000</v>
      </c>
      <c r="E82" s="13">
        <v>27750</v>
      </c>
    </row>
    <row r="83" spans="1:5" x14ac:dyDescent="0.35">
      <c r="A83" s="13" t="s">
        <v>343</v>
      </c>
      <c r="B83" s="13" t="s">
        <v>53</v>
      </c>
      <c r="C83" s="43">
        <v>2.85</v>
      </c>
      <c r="D83" s="13">
        <v>300</v>
      </c>
      <c r="E83" s="13">
        <v>855</v>
      </c>
    </row>
    <row r="84" spans="1:5" x14ac:dyDescent="0.35">
      <c r="A84" s="13" t="s">
        <v>343</v>
      </c>
      <c r="B84" s="13" t="s">
        <v>26</v>
      </c>
      <c r="C84" s="43">
        <v>1.05</v>
      </c>
      <c r="D84" s="13">
        <v>1000</v>
      </c>
      <c r="E84" s="13">
        <v>1050</v>
      </c>
    </row>
    <row r="85" spans="1:5" x14ac:dyDescent="0.35">
      <c r="A85" s="13" t="s">
        <v>343</v>
      </c>
      <c r="B85" s="13" t="s">
        <v>51</v>
      </c>
      <c r="C85" s="43">
        <v>0.4</v>
      </c>
      <c r="D85" s="13">
        <v>500</v>
      </c>
      <c r="E85" s="13">
        <v>200</v>
      </c>
    </row>
    <row r="86" spans="1:5" x14ac:dyDescent="0.35">
      <c r="A86" s="13" t="s">
        <v>343</v>
      </c>
      <c r="B86" s="13" t="s">
        <v>41</v>
      </c>
      <c r="C86" s="43">
        <v>1.3</v>
      </c>
      <c r="D86" s="13">
        <v>1000</v>
      </c>
      <c r="E86" s="13">
        <v>1300</v>
      </c>
    </row>
    <row r="87" spans="1:5" x14ac:dyDescent="0.35">
      <c r="A87" s="13" t="s">
        <v>343</v>
      </c>
      <c r="B87" s="13" t="s">
        <v>60</v>
      </c>
      <c r="C87" s="43">
        <v>0.35</v>
      </c>
      <c r="D87" s="13">
        <v>2500</v>
      </c>
      <c r="E87" s="13">
        <v>875</v>
      </c>
    </row>
    <row r="88" spans="1:5" x14ac:dyDescent="0.35">
      <c r="A88" s="13" t="s">
        <v>338</v>
      </c>
      <c r="B88" s="13" t="s">
        <v>53</v>
      </c>
      <c r="C88" s="43">
        <v>0.9</v>
      </c>
      <c r="D88" s="13">
        <v>300</v>
      </c>
      <c r="E88" s="13">
        <v>270</v>
      </c>
    </row>
    <row r="89" spans="1:5" x14ac:dyDescent="0.35">
      <c r="A89" s="13" t="s">
        <v>338</v>
      </c>
      <c r="B89" s="13" t="s">
        <v>22</v>
      </c>
      <c r="C89" s="43">
        <v>2.85</v>
      </c>
      <c r="D89" s="13">
        <v>1600</v>
      </c>
      <c r="E89" s="13">
        <v>4560</v>
      </c>
    </row>
    <row r="90" spans="1:5" x14ac:dyDescent="0.35">
      <c r="A90" s="13" t="s">
        <v>348</v>
      </c>
      <c r="B90" s="13" t="s">
        <v>41</v>
      </c>
      <c r="C90" s="43">
        <v>12.85</v>
      </c>
      <c r="D90" s="13">
        <v>1000</v>
      </c>
      <c r="E90" s="13">
        <v>12850</v>
      </c>
    </row>
    <row r="91" spans="1:5" x14ac:dyDescent="0.35">
      <c r="A91" s="13" t="s">
        <v>348</v>
      </c>
      <c r="B91" s="13" t="s">
        <v>53</v>
      </c>
      <c r="C91" s="43">
        <v>0.75</v>
      </c>
      <c r="D91" s="13">
        <v>300</v>
      </c>
      <c r="E91" s="13">
        <v>225</v>
      </c>
    </row>
    <row r="92" spans="1:5" x14ac:dyDescent="0.35">
      <c r="A92" s="13" t="s">
        <v>348</v>
      </c>
      <c r="B92" s="13" t="s">
        <v>94</v>
      </c>
      <c r="C92" s="43">
        <v>0.25</v>
      </c>
      <c r="D92" s="13">
        <v>2800</v>
      </c>
      <c r="E92" s="13">
        <v>700</v>
      </c>
    </row>
    <row r="93" spans="1:5" x14ac:dyDescent="0.35">
      <c r="A93" s="13" t="s">
        <v>348</v>
      </c>
      <c r="B93" s="13" t="s">
        <v>34</v>
      </c>
      <c r="C93" s="43">
        <v>1.85</v>
      </c>
      <c r="D93" s="13">
        <v>5000</v>
      </c>
      <c r="E93" s="13">
        <v>9250</v>
      </c>
    </row>
    <row r="94" spans="1:5" x14ac:dyDescent="0.35">
      <c r="A94" s="13" t="s">
        <v>348</v>
      </c>
      <c r="B94" s="13" t="s">
        <v>39</v>
      </c>
      <c r="C94" s="43">
        <v>0.6</v>
      </c>
      <c r="D94" s="13">
        <v>1500</v>
      </c>
      <c r="E94" s="13">
        <v>900</v>
      </c>
    </row>
    <row r="95" spans="1:5" x14ac:dyDescent="0.35">
      <c r="A95" s="13" t="s">
        <v>348</v>
      </c>
      <c r="B95" s="13" t="s">
        <v>25</v>
      </c>
      <c r="C95" s="43">
        <v>1.1000000000000001</v>
      </c>
      <c r="D95" s="13">
        <v>1000</v>
      </c>
      <c r="E95" s="13">
        <v>1100</v>
      </c>
    </row>
    <row r="96" spans="1:5" x14ac:dyDescent="0.35">
      <c r="A96" s="13" t="s">
        <v>333</v>
      </c>
      <c r="B96" s="13" t="s">
        <v>26</v>
      </c>
      <c r="C96" s="43">
        <v>0.3</v>
      </c>
      <c r="D96" s="13">
        <v>1000</v>
      </c>
      <c r="E96" s="13">
        <v>300</v>
      </c>
    </row>
    <row r="97" spans="1:5" x14ac:dyDescent="0.35">
      <c r="A97" s="13" t="s">
        <v>333</v>
      </c>
      <c r="B97" s="13" t="s">
        <v>60</v>
      </c>
      <c r="C97" s="43">
        <v>0.15</v>
      </c>
      <c r="D97" s="13">
        <v>2500</v>
      </c>
      <c r="E97" s="13">
        <v>375</v>
      </c>
    </row>
    <row r="98" spans="1:5" x14ac:dyDescent="0.35">
      <c r="A98" s="13" t="s">
        <v>333</v>
      </c>
      <c r="B98" s="13" t="s">
        <v>41</v>
      </c>
      <c r="C98" s="43">
        <v>0.65</v>
      </c>
      <c r="D98" s="13">
        <v>1000</v>
      </c>
      <c r="E98" s="13">
        <v>650</v>
      </c>
    </row>
    <row r="99" spans="1:5" x14ac:dyDescent="0.35">
      <c r="A99" s="13" t="s">
        <v>333</v>
      </c>
      <c r="B99" s="13" t="s">
        <v>51</v>
      </c>
      <c r="C99" s="43">
        <v>0.9</v>
      </c>
      <c r="D99" s="13">
        <v>500</v>
      </c>
      <c r="E99" s="13">
        <v>450</v>
      </c>
    </row>
    <row r="100" spans="1:5" x14ac:dyDescent="0.35">
      <c r="A100" s="13" t="s">
        <v>333</v>
      </c>
      <c r="B100" s="13" t="s">
        <v>25</v>
      </c>
      <c r="C100" s="43">
        <v>0.8</v>
      </c>
      <c r="D100" s="13">
        <v>1000</v>
      </c>
      <c r="E100" s="13">
        <v>800</v>
      </c>
    </row>
    <row r="101" spans="1:5" x14ac:dyDescent="0.35">
      <c r="A101" s="13" t="s">
        <v>333</v>
      </c>
      <c r="B101" s="13" t="s">
        <v>53</v>
      </c>
      <c r="C101" s="43">
        <v>0.95</v>
      </c>
      <c r="D101" s="13">
        <v>300</v>
      </c>
      <c r="E101" s="13">
        <v>285</v>
      </c>
    </row>
    <row r="102" spans="1:5" x14ac:dyDescent="0.35">
      <c r="A102" s="13" t="s">
        <v>333</v>
      </c>
      <c r="B102" s="13" t="s">
        <v>39</v>
      </c>
      <c r="C102" s="43">
        <v>0.3</v>
      </c>
      <c r="D102" s="13">
        <v>1500</v>
      </c>
      <c r="E102" s="13">
        <v>450</v>
      </c>
    </row>
    <row r="103" spans="1:5" x14ac:dyDescent="0.35">
      <c r="A103" s="13" t="s">
        <v>333</v>
      </c>
      <c r="B103" s="13" t="s">
        <v>94</v>
      </c>
      <c r="C103" s="43">
        <v>0.9</v>
      </c>
      <c r="D103" s="13">
        <v>2800</v>
      </c>
      <c r="E103" s="13">
        <v>2520</v>
      </c>
    </row>
    <row r="104" spans="1:5" x14ac:dyDescent="0.35">
      <c r="A104" s="13" t="s">
        <v>333</v>
      </c>
      <c r="B104" s="13" t="s">
        <v>29</v>
      </c>
      <c r="C104" s="43">
        <v>0.25</v>
      </c>
      <c r="D104" s="13">
        <v>1600</v>
      </c>
      <c r="E104" s="13">
        <v>400</v>
      </c>
    </row>
    <row r="105" spans="1:5" x14ac:dyDescent="0.35">
      <c r="A105" s="13" t="s">
        <v>327</v>
      </c>
      <c r="B105" s="13" t="s">
        <v>25</v>
      </c>
      <c r="C105" s="43">
        <v>0.2</v>
      </c>
      <c r="D105" s="13">
        <v>1000</v>
      </c>
      <c r="E105" s="13">
        <v>200</v>
      </c>
    </row>
    <row r="106" spans="1:5" x14ac:dyDescent="0.35">
      <c r="A106" s="13" t="s">
        <v>327</v>
      </c>
      <c r="B106" s="13" t="s">
        <v>18</v>
      </c>
      <c r="C106" s="43">
        <v>0.8</v>
      </c>
      <c r="D106" s="13">
        <v>150</v>
      </c>
      <c r="E106" s="13">
        <v>120</v>
      </c>
    </row>
    <row r="107" spans="1:5" x14ac:dyDescent="0.35">
      <c r="A107" s="13" t="s">
        <v>327</v>
      </c>
      <c r="B107" s="13" t="s">
        <v>39</v>
      </c>
      <c r="C107" s="43">
        <v>0.9</v>
      </c>
      <c r="D107" s="13">
        <v>1500</v>
      </c>
      <c r="E107" s="13">
        <v>1350</v>
      </c>
    </row>
    <row r="108" spans="1:5" x14ac:dyDescent="0.35">
      <c r="A108" s="13" t="s">
        <v>327</v>
      </c>
      <c r="B108" s="13" t="s">
        <v>13</v>
      </c>
      <c r="C108" s="43">
        <v>0.45</v>
      </c>
      <c r="D108" s="13">
        <v>500</v>
      </c>
      <c r="E108" s="13">
        <v>225</v>
      </c>
    </row>
    <row r="109" spans="1:5" x14ac:dyDescent="0.35">
      <c r="A109" s="13" t="s">
        <v>327</v>
      </c>
      <c r="B109" s="13" t="s">
        <v>128</v>
      </c>
      <c r="C109" s="43">
        <v>0.5</v>
      </c>
      <c r="D109" s="13">
        <v>3500</v>
      </c>
      <c r="E109" s="13">
        <v>1750</v>
      </c>
    </row>
    <row r="110" spans="1:5" x14ac:dyDescent="0.35">
      <c r="A110" s="13" t="s">
        <v>327</v>
      </c>
      <c r="B110" s="13" t="s">
        <v>51</v>
      </c>
      <c r="C110" s="43">
        <v>2.5</v>
      </c>
      <c r="D110" s="13">
        <v>500</v>
      </c>
      <c r="E110" s="13">
        <v>1250</v>
      </c>
    </row>
    <row r="111" spans="1:5" x14ac:dyDescent="0.35">
      <c r="A111" s="13" t="s">
        <v>327</v>
      </c>
      <c r="B111" s="13" t="s">
        <v>22</v>
      </c>
      <c r="C111" s="43">
        <v>0.55000000000000004</v>
      </c>
      <c r="D111" s="13">
        <v>1600</v>
      </c>
      <c r="E111" s="13">
        <v>880</v>
      </c>
    </row>
    <row r="112" spans="1:5" x14ac:dyDescent="0.35">
      <c r="A112" s="13" t="s">
        <v>327</v>
      </c>
      <c r="B112" s="13" t="s">
        <v>53</v>
      </c>
      <c r="C112" s="43">
        <v>0.5</v>
      </c>
      <c r="D112" s="13">
        <v>300</v>
      </c>
      <c r="E112" s="13">
        <v>150</v>
      </c>
    </row>
    <row r="113" spans="1:5" x14ac:dyDescent="0.35">
      <c r="A113" s="13" t="s">
        <v>327</v>
      </c>
      <c r="B113" s="13" t="s">
        <v>94</v>
      </c>
      <c r="C113" s="43">
        <v>0.95</v>
      </c>
      <c r="D113" s="13">
        <v>2800</v>
      </c>
      <c r="E113" s="13">
        <v>2660</v>
      </c>
    </row>
    <row r="114" spans="1:5" x14ac:dyDescent="0.35">
      <c r="A114" s="13" t="s">
        <v>327</v>
      </c>
      <c r="B114" s="13" t="s">
        <v>127</v>
      </c>
      <c r="C114" s="43">
        <v>0.05</v>
      </c>
      <c r="D114" s="13">
        <v>8000</v>
      </c>
      <c r="E114" s="13">
        <v>400</v>
      </c>
    </row>
    <row r="115" spans="1:5" x14ac:dyDescent="0.35">
      <c r="A115" s="13" t="s">
        <v>415</v>
      </c>
      <c r="B115" s="13" t="s">
        <v>26</v>
      </c>
      <c r="C115" s="43">
        <v>3</v>
      </c>
      <c r="D115" s="13">
        <v>1000</v>
      </c>
      <c r="E115" s="13">
        <v>3000</v>
      </c>
    </row>
    <row r="116" spans="1:5" x14ac:dyDescent="0.35">
      <c r="A116" s="13" t="s">
        <v>415</v>
      </c>
      <c r="B116" s="13" t="s">
        <v>53</v>
      </c>
      <c r="C116" s="43">
        <v>1</v>
      </c>
      <c r="D116" s="13">
        <v>300</v>
      </c>
      <c r="E116" s="13">
        <v>300</v>
      </c>
    </row>
    <row r="117" spans="1:5" x14ac:dyDescent="0.35">
      <c r="A117" s="13" t="s">
        <v>415</v>
      </c>
      <c r="B117" s="13" t="s">
        <v>18</v>
      </c>
      <c r="C117" s="43">
        <v>1.5</v>
      </c>
      <c r="D117" s="13">
        <v>150</v>
      </c>
      <c r="E117" s="13">
        <v>225</v>
      </c>
    </row>
    <row r="118" spans="1:5" x14ac:dyDescent="0.35">
      <c r="A118" s="13" t="s">
        <v>415</v>
      </c>
      <c r="B118" s="13" t="s">
        <v>266</v>
      </c>
      <c r="C118" s="43">
        <v>0.35</v>
      </c>
      <c r="D118" s="13">
        <v>1000</v>
      </c>
      <c r="E118" s="13">
        <v>350</v>
      </c>
    </row>
    <row r="119" spans="1:5" x14ac:dyDescent="0.35">
      <c r="A119" s="13" t="s">
        <v>415</v>
      </c>
      <c r="B119" s="13" t="s">
        <v>51</v>
      </c>
      <c r="C119" s="43">
        <v>1.05</v>
      </c>
      <c r="D119" s="13">
        <v>500</v>
      </c>
      <c r="E119" s="13">
        <v>525</v>
      </c>
    </row>
    <row r="120" spans="1:5" x14ac:dyDescent="0.35">
      <c r="A120" s="13" t="s">
        <v>415</v>
      </c>
      <c r="B120" s="13" t="s">
        <v>41</v>
      </c>
      <c r="C120" s="43">
        <v>1.6</v>
      </c>
      <c r="D120" s="13">
        <v>1000</v>
      </c>
      <c r="E120" s="13">
        <v>1600</v>
      </c>
    </row>
    <row r="121" spans="1:5" x14ac:dyDescent="0.35">
      <c r="A121" s="13" t="s">
        <v>415</v>
      </c>
      <c r="B121" s="13" t="s">
        <v>94</v>
      </c>
      <c r="C121" s="43">
        <v>0.85</v>
      </c>
      <c r="D121" s="13">
        <v>2800</v>
      </c>
      <c r="E121" s="13">
        <v>2380</v>
      </c>
    </row>
    <row r="122" spans="1:5" x14ac:dyDescent="0.35">
      <c r="A122" s="13" t="s">
        <v>415</v>
      </c>
      <c r="B122" s="13" t="s">
        <v>125</v>
      </c>
      <c r="C122" s="43">
        <v>4.0999999999999996</v>
      </c>
      <c r="D122" s="13">
        <v>800</v>
      </c>
      <c r="E122" s="13">
        <v>3280</v>
      </c>
    </row>
    <row r="123" spans="1:5" x14ac:dyDescent="0.35">
      <c r="A123" s="13" t="s">
        <v>415</v>
      </c>
      <c r="B123" s="13" t="s">
        <v>100</v>
      </c>
      <c r="C123" s="43">
        <v>21.55</v>
      </c>
      <c r="D123" s="13">
        <v>1400</v>
      </c>
      <c r="E123" s="13">
        <v>30170</v>
      </c>
    </row>
    <row r="124" spans="1:5" x14ac:dyDescent="0.35">
      <c r="A124" s="13" t="s">
        <v>387</v>
      </c>
      <c r="B124" s="13" t="s">
        <v>34</v>
      </c>
      <c r="C124" s="43">
        <v>1.9</v>
      </c>
      <c r="D124" s="13">
        <v>5000</v>
      </c>
      <c r="E124" s="13">
        <v>9500</v>
      </c>
    </row>
    <row r="125" spans="1:5" x14ac:dyDescent="0.35">
      <c r="A125" s="13" t="s">
        <v>387</v>
      </c>
      <c r="B125" s="13" t="s">
        <v>18</v>
      </c>
      <c r="C125" s="43">
        <v>0.45</v>
      </c>
      <c r="D125" s="13">
        <v>150</v>
      </c>
      <c r="E125" s="13">
        <v>68</v>
      </c>
    </row>
    <row r="126" spans="1:5" x14ac:dyDescent="0.35">
      <c r="A126" s="13" t="s">
        <v>387</v>
      </c>
      <c r="B126" s="13" t="s">
        <v>41</v>
      </c>
      <c r="C126" s="43">
        <v>1.45</v>
      </c>
      <c r="D126" s="13">
        <v>1000</v>
      </c>
      <c r="E126" s="13">
        <v>1450</v>
      </c>
    </row>
    <row r="127" spans="1:5" x14ac:dyDescent="0.35">
      <c r="A127" s="13" t="s">
        <v>387</v>
      </c>
      <c r="B127" s="13" t="s">
        <v>51</v>
      </c>
      <c r="C127" s="43">
        <v>0.8</v>
      </c>
      <c r="D127" s="13">
        <v>500</v>
      </c>
      <c r="E127" s="13">
        <v>400</v>
      </c>
    </row>
    <row r="128" spans="1:5" x14ac:dyDescent="0.35">
      <c r="A128" s="13" t="s">
        <v>387</v>
      </c>
      <c r="B128" s="13" t="s">
        <v>60</v>
      </c>
      <c r="C128" s="43">
        <v>0.2</v>
      </c>
      <c r="D128" s="13">
        <v>2500</v>
      </c>
      <c r="E128" s="13">
        <v>500</v>
      </c>
    </row>
    <row r="129" spans="1:5" x14ac:dyDescent="0.35">
      <c r="A129" s="13" t="s">
        <v>387</v>
      </c>
      <c r="B129" s="13" t="s">
        <v>13</v>
      </c>
      <c r="C129" s="43">
        <v>0.7</v>
      </c>
      <c r="D129" s="13">
        <v>500</v>
      </c>
      <c r="E129" s="13">
        <v>350</v>
      </c>
    </row>
    <row r="130" spans="1:5" x14ac:dyDescent="0.35">
      <c r="A130" s="13" t="s">
        <v>387</v>
      </c>
      <c r="B130" s="13" t="s">
        <v>53</v>
      </c>
      <c r="C130" s="43">
        <v>0.9</v>
      </c>
      <c r="D130" s="13">
        <v>300</v>
      </c>
      <c r="E130" s="13">
        <v>270</v>
      </c>
    </row>
    <row r="131" spans="1:5" x14ac:dyDescent="0.35">
      <c r="A131" s="13" t="s">
        <v>387</v>
      </c>
      <c r="B131" s="13" t="s">
        <v>39</v>
      </c>
      <c r="C131" s="43">
        <v>0.15</v>
      </c>
      <c r="D131" s="13">
        <v>1500</v>
      </c>
      <c r="E131" s="13">
        <v>225</v>
      </c>
    </row>
    <row r="132" spans="1:5" x14ac:dyDescent="0.35">
      <c r="A132" s="13" t="s">
        <v>387</v>
      </c>
      <c r="B132" s="13" t="s">
        <v>25</v>
      </c>
      <c r="C132" s="43">
        <v>0.8</v>
      </c>
      <c r="D132" s="13">
        <v>1000</v>
      </c>
      <c r="E132" s="13">
        <v>800</v>
      </c>
    </row>
    <row r="133" spans="1:5" x14ac:dyDescent="0.35">
      <c r="A133" s="13" t="s">
        <v>387</v>
      </c>
      <c r="B133" s="13" t="s">
        <v>94</v>
      </c>
      <c r="C133" s="43">
        <v>2.5499999999999998</v>
      </c>
      <c r="D133" s="13">
        <v>2800</v>
      </c>
      <c r="E133" s="13">
        <v>7140</v>
      </c>
    </row>
    <row r="134" spans="1:5" x14ac:dyDescent="0.35">
      <c r="A134" s="13" t="s">
        <v>345</v>
      </c>
      <c r="B134" s="13" t="s">
        <v>18</v>
      </c>
      <c r="C134" s="43">
        <v>0.95</v>
      </c>
      <c r="D134" s="13">
        <v>150</v>
      </c>
      <c r="E134" s="13">
        <v>143</v>
      </c>
    </row>
    <row r="135" spans="1:5" x14ac:dyDescent="0.35">
      <c r="A135" s="13" t="s">
        <v>345</v>
      </c>
      <c r="B135" s="13" t="s">
        <v>125</v>
      </c>
      <c r="C135" s="43">
        <v>1.1000000000000001</v>
      </c>
      <c r="D135" s="13">
        <v>800</v>
      </c>
      <c r="E135" s="13">
        <v>880</v>
      </c>
    </row>
    <row r="136" spans="1:5" x14ac:dyDescent="0.35">
      <c r="A136" s="13" t="s">
        <v>345</v>
      </c>
      <c r="B136" s="13" t="s">
        <v>13</v>
      </c>
      <c r="C136" s="43">
        <v>0.7</v>
      </c>
      <c r="D136" s="13">
        <v>500</v>
      </c>
      <c r="E136" s="13">
        <v>350</v>
      </c>
    </row>
    <row r="137" spans="1:5" x14ac:dyDescent="0.35">
      <c r="A137" s="13" t="s">
        <v>345</v>
      </c>
      <c r="B137" s="13" t="s">
        <v>53</v>
      </c>
      <c r="C137" s="43">
        <v>1.3</v>
      </c>
      <c r="D137" s="13">
        <v>300</v>
      </c>
      <c r="E137" s="13">
        <v>390</v>
      </c>
    </row>
    <row r="138" spans="1:5" x14ac:dyDescent="0.35">
      <c r="A138" s="13" t="s">
        <v>345</v>
      </c>
      <c r="B138" s="13" t="s">
        <v>128</v>
      </c>
      <c r="C138" s="43">
        <v>0.25</v>
      </c>
      <c r="D138" s="13">
        <v>3500</v>
      </c>
      <c r="E138" s="13">
        <v>875</v>
      </c>
    </row>
    <row r="139" spans="1:5" x14ac:dyDescent="0.35">
      <c r="A139" s="13" t="s">
        <v>345</v>
      </c>
      <c r="B139" s="13" t="s">
        <v>29</v>
      </c>
      <c r="C139" s="43">
        <v>0.9</v>
      </c>
      <c r="D139" s="13">
        <v>1600</v>
      </c>
      <c r="E139" s="13">
        <v>1440</v>
      </c>
    </row>
    <row r="140" spans="1:5" x14ac:dyDescent="0.35">
      <c r="A140" s="13" t="s">
        <v>345</v>
      </c>
      <c r="B140" s="13" t="s">
        <v>25</v>
      </c>
      <c r="C140" s="43">
        <v>5.3</v>
      </c>
      <c r="D140" s="13">
        <v>1000</v>
      </c>
      <c r="E140" s="13">
        <v>5300</v>
      </c>
    </row>
    <row r="141" spans="1:5" x14ac:dyDescent="0.35">
      <c r="A141" s="13" t="s">
        <v>345</v>
      </c>
      <c r="B141" s="13" t="s">
        <v>51</v>
      </c>
      <c r="C141" s="43">
        <v>2</v>
      </c>
      <c r="D141" s="13">
        <v>500</v>
      </c>
      <c r="E141" s="13">
        <v>1000</v>
      </c>
    </row>
    <row r="142" spans="1:5" x14ac:dyDescent="0.35">
      <c r="A142" s="13" t="s">
        <v>345</v>
      </c>
      <c r="B142" s="13" t="s">
        <v>41</v>
      </c>
      <c r="C142" s="43">
        <v>19.8</v>
      </c>
      <c r="D142" s="13">
        <v>1000</v>
      </c>
      <c r="E142" s="13">
        <v>19800</v>
      </c>
    </row>
    <row r="143" spans="1:5" x14ac:dyDescent="0.35">
      <c r="A143" s="13" t="s">
        <v>345</v>
      </c>
      <c r="B143" s="13" t="s">
        <v>60</v>
      </c>
      <c r="C143" s="43">
        <v>0.35</v>
      </c>
      <c r="D143" s="13">
        <v>2500</v>
      </c>
      <c r="E143" s="13">
        <v>875</v>
      </c>
    </row>
    <row r="144" spans="1:5" x14ac:dyDescent="0.35">
      <c r="A144" s="13" t="s">
        <v>345</v>
      </c>
      <c r="B144" s="13" t="s">
        <v>61</v>
      </c>
      <c r="C144" s="43">
        <v>0.1</v>
      </c>
      <c r="D144" s="13">
        <v>3500</v>
      </c>
      <c r="E144" s="13">
        <v>350</v>
      </c>
    </row>
    <row r="145" spans="1:5" x14ac:dyDescent="0.35">
      <c r="A145" s="13" t="s">
        <v>345</v>
      </c>
      <c r="B145" s="13" t="s">
        <v>94</v>
      </c>
      <c r="C145" s="43">
        <v>3.05</v>
      </c>
      <c r="D145" s="13">
        <v>2800</v>
      </c>
      <c r="E145" s="13">
        <v>8540</v>
      </c>
    </row>
    <row r="146" spans="1:5" x14ac:dyDescent="0.35">
      <c r="A146" s="13" t="s">
        <v>345</v>
      </c>
      <c r="B146" s="13" t="s">
        <v>34</v>
      </c>
      <c r="C146" s="43">
        <v>4.5</v>
      </c>
      <c r="D146" s="13">
        <v>5000</v>
      </c>
      <c r="E146" s="13">
        <v>22500</v>
      </c>
    </row>
    <row r="147" spans="1:5" x14ac:dyDescent="0.35">
      <c r="A147" s="13" t="s">
        <v>402</v>
      </c>
      <c r="B147" s="13" t="s">
        <v>13</v>
      </c>
      <c r="C147" s="43">
        <v>0.25</v>
      </c>
      <c r="D147" s="13">
        <v>500</v>
      </c>
      <c r="E147" s="13">
        <v>125</v>
      </c>
    </row>
    <row r="148" spans="1:5" x14ac:dyDescent="0.35">
      <c r="A148" s="13" t="s">
        <v>402</v>
      </c>
      <c r="B148" s="13" t="s">
        <v>53</v>
      </c>
      <c r="C148" s="43">
        <v>0.4</v>
      </c>
      <c r="D148" s="13">
        <v>300</v>
      </c>
      <c r="E148" s="13">
        <v>120</v>
      </c>
    </row>
    <row r="149" spans="1:5" x14ac:dyDescent="0.35">
      <c r="A149" s="13" t="s">
        <v>402</v>
      </c>
      <c r="B149" s="13" t="s">
        <v>60</v>
      </c>
      <c r="C149" s="43">
        <v>0.05</v>
      </c>
      <c r="D149" s="13">
        <v>2500</v>
      </c>
      <c r="E149" s="13">
        <v>125</v>
      </c>
    </row>
    <row r="150" spans="1:5" x14ac:dyDescent="0.35">
      <c r="A150" s="13" t="s">
        <v>402</v>
      </c>
      <c r="B150" s="13" t="s">
        <v>61</v>
      </c>
      <c r="C150" s="43">
        <v>0.1</v>
      </c>
      <c r="D150" s="13">
        <v>3500</v>
      </c>
      <c r="E150" s="13">
        <v>350</v>
      </c>
    </row>
    <row r="151" spans="1:5" x14ac:dyDescent="0.35">
      <c r="A151" s="13" t="s">
        <v>402</v>
      </c>
      <c r="B151" s="13" t="s">
        <v>51</v>
      </c>
      <c r="C151" s="43">
        <v>0.45</v>
      </c>
      <c r="D151" s="13">
        <v>500</v>
      </c>
      <c r="E151" s="13">
        <v>225</v>
      </c>
    </row>
    <row r="152" spans="1:5" x14ac:dyDescent="0.35">
      <c r="A152" s="13" t="s">
        <v>402</v>
      </c>
      <c r="B152" s="13" t="s">
        <v>29</v>
      </c>
      <c r="C152" s="43">
        <v>0.5</v>
      </c>
      <c r="D152" s="13">
        <v>1600</v>
      </c>
      <c r="E152" s="13">
        <v>800</v>
      </c>
    </row>
    <row r="153" spans="1:5" x14ac:dyDescent="0.35">
      <c r="A153" s="13" t="s">
        <v>402</v>
      </c>
      <c r="B153" s="13" t="s">
        <v>100</v>
      </c>
      <c r="C153" s="43">
        <v>8.25</v>
      </c>
      <c r="D153" s="13">
        <v>1400</v>
      </c>
      <c r="E153" s="13">
        <v>11550</v>
      </c>
    </row>
    <row r="154" spans="1:5" x14ac:dyDescent="0.35">
      <c r="A154" s="13" t="s">
        <v>402</v>
      </c>
      <c r="B154" s="13" t="s">
        <v>125</v>
      </c>
      <c r="C154" s="43">
        <v>2.2999999999999998</v>
      </c>
      <c r="D154" s="13">
        <v>800</v>
      </c>
      <c r="E154" s="13">
        <v>1840</v>
      </c>
    </row>
    <row r="155" spans="1:5" x14ac:dyDescent="0.35">
      <c r="A155" s="13" t="s">
        <v>402</v>
      </c>
      <c r="B155" s="13" t="s">
        <v>41</v>
      </c>
      <c r="C155" s="43">
        <v>3.15</v>
      </c>
      <c r="D155" s="13">
        <v>1000</v>
      </c>
      <c r="E155" s="13">
        <v>3150</v>
      </c>
    </row>
    <row r="156" spans="1:5" x14ac:dyDescent="0.35">
      <c r="A156" s="13" t="s">
        <v>402</v>
      </c>
      <c r="B156" s="13" t="s">
        <v>22</v>
      </c>
      <c r="C156" s="43">
        <v>0.7</v>
      </c>
      <c r="D156" s="13">
        <v>1600</v>
      </c>
      <c r="E156" s="13">
        <v>1120</v>
      </c>
    </row>
    <row r="157" spans="1:5" x14ac:dyDescent="0.35">
      <c r="A157" s="13" t="s">
        <v>402</v>
      </c>
      <c r="B157" s="13" t="s">
        <v>25</v>
      </c>
      <c r="C157" s="43">
        <v>0.9</v>
      </c>
      <c r="D157" s="13">
        <v>1000</v>
      </c>
      <c r="E157" s="13">
        <v>900</v>
      </c>
    </row>
    <row r="158" spans="1:5" x14ac:dyDescent="0.35">
      <c r="A158" s="13" t="s">
        <v>402</v>
      </c>
      <c r="B158" s="13" t="s">
        <v>94</v>
      </c>
      <c r="C158" s="43">
        <v>0.55000000000000004</v>
      </c>
      <c r="D158" s="13">
        <v>2800</v>
      </c>
      <c r="E158" s="13">
        <v>1540</v>
      </c>
    </row>
    <row r="159" spans="1:5" x14ac:dyDescent="0.35">
      <c r="A159" s="13" t="s">
        <v>385</v>
      </c>
      <c r="B159" s="13" t="s">
        <v>60</v>
      </c>
      <c r="C159" s="43">
        <v>0.05</v>
      </c>
      <c r="D159" s="13">
        <v>2500</v>
      </c>
      <c r="E159" s="13">
        <v>125</v>
      </c>
    </row>
    <row r="160" spans="1:5" x14ac:dyDescent="0.35">
      <c r="A160" s="13" t="s">
        <v>385</v>
      </c>
      <c r="B160" s="13" t="s">
        <v>41</v>
      </c>
      <c r="C160" s="43">
        <v>2.7</v>
      </c>
      <c r="D160" s="13">
        <v>1000</v>
      </c>
      <c r="E160" s="13">
        <v>2700</v>
      </c>
    </row>
    <row r="161" spans="1:5" x14ac:dyDescent="0.35">
      <c r="A161" s="13" t="s">
        <v>385</v>
      </c>
      <c r="B161" s="13" t="s">
        <v>25</v>
      </c>
      <c r="C161" s="43">
        <v>1.6</v>
      </c>
      <c r="D161" s="13">
        <v>1000</v>
      </c>
      <c r="E161" s="13">
        <v>1600</v>
      </c>
    </row>
    <row r="162" spans="1:5" x14ac:dyDescent="0.35">
      <c r="A162" s="13" t="s">
        <v>385</v>
      </c>
      <c r="B162" s="13" t="s">
        <v>18</v>
      </c>
      <c r="C162" s="43">
        <v>0.8</v>
      </c>
      <c r="D162" s="13">
        <v>150</v>
      </c>
      <c r="E162" s="13">
        <v>120</v>
      </c>
    </row>
    <row r="163" spans="1:5" x14ac:dyDescent="0.35">
      <c r="A163" s="13" t="s">
        <v>385</v>
      </c>
      <c r="B163" s="13" t="s">
        <v>53</v>
      </c>
      <c r="C163" s="43">
        <v>0.35</v>
      </c>
      <c r="D163" s="13">
        <v>300</v>
      </c>
      <c r="E163" s="13">
        <v>105</v>
      </c>
    </row>
    <row r="164" spans="1:5" x14ac:dyDescent="0.35">
      <c r="A164" s="13" t="s">
        <v>385</v>
      </c>
      <c r="B164" s="13" t="s">
        <v>94</v>
      </c>
      <c r="C164" s="43">
        <v>0.5</v>
      </c>
      <c r="D164" s="13">
        <v>2800</v>
      </c>
      <c r="E164" s="13">
        <v>1400</v>
      </c>
    </row>
    <row r="165" spans="1:5" x14ac:dyDescent="0.35">
      <c r="A165" s="13" t="s">
        <v>341</v>
      </c>
      <c r="B165" s="13" t="s">
        <v>41</v>
      </c>
      <c r="C165" s="43">
        <v>1.65</v>
      </c>
      <c r="D165" s="13">
        <v>1000</v>
      </c>
      <c r="E165" s="13">
        <v>1650</v>
      </c>
    </row>
    <row r="166" spans="1:5" x14ac:dyDescent="0.35">
      <c r="A166" s="13" t="s">
        <v>341</v>
      </c>
      <c r="B166" s="13" t="s">
        <v>34</v>
      </c>
      <c r="C166" s="43">
        <v>1.6</v>
      </c>
      <c r="D166" s="13">
        <v>5000</v>
      </c>
      <c r="E166" s="13">
        <v>8000</v>
      </c>
    </row>
    <row r="167" spans="1:5" x14ac:dyDescent="0.35">
      <c r="A167" s="13" t="s">
        <v>341</v>
      </c>
      <c r="B167" s="13" t="s">
        <v>26</v>
      </c>
      <c r="C167" s="43">
        <v>0.65</v>
      </c>
      <c r="D167" s="13">
        <v>1000</v>
      </c>
      <c r="E167" s="13">
        <v>650</v>
      </c>
    </row>
    <row r="168" spans="1:5" x14ac:dyDescent="0.35">
      <c r="A168" s="13" t="s">
        <v>341</v>
      </c>
      <c r="B168" s="13" t="s">
        <v>18</v>
      </c>
      <c r="C168" s="43">
        <v>0.8</v>
      </c>
      <c r="D168" s="13">
        <v>150</v>
      </c>
      <c r="E168" s="13">
        <v>120</v>
      </c>
    </row>
    <row r="169" spans="1:5" x14ac:dyDescent="0.35">
      <c r="A169" s="13" t="s">
        <v>341</v>
      </c>
      <c r="B169" s="13" t="s">
        <v>13</v>
      </c>
      <c r="C169" s="43">
        <v>0.35</v>
      </c>
      <c r="D169" s="13">
        <v>500</v>
      </c>
      <c r="E169" s="13">
        <v>175</v>
      </c>
    </row>
    <row r="170" spans="1:5" x14ac:dyDescent="0.35">
      <c r="A170" s="13" t="s">
        <v>341</v>
      </c>
      <c r="B170" s="13" t="s">
        <v>51</v>
      </c>
      <c r="C170" s="43">
        <v>0.95</v>
      </c>
      <c r="D170" s="13">
        <v>500</v>
      </c>
      <c r="E170" s="13">
        <v>475</v>
      </c>
    </row>
    <row r="171" spans="1:5" x14ac:dyDescent="0.35">
      <c r="A171" s="13" t="s">
        <v>341</v>
      </c>
      <c r="B171" s="13" t="s">
        <v>53</v>
      </c>
      <c r="C171" s="43">
        <v>0.1</v>
      </c>
      <c r="D171" s="13">
        <v>300</v>
      </c>
      <c r="E171" s="13">
        <v>30</v>
      </c>
    </row>
    <row r="172" spans="1:5" x14ac:dyDescent="0.35">
      <c r="A172" s="13" t="s">
        <v>341</v>
      </c>
      <c r="B172" s="13" t="s">
        <v>25</v>
      </c>
      <c r="C172" s="43">
        <v>15.45</v>
      </c>
      <c r="D172" s="13">
        <v>1000</v>
      </c>
      <c r="E172" s="13">
        <v>15450</v>
      </c>
    </row>
    <row r="173" spans="1:5" x14ac:dyDescent="0.35">
      <c r="A173" s="13" t="s">
        <v>349</v>
      </c>
      <c r="B173" s="13" t="s">
        <v>25</v>
      </c>
      <c r="C173" s="43">
        <v>1.45</v>
      </c>
      <c r="D173" s="13">
        <v>1000</v>
      </c>
      <c r="E173" s="13">
        <v>1450</v>
      </c>
    </row>
    <row r="174" spans="1:5" x14ac:dyDescent="0.35">
      <c r="A174" s="13" t="s">
        <v>349</v>
      </c>
      <c r="B174" s="13" t="s">
        <v>60</v>
      </c>
      <c r="C174" s="43">
        <v>0.2</v>
      </c>
      <c r="D174" s="13">
        <v>2500</v>
      </c>
      <c r="E174" s="13">
        <v>500</v>
      </c>
    </row>
    <row r="175" spans="1:5" x14ac:dyDescent="0.35">
      <c r="A175" s="13" t="s">
        <v>349</v>
      </c>
      <c r="B175" s="13" t="s">
        <v>41</v>
      </c>
      <c r="C175" s="43">
        <v>1.25</v>
      </c>
      <c r="D175" s="13">
        <v>1000</v>
      </c>
      <c r="E175" s="13">
        <v>1250</v>
      </c>
    </row>
    <row r="176" spans="1:5" x14ac:dyDescent="0.35">
      <c r="A176" s="13" t="s">
        <v>349</v>
      </c>
      <c r="B176" s="13" t="s">
        <v>53</v>
      </c>
      <c r="C176" s="43">
        <v>4.3</v>
      </c>
      <c r="D176" s="13">
        <v>300</v>
      </c>
      <c r="E176" s="13">
        <v>1290</v>
      </c>
    </row>
    <row r="177" spans="1:5" x14ac:dyDescent="0.35">
      <c r="A177" s="13" t="s">
        <v>349</v>
      </c>
      <c r="B177" s="13" t="s">
        <v>94</v>
      </c>
      <c r="C177" s="43">
        <v>3</v>
      </c>
      <c r="D177" s="13">
        <v>2800</v>
      </c>
      <c r="E177" s="13">
        <v>8400</v>
      </c>
    </row>
    <row r="178" spans="1:5" x14ac:dyDescent="0.35">
      <c r="A178" s="13" t="s">
        <v>365</v>
      </c>
      <c r="B178" s="13" t="s">
        <v>18</v>
      </c>
      <c r="C178" s="43">
        <v>0.65</v>
      </c>
      <c r="D178" s="13">
        <v>150</v>
      </c>
      <c r="E178" s="13">
        <v>98</v>
      </c>
    </row>
    <row r="179" spans="1:5" x14ac:dyDescent="0.35">
      <c r="A179" s="13" t="s">
        <v>365</v>
      </c>
      <c r="B179" s="13" t="s">
        <v>25</v>
      </c>
      <c r="C179" s="43">
        <v>0.4</v>
      </c>
      <c r="D179" s="13">
        <v>1000</v>
      </c>
      <c r="E179" s="13">
        <v>400</v>
      </c>
    </row>
    <row r="180" spans="1:5" x14ac:dyDescent="0.35">
      <c r="A180" s="13" t="s">
        <v>365</v>
      </c>
      <c r="B180" s="13" t="s">
        <v>39</v>
      </c>
      <c r="C180" s="43">
        <v>0.3</v>
      </c>
      <c r="D180" s="13">
        <v>1500</v>
      </c>
      <c r="E180" s="13">
        <v>450</v>
      </c>
    </row>
    <row r="181" spans="1:5" x14ac:dyDescent="0.35">
      <c r="A181" s="13" t="s">
        <v>365</v>
      </c>
      <c r="B181" s="13" t="s">
        <v>60</v>
      </c>
      <c r="C181" s="43">
        <v>0.1</v>
      </c>
      <c r="D181" s="13">
        <v>2500</v>
      </c>
      <c r="E181" s="13">
        <v>250</v>
      </c>
    </row>
    <row r="182" spans="1:5" x14ac:dyDescent="0.35">
      <c r="A182" s="13" t="s">
        <v>365</v>
      </c>
      <c r="B182" s="13" t="s">
        <v>61</v>
      </c>
      <c r="C182" s="43">
        <v>0.1</v>
      </c>
      <c r="D182" s="13">
        <v>3500</v>
      </c>
      <c r="E182" s="13">
        <v>350</v>
      </c>
    </row>
    <row r="183" spans="1:5" x14ac:dyDescent="0.35">
      <c r="A183" s="13" t="s">
        <v>365</v>
      </c>
      <c r="B183" s="13" t="s">
        <v>34</v>
      </c>
      <c r="C183" s="43">
        <v>3.25</v>
      </c>
      <c r="D183" s="13">
        <v>5000</v>
      </c>
      <c r="E183" s="13">
        <v>16250</v>
      </c>
    </row>
    <row r="184" spans="1:5" x14ac:dyDescent="0.35">
      <c r="A184" s="13" t="s">
        <v>365</v>
      </c>
      <c r="B184" s="13" t="s">
        <v>53</v>
      </c>
      <c r="C184" s="43">
        <v>1.95</v>
      </c>
      <c r="D184" s="13">
        <v>300</v>
      </c>
      <c r="E184" s="13">
        <v>585</v>
      </c>
    </row>
    <row r="185" spans="1:5" x14ac:dyDescent="0.35">
      <c r="A185" s="13" t="s">
        <v>365</v>
      </c>
      <c r="B185" s="13" t="s">
        <v>128</v>
      </c>
      <c r="C185" s="43">
        <v>1.1499999999999999</v>
      </c>
      <c r="D185" s="13">
        <v>3500</v>
      </c>
      <c r="E185" s="13">
        <v>4025</v>
      </c>
    </row>
    <row r="186" spans="1:5" x14ac:dyDescent="0.35">
      <c r="A186" s="13" t="s">
        <v>365</v>
      </c>
      <c r="B186" s="13" t="s">
        <v>94</v>
      </c>
      <c r="C186" s="43">
        <v>0.5</v>
      </c>
      <c r="D186" s="13">
        <v>2800</v>
      </c>
      <c r="E186" s="13">
        <v>1400</v>
      </c>
    </row>
    <row r="187" spans="1:5" x14ac:dyDescent="0.35">
      <c r="A187" s="13" t="s">
        <v>365</v>
      </c>
      <c r="B187" s="13" t="s">
        <v>41</v>
      </c>
      <c r="C187" s="43">
        <v>10.45</v>
      </c>
      <c r="D187" s="13">
        <v>1000</v>
      </c>
      <c r="E187" s="13">
        <v>10450</v>
      </c>
    </row>
    <row r="188" spans="1:5" x14ac:dyDescent="0.35">
      <c r="A188" s="13" t="s">
        <v>400</v>
      </c>
      <c r="B188" s="13" t="s">
        <v>60</v>
      </c>
      <c r="C188" s="43">
        <v>0.1</v>
      </c>
      <c r="D188" s="13">
        <v>2500</v>
      </c>
      <c r="E188" s="13">
        <v>250</v>
      </c>
    </row>
    <row r="189" spans="1:5" x14ac:dyDescent="0.35">
      <c r="A189" s="13" t="s">
        <v>400</v>
      </c>
      <c r="B189" s="13" t="s">
        <v>100</v>
      </c>
      <c r="C189" s="43">
        <v>2.25</v>
      </c>
      <c r="D189" s="13">
        <v>1400</v>
      </c>
      <c r="E189" s="13">
        <v>3150</v>
      </c>
    </row>
    <row r="190" spans="1:5" x14ac:dyDescent="0.35">
      <c r="A190" s="13" t="s">
        <v>400</v>
      </c>
      <c r="B190" s="13" t="s">
        <v>13</v>
      </c>
      <c r="C190" s="43">
        <v>0.8</v>
      </c>
      <c r="D190" s="13">
        <v>500</v>
      </c>
      <c r="E190" s="13">
        <v>400</v>
      </c>
    </row>
    <row r="191" spans="1:5" x14ac:dyDescent="0.35">
      <c r="A191" s="13" t="s">
        <v>400</v>
      </c>
      <c r="B191" s="13" t="s">
        <v>26</v>
      </c>
      <c r="C191" s="43">
        <v>1.9</v>
      </c>
      <c r="D191" s="13">
        <v>1000</v>
      </c>
      <c r="E191" s="13">
        <v>1900</v>
      </c>
    </row>
    <row r="192" spans="1:5" x14ac:dyDescent="0.35">
      <c r="A192" s="13" t="s">
        <v>400</v>
      </c>
      <c r="B192" s="13" t="s">
        <v>18</v>
      </c>
      <c r="C192" s="43">
        <v>1</v>
      </c>
      <c r="D192" s="13">
        <v>150</v>
      </c>
      <c r="E192" s="13">
        <v>150</v>
      </c>
    </row>
    <row r="193" spans="1:5" x14ac:dyDescent="0.35">
      <c r="A193" s="13" t="s">
        <v>400</v>
      </c>
      <c r="B193" s="13" t="s">
        <v>53</v>
      </c>
      <c r="C193" s="43">
        <v>0.35</v>
      </c>
      <c r="D193" s="13">
        <v>300</v>
      </c>
      <c r="E193" s="13">
        <v>105</v>
      </c>
    </row>
    <row r="194" spans="1:5" x14ac:dyDescent="0.35">
      <c r="A194" s="13" t="s">
        <v>400</v>
      </c>
      <c r="B194" s="13" t="s">
        <v>63</v>
      </c>
      <c r="C194" s="43">
        <v>0.2</v>
      </c>
      <c r="D194" s="13">
        <v>700</v>
      </c>
      <c r="E194" s="13">
        <v>140</v>
      </c>
    </row>
    <row r="195" spans="1:5" x14ac:dyDescent="0.35">
      <c r="A195" s="13" t="s">
        <v>400</v>
      </c>
      <c r="B195" s="13" t="s">
        <v>94</v>
      </c>
      <c r="C195" s="43">
        <v>0.75</v>
      </c>
      <c r="D195" s="13">
        <v>2800</v>
      </c>
      <c r="E195" s="13">
        <v>2100</v>
      </c>
    </row>
    <row r="196" spans="1:5" x14ac:dyDescent="0.35">
      <c r="A196" s="13" t="s">
        <v>360</v>
      </c>
      <c r="B196" s="13" t="s">
        <v>53</v>
      </c>
      <c r="C196" s="43">
        <v>1.4</v>
      </c>
      <c r="D196" s="13">
        <v>300</v>
      </c>
      <c r="E196" s="13">
        <v>420</v>
      </c>
    </row>
    <row r="197" spans="1:5" x14ac:dyDescent="0.35">
      <c r="A197" s="13" t="s">
        <v>360</v>
      </c>
      <c r="B197" s="13" t="s">
        <v>25</v>
      </c>
      <c r="C197" s="43">
        <v>1</v>
      </c>
      <c r="D197" s="13">
        <v>1000</v>
      </c>
      <c r="E197" s="13">
        <v>1000</v>
      </c>
    </row>
    <row r="198" spans="1:5" x14ac:dyDescent="0.35">
      <c r="A198" s="13" t="s">
        <v>360</v>
      </c>
      <c r="B198" s="13" t="s">
        <v>94</v>
      </c>
      <c r="C198" s="43">
        <v>1.55</v>
      </c>
      <c r="D198" s="13">
        <v>2800</v>
      </c>
      <c r="E198" s="13">
        <v>4340</v>
      </c>
    </row>
    <row r="199" spans="1:5" x14ac:dyDescent="0.35">
      <c r="A199" s="13" t="s">
        <v>326</v>
      </c>
      <c r="B199" s="13" t="s">
        <v>15</v>
      </c>
      <c r="C199" s="43">
        <v>1.4</v>
      </c>
      <c r="D199" s="13">
        <v>2500</v>
      </c>
      <c r="E199" s="13">
        <v>3500</v>
      </c>
    </row>
    <row r="200" spans="1:5" x14ac:dyDescent="0.35">
      <c r="A200" s="13" t="s">
        <v>326</v>
      </c>
      <c r="B200" s="13" t="s">
        <v>13</v>
      </c>
      <c r="C200" s="43">
        <v>0.15</v>
      </c>
      <c r="D200" s="13">
        <v>500</v>
      </c>
      <c r="E200" s="13">
        <v>75</v>
      </c>
    </row>
    <row r="201" spans="1:5" x14ac:dyDescent="0.35">
      <c r="A201" s="13" t="s">
        <v>326</v>
      </c>
      <c r="B201" s="13" t="s">
        <v>18</v>
      </c>
      <c r="C201" s="43">
        <v>0.55000000000000004</v>
      </c>
      <c r="D201" s="13">
        <v>150</v>
      </c>
      <c r="E201" s="13">
        <v>83</v>
      </c>
    </row>
    <row r="202" spans="1:5" x14ac:dyDescent="0.35">
      <c r="A202" s="13" t="s">
        <v>326</v>
      </c>
      <c r="B202" s="13" t="s">
        <v>34</v>
      </c>
      <c r="C202" s="43">
        <v>1.4</v>
      </c>
      <c r="D202" s="13">
        <v>5000</v>
      </c>
      <c r="E202" s="13">
        <v>7000</v>
      </c>
    </row>
    <row r="203" spans="1:5" x14ac:dyDescent="0.35">
      <c r="A203" s="13" t="s">
        <v>326</v>
      </c>
      <c r="B203" s="13" t="s">
        <v>25</v>
      </c>
      <c r="C203" s="43">
        <v>2.95</v>
      </c>
      <c r="D203" s="13">
        <v>1000</v>
      </c>
      <c r="E203" s="13">
        <v>2950</v>
      </c>
    </row>
    <row r="204" spans="1:5" x14ac:dyDescent="0.35">
      <c r="A204" s="13" t="s">
        <v>326</v>
      </c>
      <c r="B204" s="13" t="s">
        <v>53</v>
      </c>
      <c r="C204" s="43">
        <v>1</v>
      </c>
      <c r="D204" s="13">
        <v>300</v>
      </c>
      <c r="E204" s="13">
        <v>300</v>
      </c>
    </row>
    <row r="205" spans="1:5" x14ac:dyDescent="0.35">
      <c r="A205" s="13" t="s">
        <v>326</v>
      </c>
      <c r="B205" s="13" t="s">
        <v>51</v>
      </c>
      <c r="C205" s="43">
        <v>0.9</v>
      </c>
      <c r="D205" s="13">
        <v>500</v>
      </c>
      <c r="E205" s="13">
        <v>450</v>
      </c>
    </row>
    <row r="206" spans="1:5" x14ac:dyDescent="0.35">
      <c r="A206" s="13" t="s">
        <v>326</v>
      </c>
      <c r="B206" s="13" t="s">
        <v>41</v>
      </c>
      <c r="C206" s="43">
        <v>4.8</v>
      </c>
      <c r="D206" s="13">
        <v>1000</v>
      </c>
      <c r="E206" s="13">
        <v>4800</v>
      </c>
    </row>
    <row r="207" spans="1:5" x14ac:dyDescent="0.35">
      <c r="A207" s="13" t="s">
        <v>356</v>
      </c>
      <c r="B207" s="13" t="s">
        <v>41</v>
      </c>
      <c r="C207" s="43">
        <v>17.350000000000001</v>
      </c>
      <c r="D207" s="13">
        <v>1000</v>
      </c>
      <c r="E207" s="13">
        <v>17350</v>
      </c>
    </row>
    <row r="208" spans="1:5" x14ac:dyDescent="0.35">
      <c r="A208" s="13" t="s">
        <v>356</v>
      </c>
      <c r="B208" s="13" t="s">
        <v>25</v>
      </c>
      <c r="C208" s="43">
        <v>2.2999999999999998</v>
      </c>
      <c r="D208" s="13">
        <v>1000</v>
      </c>
      <c r="E208" s="13">
        <v>2300</v>
      </c>
    </row>
    <row r="209" spans="1:5" x14ac:dyDescent="0.35">
      <c r="A209" s="13" t="s">
        <v>356</v>
      </c>
      <c r="B209" s="13" t="s">
        <v>18</v>
      </c>
      <c r="C209" s="43">
        <v>2.0499999999999998</v>
      </c>
      <c r="D209" s="13">
        <v>150</v>
      </c>
      <c r="E209" s="13">
        <v>308</v>
      </c>
    </row>
    <row r="210" spans="1:5" x14ac:dyDescent="0.35">
      <c r="A210" s="13" t="s">
        <v>356</v>
      </c>
      <c r="B210" s="13" t="s">
        <v>60</v>
      </c>
      <c r="C210" s="43">
        <v>0.5</v>
      </c>
      <c r="D210" s="13">
        <v>2500</v>
      </c>
      <c r="E210" s="13">
        <v>1250</v>
      </c>
    </row>
    <row r="211" spans="1:5" x14ac:dyDescent="0.35">
      <c r="A211" s="13" t="s">
        <v>356</v>
      </c>
      <c r="B211" s="13" t="s">
        <v>94</v>
      </c>
      <c r="C211" s="43">
        <v>4.45</v>
      </c>
      <c r="D211" s="13">
        <v>2800</v>
      </c>
      <c r="E211" s="13">
        <v>12460</v>
      </c>
    </row>
    <row r="212" spans="1:5" x14ac:dyDescent="0.35">
      <c r="A212" s="13" t="s">
        <v>356</v>
      </c>
      <c r="B212" s="13" t="s">
        <v>126</v>
      </c>
      <c r="C212" s="43">
        <v>1.55</v>
      </c>
      <c r="D212" s="13">
        <v>1800</v>
      </c>
      <c r="E212" s="13">
        <v>2790</v>
      </c>
    </row>
    <row r="213" spans="1:5" x14ac:dyDescent="0.35">
      <c r="A213" s="13" t="s">
        <v>356</v>
      </c>
      <c r="B213" s="13" t="s">
        <v>22</v>
      </c>
      <c r="C213" s="43">
        <v>1.5</v>
      </c>
      <c r="D213" s="13">
        <v>1600</v>
      </c>
      <c r="E213" s="13">
        <v>2400</v>
      </c>
    </row>
    <row r="214" spans="1:5" x14ac:dyDescent="0.35">
      <c r="A214" s="13" t="s">
        <v>356</v>
      </c>
      <c r="B214" s="13" t="s">
        <v>100</v>
      </c>
      <c r="C214" s="43">
        <v>2.95</v>
      </c>
      <c r="D214" s="13">
        <v>1400</v>
      </c>
      <c r="E214" s="13">
        <v>4130</v>
      </c>
    </row>
    <row r="215" spans="1:5" x14ac:dyDescent="0.35">
      <c r="A215" s="13" t="s">
        <v>356</v>
      </c>
      <c r="B215" s="13" t="s">
        <v>51</v>
      </c>
      <c r="C215" s="43">
        <v>7.5</v>
      </c>
      <c r="D215" s="13">
        <v>500</v>
      </c>
      <c r="E215" s="13">
        <v>3750</v>
      </c>
    </row>
    <row r="216" spans="1:5" x14ac:dyDescent="0.35">
      <c r="A216" s="13" t="s">
        <v>356</v>
      </c>
      <c r="B216" s="13" t="s">
        <v>26</v>
      </c>
      <c r="C216" s="43">
        <v>5.0999999999999996</v>
      </c>
      <c r="D216" s="13">
        <v>1000</v>
      </c>
      <c r="E216" s="13">
        <v>5100</v>
      </c>
    </row>
    <row r="217" spans="1:5" x14ac:dyDescent="0.35">
      <c r="A217" s="13" t="s">
        <v>356</v>
      </c>
      <c r="B217" s="13" t="s">
        <v>13</v>
      </c>
      <c r="C217" s="43">
        <v>0.45</v>
      </c>
      <c r="D217" s="13">
        <v>500</v>
      </c>
      <c r="E217" s="13">
        <v>225</v>
      </c>
    </row>
    <row r="218" spans="1:5" x14ac:dyDescent="0.35">
      <c r="A218" s="13" t="s">
        <v>356</v>
      </c>
      <c r="B218" s="13" t="s">
        <v>53</v>
      </c>
      <c r="C218" s="43">
        <v>2.75</v>
      </c>
      <c r="D218" s="13">
        <v>300</v>
      </c>
      <c r="E218" s="13">
        <v>825</v>
      </c>
    </row>
    <row r="219" spans="1:5" x14ac:dyDescent="0.35">
      <c r="A219" s="13" t="s">
        <v>399</v>
      </c>
      <c r="B219" s="13" t="s">
        <v>25</v>
      </c>
      <c r="C219" s="43">
        <v>1.45</v>
      </c>
      <c r="D219" s="13">
        <v>1000</v>
      </c>
      <c r="E219" s="13">
        <v>1450</v>
      </c>
    </row>
    <row r="220" spans="1:5" x14ac:dyDescent="0.35">
      <c r="A220" s="13" t="s">
        <v>399</v>
      </c>
      <c r="B220" s="13" t="s">
        <v>13</v>
      </c>
      <c r="C220" s="43">
        <v>0.35</v>
      </c>
      <c r="D220" s="13">
        <v>500</v>
      </c>
      <c r="E220" s="13">
        <v>175</v>
      </c>
    </row>
    <row r="221" spans="1:5" x14ac:dyDescent="0.35">
      <c r="A221" s="13" t="s">
        <v>399</v>
      </c>
      <c r="B221" s="13" t="s">
        <v>26</v>
      </c>
      <c r="C221" s="43">
        <v>0.3</v>
      </c>
      <c r="D221" s="13">
        <v>1000</v>
      </c>
      <c r="E221" s="13">
        <v>300</v>
      </c>
    </row>
    <row r="222" spans="1:5" x14ac:dyDescent="0.35">
      <c r="A222" s="13" t="s">
        <v>399</v>
      </c>
      <c r="B222" s="13" t="s">
        <v>53</v>
      </c>
      <c r="C222" s="43">
        <v>2.1</v>
      </c>
      <c r="D222" s="13">
        <v>300</v>
      </c>
      <c r="E222" s="13">
        <v>630</v>
      </c>
    </row>
    <row r="223" spans="1:5" x14ac:dyDescent="0.35">
      <c r="A223" s="13" t="s">
        <v>399</v>
      </c>
      <c r="B223" s="13" t="s">
        <v>51</v>
      </c>
      <c r="C223" s="43">
        <v>0.25</v>
      </c>
      <c r="D223" s="13">
        <v>500</v>
      </c>
      <c r="E223" s="13">
        <v>125</v>
      </c>
    </row>
    <row r="224" spans="1:5" x14ac:dyDescent="0.35">
      <c r="A224" s="13" t="s">
        <v>416</v>
      </c>
      <c r="B224" s="13" t="s">
        <v>60</v>
      </c>
      <c r="C224" s="43">
        <v>0.1</v>
      </c>
      <c r="D224" s="13">
        <v>2500</v>
      </c>
      <c r="E224" s="13">
        <v>250</v>
      </c>
    </row>
    <row r="225" spans="1:5" x14ac:dyDescent="0.35">
      <c r="A225" s="13" t="s">
        <v>416</v>
      </c>
      <c r="B225" s="13" t="s">
        <v>53</v>
      </c>
      <c r="C225" s="43">
        <v>0.55000000000000004</v>
      </c>
      <c r="D225" s="13">
        <v>300</v>
      </c>
      <c r="E225" s="13">
        <v>165</v>
      </c>
    </row>
    <row r="226" spans="1:5" x14ac:dyDescent="0.35">
      <c r="A226" s="13" t="s">
        <v>416</v>
      </c>
      <c r="B226" s="13" t="s">
        <v>126</v>
      </c>
      <c r="C226" s="43">
        <v>0.7</v>
      </c>
      <c r="D226" s="13">
        <v>1800</v>
      </c>
      <c r="E226" s="13">
        <v>1260</v>
      </c>
    </row>
    <row r="227" spans="1:5" x14ac:dyDescent="0.35">
      <c r="A227" s="13" t="s">
        <v>416</v>
      </c>
      <c r="B227" s="13" t="s">
        <v>26</v>
      </c>
      <c r="C227" s="43">
        <v>1.9</v>
      </c>
      <c r="D227" s="13">
        <v>1000</v>
      </c>
      <c r="E227" s="13">
        <v>1900</v>
      </c>
    </row>
    <row r="228" spans="1:5" x14ac:dyDescent="0.35">
      <c r="A228" s="13" t="s">
        <v>416</v>
      </c>
      <c r="B228" s="13" t="s">
        <v>22</v>
      </c>
      <c r="C228" s="43">
        <v>1.1000000000000001</v>
      </c>
      <c r="D228" s="13">
        <v>1600</v>
      </c>
      <c r="E228" s="13">
        <v>1760</v>
      </c>
    </row>
    <row r="229" spans="1:5" x14ac:dyDescent="0.35">
      <c r="A229" s="13" t="s">
        <v>340</v>
      </c>
      <c r="B229" s="13" t="s">
        <v>15</v>
      </c>
      <c r="C229" s="43">
        <v>8.6999999999999993</v>
      </c>
      <c r="D229" s="13">
        <v>2500</v>
      </c>
      <c r="E229" s="13">
        <v>21750</v>
      </c>
    </row>
    <row r="230" spans="1:5" x14ac:dyDescent="0.35">
      <c r="A230" s="13" t="s">
        <v>340</v>
      </c>
      <c r="B230" s="13" t="s">
        <v>53</v>
      </c>
      <c r="C230" s="43">
        <v>0.85</v>
      </c>
      <c r="D230" s="13">
        <v>300</v>
      </c>
      <c r="E230" s="13">
        <v>255</v>
      </c>
    </row>
    <row r="231" spans="1:5" x14ac:dyDescent="0.35">
      <c r="A231" s="13" t="s">
        <v>340</v>
      </c>
      <c r="B231" s="13" t="s">
        <v>25</v>
      </c>
      <c r="C231" s="43">
        <v>4.25</v>
      </c>
      <c r="D231" s="13">
        <v>1000</v>
      </c>
      <c r="E231" s="13">
        <v>4250</v>
      </c>
    </row>
    <row r="232" spans="1:5" x14ac:dyDescent="0.35">
      <c r="A232" s="13" t="s">
        <v>340</v>
      </c>
      <c r="B232" s="13" t="s">
        <v>18</v>
      </c>
      <c r="C232" s="43">
        <v>1.4</v>
      </c>
      <c r="D232" s="13">
        <v>150</v>
      </c>
      <c r="E232" s="13">
        <v>210</v>
      </c>
    </row>
    <row r="233" spans="1:5" x14ac:dyDescent="0.35">
      <c r="A233" s="13" t="s">
        <v>340</v>
      </c>
      <c r="B233" s="13" t="s">
        <v>13</v>
      </c>
      <c r="C233" s="43">
        <v>0.7</v>
      </c>
      <c r="D233" s="13">
        <v>500</v>
      </c>
      <c r="E233" s="13">
        <v>350</v>
      </c>
    </row>
    <row r="234" spans="1:5" x14ac:dyDescent="0.35">
      <c r="A234" s="13" t="s">
        <v>340</v>
      </c>
      <c r="B234" s="13" t="s">
        <v>61</v>
      </c>
      <c r="C234" s="43">
        <v>0.55000000000000004</v>
      </c>
      <c r="D234" s="13">
        <v>3500</v>
      </c>
      <c r="E234" s="13">
        <v>1925</v>
      </c>
    </row>
    <row r="235" spans="1:5" x14ac:dyDescent="0.35">
      <c r="A235" s="13" t="s">
        <v>340</v>
      </c>
      <c r="B235" s="13" t="s">
        <v>94</v>
      </c>
      <c r="C235" s="43">
        <v>3.2</v>
      </c>
      <c r="D235" s="13">
        <v>2800</v>
      </c>
      <c r="E235" s="13">
        <v>8960</v>
      </c>
    </row>
    <row r="236" spans="1:5" x14ac:dyDescent="0.35">
      <c r="A236" s="13" t="s">
        <v>340</v>
      </c>
      <c r="B236" s="13" t="s">
        <v>41</v>
      </c>
      <c r="C236" s="43">
        <v>13.05</v>
      </c>
      <c r="D236" s="13">
        <v>1000</v>
      </c>
      <c r="E236" s="13">
        <v>13050</v>
      </c>
    </row>
    <row r="237" spans="1:5" x14ac:dyDescent="0.35">
      <c r="A237" s="13" t="s">
        <v>354</v>
      </c>
      <c r="B237" s="13" t="s">
        <v>39</v>
      </c>
      <c r="C237" s="43">
        <v>0.55000000000000004</v>
      </c>
      <c r="D237" s="13">
        <v>1500</v>
      </c>
      <c r="E237" s="13">
        <v>825</v>
      </c>
    </row>
    <row r="238" spans="1:5" x14ac:dyDescent="0.35">
      <c r="A238" s="13" t="s">
        <v>354</v>
      </c>
      <c r="B238" s="13" t="s">
        <v>18</v>
      </c>
      <c r="C238" s="43">
        <v>1.4</v>
      </c>
      <c r="D238" s="13">
        <v>150</v>
      </c>
      <c r="E238" s="13">
        <v>210</v>
      </c>
    </row>
    <row r="239" spans="1:5" x14ac:dyDescent="0.35">
      <c r="A239" s="13" t="s">
        <v>354</v>
      </c>
      <c r="B239" s="13" t="s">
        <v>41</v>
      </c>
      <c r="C239" s="43">
        <v>0.95</v>
      </c>
      <c r="D239" s="13">
        <v>1000</v>
      </c>
      <c r="E239" s="13">
        <v>950</v>
      </c>
    </row>
    <row r="240" spans="1:5" x14ac:dyDescent="0.35">
      <c r="A240" s="13" t="s">
        <v>354</v>
      </c>
      <c r="B240" s="13" t="s">
        <v>25</v>
      </c>
      <c r="C240" s="43">
        <v>0.85</v>
      </c>
      <c r="D240" s="13">
        <v>1000</v>
      </c>
      <c r="E240" s="13">
        <v>850</v>
      </c>
    </row>
    <row r="241" spans="1:5" x14ac:dyDescent="0.35">
      <c r="A241" s="13" t="s">
        <v>354</v>
      </c>
      <c r="B241" s="13" t="s">
        <v>13</v>
      </c>
      <c r="C241" s="43">
        <v>0.15</v>
      </c>
      <c r="D241" s="13">
        <v>500</v>
      </c>
      <c r="E241" s="13">
        <v>75</v>
      </c>
    </row>
    <row r="242" spans="1:5" x14ac:dyDescent="0.35">
      <c r="A242" s="13" t="s">
        <v>354</v>
      </c>
      <c r="B242" s="13" t="s">
        <v>94</v>
      </c>
      <c r="C242" s="43">
        <v>1.05</v>
      </c>
      <c r="D242" s="13">
        <v>2800</v>
      </c>
      <c r="E242" s="13">
        <v>2940</v>
      </c>
    </row>
    <row r="243" spans="1:5" x14ac:dyDescent="0.35">
      <c r="A243" s="13" t="s">
        <v>361</v>
      </c>
      <c r="B243" s="13" t="s">
        <v>53</v>
      </c>
      <c r="C243" s="43">
        <v>6.15</v>
      </c>
      <c r="D243" s="13">
        <v>300</v>
      </c>
      <c r="E243" s="13">
        <v>1845</v>
      </c>
    </row>
    <row r="244" spans="1:5" x14ac:dyDescent="0.35">
      <c r="A244" s="13" t="s">
        <v>361</v>
      </c>
      <c r="B244" s="13" t="s">
        <v>128</v>
      </c>
      <c r="C244" s="43">
        <v>0.35</v>
      </c>
      <c r="D244" s="13">
        <v>3500</v>
      </c>
      <c r="E244" s="13">
        <v>1225</v>
      </c>
    </row>
    <row r="245" spans="1:5" x14ac:dyDescent="0.35">
      <c r="A245" s="13" t="s">
        <v>361</v>
      </c>
      <c r="B245" s="13" t="s">
        <v>94</v>
      </c>
      <c r="C245" s="43">
        <v>2.35</v>
      </c>
      <c r="D245" s="13">
        <v>2800</v>
      </c>
      <c r="E245" s="13">
        <v>6580</v>
      </c>
    </row>
    <row r="246" spans="1:5" x14ac:dyDescent="0.35">
      <c r="A246" s="13" t="s">
        <v>361</v>
      </c>
      <c r="B246" s="13" t="s">
        <v>39</v>
      </c>
      <c r="C246" s="43">
        <v>1.45</v>
      </c>
      <c r="D246" s="13">
        <v>1500</v>
      </c>
      <c r="E246" s="13">
        <v>2175</v>
      </c>
    </row>
    <row r="247" spans="1:5" x14ac:dyDescent="0.35">
      <c r="A247" s="13" t="s">
        <v>361</v>
      </c>
      <c r="B247" s="13" t="s">
        <v>26</v>
      </c>
      <c r="C247" s="43">
        <v>1.3</v>
      </c>
      <c r="D247" s="13">
        <v>1000</v>
      </c>
      <c r="E247" s="13">
        <v>1300</v>
      </c>
    </row>
    <row r="248" spans="1:5" x14ac:dyDescent="0.35">
      <c r="A248" s="13" t="s">
        <v>361</v>
      </c>
      <c r="B248" s="13" t="s">
        <v>25</v>
      </c>
      <c r="C248" s="43">
        <v>1.4</v>
      </c>
      <c r="D248" s="13">
        <v>1000</v>
      </c>
      <c r="E248" s="13">
        <v>1400</v>
      </c>
    </row>
    <row r="249" spans="1:5" x14ac:dyDescent="0.35">
      <c r="A249" s="13" t="s">
        <v>361</v>
      </c>
      <c r="B249" s="13" t="s">
        <v>51</v>
      </c>
      <c r="C249" s="43">
        <v>9.6</v>
      </c>
      <c r="D249" s="13">
        <v>500</v>
      </c>
      <c r="E249" s="13">
        <v>4800</v>
      </c>
    </row>
    <row r="250" spans="1:5" x14ac:dyDescent="0.35">
      <c r="A250" s="13" t="s">
        <v>361</v>
      </c>
      <c r="B250" s="13" t="s">
        <v>41</v>
      </c>
      <c r="C250" s="43">
        <v>14.55</v>
      </c>
      <c r="D250" s="13">
        <v>1000</v>
      </c>
      <c r="E250" s="13">
        <v>14550</v>
      </c>
    </row>
    <row r="251" spans="1:5" x14ac:dyDescent="0.35">
      <c r="A251" s="13" t="s">
        <v>403</v>
      </c>
      <c r="B251" s="13" t="s">
        <v>54</v>
      </c>
      <c r="C251" s="43">
        <v>0.3</v>
      </c>
      <c r="D251" s="13">
        <v>800</v>
      </c>
      <c r="E251" s="13">
        <v>240</v>
      </c>
    </row>
    <row r="252" spans="1:5" x14ac:dyDescent="0.35">
      <c r="A252" s="13" t="s">
        <v>403</v>
      </c>
      <c r="B252" s="13" t="s">
        <v>53</v>
      </c>
      <c r="C252" s="43">
        <v>0.35</v>
      </c>
      <c r="D252" s="13">
        <v>300</v>
      </c>
      <c r="E252" s="13">
        <v>105</v>
      </c>
    </row>
    <row r="253" spans="1:5" x14ac:dyDescent="0.35">
      <c r="A253" s="13" t="s">
        <v>403</v>
      </c>
      <c r="B253" s="13" t="s">
        <v>51</v>
      </c>
      <c r="C253" s="43">
        <v>0.8</v>
      </c>
      <c r="D253" s="13">
        <v>500</v>
      </c>
      <c r="E253" s="13">
        <v>400</v>
      </c>
    </row>
    <row r="254" spans="1:5" x14ac:dyDescent="0.35">
      <c r="A254" s="13" t="s">
        <v>403</v>
      </c>
      <c r="B254" s="13" t="s">
        <v>25</v>
      </c>
      <c r="C254" s="43">
        <v>0.75</v>
      </c>
      <c r="D254" s="13">
        <v>1000</v>
      </c>
      <c r="E254" s="13">
        <v>750</v>
      </c>
    </row>
    <row r="255" spans="1:5" x14ac:dyDescent="0.35">
      <c r="A255" s="13" t="s">
        <v>403</v>
      </c>
      <c r="B255" s="13" t="s">
        <v>41</v>
      </c>
      <c r="C255" s="43">
        <v>4.25</v>
      </c>
      <c r="D255" s="13">
        <v>1000</v>
      </c>
      <c r="E255" s="13">
        <v>4250</v>
      </c>
    </row>
    <row r="256" spans="1:5" x14ac:dyDescent="0.35">
      <c r="A256" s="13" t="s">
        <v>403</v>
      </c>
      <c r="B256" s="13" t="s">
        <v>94</v>
      </c>
      <c r="C256" s="43">
        <v>0.7</v>
      </c>
      <c r="D256" s="13">
        <v>2800</v>
      </c>
      <c r="E256" s="13">
        <v>1960</v>
      </c>
    </row>
    <row r="257" spans="1:5" x14ac:dyDescent="0.35">
      <c r="A257" s="13" t="s">
        <v>401</v>
      </c>
      <c r="B257" s="13" t="s">
        <v>26</v>
      </c>
      <c r="C257" s="43">
        <v>0.2</v>
      </c>
      <c r="D257" s="13">
        <v>1000</v>
      </c>
      <c r="E257" s="13">
        <v>200</v>
      </c>
    </row>
    <row r="258" spans="1:5" x14ac:dyDescent="0.35">
      <c r="A258" s="13" t="s">
        <v>401</v>
      </c>
      <c r="B258" s="13" t="s">
        <v>39</v>
      </c>
      <c r="C258" s="43">
        <v>0.7</v>
      </c>
      <c r="D258" s="13">
        <v>1500</v>
      </c>
      <c r="E258" s="13">
        <v>1050</v>
      </c>
    </row>
    <row r="259" spans="1:5" x14ac:dyDescent="0.35">
      <c r="A259" s="13" t="s">
        <v>401</v>
      </c>
      <c r="B259" s="13" t="s">
        <v>94</v>
      </c>
      <c r="C259" s="43">
        <v>0.75</v>
      </c>
      <c r="D259" s="13">
        <v>2800</v>
      </c>
      <c r="E259" s="13">
        <v>2100</v>
      </c>
    </row>
    <row r="260" spans="1:5" x14ac:dyDescent="0.35">
      <c r="A260" s="13" t="s">
        <v>401</v>
      </c>
      <c r="B260" s="13" t="s">
        <v>13</v>
      </c>
      <c r="C260" s="43">
        <v>0.95</v>
      </c>
      <c r="D260" s="13">
        <v>500</v>
      </c>
      <c r="E260" s="13">
        <v>475</v>
      </c>
    </row>
    <row r="261" spans="1:5" x14ac:dyDescent="0.35">
      <c r="A261" s="13" t="s">
        <v>401</v>
      </c>
      <c r="B261" s="13" t="s">
        <v>25</v>
      </c>
      <c r="C261" s="43">
        <v>1.6</v>
      </c>
      <c r="D261" s="13">
        <v>1000</v>
      </c>
      <c r="E261" s="13">
        <v>1600</v>
      </c>
    </row>
    <row r="262" spans="1:5" x14ac:dyDescent="0.35">
      <c r="A262" s="13" t="s">
        <v>401</v>
      </c>
      <c r="B262" s="13" t="s">
        <v>53</v>
      </c>
      <c r="C262" s="43">
        <v>1.35</v>
      </c>
      <c r="D262" s="13">
        <v>300</v>
      </c>
      <c r="E262" s="13">
        <v>405</v>
      </c>
    </row>
    <row r="263" spans="1:5" x14ac:dyDescent="0.35">
      <c r="A263" s="13" t="s">
        <v>401</v>
      </c>
      <c r="B263" s="13" t="s">
        <v>51</v>
      </c>
      <c r="C263" s="43">
        <v>1.95</v>
      </c>
      <c r="D263" s="13">
        <v>500</v>
      </c>
      <c r="E263" s="13">
        <v>975</v>
      </c>
    </row>
    <row r="264" spans="1:5" x14ac:dyDescent="0.35">
      <c r="A264" s="13" t="s">
        <v>401</v>
      </c>
      <c r="B264" s="13" t="s">
        <v>41</v>
      </c>
      <c r="C264" s="43">
        <v>4.3</v>
      </c>
      <c r="D264" s="13">
        <v>1000</v>
      </c>
      <c r="E264" s="13">
        <v>4300</v>
      </c>
    </row>
    <row r="265" spans="1:5" x14ac:dyDescent="0.35">
      <c r="A265" s="13" t="s">
        <v>359</v>
      </c>
      <c r="B265" s="13" t="s">
        <v>39</v>
      </c>
      <c r="C265" s="43">
        <v>0.15</v>
      </c>
      <c r="D265" s="13">
        <v>1500</v>
      </c>
      <c r="E265" s="13">
        <v>225</v>
      </c>
    </row>
    <row r="266" spans="1:5" x14ac:dyDescent="0.35">
      <c r="A266" s="13" t="s">
        <v>359</v>
      </c>
      <c r="B266" s="13" t="s">
        <v>128</v>
      </c>
      <c r="C266" s="43">
        <v>0.1</v>
      </c>
      <c r="D266" s="13">
        <v>3500</v>
      </c>
      <c r="E266" s="13">
        <v>350</v>
      </c>
    </row>
    <row r="267" spans="1:5" x14ac:dyDescent="0.35">
      <c r="A267" s="13" t="s">
        <v>359</v>
      </c>
      <c r="B267" s="13" t="s">
        <v>18</v>
      </c>
      <c r="C267" s="43">
        <v>0.75</v>
      </c>
      <c r="D267" s="13">
        <v>150</v>
      </c>
      <c r="E267" s="13">
        <v>113</v>
      </c>
    </row>
    <row r="268" spans="1:5" x14ac:dyDescent="0.35">
      <c r="A268" s="13" t="s">
        <v>359</v>
      </c>
      <c r="B268" s="13" t="s">
        <v>60</v>
      </c>
      <c r="C268" s="43">
        <v>0.1</v>
      </c>
      <c r="D268" s="13">
        <v>2500</v>
      </c>
      <c r="E268" s="13">
        <v>250</v>
      </c>
    </row>
    <row r="269" spans="1:5" x14ac:dyDescent="0.35">
      <c r="A269" s="13" t="s">
        <v>359</v>
      </c>
      <c r="B269" s="13" t="s">
        <v>25</v>
      </c>
      <c r="C269" s="43">
        <v>0.6</v>
      </c>
      <c r="D269" s="13">
        <v>1000</v>
      </c>
      <c r="E269" s="13">
        <v>600</v>
      </c>
    </row>
    <row r="270" spans="1:5" x14ac:dyDescent="0.35">
      <c r="A270" s="13" t="s">
        <v>359</v>
      </c>
      <c r="B270" s="13" t="s">
        <v>41</v>
      </c>
      <c r="C270" s="43">
        <v>3</v>
      </c>
      <c r="D270" s="13">
        <v>1000</v>
      </c>
      <c r="E270" s="13">
        <v>3000</v>
      </c>
    </row>
    <row r="271" spans="1:5" x14ac:dyDescent="0.35">
      <c r="A271" s="13" t="s">
        <v>359</v>
      </c>
      <c r="B271" s="13" t="s">
        <v>51</v>
      </c>
      <c r="C271" s="43">
        <v>0.7</v>
      </c>
      <c r="D271" s="13">
        <v>500</v>
      </c>
      <c r="E271" s="13">
        <v>350</v>
      </c>
    </row>
    <row r="272" spans="1:5" x14ac:dyDescent="0.35">
      <c r="A272" s="13" t="s">
        <v>359</v>
      </c>
      <c r="B272" s="13" t="s">
        <v>94</v>
      </c>
      <c r="C272" s="43">
        <v>1.4</v>
      </c>
      <c r="D272" s="13">
        <v>2800</v>
      </c>
      <c r="E272" s="13">
        <v>3920</v>
      </c>
    </row>
    <row r="273" spans="1:5" x14ac:dyDescent="0.35">
      <c r="A273" s="13" t="s">
        <v>359</v>
      </c>
      <c r="B273" s="13" t="s">
        <v>53</v>
      </c>
      <c r="C273" s="43">
        <v>0.75</v>
      </c>
      <c r="D273" s="13">
        <v>300</v>
      </c>
      <c r="E273" s="13">
        <v>225</v>
      </c>
    </row>
    <row r="274" spans="1:5" x14ac:dyDescent="0.35">
      <c r="A274" s="13" t="s">
        <v>363</v>
      </c>
      <c r="B274" s="13" t="s">
        <v>41</v>
      </c>
      <c r="C274" s="43">
        <v>3.75</v>
      </c>
      <c r="D274" s="13">
        <v>1000</v>
      </c>
      <c r="E274" s="13">
        <v>3750</v>
      </c>
    </row>
    <row r="275" spans="1:5" x14ac:dyDescent="0.35">
      <c r="A275" s="13" t="s">
        <v>363</v>
      </c>
      <c r="B275" s="13" t="s">
        <v>60</v>
      </c>
      <c r="C275" s="43">
        <v>0.1</v>
      </c>
      <c r="D275" s="13">
        <v>2500</v>
      </c>
      <c r="E275" s="13">
        <v>250</v>
      </c>
    </row>
    <row r="276" spans="1:5" x14ac:dyDescent="0.35">
      <c r="A276" s="13" t="s">
        <v>363</v>
      </c>
      <c r="B276" s="13" t="s">
        <v>25</v>
      </c>
      <c r="C276" s="43">
        <v>0.35</v>
      </c>
      <c r="D276" s="13">
        <v>1000</v>
      </c>
      <c r="E276" s="13">
        <v>350</v>
      </c>
    </row>
    <row r="277" spans="1:5" x14ac:dyDescent="0.35">
      <c r="A277" s="13" t="s">
        <v>363</v>
      </c>
      <c r="B277" s="13" t="s">
        <v>26</v>
      </c>
      <c r="C277" s="43">
        <v>0.6</v>
      </c>
      <c r="D277" s="13">
        <v>1000</v>
      </c>
      <c r="E277" s="13">
        <v>600</v>
      </c>
    </row>
    <row r="278" spans="1:5" x14ac:dyDescent="0.35">
      <c r="A278" s="13" t="s">
        <v>363</v>
      </c>
      <c r="B278" s="13" t="s">
        <v>53</v>
      </c>
      <c r="C278" s="43">
        <v>0.65</v>
      </c>
      <c r="D278" s="13">
        <v>300</v>
      </c>
      <c r="E278" s="13">
        <v>195</v>
      </c>
    </row>
    <row r="279" spans="1:5" x14ac:dyDescent="0.35">
      <c r="A279" s="13" t="s">
        <v>363</v>
      </c>
      <c r="B279" s="13" t="s">
        <v>54</v>
      </c>
      <c r="C279" s="43">
        <v>0.2</v>
      </c>
      <c r="D279" s="13">
        <v>800</v>
      </c>
      <c r="E279" s="13">
        <v>160</v>
      </c>
    </row>
    <row r="280" spans="1:5" x14ac:dyDescent="0.35">
      <c r="A280" s="13" t="s">
        <v>363</v>
      </c>
      <c r="B280" s="13" t="s">
        <v>25</v>
      </c>
      <c r="C280" s="43">
        <v>0.25</v>
      </c>
      <c r="D280" s="13">
        <v>1000</v>
      </c>
      <c r="E280" s="13">
        <v>250</v>
      </c>
    </row>
    <row r="281" spans="1:5" x14ac:dyDescent="0.35">
      <c r="A281" s="13" t="s">
        <v>363</v>
      </c>
      <c r="B281" s="13" t="s">
        <v>13</v>
      </c>
      <c r="C281" s="43">
        <v>0.3</v>
      </c>
      <c r="D281" s="13">
        <v>500</v>
      </c>
      <c r="E281" s="13">
        <v>150</v>
      </c>
    </row>
    <row r="282" spans="1:5" x14ac:dyDescent="0.35">
      <c r="A282" s="13" t="s">
        <v>363</v>
      </c>
      <c r="B282" s="13" t="s">
        <v>51</v>
      </c>
      <c r="C282" s="43">
        <v>0.25</v>
      </c>
      <c r="D282" s="13">
        <v>500</v>
      </c>
      <c r="E282" s="13">
        <v>125</v>
      </c>
    </row>
    <row r="283" spans="1:5" x14ac:dyDescent="0.35">
      <c r="A283" s="13" t="s">
        <v>318</v>
      </c>
      <c r="B283" s="13" t="s">
        <v>25</v>
      </c>
      <c r="C283" s="43">
        <v>1.25</v>
      </c>
      <c r="D283" s="13">
        <v>1000</v>
      </c>
      <c r="E283" s="13">
        <v>1250</v>
      </c>
    </row>
    <row r="284" spans="1:5" x14ac:dyDescent="0.35">
      <c r="A284" s="13" t="s">
        <v>318</v>
      </c>
      <c r="B284" s="13" t="s">
        <v>60</v>
      </c>
      <c r="C284" s="43">
        <v>0.45</v>
      </c>
      <c r="D284" s="13">
        <v>2500</v>
      </c>
      <c r="E284" s="13">
        <v>1125</v>
      </c>
    </row>
    <row r="285" spans="1:5" x14ac:dyDescent="0.35">
      <c r="A285" s="13" t="s">
        <v>318</v>
      </c>
      <c r="B285" s="13" t="s">
        <v>51</v>
      </c>
      <c r="C285" s="43">
        <v>0.75</v>
      </c>
      <c r="D285" s="13">
        <v>500</v>
      </c>
      <c r="E285" s="13">
        <v>375</v>
      </c>
    </row>
    <row r="286" spans="1:5" x14ac:dyDescent="0.35">
      <c r="A286" s="13" t="s">
        <v>318</v>
      </c>
      <c r="B286" s="13" t="s">
        <v>53</v>
      </c>
      <c r="C286" s="43">
        <v>0.55000000000000004</v>
      </c>
      <c r="D286" s="13">
        <v>300</v>
      </c>
      <c r="E286" s="13">
        <v>165</v>
      </c>
    </row>
    <row r="287" spans="1:5" x14ac:dyDescent="0.35">
      <c r="A287" s="13" t="s">
        <v>318</v>
      </c>
      <c r="B287" s="13" t="s">
        <v>94</v>
      </c>
      <c r="C287" s="43">
        <v>4.45</v>
      </c>
      <c r="D287" s="13">
        <v>2800</v>
      </c>
      <c r="E287" s="13">
        <v>12460</v>
      </c>
    </row>
    <row r="288" spans="1:5" x14ac:dyDescent="0.35">
      <c r="A288" s="13" t="s">
        <v>337</v>
      </c>
      <c r="B288" s="13" t="s">
        <v>41</v>
      </c>
      <c r="C288" s="43">
        <v>5.2</v>
      </c>
      <c r="D288" s="13">
        <v>1000</v>
      </c>
      <c r="E288" s="13">
        <v>5200</v>
      </c>
    </row>
    <row r="289" spans="1:5" x14ac:dyDescent="0.35">
      <c r="A289" s="13" t="s">
        <v>337</v>
      </c>
      <c r="B289" s="13" t="s">
        <v>25</v>
      </c>
      <c r="C289" s="43">
        <v>0.35</v>
      </c>
      <c r="D289" s="13">
        <v>1000</v>
      </c>
      <c r="E289" s="13">
        <v>350</v>
      </c>
    </row>
    <row r="290" spans="1:5" x14ac:dyDescent="0.35">
      <c r="A290" s="13" t="s">
        <v>337</v>
      </c>
      <c r="B290" s="13" t="s">
        <v>60</v>
      </c>
      <c r="C290" s="43">
        <v>0.1</v>
      </c>
      <c r="D290" s="13">
        <v>2500</v>
      </c>
      <c r="E290" s="13">
        <v>250</v>
      </c>
    </row>
    <row r="291" spans="1:5" x14ac:dyDescent="0.35">
      <c r="A291" s="13" t="s">
        <v>337</v>
      </c>
      <c r="B291" s="13" t="s">
        <v>51</v>
      </c>
      <c r="C291" s="43">
        <v>0.65</v>
      </c>
      <c r="D291" s="13">
        <v>500</v>
      </c>
      <c r="E291" s="13">
        <v>325</v>
      </c>
    </row>
    <row r="292" spans="1:5" x14ac:dyDescent="0.35">
      <c r="A292" s="13" t="s">
        <v>337</v>
      </c>
      <c r="B292" s="13" t="s">
        <v>94</v>
      </c>
      <c r="C292" s="43">
        <v>1.4</v>
      </c>
      <c r="D292" s="13">
        <v>2800</v>
      </c>
      <c r="E292" s="13">
        <v>3920</v>
      </c>
    </row>
    <row r="293" spans="1:5" x14ac:dyDescent="0.35">
      <c r="A293" s="13" t="s">
        <v>337</v>
      </c>
      <c r="B293" s="13" t="s">
        <v>13</v>
      </c>
      <c r="C293" s="43">
        <v>0.65</v>
      </c>
      <c r="D293" s="13">
        <v>500</v>
      </c>
      <c r="E293" s="13">
        <v>325</v>
      </c>
    </row>
    <row r="294" spans="1:5" x14ac:dyDescent="0.35">
      <c r="A294" s="13" t="s">
        <v>337</v>
      </c>
      <c r="B294" s="13" t="s">
        <v>53</v>
      </c>
      <c r="C294" s="43">
        <v>2.5</v>
      </c>
      <c r="D294" s="13">
        <v>300</v>
      </c>
      <c r="E294" s="13">
        <v>750</v>
      </c>
    </row>
    <row r="295" spans="1:5" x14ac:dyDescent="0.35">
      <c r="A295" s="13" t="s">
        <v>417</v>
      </c>
      <c r="B295" s="13" t="s">
        <v>25</v>
      </c>
      <c r="C295" s="43">
        <v>1.3</v>
      </c>
      <c r="D295" s="13">
        <v>1000</v>
      </c>
      <c r="E295" s="13">
        <v>1300</v>
      </c>
    </row>
    <row r="296" spans="1:5" x14ac:dyDescent="0.35">
      <c r="A296" s="13" t="s">
        <v>417</v>
      </c>
      <c r="B296" s="13" t="s">
        <v>13</v>
      </c>
      <c r="C296" s="43">
        <v>0.1</v>
      </c>
      <c r="D296" s="13">
        <v>500</v>
      </c>
      <c r="E296" s="13">
        <v>50</v>
      </c>
    </row>
    <row r="297" spans="1:5" x14ac:dyDescent="0.35">
      <c r="A297" s="13" t="s">
        <v>417</v>
      </c>
      <c r="B297" s="13" t="s">
        <v>18</v>
      </c>
      <c r="C297" s="43">
        <v>1.35</v>
      </c>
      <c r="D297" s="13">
        <v>150</v>
      </c>
      <c r="E297" s="13">
        <v>203</v>
      </c>
    </row>
    <row r="298" spans="1:5" x14ac:dyDescent="0.35">
      <c r="A298" s="13" t="s">
        <v>417</v>
      </c>
      <c r="B298" s="13" t="s">
        <v>34</v>
      </c>
      <c r="C298" s="43">
        <v>0.85</v>
      </c>
      <c r="D298" s="13">
        <v>5000</v>
      </c>
      <c r="E298" s="13">
        <v>4250</v>
      </c>
    </row>
    <row r="299" spans="1:5" x14ac:dyDescent="0.35">
      <c r="A299" s="13" t="s">
        <v>346</v>
      </c>
      <c r="B299" s="13" t="s">
        <v>13</v>
      </c>
      <c r="C299" s="43">
        <v>0.25</v>
      </c>
      <c r="D299" s="13">
        <v>500</v>
      </c>
      <c r="E299" s="13">
        <v>125</v>
      </c>
    </row>
    <row r="300" spans="1:5" x14ac:dyDescent="0.35">
      <c r="A300" s="13" t="s">
        <v>346</v>
      </c>
      <c r="B300" s="13" t="s">
        <v>53</v>
      </c>
      <c r="C300" s="43">
        <v>0.45</v>
      </c>
      <c r="D300" s="13">
        <v>300</v>
      </c>
      <c r="E300" s="13">
        <v>135</v>
      </c>
    </row>
    <row r="301" spans="1:5" x14ac:dyDescent="0.35">
      <c r="A301" s="13" t="s">
        <v>346</v>
      </c>
      <c r="B301" s="13" t="s">
        <v>60</v>
      </c>
      <c r="C301" s="43">
        <v>0.25</v>
      </c>
      <c r="D301" s="13">
        <v>2500</v>
      </c>
      <c r="E301" s="13">
        <v>625</v>
      </c>
    </row>
    <row r="302" spans="1:5" x14ac:dyDescent="0.35">
      <c r="A302" s="13" t="s">
        <v>346</v>
      </c>
      <c r="B302" s="13" t="s">
        <v>128</v>
      </c>
      <c r="C302" s="43">
        <v>0.15</v>
      </c>
      <c r="D302" s="13">
        <v>3500</v>
      </c>
      <c r="E302" s="13">
        <v>525</v>
      </c>
    </row>
    <row r="303" spans="1:5" x14ac:dyDescent="0.35">
      <c r="A303" s="13" t="s">
        <v>346</v>
      </c>
      <c r="B303" s="13" t="s">
        <v>94</v>
      </c>
      <c r="C303" s="43">
        <v>1.2</v>
      </c>
      <c r="D303" s="13">
        <v>2800</v>
      </c>
      <c r="E303" s="13">
        <v>3360</v>
      </c>
    </row>
    <row r="304" spans="1:5" x14ac:dyDescent="0.35">
      <c r="A304" s="13" t="s">
        <v>346</v>
      </c>
      <c r="B304" s="13" t="s">
        <v>41</v>
      </c>
      <c r="C304" s="43">
        <v>3.95</v>
      </c>
      <c r="D304" s="13">
        <v>1000</v>
      </c>
      <c r="E304" s="13">
        <v>3950</v>
      </c>
    </row>
    <row r="305" spans="1:5" x14ac:dyDescent="0.35">
      <c r="A305" s="13" t="s">
        <v>358</v>
      </c>
      <c r="B305" s="13" t="s">
        <v>41</v>
      </c>
      <c r="C305" s="43">
        <v>4.05</v>
      </c>
      <c r="D305" s="13">
        <v>1000</v>
      </c>
      <c r="E305" s="13">
        <v>4050</v>
      </c>
    </row>
    <row r="306" spans="1:5" x14ac:dyDescent="0.35">
      <c r="A306" s="13" t="s">
        <v>358</v>
      </c>
      <c r="B306" s="13" t="s">
        <v>51</v>
      </c>
      <c r="C306" s="43">
        <v>1.1000000000000001</v>
      </c>
      <c r="D306" s="13">
        <v>500</v>
      </c>
      <c r="E306" s="13">
        <v>550</v>
      </c>
    </row>
    <row r="307" spans="1:5" x14ac:dyDescent="0.35">
      <c r="A307" s="13" t="s">
        <v>358</v>
      </c>
      <c r="B307" s="13" t="s">
        <v>39</v>
      </c>
      <c r="C307" s="43">
        <v>0.6</v>
      </c>
      <c r="D307" s="13">
        <v>1500</v>
      </c>
      <c r="E307" s="13">
        <v>900</v>
      </c>
    </row>
    <row r="308" spans="1:5" x14ac:dyDescent="0.35">
      <c r="A308" s="13" t="s">
        <v>358</v>
      </c>
      <c r="B308" s="13" t="s">
        <v>18</v>
      </c>
      <c r="C308" s="43">
        <v>2.6</v>
      </c>
      <c r="D308" s="13">
        <v>150</v>
      </c>
      <c r="E308" s="13">
        <v>390</v>
      </c>
    </row>
    <row r="309" spans="1:5" x14ac:dyDescent="0.35">
      <c r="A309" s="13" t="s">
        <v>358</v>
      </c>
      <c r="B309" s="13" t="s">
        <v>60</v>
      </c>
      <c r="C309" s="43">
        <v>0.25</v>
      </c>
      <c r="D309" s="13">
        <v>2500</v>
      </c>
      <c r="E309" s="13">
        <v>625</v>
      </c>
    </row>
    <row r="310" spans="1:5" x14ac:dyDescent="0.35">
      <c r="A310" s="13" t="s">
        <v>358</v>
      </c>
      <c r="B310" s="13" t="s">
        <v>94</v>
      </c>
      <c r="C310" s="43">
        <v>1.85</v>
      </c>
      <c r="D310" s="13">
        <v>2800</v>
      </c>
      <c r="E310" s="13">
        <v>5180</v>
      </c>
    </row>
    <row r="311" spans="1:5" x14ac:dyDescent="0.35">
      <c r="A311" s="13" t="s">
        <v>358</v>
      </c>
      <c r="B311" s="13" t="s">
        <v>25</v>
      </c>
      <c r="C311" s="43">
        <v>1.45</v>
      </c>
      <c r="D311" s="13">
        <v>1000</v>
      </c>
      <c r="E311" s="13">
        <v>1450</v>
      </c>
    </row>
    <row r="312" spans="1:5" x14ac:dyDescent="0.35">
      <c r="A312" s="13" t="s">
        <v>358</v>
      </c>
      <c r="B312" s="13" t="s">
        <v>53</v>
      </c>
      <c r="C312" s="43">
        <v>1.9</v>
      </c>
      <c r="D312" s="13">
        <v>300</v>
      </c>
      <c r="E312" s="13">
        <v>570</v>
      </c>
    </row>
    <row r="313" spans="1:5" x14ac:dyDescent="0.35">
      <c r="A313" s="13" t="s">
        <v>364</v>
      </c>
      <c r="B313" s="13" t="s">
        <v>41</v>
      </c>
      <c r="C313" s="43">
        <v>3.65</v>
      </c>
      <c r="D313" s="13">
        <v>1000</v>
      </c>
      <c r="E313" s="13">
        <v>3650</v>
      </c>
    </row>
    <row r="314" spans="1:5" x14ac:dyDescent="0.35">
      <c r="A314" s="13" t="s">
        <v>364</v>
      </c>
      <c r="B314" s="13" t="s">
        <v>15</v>
      </c>
      <c r="C314" s="43">
        <v>7.15</v>
      </c>
      <c r="D314" s="13">
        <v>2500</v>
      </c>
      <c r="E314" s="13">
        <v>17875</v>
      </c>
    </row>
    <row r="315" spans="1:5" x14ac:dyDescent="0.35">
      <c r="A315" s="13" t="s">
        <v>364</v>
      </c>
      <c r="B315" s="13" t="s">
        <v>13</v>
      </c>
      <c r="C315" s="43">
        <v>0.15</v>
      </c>
      <c r="D315" s="13">
        <v>500</v>
      </c>
      <c r="E315" s="13">
        <v>75</v>
      </c>
    </row>
    <row r="316" spans="1:5" x14ac:dyDescent="0.35">
      <c r="A316" s="13" t="s">
        <v>364</v>
      </c>
      <c r="B316" s="13" t="s">
        <v>39</v>
      </c>
      <c r="C316" s="43">
        <v>0.5</v>
      </c>
      <c r="D316" s="13">
        <v>1500</v>
      </c>
      <c r="E316" s="13">
        <v>750</v>
      </c>
    </row>
    <row r="317" spans="1:5" x14ac:dyDescent="0.35">
      <c r="A317" s="13" t="s">
        <v>364</v>
      </c>
      <c r="B317" s="13" t="s">
        <v>60</v>
      </c>
      <c r="C317" s="43">
        <v>0.2</v>
      </c>
      <c r="D317" s="13">
        <v>2500</v>
      </c>
      <c r="E317" s="13">
        <v>500</v>
      </c>
    </row>
    <row r="318" spans="1:5" x14ac:dyDescent="0.35">
      <c r="A318" s="13" t="s">
        <v>364</v>
      </c>
      <c r="B318" s="13" t="s">
        <v>53</v>
      </c>
      <c r="C318" s="43">
        <v>0.2</v>
      </c>
      <c r="D318" s="13">
        <v>300</v>
      </c>
      <c r="E318" s="13">
        <v>60</v>
      </c>
    </row>
    <row r="319" spans="1:5" x14ac:dyDescent="0.35">
      <c r="A319" s="13" t="s">
        <v>364</v>
      </c>
      <c r="B319" s="13" t="s">
        <v>34</v>
      </c>
      <c r="C319" s="43">
        <v>1.05</v>
      </c>
      <c r="D319" s="13">
        <v>5000</v>
      </c>
      <c r="E319" s="13">
        <v>5250</v>
      </c>
    </row>
    <row r="320" spans="1:5" x14ac:dyDescent="0.35">
      <c r="A320" s="13" t="s">
        <v>364</v>
      </c>
      <c r="B320" s="13" t="s">
        <v>25</v>
      </c>
      <c r="C320" s="43">
        <v>0.4</v>
      </c>
      <c r="D320" s="13">
        <v>1000</v>
      </c>
      <c r="E320" s="13">
        <v>400</v>
      </c>
    </row>
    <row r="321" spans="1:5" x14ac:dyDescent="0.35">
      <c r="A321" s="13" t="s">
        <v>364</v>
      </c>
      <c r="B321" s="13" t="s">
        <v>94</v>
      </c>
      <c r="C321" s="43">
        <v>2.1</v>
      </c>
      <c r="D321" s="13">
        <v>2800</v>
      </c>
      <c r="E321" s="13">
        <v>5880</v>
      </c>
    </row>
    <row r="322" spans="1:5" x14ac:dyDescent="0.35">
      <c r="A322" s="14" t="s">
        <v>419</v>
      </c>
      <c r="B322" s="13" t="s">
        <v>53</v>
      </c>
      <c r="C322" s="43">
        <v>18</v>
      </c>
      <c r="D322" s="13">
        <v>300</v>
      </c>
      <c r="E322" s="13">
        <f>C322*D322</f>
        <v>5400</v>
      </c>
    </row>
    <row r="323" spans="1:5" x14ac:dyDescent="0.35">
      <c r="A323" s="13" t="s">
        <v>419</v>
      </c>
      <c r="B323" s="13" t="s">
        <v>13</v>
      </c>
      <c r="C323" s="43">
        <v>5.5</v>
      </c>
      <c r="D323" s="13">
        <v>500</v>
      </c>
      <c r="E323" s="13">
        <f>C323*D323</f>
        <v>2750</v>
      </c>
    </row>
    <row r="324" spans="1:5" x14ac:dyDescent="0.35">
      <c r="A324" s="13" t="s">
        <v>362</v>
      </c>
      <c r="B324" s="13" t="s">
        <v>26</v>
      </c>
      <c r="C324" s="43">
        <v>4.6500000000000004</v>
      </c>
      <c r="D324" s="13">
        <v>1000</v>
      </c>
      <c r="E324" s="13">
        <v>4650</v>
      </c>
    </row>
    <row r="325" spans="1:5" x14ac:dyDescent="0.35">
      <c r="A325" s="13" t="s">
        <v>362</v>
      </c>
      <c r="B325" s="13" t="s">
        <v>94</v>
      </c>
      <c r="C325" s="43">
        <v>3.15</v>
      </c>
      <c r="D325" s="13">
        <v>2800</v>
      </c>
      <c r="E325" s="13">
        <v>8820</v>
      </c>
    </row>
    <row r="326" spans="1:5" x14ac:dyDescent="0.35">
      <c r="A326" s="13" t="s">
        <v>362</v>
      </c>
      <c r="B326" s="13" t="s">
        <v>53</v>
      </c>
      <c r="C326" s="43">
        <v>0.55000000000000004</v>
      </c>
      <c r="D326" s="13">
        <v>300</v>
      </c>
      <c r="E326" s="13">
        <v>165</v>
      </c>
    </row>
    <row r="327" spans="1:5" x14ac:dyDescent="0.35">
      <c r="A327" s="13" t="s">
        <v>362</v>
      </c>
      <c r="B327" s="13" t="s">
        <v>51</v>
      </c>
      <c r="C327" s="43">
        <v>0.65</v>
      </c>
      <c r="D327" s="13">
        <v>500</v>
      </c>
      <c r="E327" s="13">
        <v>325</v>
      </c>
    </row>
    <row r="328" spans="1:5" x14ac:dyDescent="0.35">
      <c r="A328" s="13" t="s">
        <v>362</v>
      </c>
      <c r="B328" s="13" t="s">
        <v>41</v>
      </c>
      <c r="C328" s="43">
        <v>13.85</v>
      </c>
      <c r="D328" s="13">
        <v>1000</v>
      </c>
      <c r="E328" s="13">
        <v>13850</v>
      </c>
    </row>
    <row r="329" spans="1:5" x14ac:dyDescent="0.35">
      <c r="A329" s="13" t="s">
        <v>362</v>
      </c>
      <c r="B329" s="13" t="s">
        <v>25</v>
      </c>
      <c r="C329" s="43">
        <v>6.45</v>
      </c>
      <c r="D329" s="13">
        <v>1000</v>
      </c>
      <c r="E329" s="13">
        <v>6450</v>
      </c>
    </row>
    <row r="330" spans="1:5" x14ac:dyDescent="0.35">
      <c r="A330" s="13" t="s">
        <v>362</v>
      </c>
      <c r="B330" s="13" t="s">
        <v>13</v>
      </c>
      <c r="C330" s="43">
        <v>0.6</v>
      </c>
      <c r="D330" s="13">
        <v>500</v>
      </c>
      <c r="E330" s="13">
        <v>300</v>
      </c>
    </row>
    <row r="331" spans="1:5" x14ac:dyDescent="0.35">
      <c r="A331" s="13" t="s">
        <v>362</v>
      </c>
      <c r="B331" s="13" t="s">
        <v>39</v>
      </c>
      <c r="C331" s="43">
        <v>0.4</v>
      </c>
      <c r="D331" s="13">
        <v>1500</v>
      </c>
      <c r="E331" s="13">
        <v>600</v>
      </c>
    </row>
    <row r="332" spans="1:5" x14ac:dyDescent="0.35">
      <c r="A332" s="13" t="s">
        <v>362</v>
      </c>
      <c r="B332" s="13" t="s">
        <v>18</v>
      </c>
      <c r="C332" s="43">
        <v>2.9</v>
      </c>
      <c r="D332" s="13">
        <v>150</v>
      </c>
      <c r="E332" s="13">
        <v>435</v>
      </c>
    </row>
    <row r="333" spans="1:5" x14ac:dyDescent="0.35">
      <c r="C333" s="29">
        <f>SUM(C3:C332)</f>
        <v>623.60000000000036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9B8B-1D4C-481D-8C6F-28A978093EE3}">
  <dimension ref="A2:X338"/>
  <sheetViews>
    <sheetView topLeftCell="E28" zoomScale="70" zoomScaleNormal="70" zoomScaleSheetLayoutView="100" workbookViewId="0">
      <selection activeCell="G33" sqref="G33"/>
    </sheetView>
  </sheetViews>
  <sheetFormatPr defaultRowHeight="14.5" x14ac:dyDescent="0.35"/>
  <cols>
    <col min="1" max="2" width="25" customWidth="1"/>
    <col min="3" max="3" width="14.90625" style="57" customWidth="1"/>
    <col min="4" max="5" width="14.90625" style="11" customWidth="1"/>
    <col min="7" max="7" width="16.1796875" bestFit="1" customWidth="1"/>
    <col min="8" max="8" width="11.6328125" bestFit="1" customWidth="1"/>
    <col min="9" max="9" width="11.36328125" bestFit="1" customWidth="1"/>
    <col min="11" max="11" width="25" bestFit="1" customWidth="1"/>
    <col min="12" max="12" width="11.6328125" bestFit="1" customWidth="1"/>
    <col min="15" max="15" width="26.36328125" bestFit="1" customWidth="1"/>
    <col min="18" max="18" width="11.6328125" bestFit="1" customWidth="1"/>
    <col min="21" max="21" width="16.81640625" customWidth="1"/>
    <col min="24" max="24" width="11.6328125" bestFit="1" customWidth="1"/>
  </cols>
  <sheetData>
    <row r="2" spans="1:24" x14ac:dyDescent="0.35">
      <c r="A2" s="56" t="s">
        <v>82</v>
      </c>
      <c r="B2" s="56" t="s">
        <v>83</v>
      </c>
      <c r="C2" s="90" t="s">
        <v>65</v>
      </c>
      <c r="D2" s="58" t="s">
        <v>66</v>
      </c>
      <c r="E2" s="58" t="s">
        <v>6</v>
      </c>
      <c r="G2" s="15" t="s">
        <v>85</v>
      </c>
      <c r="H2" t="s">
        <v>137</v>
      </c>
      <c r="I2" t="s">
        <v>129</v>
      </c>
      <c r="K2" s="15" t="s">
        <v>85</v>
      </c>
      <c r="L2" t="s">
        <v>137</v>
      </c>
      <c r="N2" s="20" t="s">
        <v>132</v>
      </c>
      <c r="Q2" t="s">
        <v>409</v>
      </c>
      <c r="T2" s="20" t="s">
        <v>298</v>
      </c>
      <c r="W2" t="s">
        <v>409</v>
      </c>
    </row>
    <row r="3" spans="1:24" x14ac:dyDescent="0.35">
      <c r="A3" s="13" t="s">
        <v>384</v>
      </c>
      <c r="B3" s="13" t="s">
        <v>25</v>
      </c>
      <c r="C3" s="43">
        <v>0.05</v>
      </c>
      <c r="D3" s="17">
        <v>1000</v>
      </c>
      <c r="E3" s="17">
        <v>50</v>
      </c>
      <c r="G3" s="14" t="s">
        <v>403</v>
      </c>
      <c r="H3" s="29">
        <v>15.35</v>
      </c>
      <c r="I3" s="19">
        <v>16663</v>
      </c>
      <c r="K3" s="14" t="s">
        <v>127</v>
      </c>
      <c r="L3" s="29">
        <v>0.84999999999999987</v>
      </c>
      <c r="N3" s="21" t="s">
        <v>0</v>
      </c>
      <c r="O3" s="22" t="s">
        <v>64</v>
      </c>
      <c r="P3" s="23" t="s">
        <v>133</v>
      </c>
      <c r="Q3" s="22" t="s">
        <v>65</v>
      </c>
      <c r="R3" s="23" t="s">
        <v>134</v>
      </c>
      <c r="T3" s="21" t="s">
        <v>0</v>
      </c>
      <c r="U3" s="22" t="s">
        <v>64</v>
      </c>
      <c r="V3" s="23" t="s">
        <v>133</v>
      </c>
      <c r="W3" s="22" t="s">
        <v>65</v>
      </c>
      <c r="X3" s="23" t="s">
        <v>134</v>
      </c>
    </row>
    <row r="4" spans="1:24" x14ac:dyDescent="0.35">
      <c r="A4" s="13" t="s">
        <v>384</v>
      </c>
      <c r="B4" s="13" t="s">
        <v>18</v>
      </c>
      <c r="C4" s="43">
        <v>0.3</v>
      </c>
      <c r="D4" s="17">
        <v>150</v>
      </c>
      <c r="E4" s="17">
        <v>45</v>
      </c>
      <c r="G4" s="14" t="s">
        <v>387</v>
      </c>
      <c r="H4" s="29">
        <v>8.6</v>
      </c>
      <c r="I4" s="19">
        <v>8433</v>
      </c>
      <c r="K4" s="14" t="s">
        <v>13</v>
      </c>
      <c r="L4" s="29">
        <v>14.150000000000002</v>
      </c>
      <c r="N4" s="22">
        <v>1</v>
      </c>
      <c r="O4" s="24" t="s">
        <v>7</v>
      </c>
      <c r="P4" s="25">
        <f>VLOOKUP(O4,KamiBox!$C$2:$F$58,4,0)</f>
        <v>200000</v>
      </c>
      <c r="Q4" s="26">
        <f>SUMIF($B$3:$B$338,O4,$C$3:$C$338)</f>
        <v>0</v>
      </c>
      <c r="R4" s="25">
        <f>P4*Q4</f>
        <v>0</v>
      </c>
      <c r="T4" s="22">
        <v>1</v>
      </c>
      <c r="U4" s="77" t="s">
        <v>13</v>
      </c>
      <c r="V4" s="78">
        <f>VLOOKUP(U4,KamiBox!$C$2:$F$58,4,0)</f>
        <v>1500</v>
      </c>
      <c r="W4" s="79">
        <f t="shared" ref="W4:W6" si="0">SUMIF($B$3:$B$346,U4,$C$3:$C$346)</f>
        <v>14.150000000000002</v>
      </c>
      <c r="X4" s="78">
        <f>V4*W4</f>
        <v>21225.000000000004</v>
      </c>
    </row>
    <row r="5" spans="1:24" x14ac:dyDescent="0.35">
      <c r="A5" s="13" t="s">
        <v>384</v>
      </c>
      <c r="B5" s="13" t="s">
        <v>15</v>
      </c>
      <c r="C5" s="43">
        <v>0.15</v>
      </c>
      <c r="D5" s="17">
        <v>2500</v>
      </c>
      <c r="E5" s="17">
        <v>375</v>
      </c>
      <c r="G5" s="14" t="s">
        <v>327</v>
      </c>
      <c r="H5" s="29">
        <v>16.2</v>
      </c>
      <c r="I5" s="19">
        <v>15835</v>
      </c>
      <c r="K5" s="14" t="s">
        <v>15</v>
      </c>
      <c r="L5" s="29">
        <v>3.6499999999999995</v>
      </c>
      <c r="N5" s="22">
        <v>2</v>
      </c>
      <c r="O5" s="24" t="s">
        <v>9</v>
      </c>
      <c r="P5" s="25">
        <f>VLOOKUP(O5,KamiBox!$C$2:$F$58,4,0)</f>
        <v>9000</v>
      </c>
      <c r="Q5" s="26">
        <f t="shared" ref="Q5:Q36" si="1">SUMIF($B$3:$B$338,O5,$C$3:$C$338)</f>
        <v>0</v>
      </c>
      <c r="R5" s="25">
        <f t="shared" ref="R5:R59" si="2">P5*Q5</f>
        <v>0</v>
      </c>
      <c r="T5" s="22">
        <v>2</v>
      </c>
      <c r="U5" s="77" t="s">
        <v>54</v>
      </c>
      <c r="V5" s="78">
        <v>1700</v>
      </c>
      <c r="W5" s="79">
        <f t="shared" si="0"/>
        <v>0.15000000000000002</v>
      </c>
      <c r="X5" s="78">
        <f>V5*W5</f>
        <v>255.00000000000003</v>
      </c>
    </row>
    <row r="6" spans="1:24" x14ac:dyDescent="0.35">
      <c r="A6" s="13" t="s">
        <v>384</v>
      </c>
      <c r="B6" s="13" t="s">
        <v>126</v>
      </c>
      <c r="C6" s="43">
        <v>0.15</v>
      </c>
      <c r="D6" s="17">
        <v>1800</v>
      </c>
      <c r="E6" s="17">
        <v>270</v>
      </c>
      <c r="G6" s="14" t="s">
        <v>361</v>
      </c>
      <c r="H6" s="29">
        <v>34.65</v>
      </c>
      <c r="I6" s="19">
        <v>33440</v>
      </c>
      <c r="K6" s="14" t="s">
        <v>18</v>
      </c>
      <c r="L6" s="29">
        <v>30.6</v>
      </c>
      <c r="N6" s="22">
        <v>3</v>
      </c>
      <c r="O6" t="s">
        <v>10</v>
      </c>
      <c r="P6" s="25">
        <f>VLOOKUP(O6,KamiBox!$C$2:$F$58,4,0)</f>
        <v>4000</v>
      </c>
      <c r="Q6" s="26">
        <f t="shared" si="1"/>
        <v>0</v>
      </c>
      <c r="R6" s="25">
        <f t="shared" si="2"/>
        <v>0</v>
      </c>
      <c r="T6" s="22">
        <v>3</v>
      </c>
      <c r="U6" s="77" t="s">
        <v>266</v>
      </c>
      <c r="V6" s="78">
        <v>1700</v>
      </c>
      <c r="W6" s="79">
        <f t="shared" si="0"/>
        <v>1.45</v>
      </c>
      <c r="X6" s="78">
        <f>V6*W6</f>
        <v>2465</v>
      </c>
    </row>
    <row r="7" spans="1:24" x14ac:dyDescent="0.35">
      <c r="A7" s="13" t="s">
        <v>384</v>
      </c>
      <c r="B7" s="13" t="s">
        <v>41</v>
      </c>
      <c r="C7" s="43">
        <v>0.8</v>
      </c>
      <c r="D7" s="17">
        <v>1000</v>
      </c>
      <c r="E7" s="17">
        <v>800</v>
      </c>
      <c r="G7" s="14" t="s">
        <v>365</v>
      </c>
      <c r="H7" s="29">
        <v>14.75</v>
      </c>
      <c r="I7" s="19">
        <v>16485</v>
      </c>
      <c r="K7" s="14" t="s">
        <v>94</v>
      </c>
      <c r="L7" s="29">
        <v>48.150000000000006</v>
      </c>
      <c r="N7" s="22">
        <v>4</v>
      </c>
      <c r="O7" s="24" t="s">
        <v>11</v>
      </c>
      <c r="P7" s="25">
        <f>VLOOKUP(O7,KamiBox!$C$2:$F$58,4,0)</f>
        <v>10000</v>
      </c>
      <c r="Q7" s="26">
        <v>0.85</v>
      </c>
      <c r="R7" s="25">
        <f t="shared" si="2"/>
        <v>8500</v>
      </c>
      <c r="T7" s="22"/>
      <c r="U7" s="86" t="s">
        <v>135</v>
      </c>
      <c r="V7" s="25"/>
      <c r="W7" s="87">
        <f>SUM(W4:W6)</f>
        <v>15.750000000000002</v>
      </c>
      <c r="X7" s="88">
        <f>SUM(X4:X6)</f>
        <v>23945.000000000004</v>
      </c>
    </row>
    <row r="8" spans="1:24" x14ac:dyDescent="0.35">
      <c r="A8" s="13" t="s">
        <v>384</v>
      </c>
      <c r="B8" s="13" t="s">
        <v>51</v>
      </c>
      <c r="C8" s="43">
        <v>0.4</v>
      </c>
      <c r="D8" s="17">
        <v>500</v>
      </c>
      <c r="E8" s="17">
        <v>200</v>
      </c>
      <c r="G8" s="14" t="s">
        <v>332</v>
      </c>
      <c r="H8" s="29">
        <v>4.75</v>
      </c>
      <c r="I8" s="19">
        <v>7240</v>
      </c>
      <c r="K8" s="14" t="s">
        <v>22</v>
      </c>
      <c r="L8" s="29">
        <v>6.15</v>
      </c>
      <c r="N8" s="22">
        <v>5</v>
      </c>
      <c r="O8" s="24" t="s">
        <v>12</v>
      </c>
      <c r="P8" s="25">
        <f>VLOOKUP(O8,KamiBox!$C$2:$F$58,4,0)</f>
        <v>1000</v>
      </c>
      <c r="Q8" s="26">
        <f t="shared" si="1"/>
        <v>0</v>
      </c>
      <c r="R8" s="25">
        <f t="shared" si="2"/>
        <v>0</v>
      </c>
    </row>
    <row r="9" spans="1:24" x14ac:dyDescent="0.35">
      <c r="A9" s="13" t="s">
        <v>384</v>
      </c>
      <c r="B9" s="13" t="s">
        <v>125</v>
      </c>
      <c r="C9" s="43">
        <v>8</v>
      </c>
      <c r="D9" s="17">
        <v>800</v>
      </c>
      <c r="E9" s="17">
        <v>6400</v>
      </c>
      <c r="G9" s="14" t="s">
        <v>320</v>
      </c>
      <c r="H9" s="29">
        <v>3.3499999999999996</v>
      </c>
      <c r="I9" s="19">
        <v>2353</v>
      </c>
      <c r="K9" s="14" t="s">
        <v>125</v>
      </c>
      <c r="L9" s="29">
        <v>43.6</v>
      </c>
      <c r="N9" s="22">
        <v>6</v>
      </c>
      <c r="O9" s="24" t="s">
        <v>13</v>
      </c>
      <c r="P9" s="25"/>
      <c r="Q9" s="26"/>
      <c r="R9" s="25">
        <f t="shared" si="2"/>
        <v>0</v>
      </c>
    </row>
    <row r="10" spans="1:24" x14ac:dyDescent="0.35">
      <c r="A10" s="13" t="s">
        <v>384</v>
      </c>
      <c r="B10" s="13" t="s">
        <v>34</v>
      </c>
      <c r="C10" s="43">
        <v>0.6</v>
      </c>
      <c r="D10" s="17">
        <v>5000</v>
      </c>
      <c r="E10" s="17">
        <v>3000</v>
      </c>
      <c r="G10" s="14" t="s">
        <v>345</v>
      </c>
      <c r="H10" s="29">
        <v>29.600000000000005</v>
      </c>
      <c r="I10" s="19">
        <v>40375</v>
      </c>
      <c r="K10" s="14" t="s">
        <v>25</v>
      </c>
      <c r="L10" s="29">
        <v>41.550000000000018</v>
      </c>
      <c r="N10" s="22">
        <v>7</v>
      </c>
      <c r="O10" s="24" t="s">
        <v>15</v>
      </c>
      <c r="P10" s="25">
        <f>VLOOKUP(O10,KamiBox!$C$2:$F$58,4,0)</f>
        <v>4000</v>
      </c>
      <c r="Q10" s="26">
        <f t="shared" si="1"/>
        <v>3.6499999999999995</v>
      </c>
      <c r="R10" s="25">
        <f t="shared" si="2"/>
        <v>14599.999999999998</v>
      </c>
    </row>
    <row r="11" spans="1:24" x14ac:dyDescent="0.35">
      <c r="A11" s="13" t="s">
        <v>323</v>
      </c>
      <c r="B11" s="13" t="s">
        <v>34</v>
      </c>
      <c r="C11" s="43">
        <v>1.1499999999999999</v>
      </c>
      <c r="D11" s="17">
        <v>5000</v>
      </c>
      <c r="E11" s="17">
        <v>5750</v>
      </c>
      <c r="G11" s="14" t="s">
        <v>385</v>
      </c>
      <c r="H11" s="29">
        <v>7.65</v>
      </c>
      <c r="I11" s="19">
        <v>10110</v>
      </c>
      <c r="K11" s="14" t="s">
        <v>26</v>
      </c>
      <c r="L11" s="29">
        <v>30.1</v>
      </c>
      <c r="N11" s="22">
        <v>8</v>
      </c>
      <c r="O11" s="24" t="s">
        <v>16</v>
      </c>
      <c r="P11" s="25">
        <f>VLOOKUP(O11,KamiBox!$C$2:$F$58,4,0)</f>
        <v>400</v>
      </c>
      <c r="Q11" s="26">
        <f t="shared" si="1"/>
        <v>0</v>
      </c>
      <c r="R11" s="25">
        <f t="shared" si="2"/>
        <v>0</v>
      </c>
    </row>
    <row r="12" spans="1:24" x14ac:dyDescent="0.35">
      <c r="A12" s="13" t="s">
        <v>323</v>
      </c>
      <c r="B12" s="13" t="s">
        <v>25</v>
      </c>
      <c r="C12" s="43">
        <v>0.4</v>
      </c>
      <c r="D12" s="17">
        <v>1000</v>
      </c>
      <c r="E12" s="17">
        <v>400</v>
      </c>
      <c r="G12" s="14" t="s">
        <v>324</v>
      </c>
      <c r="H12" s="29">
        <v>7.7999999999999989</v>
      </c>
      <c r="I12" s="19">
        <v>10548</v>
      </c>
      <c r="K12" s="14" t="s">
        <v>128</v>
      </c>
      <c r="L12" s="29">
        <v>1.35</v>
      </c>
      <c r="N12" s="22">
        <v>9</v>
      </c>
      <c r="O12" s="24" t="s">
        <v>17</v>
      </c>
      <c r="P12" s="25">
        <f>VLOOKUP(O12,KamiBox!$C$2:$F$58,4,0)</f>
        <v>100</v>
      </c>
      <c r="Q12" s="26">
        <f t="shared" si="1"/>
        <v>0</v>
      </c>
      <c r="R12" s="25">
        <f t="shared" si="2"/>
        <v>0</v>
      </c>
    </row>
    <row r="13" spans="1:24" x14ac:dyDescent="0.35">
      <c r="A13" s="13" t="s">
        <v>323</v>
      </c>
      <c r="B13" s="13" t="s">
        <v>29</v>
      </c>
      <c r="C13" s="43">
        <v>0.05</v>
      </c>
      <c r="D13" s="17">
        <v>1600</v>
      </c>
      <c r="E13" s="17">
        <v>80</v>
      </c>
      <c r="G13" s="14" t="s">
        <v>388</v>
      </c>
      <c r="H13" s="29">
        <v>5.0500000000000007</v>
      </c>
      <c r="I13" s="19">
        <v>4695</v>
      </c>
      <c r="K13" s="14" t="s">
        <v>29</v>
      </c>
      <c r="L13" s="29">
        <v>2.5</v>
      </c>
      <c r="N13" s="22">
        <v>10</v>
      </c>
      <c r="O13" s="24" t="s">
        <v>18</v>
      </c>
      <c r="P13" s="25">
        <f>VLOOKUP(O13,KamiBox!$C$2:$F$58,4,0)</f>
        <v>200</v>
      </c>
      <c r="Q13" s="26">
        <f t="shared" si="1"/>
        <v>30.6</v>
      </c>
      <c r="R13" s="25">
        <f t="shared" si="2"/>
        <v>6120</v>
      </c>
    </row>
    <row r="14" spans="1:24" x14ac:dyDescent="0.35">
      <c r="A14" s="13" t="s">
        <v>323</v>
      </c>
      <c r="B14" s="13" t="s">
        <v>51</v>
      </c>
      <c r="C14" s="43">
        <v>1.75</v>
      </c>
      <c r="D14" s="17">
        <v>500</v>
      </c>
      <c r="E14" s="17">
        <v>875</v>
      </c>
      <c r="G14" s="14" t="s">
        <v>386</v>
      </c>
      <c r="H14" s="29">
        <v>31.75</v>
      </c>
      <c r="I14" s="19">
        <v>31445</v>
      </c>
      <c r="K14" s="14" t="s">
        <v>100</v>
      </c>
      <c r="L14" s="29">
        <v>9.5499999999999989</v>
      </c>
      <c r="N14" s="22">
        <v>11</v>
      </c>
      <c r="O14" s="24" t="s">
        <v>19</v>
      </c>
      <c r="P14" s="25">
        <f>VLOOKUP(O14,KamiBox!$C$2:$F$58,4,0)</f>
        <v>100</v>
      </c>
      <c r="Q14" s="26">
        <f t="shared" si="1"/>
        <v>0</v>
      </c>
      <c r="R14" s="25">
        <f t="shared" si="2"/>
        <v>0</v>
      </c>
    </row>
    <row r="15" spans="1:24" x14ac:dyDescent="0.35">
      <c r="A15" s="13" t="s">
        <v>323</v>
      </c>
      <c r="B15" s="13" t="s">
        <v>53</v>
      </c>
      <c r="C15" s="43">
        <v>0.85</v>
      </c>
      <c r="D15" s="17">
        <v>300</v>
      </c>
      <c r="E15" s="17">
        <v>255</v>
      </c>
      <c r="G15" s="14" t="s">
        <v>389</v>
      </c>
      <c r="H15" s="29">
        <v>2.5499999999999998</v>
      </c>
      <c r="I15" s="19">
        <v>3630</v>
      </c>
      <c r="K15" s="14" t="s">
        <v>34</v>
      </c>
      <c r="L15" s="29">
        <v>42.550000000000004</v>
      </c>
      <c r="N15" s="22">
        <v>12</v>
      </c>
      <c r="O15" s="24" t="s">
        <v>20</v>
      </c>
      <c r="P15" s="25">
        <f>VLOOKUP(O15,KamiBox!$C$2:$F$58,4,0)</f>
        <v>800</v>
      </c>
      <c r="Q15" s="26">
        <f t="shared" si="1"/>
        <v>0</v>
      </c>
      <c r="R15" s="25">
        <f t="shared" si="2"/>
        <v>0</v>
      </c>
    </row>
    <row r="16" spans="1:24" x14ac:dyDescent="0.35">
      <c r="A16" s="13" t="s">
        <v>323</v>
      </c>
      <c r="B16" s="13" t="s">
        <v>94</v>
      </c>
      <c r="C16" s="43">
        <v>0.45</v>
      </c>
      <c r="D16" s="17">
        <v>2800</v>
      </c>
      <c r="E16" s="17">
        <v>1260</v>
      </c>
      <c r="G16" s="14" t="s">
        <v>344</v>
      </c>
      <c r="H16" s="29">
        <v>26.15</v>
      </c>
      <c r="I16" s="19">
        <v>84323</v>
      </c>
      <c r="K16" s="14" t="s">
        <v>293</v>
      </c>
      <c r="L16" s="29">
        <v>0.35</v>
      </c>
      <c r="N16" s="22">
        <v>13</v>
      </c>
      <c r="O16" s="24" t="s">
        <v>94</v>
      </c>
      <c r="P16" s="25">
        <f>VLOOKUP(O16,KamiBox!$C$2:$F$58,4,0)</f>
        <v>5000</v>
      </c>
      <c r="Q16" s="26">
        <v>49.4</v>
      </c>
      <c r="R16" s="25">
        <f t="shared" si="2"/>
        <v>247000</v>
      </c>
    </row>
    <row r="17" spans="1:19" x14ac:dyDescent="0.35">
      <c r="A17" s="13" t="s">
        <v>324</v>
      </c>
      <c r="B17" s="13" t="s">
        <v>100</v>
      </c>
      <c r="C17" s="43">
        <v>0.4</v>
      </c>
      <c r="D17" s="17">
        <v>1400</v>
      </c>
      <c r="E17" s="17">
        <v>560</v>
      </c>
      <c r="G17" s="14" t="s">
        <v>355</v>
      </c>
      <c r="H17" s="29">
        <v>5.45</v>
      </c>
      <c r="I17" s="19">
        <v>6180</v>
      </c>
      <c r="K17" s="14" t="s">
        <v>39</v>
      </c>
      <c r="L17" s="29">
        <v>10.200000000000001</v>
      </c>
      <c r="N17" s="22">
        <v>14</v>
      </c>
      <c r="O17" s="24" t="s">
        <v>22</v>
      </c>
      <c r="P17" s="25">
        <f>VLOOKUP(O17,KamiBox!$C$2:$F$58,4,0)</f>
        <v>2500</v>
      </c>
      <c r="Q17" s="26">
        <f t="shared" si="1"/>
        <v>6.15</v>
      </c>
      <c r="R17" s="25">
        <f t="shared" si="2"/>
        <v>15375</v>
      </c>
    </row>
    <row r="18" spans="1:19" x14ac:dyDescent="0.35">
      <c r="A18" s="13" t="s">
        <v>324</v>
      </c>
      <c r="B18" s="13" t="s">
        <v>127</v>
      </c>
      <c r="C18" s="43">
        <v>0.35</v>
      </c>
      <c r="D18" s="17">
        <v>8000</v>
      </c>
      <c r="E18" s="17">
        <v>2800</v>
      </c>
      <c r="G18" s="14" t="s">
        <v>390</v>
      </c>
      <c r="H18" s="29">
        <v>2.8000000000000003</v>
      </c>
      <c r="I18" s="19">
        <v>5235</v>
      </c>
      <c r="K18" s="14" t="s">
        <v>41</v>
      </c>
      <c r="L18" s="29">
        <v>165.74999999999997</v>
      </c>
      <c r="N18" s="22">
        <v>15</v>
      </c>
      <c r="O18" s="24" t="s">
        <v>23</v>
      </c>
      <c r="P18" s="25">
        <f>VLOOKUP(O18,KamiBox!$C$2:$F$58,4,0)</f>
        <v>1000</v>
      </c>
      <c r="Q18" s="26">
        <f t="shared" si="1"/>
        <v>0</v>
      </c>
      <c r="R18" s="25">
        <f t="shared" si="2"/>
        <v>0</v>
      </c>
    </row>
    <row r="19" spans="1:19" x14ac:dyDescent="0.35">
      <c r="A19" s="13" t="s">
        <v>324</v>
      </c>
      <c r="B19" s="13" t="s">
        <v>18</v>
      </c>
      <c r="C19" s="43">
        <v>0.75</v>
      </c>
      <c r="D19" s="17">
        <v>150</v>
      </c>
      <c r="E19" s="17">
        <v>113</v>
      </c>
      <c r="G19" s="14" t="s">
        <v>323</v>
      </c>
      <c r="H19" s="29">
        <v>4.6499999999999995</v>
      </c>
      <c r="I19" s="19">
        <v>8620</v>
      </c>
      <c r="K19" s="14" t="s">
        <v>263</v>
      </c>
      <c r="L19" s="29">
        <v>2.75</v>
      </c>
      <c r="N19" s="22">
        <v>16</v>
      </c>
      <c r="O19" s="24" t="s">
        <v>125</v>
      </c>
      <c r="P19" s="25">
        <f>VLOOKUP(O19,KamiBox!$C$2:$F$58,4,0)</f>
        <v>1000</v>
      </c>
      <c r="Q19" s="26">
        <f t="shared" si="1"/>
        <v>43.6</v>
      </c>
      <c r="R19" s="25">
        <f t="shared" si="2"/>
        <v>43600</v>
      </c>
    </row>
    <row r="20" spans="1:19" x14ac:dyDescent="0.35">
      <c r="A20" s="13" t="s">
        <v>324</v>
      </c>
      <c r="B20" s="13" t="s">
        <v>41</v>
      </c>
      <c r="C20" s="43">
        <v>0.6</v>
      </c>
      <c r="D20" s="17">
        <v>1000</v>
      </c>
      <c r="E20" s="17">
        <v>600</v>
      </c>
      <c r="G20" s="14" t="s">
        <v>401</v>
      </c>
      <c r="H20" s="29">
        <v>7.8500000000000005</v>
      </c>
      <c r="I20" s="19">
        <v>6200</v>
      </c>
      <c r="K20" s="14" t="s">
        <v>392</v>
      </c>
      <c r="L20" s="29">
        <v>1</v>
      </c>
      <c r="N20" s="22">
        <v>17</v>
      </c>
      <c r="O20" s="24" t="s">
        <v>25</v>
      </c>
      <c r="P20" s="25">
        <f>VLOOKUP(O20,KamiBox!$C$2:$F$58,4,0)</f>
        <v>1200</v>
      </c>
      <c r="Q20" s="26">
        <f t="shared" si="1"/>
        <v>41.550000000000018</v>
      </c>
      <c r="R20" s="25">
        <f t="shared" si="2"/>
        <v>49860.000000000022</v>
      </c>
    </row>
    <row r="21" spans="1:19" x14ac:dyDescent="0.35">
      <c r="A21" s="13" t="s">
        <v>324</v>
      </c>
      <c r="B21" s="13" t="s">
        <v>25</v>
      </c>
      <c r="C21" s="43">
        <v>4.0999999999999996</v>
      </c>
      <c r="D21" s="17">
        <v>1000</v>
      </c>
      <c r="E21" s="17">
        <v>4100</v>
      </c>
      <c r="G21" s="14" t="s">
        <v>393</v>
      </c>
      <c r="H21" s="29">
        <v>3.7</v>
      </c>
      <c r="I21" s="19">
        <v>2898</v>
      </c>
      <c r="K21" s="14" t="s">
        <v>46</v>
      </c>
      <c r="L21" s="29">
        <v>0.7</v>
      </c>
      <c r="N21" s="22">
        <v>18</v>
      </c>
      <c r="O21" s="24" t="s">
        <v>26</v>
      </c>
      <c r="P21" s="25">
        <f>VLOOKUP(O21,KamiBox!$C$2:$F$58,4,0)</f>
        <v>1000</v>
      </c>
      <c r="Q21" s="26">
        <f t="shared" si="1"/>
        <v>30.1</v>
      </c>
      <c r="R21" s="25">
        <f t="shared" si="2"/>
        <v>30100</v>
      </c>
    </row>
    <row r="22" spans="1:19" x14ac:dyDescent="0.35">
      <c r="A22" s="13" t="s">
        <v>324</v>
      </c>
      <c r="B22" s="13" t="s">
        <v>60</v>
      </c>
      <c r="C22" s="43">
        <v>0.1</v>
      </c>
      <c r="D22" s="17">
        <v>2500</v>
      </c>
      <c r="E22" s="17">
        <v>250</v>
      </c>
      <c r="G22" s="14" t="s">
        <v>364</v>
      </c>
      <c r="H22" s="29">
        <v>10.65</v>
      </c>
      <c r="I22" s="19">
        <v>20095</v>
      </c>
      <c r="K22" s="14" t="s">
        <v>51</v>
      </c>
      <c r="L22" s="29">
        <v>50.5</v>
      </c>
      <c r="N22" s="22">
        <v>19</v>
      </c>
      <c r="O22" s="24" t="s">
        <v>27</v>
      </c>
      <c r="P22" s="25">
        <f>VLOOKUP(O22,KamiBox!$C$2:$F$58,4,0)</f>
        <v>3000</v>
      </c>
      <c r="Q22" s="26">
        <f t="shared" si="1"/>
        <v>0</v>
      </c>
      <c r="R22" s="25">
        <f t="shared" si="2"/>
        <v>0</v>
      </c>
    </row>
    <row r="23" spans="1:19" x14ac:dyDescent="0.35">
      <c r="A23" s="13" t="s">
        <v>324</v>
      </c>
      <c r="B23" s="13" t="s">
        <v>53</v>
      </c>
      <c r="C23" s="43">
        <v>0.6</v>
      </c>
      <c r="D23" s="17">
        <v>300</v>
      </c>
      <c r="E23" s="17">
        <v>180</v>
      </c>
      <c r="G23" s="14" t="s">
        <v>398</v>
      </c>
      <c r="H23" s="29">
        <v>12.35</v>
      </c>
      <c r="I23" s="19">
        <v>13805</v>
      </c>
      <c r="K23" s="14" t="s">
        <v>53</v>
      </c>
      <c r="L23" s="29">
        <v>55.5</v>
      </c>
      <c r="N23" s="22">
        <v>20</v>
      </c>
      <c r="O23" s="24" t="s">
        <v>28</v>
      </c>
      <c r="P23" s="25">
        <f>VLOOKUP(O23,KamiBox!$C$2:$F$58,4,0)</f>
        <v>4000</v>
      </c>
      <c r="Q23" s="26">
        <v>1.35</v>
      </c>
      <c r="R23" s="25">
        <f t="shared" si="2"/>
        <v>5400</v>
      </c>
    </row>
    <row r="24" spans="1:19" x14ac:dyDescent="0.35">
      <c r="A24" s="13" t="s">
        <v>324</v>
      </c>
      <c r="B24" s="13" t="s">
        <v>13</v>
      </c>
      <c r="C24" s="43">
        <v>0.25</v>
      </c>
      <c r="D24" s="17">
        <v>500</v>
      </c>
      <c r="E24" s="17">
        <v>125</v>
      </c>
      <c r="G24" s="14" t="s">
        <v>353</v>
      </c>
      <c r="H24" s="29">
        <v>4.1499999999999995</v>
      </c>
      <c r="I24" s="19">
        <v>7443</v>
      </c>
      <c r="K24" s="14" t="s">
        <v>54</v>
      </c>
      <c r="L24" s="29">
        <v>0.15000000000000002</v>
      </c>
      <c r="N24" s="22">
        <v>21</v>
      </c>
      <c r="O24" s="24" t="s">
        <v>29</v>
      </c>
      <c r="P24" s="25">
        <f>VLOOKUP(O24,KamiBox!$C$2:$F$58,4,0)</f>
        <v>2000</v>
      </c>
      <c r="Q24" s="26">
        <f t="shared" si="1"/>
        <v>2.5</v>
      </c>
      <c r="R24" s="25">
        <f t="shared" si="2"/>
        <v>5000</v>
      </c>
    </row>
    <row r="25" spans="1:19" x14ac:dyDescent="0.35">
      <c r="A25" s="13" t="s">
        <v>324</v>
      </c>
      <c r="B25" s="13" t="s">
        <v>94</v>
      </c>
      <c r="C25" s="43">
        <v>0.65</v>
      </c>
      <c r="D25" s="17">
        <v>2800</v>
      </c>
      <c r="E25" s="17">
        <v>1820</v>
      </c>
      <c r="G25" s="14" t="s">
        <v>341</v>
      </c>
      <c r="H25" s="29">
        <v>22.25</v>
      </c>
      <c r="I25" s="19">
        <v>35150</v>
      </c>
      <c r="K25" s="14" t="s">
        <v>266</v>
      </c>
      <c r="L25" s="29">
        <v>1.45</v>
      </c>
      <c r="N25" s="22">
        <v>22</v>
      </c>
      <c r="O25" s="24" t="s">
        <v>30</v>
      </c>
      <c r="P25" s="25">
        <f>VLOOKUP(O25,KamiBox!$C$2:$F$58,4,0)</f>
        <v>5000</v>
      </c>
      <c r="Q25" s="26">
        <f t="shared" si="1"/>
        <v>0</v>
      </c>
      <c r="R25" s="25">
        <f t="shared" si="2"/>
        <v>0</v>
      </c>
    </row>
    <row r="26" spans="1:19" x14ac:dyDescent="0.35">
      <c r="A26" s="13" t="s">
        <v>338</v>
      </c>
      <c r="B26" s="13" t="s">
        <v>41</v>
      </c>
      <c r="C26" s="43">
        <v>1.1499999999999999</v>
      </c>
      <c r="D26" s="17">
        <v>1000</v>
      </c>
      <c r="E26" s="17">
        <v>1150</v>
      </c>
      <c r="G26" s="14" t="s">
        <v>350</v>
      </c>
      <c r="H26" s="29">
        <v>9.5</v>
      </c>
      <c r="I26" s="19">
        <v>9500</v>
      </c>
      <c r="K26" s="14" t="s">
        <v>56</v>
      </c>
      <c r="L26" s="29">
        <v>0.15</v>
      </c>
      <c r="N26" s="22">
        <v>23</v>
      </c>
      <c r="O26" s="24" t="s">
        <v>100</v>
      </c>
      <c r="P26" s="25">
        <f>VLOOKUP(O26,KamiBox!$C$2:$F$58,4,0)</f>
        <v>2000</v>
      </c>
      <c r="Q26" s="26">
        <f t="shared" si="1"/>
        <v>9.5499999999999989</v>
      </c>
      <c r="R26" s="25">
        <f t="shared" si="2"/>
        <v>19099.999999999996</v>
      </c>
    </row>
    <row r="27" spans="1:19" x14ac:dyDescent="0.35">
      <c r="A27" s="13" t="s">
        <v>338</v>
      </c>
      <c r="B27" s="13" t="s">
        <v>53</v>
      </c>
      <c r="C27" s="43">
        <v>1.35</v>
      </c>
      <c r="D27" s="17">
        <v>300</v>
      </c>
      <c r="E27" s="17">
        <v>405</v>
      </c>
      <c r="G27" s="14" t="s">
        <v>397</v>
      </c>
      <c r="H27" s="29">
        <v>15.399999999999999</v>
      </c>
      <c r="I27" s="19">
        <v>32040</v>
      </c>
      <c r="K27" s="14" t="s">
        <v>126</v>
      </c>
      <c r="L27" s="29">
        <v>4.7</v>
      </c>
      <c r="N27" s="22">
        <v>24</v>
      </c>
      <c r="O27" s="24" t="s">
        <v>33</v>
      </c>
      <c r="P27" s="25">
        <f>VLOOKUP(O27,KamiBox!$C$2:$F$58,4,0)</f>
        <v>700</v>
      </c>
      <c r="Q27" s="26">
        <f t="shared" si="1"/>
        <v>0</v>
      </c>
      <c r="R27" s="25">
        <f t="shared" si="2"/>
        <v>0</v>
      </c>
    </row>
    <row r="28" spans="1:19" x14ac:dyDescent="0.35">
      <c r="A28" s="13" t="s">
        <v>338</v>
      </c>
      <c r="B28" s="13" t="s">
        <v>26</v>
      </c>
      <c r="C28" s="43">
        <v>0.65</v>
      </c>
      <c r="D28" s="17">
        <v>1000</v>
      </c>
      <c r="E28" s="17">
        <v>650</v>
      </c>
      <c r="G28" s="14" t="s">
        <v>395</v>
      </c>
      <c r="H28" s="29">
        <v>12.500000000000002</v>
      </c>
      <c r="I28" s="19">
        <v>13160</v>
      </c>
      <c r="K28" s="14" t="s">
        <v>57</v>
      </c>
      <c r="L28" s="29">
        <v>0.45</v>
      </c>
      <c r="N28" s="22">
        <v>25</v>
      </c>
      <c r="O28" s="24" t="s">
        <v>34</v>
      </c>
      <c r="P28" s="25"/>
      <c r="Q28" s="26">
        <v>0</v>
      </c>
      <c r="R28" s="25">
        <f t="shared" si="2"/>
        <v>0</v>
      </c>
      <c r="S28">
        <v>42.55</v>
      </c>
    </row>
    <row r="29" spans="1:19" x14ac:dyDescent="0.35">
      <c r="A29" s="13" t="s">
        <v>385</v>
      </c>
      <c r="B29" s="13" t="s">
        <v>18</v>
      </c>
      <c r="C29" s="43">
        <v>0.3</v>
      </c>
      <c r="D29" s="17">
        <v>150</v>
      </c>
      <c r="E29" s="17">
        <v>45</v>
      </c>
      <c r="G29" s="14" t="s">
        <v>400</v>
      </c>
      <c r="H29" s="29">
        <v>30.15</v>
      </c>
      <c r="I29" s="19">
        <v>32038</v>
      </c>
      <c r="K29" s="14" t="s">
        <v>60</v>
      </c>
      <c r="L29" s="29">
        <v>4.8499999999999996</v>
      </c>
      <c r="N29" s="22">
        <v>26</v>
      </c>
      <c r="O29" s="24" t="s">
        <v>35</v>
      </c>
      <c r="P29" s="25">
        <f>VLOOKUP(O29,KamiBox!$C$2:$F$58,4,0)</f>
        <v>1500</v>
      </c>
      <c r="Q29" s="26">
        <v>0.35</v>
      </c>
      <c r="R29" s="25">
        <f t="shared" si="2"/>
        <v>525</v>
      </c>
    </row>
    <row r="30" spans="1:19" x14ac:dyDescent="0.35">
      <c r="A30" s="13" t="s">
        <v>385</v>
      </c>
      <c r="B30" s="13" t="s">
        <v>15</v>
      </c>
      <c r="C30" s="43">
        <v>1.2</v>
      </c>
      <c r="D30" s="17">
        <v>2500</v>
      </c>
      <c r="E30" s="17">
        <v>3000</v>
      </c>
      <c r="G30" s="14" t="s">
        <v>348</v>
      </c>
      <c r="H30" s="29">
        <v>10.7</v>
      </c>
      <c r="I30" s="19">
        <v>44785</v>
      </c>
      <c r="K30" s="14" t="s">
        <v>61</v>
      </c>
      <c r="L30" s="29">
        <v>1.5500000000000003</v>
      </c>
      <c r="N30" s="22">
        <v>27</v>
      </c>
      <c r="O30" s="24" t="s">
        <v>37</v>
      </c>
      <c r="P30" s="25">
        <f>VLOOKUP(O30,KamiBox!$C$2:$F$58,4,0)</f>
        <v>2000</v>
      </c>
      <c r="Q30" s="26">
        <v>4.7</v>
      </c>
      <c r="R30" s="25">
        <f t="shared" si="2"/>
        <v>9400</v>
      </c>
    </row>
    <row r="31" spans="1:19" x14ac:dyDescent="0.35">
      <c r="A31" s="13" t="s">
        <v>385</v>
      </c>
      <c r="B31" s="13" t="s">
        <v>56</v>
      </c>
      <c r="C31" s="43">
        <v>0.15</v>
      </c>
      <c r="D31" s="17">
        <v>500</v>
      </c>
      <c r="E31" s="17">
        <v>75</v>
      </c>
      <c r="G31" s="14" t="s">
        <v>340</v>
      </c>
      <c r="H31" s="29">
        <v>5.8</v>
      </c>
      <c r="I31" s="19">
        <v>6405</v>
      </c>
      <c r="K31" s="14" t="s">
        <v>124</v>
      </c>
      <c r="L31" s="29">
        <v>574.80000000000007</v>
      </c>
      <c r="N31" s="22">
        <v>28</v>
      </c>
      <c r="O31" s="24" t="s">
        <v>38</v>
      </c>
      <c r="P31" s="25">
        <f>VLOOKUP(O31,KamiBox!$C$2:$F$58,4,0)</f>
        <v>100</v>
      </c>
      <c r="Q31" s="26">
        <f t="shared" si="1"/>
        <v>0</v>
      </c>
      <c r="R31" s="25">
        <f t="shared" si="2"/>
        <v>0</v>
      </c>
    </row>
    <row r="32" spans="1:19" x14ac:dyDescent="0.35">
      <c r="A32" s="13" t="s">
        <v>385</v>
      </c>
      <c r="B32" s="13" t="s">
        <v>53</v>
      </c>
      <c r="C32" s="43">
        <v>0.6</v>
      </c>
      <c r="D32" s="17">
        <v>300</v>
      </c>
      <c r="E32" s="17">
        <v>180</v>
      </c>
      <c r="G32" s="14" t="s">
        <v>424</v>
      </c>
      <c r="H32" s="29">
        <v>26.15</v>
      </c>
      <c r="I32" s="19">
        <v>30728</v>
      </c>
      <c r="N32" s="22">
        <v>29</v>
      </c>
      <c r="O32" s="24" t="s">
        <v>39</v>
      </c>
      <c r="P32" s="25">
        <f>VLOOKUP(O32,KamiBox!$C$2:$F$58,4,0)</f>
        <v>2000</v>
      </c>
      <c r="Q32" s="26">
        <f t="shared" si="1"/>
        <v>10.200000000000001</v>
      </c>
      <c r="R32" s="25">
        <f t="shared" si="2"/>
        <v>20400.000000000004</v>
      </c>
    </row>
    <row r="33" spans="1:19" x14ac:dyDescent="0.35">
      <c r="A33" s="13" t="s">
        <v>385</v>
      </c>
      <c r="B33" s="13" t="s">
        <v>60</v>
      </c>
      <c r="C33" s="43">
        <v>0.1</v>
      </c>
      <c r="D33" s="17">
        <v>2500</v>
      </c>
      <c r="E33" s="17">
        <v>250</v>
      </c>
      <c r="G33" s="14" t="s">
        <v>359</v>
      </c>
      <c r="H33" s="29">
        <v>14</v>
      </c>
      <c r="I33" s="19">
        <v>16980</v>
      </c>
      <c r="N33" s="22">
        <v>30</v>
      </c>
      <c r="O33" s="24" t="s">
        <v>40</v>
      </c>
      <c r="P33" s="25">
        <f>VLOOKUP(O33,KamiBox!$C$2:$F$58,4,0)</f>
        <v>1800</v>
      </c>
      <c r="Q33" s="26">
        <f t="shared" si="1"/>
        <v>0</v>
      </c>
      <c r="R33" s="25">
        <f t="shared" si="2"/>
        <v>0</v>
      </c>
    </row>
    <row r="34" spans="1:19" x14ac:dyDescent="0.35">
      <c r="A34" s="13" t="s">
        <v>385</v>
      </c>
      <c r="B34" s="13" t="s">
        <v>25</v>
      </c>
      <c r="C34" s="43">
        <v>1.75</v>
      </c>
      <c r="D34" s="17">
        <v>1000</v>
      </c>
      <c r="E34" s="17">
        <v>1750</v>
      </c>
      <c r="G34" s="14" t="s">
        <v>362</v>
      </c>
      <c r="H34" s="29">
        <v>14.45</v>
      </c>
      <c r="I34" s="19">
        <v>16973</v>
      </c>
      <c r="N34" s="22">
        <v>31</v>
      </c>
      <c r="O34" s="24" t="s">
        <v>41</v>
      </c>
      <c r="P34" s="25">
        <f>VLOOKUP(O34,KamiBox!$C$2:$F$58,4,0)</f>
        <v>1800</v>
      </c>
      <c r="Q34" s="26">
        <f t="shared" si="1"/>
        <v>165.74999999999997</v>
      </c>
      <c r="R34" s="25">
        <f t="shared" si="2"/>
        <v>298349.99999999994</v>
      </c>
    </row>
    <row r="35" spans="1:19" x14ac:dyDescent="0.35">
      <c r="A35" s="13" t="s">
        <v>385</v>
      </c>
      <c r="B35" s="13" t="s">
        <v>94</v>
      </c>
      <c r="C35" s="43">
        <v>0.7</v>
      </c>
      <c r="D35" s="17">
        <v>2800</v>
      </c>
      <c r="E35" s="17">
        <v>1960</v>
      </c>
      <c r="G35" s="14" t="s">
        <v>360</v>
      </c>
      <c r="H35" s="29">
        <v>6.35</v>
      </c>
      <c r="I35" s="19">
        <v>9280</v>
      </c>
      <c r="N35" s="22">
        <v>32</v>
      </c>
      <c r="O35" s="24" t="s">
        <v>42</v>
      </c>
      <c r="P35" s="25">
        <f>VLOOKUP(O35,KamiBox!$C$2:$F$58,4,0)</f>
        <v>4000</v>
      </c>
      <c r="Q35" s="26">
        <f t="shared" si="1"/>
        <v>0</v>
      </c>
      <c r="R35" s="25">
        <f t="shared" si="2"/>
        <v>0</v>
      </c>
    </row>
    <row r="36" spans="1:19" x14ac:dyDescent="0.35">
      <c r="A36" s="13" t="s">
        <v>385</v>
      </c>
      <c r="B36" s="13" t="s">
        <v>41</v>
      </c>
      <c r="C36" s="43">
        <v>2.85</v>
      </c>
      <c r="D36" s="17">
        <v>1000</v>
      </c>
      <c r="E36" s="17">
        <v>2850</v>
      </c>
      <c r="G36" s="14" t="s">
        <v>274</v>
      </c>
      <c r="H36" s="29">
        <v>2.65</v>
      </c>
      <c r="I36" s="19">
        <v>795</v>
      </c>
      <c r="N36" s="47">
        <v>33</v>
      </c>
      <c r="O36" s="91" t="s">
        <v>392</v>
      </c>
      <c r="P36" s="93">
        <v>20000</v>
      </c>
      <c r="Q36" s="92">
        <f t="shared" si="1"/>
        <v>1</v>
      </c>
      <c r="R36" s="25">
        <f t="shared" si="2"/>
        <v>20000</v>
      </c>
    </row>
    <row r="37" spans="1:19" x14ac:dyDescent="0.35">
      <c r="A37" s="13" t="s">
        <v>386</v>
      </c>
      <c r="B37" s="13" t="s">
        <v>41</v>
      </c>
      <c r="C37" s="43">
        <v>10.75</v>
      </c>
      <c r="D37" s="17">
        <v>1000</v>
      </c>
      <c r="E37" s="17">
        <v>10750</v>
      </c>
      <c r="G37" s="14" t="s">
        <v>384</v>
      </c>
      <c r="H37" s="29">
        <v>10.45</v>
      </c>
      <c r="I37" s="19">
        <v>11140</v>
      </c>
      <c r="N37" s="22">
        <v>34</v>
      </c>
      <c r="O37" s="24" t="s">
        <v>43</v>
      </c>
      <c r="P37" s="25">
        <f>VLOOKUP(O37,KamiBox!$C$2:$F$58,4,0)</f>
        <v>60000</v>
      </c>
      <c r="Q37" s="26">
        <f t="shared" ref="Q37:Q45" si="3">SUMIF($B$3:$B$338,O37,$C$3:$C$338)</f>
        <v>0</v>
      </c>
      <c r="R37" s="25">
        <f t="shared" si="2"/>
        <v>0</v>
      </c>
    </row>
    <row r="38" spans="1:19" x14ac:dyDescent="0.35">
      <c r="A38" s="13" t="s">
        <v>386</v>
      </c>
      <c r="B38" s="13" t="s">
        <v>127</v>
      </c>
      <c r="C38" s="43">
        <v>0.1</v>
      </c>
      <c r="D38" s="17">
        <v>8000</v>
      </c>
      <c r="E38" s="17">
        <v>800</v>
      </c>
      <c r="G38" s="14" t="s">
        <v>338</v>
      </c>
      <c r="H38" s="29">
        <v>3.15</v>
      </c>
      <c r="I38" s="19">
        <v>2205</v>
      </c>
      <c r="N38" s="22">
        <v>35</v>
      </c>
      <c r="O38" s="24" t="s">
        <v>44</v>
      </c>
      <c r="P38" s="25">
        <f>VLOOKUP(O38,KamiBox!$C$2:$F$58,4,0)</f>
        <v>700</v>
      </c>
      <c r="Q38" s="26">
        <f t="shared" si="3"/>
        <v>0</v>
      </c>
      <c r="R38" s="25">
        <f t="shared" si="2"/>
        <v>0</v>
      </c>
    </row>
    <row r="39" spans="1:19" x14ac:dyDescent="0.35">
      <c r="A39" s="13" t="s">
        <v>386</v>
      </c>
      <c r="B39" s="13" t="s">
        <v>29</v>
      </c>
      <c r="C39" s="43">
        <v>0.5</v>
      </c>
      <c r="D39" s="17">
        <v>1600</v>
      </c>
      <c r="E39" s="17">
        <v>800</v>
      </c>
      <c r="G39" s="14" t="s">
        <v>399</v>
      </c>
      <c r="H39" s="29">
        <v>11.100000000000001</v>
      </c>
      <c r="I39" s="19">
        <v>6665</v>
      </c>
      <c r="N39" s="22">
        <v>36</v>
      </c>
      <c r="O39" s="24" t="s">
        <v>46</v>
      </c>
      <c r="P39" s="25">
        <f>VLOOKUP(O39,KamiBox!$C$2:$F$58,4,0)</f>
        <v>4000</v>
      </c>
      <c r="Q39" s="26">
        <f t="shared" si="3"/>
        <v>0.7</v>
      </c>
      <c r="R39" s="25">
        <f t="shared" si="2"/>
        <v>2800</v>
      </c>
    </row>
    <row r="40" spans="1:19" x14ac:dyDescent="0.35">
      <c r="A40" s="13" t="s">
        <v>386</v>
      </c>
      <c r="B40" s="13" t="s">
        <v>100</v>
      </c>
      <c r="C40" s="43">
        <v>1.55</v>
      </c>
      <c r="D40" s="17">
        <v>1400</v>
      </c>
      <c r="E40" s="17">
        <v>2170</v>
      </c>
      <c r="G40" s="14" t="s">
        <v>318</v>
      </c>
      <c r="H40" s="29">
        <v>14.549999999999999</v>
      </c>
      <c r="I40" s="19">
        <v>22583</v>
      </c>
      <c r="N40" s="22">
        <v>37</v>
      </c>
      <c r="O40" s="24" t="s">
        <v>47</v>
      </c>
      <c r="P40" s="25">
        <f>VLOOKUP(O40,KamiBox!$C$2:$F$58,4,0)</f>
        <v>50000</v>
      </c>
      <c r="Q40" s="26">
        <f t="shared" si="3"/>
        <v>0</v>
      </c>
      <c r="R40" s="25">
        <f t="shared" si="2"/>
        <v>0</v>
      </c>
    </row>
    <row r="41" spans="1:19" x14ac:dyDescent="0.35">
      <c r="A41" s="13" t="s">
        <v>386</v>
      </c>
      <c r="B41" s="13" t="s">
        <v>51</v>
      </c>
      <c r="C41" s="43">
        <v>5.0999999999999996</v>
      </c>
      <c r="D41" s="17">
        <v>500</v>
      </c>
      <c r="E41" s="17">
        <v>2550</v>
      </c>
      <c r="G41" s="14" t="s">
        <v>402</v>
      </c>
      <c r="H41" s="29">
        <v>11.25</v>
      </c>
      <c r="I41" s="19">
        <v>24758</v>
      </c>
      <c r="N41" s="22">
        <v>38</v>
      </c>
      <c r="O41" s="24" t="s">
        <v>48</v>
      </c>
      <c r="P41" s="25">
        <f>VLOOKUP(O41,KamiBox!$C$2:$F$58,4,0)</f>
        <v>35000</v>
      </c>
      <c r="Q41" s="26">
        <f t="shared" si="3"/>
        <v>0</v>
      </c>
      <c r="R41" s="25">
        <f t="shared" si="2"/>
        <v>0</v>
      </c>
    </row>
    <row r="42" spans="1:19" x14ac:dyDescent="0.35">
      <c r="A42" s="13" t="s">
        <v>386</v>
      </c>
      <c r="B42" s="13" t="s">
        <v>18</v>
      </c>
      <c r="C42" s="43">
        <v>0.7</v>
      </c>
      <c r="D42" s="17">
        <v>150</v>
      </c>
      <c r="E42" s="17">
        <v>105</v>
      </c>
      <c r="G42" s="14" t="s">
        <v>356</v>
      </c>
      <c r="H42" s="29">
        <v>53.05</v>
      </c>
      <c r="I42" s="19">
        <v>54915</v>
      </c>
      <c r="N42" s="22">
        <v>39</v>
      </c>
      <c r="O42" s="24" t="s">
        <v>49</v>
      </c>
      <c r="P42" s="25">
        <f>VLOOKUP(O42,KamiBox!$C$2:$F$58,4,0)</f>
        <v>50000</v>
      </c>
      <c r="Q42" s="26">
        <f t="shared" si="3"/>
        <v>0</v>
      </c>
      <c r="R42" s="25">
        <f t="shared" si="2"/>
        <v>0</v>
      </c>
    </row>
    <row r="43" spans="1:19" x14ac:dyDescent="0.35">
      <c r="A43" s="13" t="s">
        <v>386</v>
      </c>
      <c r="B43" s="13" t="s">
        <v>39</v>
      </c>
      <c r="C43" s="43">
        <v>0.25</v>
      </c>
      <c r="D43" s="17">
        <v>1500</v>
      </c>
      <c r="E43" s="17">
        <v>375</v>
      </c>
      <c r="G43" s="14" t="s">
        <v>396</v>
      </c>
      <c r="H43" s="29">
        <v>12.2</v>
      </c>
      <c r="I43" s="19">
        <v>28020</v>
      </c>
      <c r="N43" s="22">
        <v>40</v>
      </c>
      <c r="O43" s="24" t="s">
        <v>50</v>
      </c>
      <c r="P43" s="25"/>
      <c r="Q43" s="26">
        <f t="shared" si="3"/>
        <v>0</v>
      </c>
      <c r="R43" s="25">
        <f t="shared" si="2"/>
        <v>0</v>
      </c>
    </row>
    <row r="44" spans="1:19" x14ac:dyDescent="0.35">
      <c r="A44" s="13" t="s">
        <v>386</v>
      </c>
      <c r="B44" s="13" t="s">
        <v>26</v>
      </c>
      <c r="C44" s="43">
        <v>0.2</v>
      </c>
      <c r="D44" s="17">
        <v>1000</v>
      </c>
      <c r="E44" s="17">
        <v>200</v>
      </c>
      <c r="G44" s="14" t="s">
        <v>270</v>
      </c>
      <c r="H44" s="29">
        <v>1.05</v>
      </c>
      <c r="I44" s="19">
        <v>315</v>
      </c>
      <c r="N44" s="22">
        <v>41</v>
      </c>
      <c r="O44" s="24" t="s">
        <v>51</v>
      </c>
      <c r="P44" s="25">
        <f>VLOOKUP(O44,KamiBox!$C$2:$F$58,4,0)</f>
        <v>700</v>
      </c>
      <c r="Q44" s="26">
        <f t="shared" si="3"/>
        <v>50.5</v>
      </c>
      <c r="R44" s="25">
        <f t="shared" si="2"/>
        <v>35350</v>
      </c>
    </row>
    <row r="45" spans="1:19" x14ac:dyDescent="0.35">
      <c r="A45" s="13" t="s">
        <v>386</v>
      </c>
      <c r="B45" s="13" t="s">
        <v>53</v>
      </c>
      <c r="C45" s="43">
        <v>5.0999999999999996</v>
      </c>
      <c r="D45" s="17">
        <v>300</v>
      </c>
      <c r="E45" s="17">
        <v>1530</v>
      </c>
      <c r="G45" s="14" t="s">
        <v>335</v>
      </c>
      <c r="H45" s="29">
        <v>6.35</v>
      </c>
      <c r="I45" s="19">
        <v>5548</v>
      </c>
      <c r="N45" s="22">
        <v>42</v>
      </c>
      <c r="O45" s="24" t="s">
        <v>52</v>
      </c>
      <c r="P45" s="25"/>
      <c r="Q45" s="26">
        <f t="shared" si="3"/>
        <v>0</v>
      </c>
      <c r="R45" s="25">
        <f t="shared" si="2"/>
        <v>0</v>
      </c>
    </row>
    <row r="46" spans="1:19" x14ac:dyDescent="0.35">
      <c r="A46" s="13" t="s">
        <v>386</v>
      </c>
      <c r="B46" s="13" t="s">
        <v>25</v>
      </c>
      <c r="C46" s="43">
        <v>1.65</v>
      </c>
      <c r="D46" s="17">
        <v>1000</v>
      </c>
      <c r="E46" s="17">
        <v>1650</v>
      </c>
      <c r="G46" s="14" t="s">
        <v>394</v>
      </c>
      <c r="H46" s="29">
        <v>2.95</v>
      </c>
      <c r="I46" s="19">
        <v>2625</v>
      </c>
      <c r="N46" s="22">
        <v>43</v>
      </c>
      <c r="O46" s="24" t="s">
        <v>53</v>
      </c>
      <c r="P46" s="25">
        <f>VLOOKUP(O46,KamiBox!$C$2:$F$58,4,0)</f>
        <v>500</v>
      </c>
      <c r="Q46" s="26">
        <v>45.1</v>
      </c>
      <c r="R46" s="25">
        <f t="shared" si="2"/>
        <v>22550</v>
      </c>
      <c r="S46">
        <f>55.5-45.1</f>
        <v>10.399999999999999</v>
      </c>
    </row>
    <row r="47" spans="1:19" x14ac:dyDescent="0.35">
      <c r="A47" s="13" t="s">
        <v>386</v>
      </c>
      <c r="B47" s="13" t="s">
        <v>13</v>
      </c>
      <c r="C47" s="43">
        <v>2.5499999999999998</v>
      </c>
      <c r="D47" s="17">
        <v>500</v>
      </c>
      <c r="E47" s="17">
        <v>1275</v>
      </c>
      <c r="G47" s="14" t="s">
        <v>330</v>
      </c>
      <c r="H47" s="29">
        <v>6.6999999999999993</v>
      </c>
      <c r="I47" s="19">
        <v>10270</v>
      </c>
      <c r="N47" s="22">
        <v>44</v>
      </c>
      <c r="O47" s="24" t="s">
        <v>54</v>
      </c>
      <c r="P47" s="25"/>
      <c r="Q47" s="26"/>
      <c r="R47" s="25">
        <f t="shared" si="2"/>
        <v>0</v>
      </c>
    </row>
    <row r="48" spans="1:19" x14ac:dyDescent="0.35">
      <c r="A48" s="13" t="s">
        <v>386</v>
      </c>
      <c r="B48" s="13" t="s">
        <v>94</v>
      </c>
      <c r="C48" s="43">
        <v>3.3</v>
      </c>
      <c r="D48" s="17">
        <v>2800</v>
      </c>
      <c r="E48" s="17">
        <v>9240</v>
      </c>
      <c r="G48" s="14" t="s">
        <v>272</v>
      </c>
      <c r="H48" s="29">
        <v>5.7</v>
      </c>
      <c r="I48" s="19">
        <v>3810</v>
      </c>
      <c r="N48" s="22">
        <v>45</v>
      </c>
      <c r="O48" s="24" t="s">
        <v>266</v>
      </c>
      <c r="P48" s="25"/>
      <c r="Q48" s="26"/>
      <c r="R48" s="25">
        <f t="shared" si="2"/>
        <v>0</v>
      </c>
    </row>
    <row r="49" spans="1:18" x14ac:dyDescent="0.35">
      <c r="A49" s="13" t="s">
        <v>353</v>
      </c>
      <c r="B49" s="13" t="s">
        <v>94</v>
      </c>
      <c r="C49" s="43">
        <v>2.4</v>
      </c>
      <c r="D49" s="17">
        <v>2800</v>
      </c>
      <c r="E49" s="17">
        <v>6720</v>
      </c>
      <c r="G49" s="14" t="s">
        <v>271</v>
      </c>
      <c r="H49" s="29">
        <v>6.6</v>
      </c>
      <c r="I49" s="19">
        <v>2495</v>
      </c>
      <c r="N49" s="22">
        <v>46</v>
      </c>
      <c r="O49" s="24" t="s">
        <v>55</v>
      </c>
      <c r="P49" s="25">
        <f>VLOOKUP(O49,KamiBox!$C$2:$F$58,4,0)</f>
        <v>900</v>
      </c>
      <c r="Q49" s="26">
        <f t="shared" ref="Q49:Q59" si="4">SUMIF($B$3:$B$338,O49,$C$3:$C$338)</f>
        <v>0</v>
      </c>
      <c r="R49" s="25">
        <f t="shared" si="2"/>
        <v>0</v>
      </c>
    </row>
    <row r="50" spans="1:18" x14ac:dyDescent="0.35">
      <c r="A50" s="13" t="s">
        <v>353</v>
      </c>
      <c r="B50" s="13" t="s">
        <v>26</v>
      </c>
      <c r="C50" s="43">
        <v>0.4</v>
      </c>
      <c r="D50" s="17">
        <v>1000</v>
      </c>
      <c r="E50" s="17">
        <v>400</v>
      </c>
      <c r="G50" s="14" t="s">
        <v>124</v>
      </c>
      <c r="H50" s="29">
        <v>574.80000000000007</v>
      </c>
      <c r="I50" s="19">
        <v>779234</v>
      </c>
      <c r="N50" s="22">
        <v>46</v>
      </c>
      <c r="O50" s="24" t="s">
        <v>56</v>
      </c>
      <c r="P50" s="25">
        <f>VLOOKUP(O50,KamiBox!$C$2:$F$58,4,0)</f>
        <v>700</v>
      </c>
      <c r="Q50" s="26">
        <f t="shared" si="4"/>
        <v>0.15</v>
      </c>
      <c r="R50" s="25">
        <f t="shared" si="2"/>
        <v>105</v>
      </c>
    </row>
    <row r="51" spans="1:18" x14ac:dyDescent="0.35">
      <c r="A51" s="13" t="s">
        <v>353</v>
      </c>
      <c r="B51" s="13" t="s">
        <v>18</v>
      </c>
      <c r="C51" s="43">
        <v>0.55000000000000004</v>
      </c>
      <c r="D51" s="17">
        <v>150</v>
      </c>
      <c r="E51" s="17">
        <v>83</v>
      </c>
      <c r="N51" s="22">
        <v>47</v>
      </c>
      <c r="O51" s="24" t="s">
        <v>57</v>
      </c>
      <c r="P51" s="25">
        <f>VLOOKUP(O51,KamiBox!$C$2:$F$58,4,0)</f>
        <v>400</v>
      </c>
      <c r="Q51" s="26">
        <f t="shared" si="4"/>
        <v>0.45</v>
      </c>
      <c r="R51" s="25">
        <f t="shared" si="2"/>
        <v>180</v>
      </c>
    </row>
    <row r="52" spans="1:18" x14ac:dyDescent="0.35">
      <c r="A52" s="13" t="s">
        <v>353</v>
      </c>
      <c r="B52" s="13" t="s">
        <v>53</v>
      </c>
      <c r="C52" s="43">
        <v>0.8</v>
      </c>
      <c r="D52" s="17">
        <v>300</v>
      </c>
      <c r="E52" s="17">
        <v>240</v>
      </c>
      <c r="N52" s="22">
        <v>48</v>
      </c>
      <c r="O52" s="24" t="s">
        <v>58</v>
      </c>
      <c r="P52" s="25">
        <f>VLOOKUP(O52,KamiBox!$C$2:$F$58,4,0)</f>
        <v>60000</v>
      </c>
      <c r="Q52" s="26">
        <f t="shared" si="4"/>
        <v>0</v>
      </c>
      <c r="R52" s="25">
        <f t="shared" si="2"/>
        <v>0</v>
      </c>
    </row>
    <row r="53" spans="1:18" x14ac:dyDescent="0.35">
      <c r="A53" s="13" t="s">
        <v>320</v>
      </c>
      <c r="B53" s="13" t="s">
        <v>13</v>
      </c>
      <c r="C53" s="43">
        <v>0.15</v>
      </c>
      <c r="D53" s="17">
        <v>500</v>
      </c>
      <c r="E53" s="17">
        <v>75</v>
      </c>
      <c r="N53" s="22">
        <v>49</v>
      </c>
      <c r="O53" s="24" t="s">
        <v>59</v>
      </c>
      <c r="P53" s="25">
        <f>VLOOKUP(O53,KamiBox!$C$2:$F$58,4,0)</f>
        <v>150</v>
      </c>
      <c r="Q53" s="26">
        <f t="shared" si="4"/>
        <v>0</v>
      </c>
      <c r="R53" s="25">
        <f t="shared" si="2"/>
        <v>0</v>
      </c>
    </row>
    <row r="54" spans="1:18" x14ac:dyDescent="0.35">
      <c r="A54" s="13" t="s">
        <v>320</v>
      </c>
      <c r="B54" s="13" t="s">
        <v>53</v>
      </c>
      <c r="C54" s="43">
        <v>0.2</v>
      </c>
      <c r="D54" s="17">
        <v>300</v>
      </c>
      <c r="E54" s="17">
        <v>60</v>
      </c>
      <c r="N54" s="22">
        <v>50</v>
      </c>
      <c r="O54" s="24" t="s">
        <v>60</v>
      </c>
      <c r="P54" s="25">
        <f>VLOOKUP(O54,KamiBox!$C$2:$F$58,4,0)</f>
        <v>3000</v>
      </c>
      <c r="Q54" s="26">
        <f t="shared" si="4"/>
        <v>4.8499999999999996</v>
      </c>
      <c r="R54" s="25">
        <f t="shared" si="2"/>
        <v>14549.999999999998</v>
      </c>
    </row>
    <row r="55" spans="1:18" x14ac:dyDescent="0.35">
      <c r="A55" s="13" t="s">
        <v>320</v>
      </c>
      <c r="B55" s="13" t="s">
        <v>22</v>
      </c>
      <c r="C55" s="43">
        <v>0.75</v>
      </c>
      <c r="D55" s="17">
        <v>1600</v>
      </c>
      <c r="E55" s="17">
        <v>1200</v>
      </c>
      <c r="G55" t="s">
        <v>73</v>
      </c>
      <c r="N55" s="22">
        <v>51</v>
      </c>
      <c r="O55" s="24" t="s">
        <v>61</v>
      </c>
      <c r="P55" s="25">
        <f>VLOOKUP(O55,KamiBox!$C$2:$F$58,4,0)</f>
        <v>4500</v>
      </c>
      <c r="Q55" s="26">
        <f t="shared" si="4"/>
        <v>1.5500000000000003</v>
      </c>
      <c r="R55" s="25">
        <f t="shared" si="2"/>
        <v>6975.0000000000009</v>
      </c>
    </row>
    <row r="56" spans="1:18" x14ac:dyDescent="0.35">
      <c r="A56" s="13" t="s">
        <v>320</v>
      </c>
      <c r="B56" s="13" t="s">
        <v>18</v>
      </c>
      <c r="C56" s="43">
        <v>1.45</v>
      </c>
      <c r="D56" s="17">
        <v>150</v>
      </c>
      <c r="E56" s="17">
        <v>218</v>
      </c>
      <c r="G56" s="5">
        <f>R60+X7-GETPIVOTDATA("Sum of Total",$G$2)</f>
        <v>123851</v>
      </c>
      <c r="N56" s="22">
        <v>52</v>
      </c>
      <c r="O56" s="24" t="s">
        <v>62</v>
      </c>
      <c r="P56" s="25">
        <f>VLOOKUP(O56,KamiBox!$C$2:$F$58,4,0)</f>
        <v>20000</v>
      </c>
      <c r="Q56" s="26">
        <f t="shared" si="4"/>
        <v>0</v>
      </c>
      <c r="R56" s="25">
        <f t="shared" si="2"/>
        <v>0</v>
      </c>
    </row>
    <row r="57" spans="1:18" x14ac:dyDescent="0.35">
      <c r="A57" s="13" t="s">
        <v>320</v>
      </c>
      <c r="B57" s="13" t="s">
        <v>25</v>
      </c>
      <c r="C57" s="43">
        <v>0.8</v>
      </c>
      <c r="D57" s="17">
        <v>1000</v>
      </c>
      <c r="E57" s="17">
        <v>800</v>
      </c>
      <c r="N57" s="22">
        <v>53</v>
      </c>
      <c r="O57" s="24" t="s">
        <v>63</v>
      </c>
      <c r="P57" s="25">
        <f>VLOOKUP(O57,KamiBox!$C$2:$F$58,4,0)</f>
        <v>1000</v>
      </c>
      <c r="Q57" s="26">
        <f t="shared" si="4"/>
        <v>0</v>
      </c>
      <c r="R57" s="25">
        <f t="shared" si="2"/>
        <v>0</v>
      </c>
    </row>
    <row r="58" spans="1:18" x14ac:dyDescent="0.35">
      <c r="A58" s="13" t="s">
        <v>362</v>
      </c>
      <c r="B58" s="13" t="s">
        <v>25</v>
      </c>
      <c r="C58" s="43">
        <v>0.3</v>
      </c>
      <c r="D58" s="17">
        <v>1000</v>
      </c>
      <c r="E58" s="17">
        <v>300</v>
      </c>
      <c r="N58" s="22">
        <v>54</v>
      </c>
      <c r="O58" s="24" t="s">
        <v>263</v>
      </c>
      <c r="P58" s="25">
        <f>VLOOKUP(O58,KamiBox!$C$2:$F$58,4,0)</f>
        <v>1200</v>
      </c>
      <c r="Q58" s="26">
        <f t="shared" si="4"/>
        <v>2.75</v>
      </c>
      <c r="R58" s="25">
        <f t="shared" si="2"/>
        <v>3300</v>
      </c>
    </row>
    <row r="59" spans="1:18" x14ac:dyDescent="0.35">
      <c r="A59" s="13" t="s">
        <v>362</v>
      </c>
      <c r="B59" s="13" t="s">
        <v>94</v>
      </c>
      <c r="C59" s="43">
        <v>1.8</v>
      </c>
      <c r="D59" s="17">
        <v>2800</v>
      </c>
      <c r="E59" s="17">
        <v>5040</v>
      </c>
      <c r="N59" s="47">
        <v>55</v>
      </c>
      <c r="O59" s="24" t="s">
        <v>319</v>
      </c>
      <c r="P59" s="25">
        <f>VLOOKUP(O59,KamiBox!$C$2:$F$58,4,0)</f>
        <v>2000</v>
      </c>
      <c r="Q59" s="26">
        <f t="shared" si="4"/>
        <v>0</v>
      </c>
      <c r="R59" s="25">
        <f t="shared" si="2"/>
        <v>0</v>
      </c>
    </row>
    <row r="60" spans="1:18" x14ac:dyDescent="0.35">
      <c r="A60" s="13" t="s">
        <v>362</v>
      </c>
      <c r="B60" s="13" t="s">
        <v>18</v>
      </c>
      <c r="C60" s="43">
        <v>0.25</v>
      </c>
      <c r="D60" s="17">
        <v>150</v>
      </c>
      <c r="E60" s="17">
        <v>38</v>
      </c>
      <c r="N60" s="24"/>
      <c r="O60" s="24"/>
      <c r="P60" s="27" t="s">
        <v>135</v>
      </c>
      <c r="Q60" s="27">
        <f>SUM(Q4:Q59)</f>
        <v>507.34999999999997</v>
      </c>
      <c r="R60" s="28">
        <f>SUM(R6:R59)</f>
        <v>879140</v>
      </c>
    </row>
    <row r="61" spans="1:18" x14ac:dyDescent="0.35">
      <c r="A61" s="13" t="s">
        <v>362</v>
      </c>
      <c r="B61" s="13" t="s">
        <v>41</v>
      </c>
      <c r="C61" s="43">
        <v>0.2</v>
      </c>
      <c r="D61" s="17">
        <v>1000</v>
      </c>
      <c r="E61" s="17">
        <v>200</v>
      </c>
    </row>
    <row r="62" spans="1:18" x14ac:dyDescent="0.35">
      <c r="A62" s="13" t="s">
        <v>362</v>
      </c>
      <c r="B62" s="13" t="s">
        <v>51</v>
      </c>
      <c r="C62" s="43">
        <v>0.9</v>
      </c>
      <c r="D62" s="17">
        <v>500</v>
      </c>
      <c r="E62" s="17">
        <v>450</v>
      </c>
    </row>
    <row r="63" spans="1:18" x14ac:dyDescent="0.35">
      <c r="A63" s="13" t="s">
        <v>362</v>
      </c>
      <c r="B63" s="13" t="s">
        <v>13</v>
      </c>
      <c r="C63" s="43">
        <v>0.2</v>
      </c>
      <c r="D63" s="17">
        <v>500</v>
      </c>
      <c r="E63" s="17">
        <v>100</v>
      </c>
    </row>
    <row r="64" spans="1:18" x14ac:dyDescent="0.35">
      <c r="A64" s="13" t="s">
        <v>362</v>
      </c>
      <c r="B64" s="13" t="s">
        <v>25</v>
      </c>
      <c r="C64" s="43">
        <v>2</v>
      </c>
      <c r="D64" s="17">
        <v>1000</v>
      </c>
      <c r="E64" s="17">
        <v>2000</v>
      </c>
    </row>
    <row r="65" spans="1:5" x14ac:dyDescent="0.35">
      <c r="A65" s="13" t="s">
        <v>362</v>
      </c>
      <c r="B65" s="13" t="s">
        <v>39</v>
      </c>
      <c r="C65" s="43">
        <v>0.45</v>
      </c>
      <c r="D65" s="17">
        <v>1500</v>
      </c>
      <c r="E65" s="17">
        <v>675</v>
      </c>
    </row>
    <row r="66" spans="1:5" x14ac:dyDescent="0.35">
      <c r="A66" s="13" t="s">
        <v>340</v>
      </c>
      <c r="B66" s="13" t="s">
        <v>39</v>
      </c>
      <c r="C66" s="43">
        <v>0.3</v>
      </c>
      <c r="D66" s="17">
        <v>1500</v>
      </c>
      <c r="E66" s="17">
        <v>450</v>
      </c>
    </row>
    <row r="67" spans="1:5" x14ac:dyDescent="0.35">
      <c r="A67" s="13" t="s">
        <v>340</v>
      </c>
      <c r="B67" s="13" t="s">
        <v>25</v>
      </c>
      <c r="C67" s="43">
        <v>0.6</v>
      </c>
      <c r="D67" s="17">
        <v>1000</v>
      </c>
      <c r="E67" s="17">
        <v>600</v>
      </c>
    </row>
    <row r="68" spans="1:5" x14ac:dyDescent="0.35">
      <c r="A68" s="13" t="s">
        <v>340</v>
      </c>
      <c r="B68" s="13" t="s">
        <v>53</v>
      </c>
      <c r="C68" s="43">
        <v>0.25</v>
      </c>
      <c r="D68" s="17">
        <v>300</v>
      </c>
      <c r="E68" s="17">
        <v>75</v>
      </c>
    </row>
    <row r="69" spans="1:5" x14ac:dyDescent="0.35">
      <c r="A69" s="13" t="s">
        <v>340</v>
      </c>
      <c r="B69" s="13" t="s">
        <v>13</v>
      </c>
      <c r="C69" s="43">
        <v>0.3</v>
      </c>
      <c r="D69" s="17">
        <v>500</v>
      </c>
      <c r="E69" s="17">
        <v>150</v>
      </c>
    </row>
    <row r="70" spans="1:5" x14ac:dyDescent="0.35">
      <c r="A70" s="13" t="s">
        <v>340</v>
      </c>
      <c r="B70" s="13" t="s">
        <v>54</v>
      </c>
      <c r="C70" s="43">
        <v>0.05</v>
      </c>
      <c r="D70" s="17">
        <v>800</v>
      </c>
      <c r="E70" s="17">
        <v>40</v>
      </c>
    </row>
    <row r="71" spans="1:5" x14ac:dyDescent="0.35">
      <c r="A71" s="13" t="s">
        <v>340</v>
      </c>
      <c r="B71" s="13" t="s">
        <v>61</v>
      </c>
      <c r="C71" s="43">
        <v>0.1</v>
      </c>
      <c r="D71" s="17">
        <v>3500</v>
      </c>
      <c r="E71" s="17">
        <v>350</v>
      </c>
    </row>
    <row r="72" spans="1:5" x14ac:dyDescent="0.35">
      <c r="A72" s="13" t="s">
        <v>340</v>
      </c>
      <c r="B72" s="13" t="s">
        <v>94</v>
      </c>
      <c r="C72" s="43">
        <v>0.3</v>
      </c>
      <c r="D72" s="17">
        <v>2800</v>
      </c>
      <c r="E72" s="17">
        <v>840</v>
      </c>
    </row>
    <row r="73" spans="1:5" x14ac:dyDescent="0.35">
      <c r="A73" s="13" t="s">
        <v>340</v>
      </c>
      <c r="B73" s="13" t="s">
        <v>41</v>
      </c>
      <c r="C73" s="43">
        <v>3.9</v>
      </c>
      <c r="D73" s="17">
        <v>1000</v>
      </c>
      <c r="E73" s="17">
        <v>3900</v>
      </c>
    </row>
    <row r="74" spans="1:5" x14ac:dyDescent="0.35">
      <c r="A74" s="13" t="s">
        <v>387</v>
      </c>
      <c r="B74" s="13" t="s">
        <v>41</v>
      </c>
      <c r="C74" s="43">
        <v>1.2</v>
      </c>
      <c r="D74" s="17">
        <v>1000</v>
      </c>
      <c r="E74" s="17">
        <v>1200</v>
      </c>
    </row>
    <row r="75" spans="1:5" x14ac:dyDescent="0.35">
      <c r="A75" s="13" t="s">
        <v>387</v>
      </c>
      <c r="B75" s="13" t="s">
        <v>94</v>
      </c>
      <c r="C75" s="43">
        <v>1.35</v>
      </c>
      <c r="D75" s="17">
        <v>2800</v>
      </c>
      <c r="E75" s="17">
        <v>3780</v>
      </c>
    </row>
    <row r="76" spans="1:5" x14ac:dyDescent="0.35">
      <c r="A76" s="13" t="s">
        <v>387</v>
      </c>
      <c r="B76" s="13" t="s">
        <v>18</v>
      </c>
      <c r="C76" s="43">
        <v>1.55</v>
      </c>
      <c r="D76" s="17">
        <v>150</v>
      </c>
      <c r="E76" s="17">
        <v>233</v>
      </c>
    </row>
    <row r="77" spans="1:5" x14ac:dyDescent="0.35">
      <c r="A77" s="13" t="s">
        <v>387</v>
      </c>
      <c r="B77" s="13" t="s">
        <v>60</v>
      </c>
      <c r="C77" s="43">
        <v>0.15</v>
      </c>
      <c r="D77" s="17">
        <v>2500</v>
      </c>
      <c r="E77" s="17">
        <v>375</v>
      </c>
    </row>
    <row r="78" spans="1:5" x14ac:dyDescent="0.35">
      <c r="A78" s="13" t="s">
        <v>387</v>
      </c>
      <c r="B78" s="13" t="s">
        <v>53</v>
      </c>
      <c r="C78" s="43">
        <v>1.4</v>
      </c>
      <c r="D78" s="17">
        <v>300</v>
      </c>
      <c r="E78" s="17">
        <v>420</v>
      </c>
    </row>
    <row r="79" spans="1:5" x14ac:dyDescent="0.35">
      <c r="A79" s="13" t="s">
        <v>387</v>
      </c>
      <c r="B79" s="13" t="s">
        <v>51</v>
      </c>
      <c r="C79" s="43">
        <v>1.35</v>
      </c>
      <c r="D79" s="17">
        <v>500</v>
      </c>
      <c r="E79" s="17">
        <v>675</v>
      </c>
    </row>
    <row r="80" spans="1:5" x14ac:dyDescent="0.35">
      <c r="A80" s="13" t="s">
        <v>387</v>
      </c>
      <c r="B80" s="13" t="s">
        <v>39</v>
      </c>
      <c r="C80" s="43">
        <v>0.3</v>
      </c>
      <c r="D80" s="17">
        <v>1500</v>
      </c>
      <c r="E80" s="17">
        <v>450</v>
      </c>
    </row>
    <row r="81" spans="1:5" x14ac:dyDescent="0.35">
      <c r="A81" s="13" t="s">
        <v>387</v>
      </c>
      <c r="B81" s="13" t="s">
        <v>25</v>
      </c>
      <c r="C81" s="43">
        <v>1.3</v>
      </c>
      <c r="D81" s="17">
        <v>1000</v>
      </c>
      <c r="E81" s="17">
        <v>1300</v>
      </c>
    </row>
    <row r="82" spans="1:5" x14ac:dyDescent="0.35">
      <c r="A82" s="13" t="s">
        <v>388</v>
      </c>
      <c r="B82" s="13" t="s">
        <v>25</v>
      </c>
      <c r="C82" s="43">
        <v>1.3</v>
      </c>
      <c r="D82" s="17">
        <v>1000</v>
      </c>
      <c r="E82" s="17">
        <v>1300</v>
      </c>
    </row>
    <row r="83" spans="1:5" x14ac:dyDescent="0.35">
      <c r="A83" s="13" t="s">
        <v>388</v>
      </c>
      <c r="B83" s="13" t="s">
        <v>39</v>
      </c>
      <c r="C83" s="43">
        <v>0.65</v>
      </c>
      <c r="D83" s="17">
        <v>1500</v>
      </c>
      <c r="E83" s="17">
        <v>975</v>
      </c>
    </row>
    <row r="84" spans="1:5" x14ac:dyDescent="0.35">
      <c r="A84" s="13" t="s">
        <v>388</v>
      </c>
      <c r="B84" s="13" t="s">
        <v>53</v>
      </c>
      <c r="C84" s="43">
        <v>0.65</v>
      </c>
      <c r="D84" s="17">
        <v>300</v>
      </c>
      <c r="E84" s="17">
        <v>195</v>
      </c>
    </row>
    <row r="85" spans="1:5" x14ac:dyDescent="0.35">
      <c r="A85" s="13" t="s">
        <v>388</v>
      </c>
      <c r="B85" s="13" t="s">
        <v>13</v>
      </c>
      <c r="C85" s="43">
        <v>0.45</v>
      </c>
      <c r="D85" s="17">
        <v>500</v>
      </c>
      <c r="E85" s="17">
        <v>225</v>
      </c>
    </row>
    <row r="86" spans="1:5" x14ac:dyDescent="0.35">
      <c r="A86" s="13" t="s">
        <v>388</v>
      </c>
      <c r="B86" s="13" t="s">
        <v>41</v>
      </c>
      <c r="C86" s="43">
        <v>2</v>
      </c>
      <c r="D86" s="17">
        <v>1000</v>
      </c>
      <c r="E86" s="17">
        <v>2000</v>
      </c>
    </row>
    <row r="87" spans="1:5" x14ac:dyDescent="0.35">
      <c r="A87" s="13" t="s">
        <v>345</v>
      </c>
      <c r="B87" s="13" t="s">
        <v>125</v>
      </c>
      <c r="C87" s="43">
        <v>7.35</v>
      </c>
      <c r="D87" s="17">
        <v>800</v>
      </c>
      <c r="E87" s="17">
        <v>5880</v>
      </c>
    </row>
    <row r="88" spans="1:5" x14ac:dyDescent="0.35">
      <c r="A88" s="13" t="s">
        <v>345</v>
      </c>
      <c r="B88" s="13" t="s">
        <v>41</v>
      </c>
      <c r="C88" s="43">
        <v>6.6</v>
      </c>
      <c r="D88" s="17">
        <v>1000</v>
      </c>
      <c r="E88" s="17">
        <v>6600</v>
      </c>
    </row>
    <row r="89" spans="1:5" x14ac:dyDescent="0.35">
      <c r="A89" s="13" t="s">
        <v>345</v>
      </c>
      <c r="B89" s="13" t="s">
        <v>51</v>
      </c>
      <c r="C89" s="43">
        <v>1.4</v>
      </c>
      <c r="D89" s="17">
        <v>500</v>
      </c>
      <c r="E89" s="17">
        <v>700</v>
      </c>
    </row>
    <row r="90" spans="1:5" x14ac:dyDescent="0.35">
      <c r="A90" s="13" t="s">
        <v>345</v>
      </c>
      <c r="B90" s="13" t="s">
        <v>61</v>
      </c>
      <c r="C90" s="43">
        <v>0.4</v>
      </c>
      <c r="D90" s="17">
        <v>3500</v>
      </c>
      <c r="E90" s="17">
        <v>1400</v>
      </c>
    </row>
    <row r="91" spans="1:5" x14ac:dyDescent="0.35">
      <c r="A91" s="13" t="s">
        <v>345</v>
      </c>
      <c r="B91" s="13" t="s">
        <v>60</v>
      </c>
      <c r="C91" s="43">
        <v>0.25</v>
      </c>
      <c r="D91" s="17">
        <v>2500</v>
      </c>
      <c r="E91" s="17">
        <v>625</v>
      </c>
    </row>
    <row r="92" spans="1:5" x14ac:dyDescent="0.35">
      <c r="A92" s="13" t="s">
        <v>345</v>
      </c>
      <c r="B92" s="13" t="s">
        <v>26</v>
      </c>
      <c r="C92" s="43">
        <v>0.8</v>
      </c>
      <c r="D92" s="17">
        <v>1000</v>
      </c>
      <c r="E92" s="17">
        <v>800</v>
      </c>
    </row>
    <row r="93" spans="1:5" x14ac:dyDescent="0.35">
      <c r="A93" s="13" t="s">
        <v>345</v>
      </c>
      <c r="B93" s="13" t="s">
        <v>18</v>
      </c>
      <c r="C93" s="43">
        <v>1.3</v>
      </c>
      <c r="D93" s="17">
        <v>150</v>
      </c>
      <c r="E93" s="17">
        <v>195</v>
      </c>
    </row>
    <row r="94" spans="1:5" x14ac:dyDescent="0.35">
      <c r="A94" s="13" t="s">
        <v>345</v>
      </c>
      <c r="B94" s="13" t="s">
        <v>39</v>
      </c>
      <c r="C94" s="43">
        <v>1.05</v>
      </c>
      <c r="D94" s="17">
        <v>1500</v>
      </c>
      <c r="E94" s="17">
        <v>1575</v>
      </c>
    </row>
    <row r="95" spans="1:5" x14ac:dyDescent="0.35">
      <c r="A95" s="13" t="s">
        <v>345</v>
      </c>
      <c r="B95" s="13" t="s">
        <v>25</v>
      </c>
      <c r="C95" s="43">
        <v>1</v>
      </c>
      <c r="D95" s="17">
        <v>1000</v>
      </c>
      <c r="E95" s="17">
        <v>1000</v>
      </c>
    </row>
    <row r="96" spans="1:5" x14ac:dyDescent="0.35">
      <c r="A96" s="13" t="s">
        <v>345</v>
      </c>
      <c r="B96" s="13" t="s">
        <v>13</v>
      </c>
      <c r="C96" s="43">
        <v>0.3</v>
      </c>
      <c r="D96" s="17">
        <v>500</v>
      </c>
      <c r="E96" s="17">
        <v>150</v>
      </c>
    </row>
    <row r="97" spans="1:5" x14ac:dyDescent="0.35">
      <c r="A97" s="13" t="s">
        <v>345</v>
      </c>
      <c r="B97" s="13" t="s">
        <v>22</v>
      </c>
      <c r="C97" s="43">
        <v>0.3</v>
      </c>
      <c r="D97" s="17">
        <v>1600</v>
      </c>
      <c r="E97" s="17">
        <v>480</v>
      </c>
    </row>
    <row r="98" spans="1:5" x14ac:dyDescent="0.35">
      <c r="A98" s="13" t="s">
        <v>345</v>
      </c>
      <c r="B98" s="13" t="s">
        <v>53</v>
      </c>
      <c r="C98" s="43">
        <v>2</v>
      </c>
      <c r="D98" s="17">
        <v>300</v>
      </c>
      <c r="E98" s="17">
        <v>600</v>
      </c>
    </row>
    <row r="99" spans="1:5" x14ac:dyDescent="0.35">
      <c r="A99" s="13" t="s">
        <v>345</v>
      </c>
      <c r="B99" s="13" t="s">
        <v>94</v>
      </c>
      <c r="C99" s="43">
        <v>5.15</v>
      </c>
      <c r="D99" s="17">
        <v>2800</v>
      </c>
      <c r="E99" s="17">
        <v>14420</v>
      </c>
    </row>
    <row r="100" spans="1:5" x14ac:dyDescent="0.35">
      <c r="A100" s="13" t="s">
        <v>345</v>
      </c>
      <c r="B100" s="13" t="s">
        <v>29</v>
      </c>
      <c r="C100" s="43">
        <v>0.75</v>
      </c>
      <c r="D100" s="17">
        <v>1600</v>
      </c>
      <c r="E100" s="17">
        <v>1200</v>
      </c>
    </row>
    <row r="101" spans="1:5" x14ac:dyDescent="0.35">
      <c r="A101" s="13" t="s">
        <v>345</v>
      </c>
      <c r="B101" s="13" t="s">
        <v>34</v>
      </c>
      <c r="C101" s="43">
        <v>0.95</v>
      </c>
      <c r="D101" s="17">
        <v>5000</v>
      </c>
      <c r="E101" s="17">
        <v>4750</v>
      </c>
    </row>
    <row r="102" spans="1:5" x14ac:dyDescent="0.35">
      <c r="A102" s="13" t="s">
        <v>362</v>
      </c>
      <c r="B102" s="13" t="s">
        <v>41</v>
      </c>
      <c r="C102" s="43">
        <v>6.6</v>
      </c>
      <c r="D102" s="17">
        <v>1000</v>
      </c>
      <c r="E102" s="17">
        <v>6600</v>
      </c>
    </row>
    <row r="103" spans="1:5" x14ac:dyDescent="0.35">
      <c r="A103" s="13" t="s">
        <v>362</v>
      </c>
      <c r="B103" s="13" t="s">
        <v>266</v>
      </c>
      <c r="C103" s="43">
        <v>1.45</v>
      </c>
      <c r="D103" s="17">
        <v>1000</v>
      </c>
      <c r="E103" s="17">
        <v>1450</v>
      </c>
    </row>
    <row r="104" spans="1:5" x14ac:dyDescent="0.35">
      <c r="A104" s="13" t="s">
        <v>362</v>
      </c>
      <c r="B104" s="13" t="s">
        <v>263</v>
      </c>
      <c r="C104" s="43">
        <v>0.3</v>
      </c>
      <c r="D104" s="17">
        <v>400</v>
      </c>
      <c r="E104" s="17">
        <v>120</v>
      </c>
    </row>
    <row r="105" spans="1:5" x14ac:dyDescent="0.35">
      <c r="A105" s="13" t="s">
        <v>350</v>
      </c>
      <c r="B105" s="13" t="s">
        <v>26</v>
      </c>
      <c r="C105" s="43">
        <v>2.4</v>
      </c>
      <c r="D105" s="17">
        <v>1000</v>
      </c>
      <c r="E105" s="17">
        <v>2400</v>
      </c>
    </row>
    <row r="106" spans="1:5" x14ac:dyDescent="0.35">
      <c r="A106" s="13" t="s">
        <v>350</v>
      </c>
      <c r="B106" s="13" t="s">
        <v>41</v>
      </c>
      <c r="C106" s="43">
        <v>7.1</v>
      </c>
      <c r="D106" s="17">
        <v>1000</v>
      </c>
      <c r="E106" s="17">
        <v>7100</v>
      </c>
    </row>
    <row r="107" spans="1:5" x14ac:dyDescent="0.35">
      <c r="A107" s="13" t="s">
        <v>389</v>
      </c>
      <c r="B107" s="13" t="s">
        <v>41</v>
      </c>
      <c r="C107" s="43">
        <v>1.4</v>
      </c>
      <c r="D107" s="17">
        <v>1000</v>
      </c>
      <c r="E107" s="17">
        <v>1400</v>
      </c>
    </row>
    <row r="108" spans="1:5" x14ac:dyDescent="0.35">
      <c r="A108" s="13" t="s">
        <v>389</v>
      </c>
      <c r="B108" s="13" t="s">
        <v>25</v>
      </c>
      <c r="C108" s="43">
        <v>0.55000000000000004</v>
      </c>
      <c r="D108" s="17">
        <v>1000</v>
      </c>
      <c r="E108" s="17">
        <v>550</v>
      </c>
    </row>
    <row r="109" spans="1:5" x14ac:dyDescent="0.35">
      <c r="A109" s="13" t="s">
        <v>389</v>
      </c>
      <c r="B109" s="13" t="s">
        <v>94</v>
      </c>
      <c r="C109" s="43">
        <v>0.6</v>
      </c>
      <c r="D109" s="17">
        <v>2800</v>
      </c>
      <c r="E109" s="17">
        <v>1680</v>
      </c>
    </row>
    <row r="110" spans="1:5" x14ac:dyDescent="0.35">
      <c r="A110" s="13" t="s">
        <v>390</v>
      </c>
      <c r="B110" s="13" t="s">
        <v>94</v>
      </c>
      <c r="C110" s="43">
        <v>1.55</v>
      </c>
      <c r="D110" s="17">
        <v>2800</v>
      </c>
      <c r="E110" s="17">
        <v>4340</v>
      </c>
    </row>
    <row r="111" spans="1:5" x14ac:dyDescent="0.35">
      <c r="A111" s="13" t="s">
        <v>390</v>
      </c>
      <c r="B111" s="13" t="s">
        <v>22</v>
      </c>
      <c r="C111" s="43">
        <v>0.4</v>
      </c>
      <c r="D111" s="17">
        <v>1600</v>
      </c>
      <c r="E111" s="17">
        <v>640</v>
      </c>
    </row>
    <row r="112" spans="1:5" x14ac:dyDescent="0.35">
      <c r="A112" s="13" t="s">
        <v>390</v>
      </c>
      <c r="B112" s="13" t="s">
        <v>53</v>
      </c>
      <c r="C112" s="43">
        <v>0.85</v>
      </c>
      <c r="D112" s="17">
        <v>300</v>
      </c>
      <c r="E112" s="17">
        <v>255</v>
      </c>
    </row>
    <row r="113" spans="1:5" x14ac:dyDescent="0.35">
      <c r="A113" s="13" t="s">
        <v>391</v>
      </c>
      <c r="B113" s="13" t="s">
        <v>57</v>
      </c>
      <c r="C113" s="43">
        <v>0.45</v>
      </c>
      <c r="D113" s="17">
        <v>150</v>
      </c>
      <c r="E113" s="17">
        <v>68</v>
      </c>
    </row>
    <row r="114" spans="1:5" x14ac:dyDescent="0.35">
      <c r="A114" s="13" t="s">
        <v>391</v>
      </c>
      <c r="B114" s="13" t="s">
        <v>51</v>
      </c>
      <c r="C114" s="43">
        <v>2.8</v>
      </c>
      <c r="D114" s="17">
        <v>500</v>
      </c>
      <c r="E114" s="17">
        <v>1400</v>
      </c>
    </row>
    <row r="115" spans="1:5" x14ac:dyDescent="0.35">
      <c r="A115" s="13" t="s">
        <v>391</v>
      </c>
      <c r="B115" s="13" t="s">
        <v>61</v>
      </c>
      <c r="C115" s="43">
        <v>0.3</v>
      </c>
      <c r="D115" s="17">
        <v>3500</v>
      </c>
      <c r="E115" s="17">
        <v>1050</v>
      </c>
    </row>
    <row r="116" spans="1:5" x14ac:dyDescent="0.35">
      <c r="A116" s="13" t="s">
        <v>391</v>
      </c>
      <c r="B116" s="13" t="s">
        <v>13</v>
      </c>
      <c r="C116" s="43">
        <v>0.45</v>
      </c>
      <c r="D116" s="17">
        <v>500</v>
      </c>
      <c r="E116" s="17">
        <v>225</v>
      </c>
    </row>
    <row r="117" spans="1:5" x14ac:dyDescent="0.35">
      <c r="A117" s="13" t="s">
        <v>391</v>
      </c>
      <c r="B117" s="13" t="s">
        <v>293</v>
      </c>
      <c r="C117" s="43">
        <v>0.35</v>
      </c>
      <c r="D117" s="17">
        <v>1400</v>
      </c>
      <c r="E117" s="17">
        <v>490</v>
      </c>
    </row>
    <row r="118" spans="1:5" x14ac:dyDescent="0.35">
      <c r="A118" s="13" t="s">
        <v>391</v>
      </c>
      <c r="B118" s="13" t="s">
        <v>126</v>
      </c>
      <c r="C118" s="43">
        <v>0.45</v>
      </c>
      <c r="D118" s="17">
        <v>1800</v>
      </c>
      <c r="E118" s="17">
        <v>810</v>
      </c>
    </row>
    <row r="119" spans="1:5" x14ac:dyDescent="0.35">
      <c r="A119" s="13" t="s">
        <v>391</v>
      </c>
      <c r="B119" s="13" t="s">
        <v>127</v>
      </c>
      <c r="C119" s="43">
        <v>0.1</v>
      </c>
      <c r="D119" s="17">
        <v>8000</v>
      </c>
      <c r="E119" s="17">
        <v>800</v>
      </c>
    </row>
    <row r="120" spans="1:5" x14ac:dyDescent="0.35">
      <c r="A120" s="13" t="s">
        <v>391</v>
      </c>
      <c r="B120" s="13" t="s">
        <v>60</v>
      </c>
      <c r="C120" s="43">
        <v>0.45</v>
      </c>
      <c r="D120" s="17">
        <v>2500</v>
      </c>
      <c r="E120" s="17">
        <v>1125</v>
      </c>
    </row>
    <row r="121" spans="1:5" x14ac:dyDescent="0.35">
      <c r="A121" s="13" t="s">
        <v>391</v>
      </c>
      <c r="B121" s="13" t="s">
        <v>25</v>
      </c>
      <c r="C121" s="43">
        <v>0.4</v>
      </c>
      <c r="D121" s="17">
        <v>1000</v>
      </c>
      <c r="E121" s="17">
        <v>400</v>
      </c>
    </row>
    <row r="122" spans="1:5" x14ac:dyDescent="0.35">
      <c r="A122" s="13" t="s">
        <v>391</v>
      </c>
      <c r="B122" s="13" t="s">
        <v>94</v>
      </c>
      <c r="C122" s="43">
        <v>2.2000000000000002</v>
      </c>
      <c r="D122" s="17">
        <v>2800</v>
      </c>
      <c r="E122" s="17">
        <v>6160</v>
      </c>
    </row>
    <row r="123" spans="1:5" x14ac:dyDescent="0.35">
      <c r="A123" s="13" t="s">
        <v>391</v>
      </c>
      <c r="B123" s="13" t="s">
        <v>41</v>
      </c>
      <c r="C123" s="43">
        <v>18.2</v>
      </c>
      <c r="D123" s="17">
        <v>1000</v>
      </c>
      <c r="E123" s="17">
        <v>18200</v>
      </c>
    </row>
    <row r="124" spans="1:5" x14ac:dyDescent="0.35">
      <c r="A124" s="13" t="s">
        <v>348</v>
      </c>
      <c r="B124" s="13" t="s">
        <v>13</v>
      </c>
      <c r="C124" s="43">
        <v>0.4</v>
      </c>
      <c r="D124" s="17">
        <v>500</v>
      </c>
      <c r="E124" s="17">
        <v>200</v>
      </c>
    </row>
    <row r="125" spans="1:5" x14ac:dyDescent="0.35">
      <c r="A125" s="13" t="s">
        <v>348</v>
      </c>
      <c r="B125" s="13" t="s">
        <v>34</v>
      </c>
      <c r="C125" s="43">
        <v>8.5</v>
      </c>
      <c r="D125" s="17">
        <v>5000</v>
      </c>
      <c r="E125" s="17">
        <v>42500</v>
      </c>
    </row>
    <row r="126" spans="1:5" x14ac:dyDescent="0.35">
      <c r="A126" s="13" t="s">
        <v>348</v>
      </c>
      <c r="B126" s="13" t="s">
        <v>94</v>
      </c>
      <c r="C126" s="43">
        <v>0.45</v>
      </c>
      <c r="D126" s="17">
        <v>2800</v>
      </c>
      <c r="E126" s="17">
        <v>1260</v>
      </c>
    </row>
    <row r="127" spans="1:5" x14ac:dyDescent="0.35">
      <c r="A127" s="13" t="s">
        <v>348</v>
      </c>
      <c r="B127" s="13" t="s">
        <v>53</v>
      </c>
      <c r="C127" s="43">
        <v>0.75</v>
      </c>
      <c r="D127" s="17">
        <v>300</v>
      </c>
      <c r="E127" s="17">
        <v>225</v>
      </c>
    </row>
    <row r="128" spans="1:5" x14ac:dyDescent="0.35">
      <c r="A128" s="13" t="s">
        <v>348</v>
      </c>
      <c r="B128" s="13" t="s">
        <v>25</v>
      </c>
      <c r="C128" s="43">
        <v>0.6</v>
      </c>
      <c r="D128" s="17">
        <v>1000</v>
      </c>
      <c r="E128" s="17">
        <v>600</v>
      </c>
    </row>
    <row r="129" spans="1:5" x14ac:dyDescent="0.35">
      <c r="A129" s="13" t="s">
        <v>341</v>
      </c>
      <c r="B129" s="13" t="s">
        <v>392</v>
      </c>
      <c r="C129" s="43">
        <v>1</v>
      </c>
      <c r="D129" s="17">
        <v>13000</v>
      </c>
      <c r="E129" s="17">
        <v>13000</v>
      </c>
    </row>
    <row r="130" spans="1:5" x14ac:dyDescent="0.35">
      <c r="A130" s="13" t="s">
        <v>393</v>
      </c>
      <c r="B130" s="13" t="s">
        <v>51</v>
      </c>
      <c r="C130" s="43">
        <v>0.2</v>
      </c>
      <c r="D130" s="17">
        <v>500</v>
      </c>
      <c r="E130" s="17">
        <v>100</v>
      </c>
    </row>
    <row r="131" spans="1:5" x14ac:dyDescent="0.35">
      <c r="A131" s="13" t="s">
        <v>393</v>
      </c>
      <c r="B131" s="13" t="s">
        <v>18</v>
      </c>
      <c r="C131" s="43">
        <v>0.65</v>
      </c>
      <c r="D131" s="17">
        <v>150</v>
      </c>
      <c r="E131" s="17">
        <v>98</v>
      </c>
    </row>
    <row r="132" spans="1:5" x14ac:dyDescent="0.35">
      <c r="A132" s="13" t="s">
        <v>393</v>
      </c>
      <c r="B132" s="13" t="s">
        <v>26</v>
      </c>
      <c r="C132" s="43">
        <v>0.7</v>
      </c>
      <c r="D132" s="17">
        <v>1000</v>
      </c>
      <c r="E132" s="17">
        <v>700</v>
      </c>
    </row>
    <row r="133" spans="1:5" x14ac:dyDescent="0.35">
      <c r="A133" s="13" t="s">
        <v>393</v>
      </c>
      <c r="B133" s="13" t="s">
        <v>25</v>
      </c>
      <c r="C133" s="43">
        <v>0.25</v>
      </c>
      <c r="D133" s="17">
        <v>1000</v>
      </c>
      <c r="E133" s="17">
        <v>250</v>
      </c>
    </row>
    <row r="134" spans="1:5" x14ac:dyDescent="0.35">
      <c r="A134" s="13" t="s">
        <v>393</v>
      </c>
      <c r="B134" s="13" t="s">
        <v>13</v>
      </c>
      <c r="C134" s="43">
        <v>0.2</v>
      </c>
      <c r="D134" s="17">
        <v>500</v>
      </c>
      <c r="E134" s="17">
        <v>100</v>
      </c>
    </row>
    <row r="135" spans="1:5" x14ac:dyDescent="0.35">
      <c r="A135" s="13" t="s">
        <v>393</v>
      </c>
      <c r="B135" s="13" t="s">
        <v>39</v>
      </c>
      <c r="C135" s="43">
        <v>0.25</v>
      </c>
      <c r="D135" s="17">
        <v>1500</v>
      </c>
      <c r="E135" s="17">
        <v>375</v>
      </c>
    </row>
    <row r="136" spans="1:5" x14ac:dyDescent="0.35">
      <c r="A136" s="13" t="s">
        <v>393</v>
      </c>
      <c r="B136" s="13" t="s">
        <v>53</v>
      </c>
      <c r="C136" s="43">
        <v>0.25</v>
      </c>
      <c r="D136" s="17">
        <v>300</v>
      </c>
      <c r="E136" s="17">
        <v>75</v>
      </c>
    </row>
    <row r="137" spans="1:5" x14ac:dyDescent="0.35">
      <c r="A137" s="13" t="s">
        <v>393</v>
      </c>
      <c r="B137" s="13" t="s">
        <v>41</v>
      </c>
      <c r="C137" s="43">
        <v>1.2</v>
      </c>
      <c r="D137" s="17">
        <v>1000</v>
      </c>
      <c r="E137" s="17">
        <v>1200</v>
      </c>
    </row>
    <row r="138" spans="1:5" x14ac:dyDescent="0.35">
      <c r="A138" s="13" t="s">
        <v>394</v>
      </c>
      <c r="B138" s="13" t="s">
        <v>39</v>
      </c>
      <c r="C138" s="43">
        <v>0.65</v>
      </c>
      <c r="D138" s="17">
        <v>1500</v>
      </c>
      <c r="E138" s="17">
        <v>975</v>
      </c>
    </row>
    <row r="139" spans="1:5" x14ac:dyDescent="0.35">
      <c r="A139" s="13" t="s">
        <v>394</v>
      </c>
      <c r="B139" s="13" t="s">
        <v>51</v>
      </c>
      <c r="C139" s="43">
        <v>1.3</v>
      </c>
      <c r="D139" s="17">
        <v>500</v>
      </c>
      <c r="E139" s="17">
        <v>650</v>
      </c>
    </row>
    <row r="140" spans="1:5" x14ac:dyDescent="0.35">
      <c r="A140" s="13" t="s">
        <v>394</v>
      </c>
      <c r="B140" s="13" t="s">
        <v>26</v>
      </c>
      <c r="C140" s="43">
        <v>1</v>
      </c>
      <c r="D140" s="17">
        <v>1000</v>
      </c>
      <c r="E140" s="17">
        <v>1000</v>
      </c>
    </row>
    <row r="141" spans="1:5" x14ac:dyDescent="0.35">
      <c r="A141" s="13" t="s">
        <v>330</v>
      </c>
      <c r="B141" s="13" t="s">
        <v>46</v>
      </c>
      <c r="C141" s="43">
        <v>0.7</v>
      </c>
      <c r="D141" s="17">
        <v>2700</v>
      </c>
      <c r="E141" s="17">
        <v>1890</v>
      </c>
    </row>
    <row r="142" spans="1:5" x14ac:dyDescent="0.35">
      <c r="A142" s="13" t="s">
        <v>330</v>
      </c>
      <c r="B142" s="13" t="s">
        <v>94</v>
      </c>
      <c r="C142" s="43">
        <v>1.35</v>
      </c>
      <c r="D142" s="17">
        <v>2800</v>
      </c>
      <c r="E142" s="17">
        <v>3780</v>
      </c>
    </row>
    <row r="143" spans="1:5" x14ac:dyDescent="0.35">
      <c r="A143" s="13" t="s">
        <v>330</v>
      </c>
      <c r="B143" s="13" t="s">
        <v>51</v>
      </c>
      <c r="C143" s="43">
        <v>0.1</v>
      </c>
      <c r="D143" s="17">
        <v>500</v>
      </c>
      <c r="E143" s="17">
        <v>50</v>
      </c>
    </row>
    <row r="144" spans="1:5" x14ac:dyDescent="0.35">
      <c r="A144" s="13" t="s">
        <v>330</v>
      </c>
      <c r="B144" s="13" t="s">
        <v>25</v>
      </c>
      <c r="C144" s="43">
        <v>1.45</v>
      </c>
      <c r="D144" s="17">
        <v>1000</v>
      </c>
      <c r="E144" s="17">
        <v>1450</v>
      </c>
    </row>
    <row r="145" spans="1:5" x14ac:dyDescent="0.35">
      <c r="A145" s="13" t="s">
        <v>330</v>
      </c>
      <c r="B145" s="13" t="s">
        <v>26</v>
      </c>
      <c r="C145" s="43">
        <v>0.6</v>
      </c>
      <c r="D145" s="17">
        <v>1000</v>
      </c>
      <c r="E145" s="17">
        <v>600</v>
      </c>
    </row>
    <row r="146" spans="1:5" x14ac:dyDescent="0.35">
      <c r="A146" s="13" t="s">
        <v>330</v>
      </c>
      <c r="B146" s="13" t="s">
        <v>41</v>
      </c>
      <c r="C146" s="43">
        <v>2.5</v>
      </c>
      <c r="D146" s="17">
        <v>1000</v>
      </c>
      <c r="E146" s="17">
        <v>2500</v>
      </c>
    </row>
    <row r="147" spans="1:5" x14ac:dyDescent="0.35">
      <c r="A147" s="13" t="s">
        <v>355</v>
      </c>
      <c r="B147" s="13" t="s">
        <v>26</v>
      </c>
      <c r="C147" s="43">
        <v>2.35</v>
      </c>
      <c r="D147" s="17">
        <v>1000</v>
      </c>
      <c r="E147" s="17">
        <v>2350</v>
      </c>
    </row>
    <row r="148" spans="1:5" x14ac:dyDescent="0.35">
      <c r="A148" s="13" t="s">
        <v>355</v>
      </c>
      <c r="B148" s="13" t="s">
        <v>53</v>
      </c>
      <c r="C148" s="43">
        <v>1.45</v>
      </c>
      <c r="D148" s="17">
        <v>300</v>
      </c>
      <c r="E148" s="17">
        <v>435</v>
      </c>
    </row>
    <row r="149" spans="1:5" x14ac:dyDescent="0.35">
      <c r="A149" s="13" t="s">
        <v>355</v>
      </c>
      <c r="B149" s="13" t="s">
        <v>41</v>
      </c>
      <c r="C149" s="43">
        <v>0.35</v>
      </c>
      <c r="D149" s="17">
        <v>1000</v>
      </c>
      <c r="E149" s="17">
        <v>350</v>
      </c>
    </row>
    <row r="150" spans="1:5" x14ac:dyDescent="0.35">
      <c r="A150" s="13" t="s">
        <v>355</v>
      </c>
      <c r="B150" s="13" t="s">
        <v>94</v>
      </c>
      <c r="C150" s="43">
        <v>0.65</v>
      </c>
      <c r="D150" s="17">
        <v>2800</v>
      </c>
      <c r="E150" s="17">
        <v>1820</v>
      </c>
    </row>
    <row r="151" spans="1:5" x14ac:dyDescent="0.35">
      <c r="A151" s="13" t="s">
        <v>355</v>
      </c>
      <c r="B151" s="13" t="s">
        <v>13</v>
      </c>
      <c r="C151" s="43">
        <v>0.2</v>
      </c>
      <c r="D151" s="17">
        <v>500</v>
      </c>
      <c r="E151" s="17">
        <v>100</v>
      </c>
    </row>
    <row r="152" spans="1:5" x14ac:dyDescent="0.35">
      <c r="A152" s="13" t="s">
        <v>355</v>
      </c>
      <c r="B152" s="13" t="s">
        <v>60</v>
      </c>
      <c r="C152" s="43">
        <v>0.45</v>
      </c>
      <c r="D152" s="17">
        <v>2500</v>
      </c>
      <c r="E152" s="17">
        <v>1125</v>
      </c>
    </row>
    <row r="153" spans="1:5" x14ac:dyDescent="0.35">
      <c r="A153" s="13" t="s">
        <v>344</v>
      </c>
      <c r="B153" s="13" t="s">
        <v>53</v>
      </c>
      <c r="C153" s="43">
        <v>1.25</v>
      </c>
      <c r="D153" s="17">
        <v>300</v>
      </c>
      <c r="E153" s="17">
        <v>375</v>
      </c>
    </row>
    <row r="154" spans="1:5" x14ac:dyDescent="0.35">
      <c r="A154" s="13" t="s">
        <v>344</v>
      </c>
      <c r="B154" s="13" t="s">
        <v>41</v>
      </c>
      <c r="C154" s="43">
        <v>0.4</v>
      </c>
      <c r="D154" s="17">
        <v>1000</v>
      </c>
      <c r="E154" s="17">
        <v>400</v>
      </c>
    </row>
    <row r="155" spans="1:5" x14ac:dyDescent="0.35">
      <c r="A155" s="13" t="s">
        <v>344</v>
      </c>
      <c r="B155" s="13" t="s">
        <v>22</v>
      </c>
      <c r="C155" s="43">
        <v>0.25</v>
      </c>
      <c r="D155" s="17">
        <v>1600</v>
      </c>
      <c r="E155" s="17">
        <v>400</v>
      </c>
    </row>
    <row r="156" spans="1:5" x14ac:dyDescent="0.35">
      <c r="A156" s="13" t="s">
        <v>344</v>
      </c>
      <c r="B156" s="13" t="s">
        <v>18</v>
      </c>
      <c r="C156" s="43">
        <v>0.35</v>
      </c>
      <c r="D156" s="17">
        <v>150</v>
      </c>
      <c r="E156" s="17">
        <v>53</v>
      </c>
    </row>
    <row r="157" spans="1:5" x14ac:dyDescent="0.35">
      <c r="A157" s="13" t="s">
        <v>344</v>
      </c>
      <c r="B157" s="13" t="s">
        <v>25</v>
      </c>
      <c r="C157" s="43">
        <v>0.35</v>
      </c>
      <c r="D157" s="17">
        <v>1000</v>
      </c>
      <c r="E157" s="17">
        <v>350</v>
      </c>
    </row>
    <row r="158" spans="1:5" x14ac:dyDescent="0.35">
      <c r="A158" s="13" t="s">
        <v>344</v>
      </c>
      <c r="B158" s="13" t="s">
        <v>60</v>
      </c>
      <c r="C158" s="43">
        <v>0.3</v>
      </c>
      <c r="D158" s="17">
        <v>2500</v>
      </c>
      <c r="E158" s="17">
        <v>750</v>
      </c>
    </row>
    <row r="159" spans="1:5" x14ac:dyDescent="0.35">
      <c r="A159" s="13" t="s">
        <v>344</v>
      </c>
      <c r="B159" s="13" t="s">
        <v>39</v>
      </c>
      <c r="C159" s="43">
        <v>0.5</v>
      </c>
      <c r="D159" s="17">
        <v>1500</v>
      </c>
      <c r="E159" s="17">
        <v>750</v>
      </c>
    </row>
    <row r="160" spans="1:5" x14ac:dyDescent="0.35">
      <c r="A160" s="13" t="s">
        <v>344</v>
      </c>
      <c r="B160" s="13" t="s">
        <v>34</v>
      </c>
      <c r="C160" s="43">
        <v>14.1</v>
      </c>
      <c r="D160" s="17">
        <v>5000</v>
      </c>
      <c r="E160" s="17">
        <v>70500</v>
      </c>
    </row>
    <row r="161" spans="1:5" x14ac:dyDescent="0.35">
      <c r="A161" s="13" t="s">
        <v>344</v>
      </c>
      <c r="B161" s="13" t="s">
        <v>13</v>
      </c>
      <c r="C161" s="43">
        <v>0.25</v>
      </c>
      <c r="D161" s="17">
        <v>500</v>
      </c>
      <c r="E161" s="17">
        <v>125</v>
      </c>
    </row>
    <row r="162" spans="1:5" x14ac:dyDescent="0.35">
      <c r="A162" s="13" t="s">
        <v>344</v>
      </c>
      <c r="B162" s="13" t="s">
        <v>125</v>
      </c>
      <c r="C162" s="43">
        <v>6.45</v>
      </c>
      <c r="D162" s="17">
        <v>800</v>
      </c>
      <c r="E162" s="17">
        <v>5160</v>
      </c>
    </row>
    <row r="163" spans="1:5" x14ac:dyDescent="0.35">
      <c r="A163" s="13" t="s">
        <v>344</v>
      </c>
      <c r="B163" s="13" t="s">
        <v>94</v>
      </c>
      <c r="C163" s="43">
        <v>1.95</v>
      </c>
      <c r="D163" s="17">
        <v>2800</v>
      </c>
      <c r="E163" s="17">
        <v>5460</v>
      </c>
    </row>
    <row r="164" spans="1:5" x14ac:dyDescent="0.35">
      <c r="A164" s="13" t="s">
        <v>335</v>
      </c>
      <c r="B164" s="13" t="s">
        <v>94</v>
      </c>
      <c r="C164" s="43">
        <v>0.4</v>
      </c>
      <c r="D164" s="17">
        <v>2800</v>
      </c>
      <c r="E164" s="17">
        <v>1120</v>
      </c>
    </row>
    <row r="165" spans="1:5" x14ac:dyDescent="0.35">
      <c r="A165" s="13" t="s">
        <v>335</v>
      </c>
      <c r="B165" s="13" t="s">
        <v>60</v>
      </c>
      <c r="C165" s="43">
        <v>0.25</v>
      </c>
      <c r="D165" s="17">
        <v>2500</v>
      </c>
      <c r="E165" s="17">
        <v>625</v>
      </c>
    </row>
    <row r="166" spans="1:5" x14ac:dyDescent="0.35">
      <c r="A166" s="13" t="s">
        <v>335</v>
      </c>
      <c r="B166" s="13" t="s">
        <v>13</v>
      </c>
      <c r="C166" s="43">
        <v>0.3</v>
      </c>
      <c r="D166" s="17">
        <v>500</v>
      </c>
      <c r="E166" s="17">
        <v>150</v>
      </c>
    </row>
    <row r="167" spans="1:5" x14ac:dyDescent="0.35">
      <c r="A167" s="13" t="s">
        <v>335</v>
      </c>
      <c r="B167" s="13" t="s">
        <v>53</v>
      </c>
      <c r="C167" s="43">
        <v>0.25</v>
      </c>
      <c r="D167" s="17">
        <v>300</v>
      </c>
      <c r="E167" s="17">
        <v>75</v>
      </c>
    </row>
    <row r="168" spans="1:5" x14ac:dyDescent="0.35">
      <c r="A168" s="13" t="s">
        <v>335</v>
      </c>
      <c r="B168" s="13" t="s">
        <v>26</v>
      </c>
      <c r="C168" s="43">
        <v>1.1499999999999999</v>
      </c>
      <c r="D168" s="17">
        <v>1000</v>
      </c>
      <c r="E168" s="17">
        <v>1150</v>
      </c>
    </row>
    <row r="169" spans="1:5" x14ac:dyDescent="0.35">
      <c r="A169" s="13" t="s">
        <v>335</v>
      </c>
      <c r="B169" s="13" t="s">
        <v>18</v>
      </c>
      <c r="C169" s="43">
        <v>1.85</v>
      </c>
      <c r="D169" s="17">
        <v>150</v>
      </c>
      <c r="E169" s="17">
        <v>278</v>
      </c>
    </row>
    <row r="170" spans="1:5" x14ac:dyDescent="0.35">
      <c r="A170" s="13" t="s">
        <v>335</v>
      </c>
      <c r="B170" s="13" t="s">
        <v>25</v>
      </c>
      <c r="C170" s="43">
        <v>1</v>
      </c>
      <c r="D170" s="17">
        <v>1000</v>
      </c>
      <c r="E170" s="17">
        <v>1000</v>
      </c>
    </row>
    <row r="171" spans="1:5" x14ac:dyDescent="0.35">
      <c r="A171" s="13" t="s">
        <v>335</v>
      </c>
      <c r="B171" s="13" t="s">
        <v>41</v>
      </c>
      <c r="C171" s="43">
        <v>1.1499999999999999</v>
      </c>
      <c r="D171" s="17">
        <v>1000</v>
      </c>
      <c r="E171" s="17">
        <v>1150</v>
      </c>
    </row>
    <row r="172" spans="1:5" x14ac:dyDescent="0.35">
      <c r="A172" s="13" t="s">
        <v>341</v>
      </c>
      <c r="B172" s="13" t="s">
        <v>13</v>
      </c>
      <c r="C172" s="43">
        <v>0.8</v>
      </c>
      <c r="D172" s="17">
        <v>500</v>
      </c>
      <c r="E172" s="17">
        <v>400</v>
      </c>
    </row>
    <row r="173" spans="1:5" x14ac:dyDescent="0.35">
      <c r="A173" s="13" t="s">
        <v>341</v>
      </c>
      <c r="B173" s="13" t="s">
        <v>53</v>
      </c>
      <c r="C173" s="43">
        <v>0.2</v>
      </c>
      <c r="D173" s="17">
        <v>300</v>
      </c>
      <c r="E173" s="17">
        <v>60</v>
      </c>
    </row>
    <row r="174" spans="1:5" x14ac:dyDescent="0.35">
      <c r="A174" s="13" t="s">
        <v>341</v>
      </c>
      <c r="B174" s="13" t="s">
        <v>25</v>
      </c>
      <c r="C174" s="43">
        <v>2.7</v>
      </c>
      <c r="D174" s="17">
        <v>1000</v>
      </c>
      <c r="E174" s="17">
        <v>2700</v>
      </c>
    </row>
    <row r="175" spans="1:5" x14ac:dyDescent="0.35">
      <c r="A175" s="13" t="s">
        <v>341</v>
      </c>
      <c r="B175" s="13" t="s">
        <v>125</v>
      </c>
      <c r="C175" s="43">
        <v>1.2</v>
      </c>
      <c r="D175" s="17">
        <v>800</v>
      </c>
      <c r="E175" s="17">
        <v>960</v>
      </c>
    </row>
    <row r="176" spans="1:5" x14ac:dyDescent="0.35">
      <c r="A176" s="13" t="s">
        <v>341</v>
      </c>
      <c r="B176" s="13" t="s">
        <v>51</v>
      </c>
      <c r="C176" s="43">
        <v>0.4</v>
      </c>
      <c r="D176" s="17">
        <v>500</v>
      </c>
      <c r="E176" s="17">
        <v>200</v>
      </c>
    </row>
    <row r="177" spans="1:5" x14ac:dyDescent="0.35">
      <c r="A177" s="13" t="s">
        <v>341</v>
      </c>
      <c r="B177" s="13" t="s">
        <v>25</v>
      </c>
      <c r="C177" s="43">
        <v>0.85</v>
      </c>
      <c r="D177" s="17">
        <v>1000</v>
      </c>
      <c r="E177" s="17">
        <v>850</v>
      </c>
    </row>
    <row r="178" spans="1:5" x14ac:dyDescent="0.35">
      <c r="A178" s="13" t="s">
        <v>341</v>
      </c>
      <c r="B178" s="13" t="s">
        <v>126</v>
      </c>
      <c r="C178" s="43">
        <v>2.35</v>
      </c>
      <c r="D178" s="17">
        <v>1800</v>
      </c>
      <c r="E178" s="17">
        <v>4230</v>
      </c>
    </row>
    <row r="179" spans="1:5" x14ac:dyDescent="0.35">
      <c r="A179" s="13" t="s">
        <v>341</v>
      </c>
      <c r="B179" s="13" t="s">
        <v>41</v>
      </c>
      <c r="C179" s="43">
        <v>12.75</v>
      </c>
      <c r="D179" s="17">
        <v>1000</v>
      </c>
      <c r="E179" s="17">
        <v>12750</v>
      </c>
    </row>
    <row r="180" spans="1:5" x14ac:dyDescent="0.35">
      <c r="A180" s="13" t="s">
        <v>395</v>
      </c>
      <c r="B180" s="13" t="s">
        <v>51</v>
      </c>
      <c r="C180" s="43">
        <v>0.7</v>
      </c>
      <c r="D180" s="17">
        <v>500</v>
      </c>
      <c r="E180" s="17">
        <v>350</v>
      </c>
    </row>
    <row r="181" spans="1:5" x14ac:dyDescent="0.35">
      <c r="A181" s="13" t="s">
        <v>395</v>
      </c>
      <c r="B181" s="13" t="s">
        <v>41</v>
      </c>
      <c r="C181" s="43">
        <v>6.65</v>
      </c>
      <c r="D181" s="17">
        <v>1000</v>
      </c>
      <c r="E181" s="17">
        <v>6650</v>
      </c>
    </row>
    <row r="182" spans="1:5" x14ac:dyDescent="0.35">
      <c r="A182" s="13" t="s">
        <v>395</v>
      </c>
      <c r="B182" s="13" t="s">
        <v>53</v>
      </c>
      <c r="C182" s="43">
        <v>0.8</v>
      </c>
      <c r="D182" s="17">
        <v>300</v>
      </c>
      <c r="E182" s="17">
        <v>240</v>
      </c>
    </row>
    <row r="183" spans="1:5" x14ac:dyDescent="0.35">
      <c r="A183" s="13" t="s">
        <v>395</v>
      </c>
      <c r="B183" s="13" t="s">
        <v>39</v>
      </c>
      <c r="C183" s="43">
        <v>0.15</v>
      </c>
      <c r="D183" s="17">
        <v>1500</v>
      </c>
      <c r="E183" s="17">
        <v>225</v>
      </c>
    </row>
    <row r="184" spans="1:5" x14ac:dyDescent="0.35">
      <c r="A184" s="13" t="s">
        <v>395</v>
      </c>
      <c r="B184" s="13" t="s">
        <v>25</v>
      </c>
      <c r="C184" s="43">
        <v>1.1000000000000001</v>
      </c>
      <c r="D184" s="17">
        <v>1000</v>
      </c>
      <c r="E184" s="17">
        <v>1100</v>
      </c>
    </row>
    <row r="185" spans="1:5" x14ac:dyDescent="0.35">
      <c r="A185" s="13" t="s">
        <v>395</v>
      </c>
      <c r="B185" s="13" t="s">
        <v>18</v>
      </c>
      <c r="C185" s="43">
        <v>0.3</v>
      </c>
      <c r="D185" s="17">
        <v>150</v>
      </c>
      <c r="E185" s="17">
        <v>45</v>
      </c>
    </row>
    <row r="186" spans="1:5" x14ac:dyDescent="0.35">
      <c r="A186" s="13" t="s">
        <v>395</v>
      </c>
      <c r="B186" s="13" t="s">
        <v>94</v>
      </c>
      <c r="C186" s="43">
        <v>1.25</v>
      </c>
      <c r="D186" s="17">
        <v>2800</v>
      </c>
      <c r="E186" s="17">
        <v>3500</v>
      </c>
    </row>
    <row r="187" spans="1:5" x14ac:dyDescent="0.35">
      <c r="A187" s="13" t="s">
        <v>395</v>
      </c>
      <c r="B187" s="13" t="s">
        <v>26</v>
      </c>
      <c r="C187" s="43">
        <v>0.55000000000000004</v>
      </c>
      <c r="D187" s="17">
        <v>1000</v>
      </c>
      <c r="E187" s="17">
        <v>550</v>
      </c>
    </row>
    <row r="188" spans="1:5" x14ac:dyDescent="0.35">
      <c r="A188" s="13" t="s">
        <v>395</v>
      </c>
      <c r="B188" s="13" t="s">
        <v>13</v>
      </c>
      <c r="C188" s="43">
        <v>1</v>
      </c>
      <c r="D188" s="17">
        <v>500</v>
      </c>
      <c r="E188" s="17">
        <v>500</v>
      </c>
    </row>
    <row r="189" spans="1:5" x14ac:dyDescent="0.35">
      <c r="A189" s="13" t="s">
        <v>327</v>
      </c>
      <c r="B189" s="13" t="s">
        <v>60</v>
      </c>
      <c r="C189" s="43">
        <v>0.25</v>
      </c>
      <c r="D189" s="17">
        <v>2500</v>
      </c>
      <c r="E189" s="17">
        <v>625</v>
      </c>
    </row>
    <row r="190" spans="1:5" x14ac:dyDescent="0.35">
      <c r="A190" s="13" t="s">
        <v>327</v>
      </c>
      <c r="B190" s="13" t="s">
        <v>100</v>
      </c>
      <c r="C190" s="43">
        <v>3.65</v>
      </c>
      <c r="D190" s="17">
        <v>1400</v>
      </c>
      <c r="E190" s="17">
        <v>5110</v>
      </c>
    </row>
    <row r="191" spans="1:5" x14ac:dyDescent="0.35">
      <c r="A191" s="13" t="s">
        <v>327</v>
      </c>
      <c r="B191" s="13" t="s">
        <v>125</v>
      </c>
      <c r="C191" s="43">
        <v>4.7</v>
      </c>
      <c r="D191" s="17">
        <v>800</v>
      </c>
      <c r="E191" s="17">
        <v>3760</v>
      </c>
    </row>
    <row r="192" spans="1:5" x14ac:dyDescent="0.35">
      <c r="A192" s="13" t="s">
        <v>327</v>
      </c>
      <c r="B192" s="13" t="s">
        <v>22</v>
      </c>
      <c r="C192" s="43">
        <v>0.3</v>
      </c>
      <c r="D192" s="17">
        <v>1600</v>
      </c>
      <c r="E192" s="17">
        <v>480</v>
      </c>
    </row>
    <row r="193" spans="1:5" x14ac:dyDescent="0.35">
      <c r="A193" s="13" t="s">
        <v>327</v>
      </c>
      <c r="B193" s="13" t="s">
        <v>25</v>
      </c>
      <c r="C193" s="43">
        <v>1.95</v>
      </c>
      <c r="D193" s="17">
        <v>1000</v>
      </c>
      <c r="E193" s="17">
        <v>1950</v>
      </c>
    </row>
    <row r="194" spans="1:5" x14ac:dyDescent="0.35">
      <c r="A194" s="13" t="s">
        <v>327</v>
      </c>
      <c r="B194" s="13" t="s">
        <v>29</v>
      </c>
      <c r="C194" s="43">
        <v>0.4</v>
      </c>
      <c r="D194" s="17">
        <v>1600</v>
      </c>
      <c r="E194" s="17">
        <v>640</v>
      </c>
    </row>
    <row r="195" spans="1:5" x14ac:dyDescent="0.35">
      <c r="A195" s="13" t="s">
        <v>327</v>
      </c>
      <c r="B195" s="13" t="s">
        <v>51</v>
      </c>
      <c r="C195" s="43">
        <v>1.45</v>
      </c>
      <c r="D195" s="17">
        <v>500</v>
      </c>
      <c r="E195" s="17">
        <v>725</v>
      </c>
    </row>
    <row r="196" spans="1:5" x14ac:dyDescent="0.35">
      <c r="A196" s="13" t="s">
        <v>327</v>
      </c>
      <c r="B196" s="13" t="s">
        <v>18</v>
      </c>
      <c r="C196" s="43">
        <v>1.5</v>
      </c>
      <c r="D196" s="17">
        <v>150</v>
      </c>
      <c r="E196" s="17">
        <v>225</v>
      </c>
    </row>
    <row r="197" spans="1:5" x14ac:dyDescent="0.35">
      <c r="A197" s="13" t="s">
        <v>327</v>
      </c>
      <c r="B197" s="13" t="s">
        <v>25</v>
      </c>
      <c r="C197" s="43">
        <v>0.85</v>
      </c>
      <c r="D197" s="17">
        <v>1000</v>
      </c>
      <c r="E197" s="17">
        <v>850</v>
      </c>
    </row>
    <row r="198" spans="1:5" x14ac:dyDescent="0.35">
      <c r="A198" s="13" t="s">
        <v>327</v>
      </c>
      <c r="B198" s="13" t="s">
        <v>94</v>
      </c>
      <c r="C198" s="43">
        <v>0.45</v>
      </c>
      <c r="D198" s="17">
        <v>2800</v>
      </c>
      <c r="E198" s="17">
        <v>1260</v>
      </c>
    </row>
    <row r="199" spans="1:5" x14ac:dyDescent="0.35">
      <c r="A199" s="13" t="s">
        <v>327</v>
      </c>
      <c r="B199" s="13" t="s">
        <v>53</v>
      </c>
      <c r="C199" s="43">
        <v>0.7</v>
      </c>
      <c r="D199" s="17">
        <v>300</v>
      </c>
      <c r="E199" s="17">
        <v>210</v>
      </c>
    </row>
    <row r="200" spans="1:5" x14ac:dyDescent="0.35">
      <c r="A200" s="13" t="s">
        <v>396</v>
      </c>
      <c r="B200" s="13" t="s">
        <v>34</v>
      </c>
      <c r="C200" s="43">
        <v>5.4</v>
      </c>
      <c r="D200" s="17">
        <v>5000</v>
      </c>
      <c r="E200" s="17">
        <v>27000</v>
      </c>
    </row>
    <row r="201" spans="1:5" x14ac:dyDescent="0.35">
      <c r="A201" s="13" t="s">
        <v>396</v>
      </c>
      <c r="B201" s="13" t="s">
        <v>18</v>
      </c>
      <c r="C201" s="43">
        <v>6.8</v>
      </c>
      <c r="D201" s="17">
        <v>150</v>
      </c>
      <c r="E201" s="17">
        <v>1020</v>
      </c>
    </row>
    <row r="202" spans="1:5" x14ac:dyDescent="0.35">
      <c r="A202" s="13" t="s">
        <v>397</v>
      </c>
      <c r="B202" s="13" t="s">
        <v>53</v>
      </c>
      <c r="C202" s="43">
        <v>1.05</v>
      </c>
      <c r="D202" s="17">
        <v>300</v>
      </c>
      <c r="E202" s="17">
        <v>315</v>
      </c>
    </row>
    <row r="203" spans="1:5" x14ac:dyDescent="0.35">
      <c r="A203" s="13" t="s">
        <v>397</v>
      </c>
      <c r="B203" s="13" t="s">
        <v>39</v>
      </c>
      <c r="C203" s="43">
        <v>0.3</v>
      </c>
      <c r="D203" s="17">
        <v>1500</v>
      </c>
      <c r="E203" s="17">
        <v>450</v>
      </c>
    </row>
    <row r="204" spans="1:5" x14ac:dyDescent="0.35">
      <c r="A204" s="13" t="s">
        <v>397</v>
      </c>
      <c r="B204" s="13" t="s">
        <v>127</v>
      </c>
      <c r="C204" s="43">
        <v>0.1</v>
      </c>
      <c r="D204" s="17">
        <v>8000</v>
      </c>
      <c r="E204" s="17">
        <v>800</v>
      </c>
    </row>
    <row r="205" spans="1:5" x14ac:dyDescent="0.35">
      <c r="A205" s="13" t="s">
        <v>397</v>
      </c>
      <c r="B205" s="13" t="s">
        <v>25</v>
      </c>
      <c r="C205" s="43">
        <v>1.7</v>
      </c>
      <c r="D205" s="17">
        <v>1000</v>
      </c>
      <c r="E205" s="17">
        <v>1700</v>
      </c>
    </row>
    <row r="206" spans="1:5" x14ac:dyDescent="0.35">
      <c r="A206" s="13" t="s">
        <v>397</v>
      </c>
      <c r="B206" s="13" t="s">
        <v>60</v>
      </c>
      <c r="C206" s="43">
        <v>0.45</v>
      </c>
      <c r="D206" s="17">
        <v>2500</v>
      </c>
      <c r="E206" s="17">
        <v>1125</v>
      </c>
    </row>
    <row r="207" spans="1:5" x14ac:dyDescent="0.35">
      <c r="A207" s="13" t="s">
        <v>397</v>
      </c>
      <c r="B207" s="13" t="s">
        <v>94</v>
      </c>
      <c r="C207" s="43">
        <v>1.5</v>
      </c>
      <c r="D207" s="17">
        <v>2800</v>
      </c>
      <c r="E207" s="17">
        <v>4200</v>
      </c>
    </row>
    <row r="208" spans="1:5" x14ac:dyDescent="0.35">
      <c r="A208" s="13" t="s">
        <v>397</v>
      </c>
      <c r="B208" s="13" t="s">
        <v>51</v>
      </c>
      <c r="C208" s="43">
        <v>3.3</v>
      </c>
      <c r="D208" s="17">
        <v>500</v>
      </c>
      <c r="E208" s="17">
        <v>1650</v>
      </c>
    </row>
    <row r="209" spans="1:5" x14ac:dyDescent="0.35">
      <c r="A209" s="13" t="s">
        <v>397</v>
      </c>
      <c r="B209" s="13" t="s">
        <v>41</v>
      </c>
      <c r="C209" s="43">
        <v>3.3</v>
      </c>
      <c r="D209" s="17">
        <v>1000</v>
      </c>
      <c r="E209" s="17">
        <v>3300</v>
      </c>
    </row>
    <row r="210" spans="1:5" x14ac:dyDescent="0.35">
      <c r="A210" s="13" t="s">
        <v>397</v>
      </c>
      <c r="B210" s="13" t="s">
        <v>34</v>
      </c>
      <c r="C210" s="43">
        <v>3.7</v>
      </c>
      <c r="D210" s="17">
        <v>5000</v>
      </c>
      <c r="E210" s="17">
        <v>18500</v>
      </c>
    </row>
    <row r="211" spans="1:5" x14ac:dyDescent="0.35">
      <c r="A211" s="13" t="s">
        <v>332</v>
      </c>
      <c r="B211" s="13" t="s">
        <v>41</v>
      </c>
      <c r="C211" s="43">
        <v>0.6</v>
      </c>
      <c r="D211" s="17">
        <v>1000</v>
      </c>
      <c r="E211" s="17">
        <v>600</v>
      </c>
    </row>
    <row r="212" spans="1:5" x14ac:dyDescent="0.35">
      <c r="A212" s="13" t="s">
        <v>332</v>
      </c>
      <c r="B212" s="13" t="s">
        <v>22</v>
      </c>
      <c r="C212" s="43">
        <v>4.1500000000000004</v>
      </c>
      <c r="D212" s="17">
        <v>1600</v>
      </c>
      <c r="E212" s="17">
        <v>6640</v>
      </c>
    </row>
    <row r="213" spans="1:5" x14ac:dyDescent="0.35">
      <c r="A213" s="13" t="s">
        <v>364</v>
      </c>
      <c r="B213" s="13" t="s">
        <v>41</v>
      </c>
      <c r="C213" s="43">
        <v>5.2</v>
      </c>
      <c r="D213" s="17">
        <v>1000</v>
      </c>
      <c r="E213" s="17">
        <v>5200</v>
      </c>
    </row>
    <row r="214" spans="1:5" x14ac:dyDescent="0.35">
      <c r="A214" s="13" t="s">
        <v>364</v>
      </c>
      <c r="B214" s="13" t="s">
        <v>51</v>
      </c>
      <c r="C214" s="43">
        <v>0.45</v>
      </c>
      <c r="D214" s="17">
        <v>500</v>
      </c>
      <c r="E214" s="17">
        <v>225</v>
      </c>
    </row>
    <row r="215" spans="1:5" x14ac:dyDescent="0.35">
      <c r="A215" s="13" t="s">
        <v>364</v>
      </c>
      <c r="B215" s="13" t="s">
        <v>126</v>
      </c>
      <c r="C215" s="43">
        <v>0.15</v>
      </c>
      <c r="D215" s="17">
        <v>1800</v>
      </c>
      <c r="E215" s="17">
        <v>270</v>
      </c>
    </row>
    <row r="216" spans="1:5" x14ac:dyDescent="0.35">
      <c r="A216" s="13" t="s">
        <v>364</v>
      </c>
      <c r="B216" s="13" t="s">
        <v>13</v>
      </c>
      <c r="C216" s="43">
        <v>0.25</v>
      </c>
      <c r="D216" s="17">
        <v>500</v>
      </c>
      <c r="E216" s="17">
        <v>125</v>
      </c>
    </row>
    <row r="217" spans="1:5" x14ac:dyDescent="0.35">
      <c r="A217" s="13" t="s">
        <v>364</v>
      </c>
      <c r="B217" s="13" t="s">
        <v>25</v>
      </c>
      <c r="C217" s="43">
        <v>0.4</v>
      </c>
      <c r="D217" s="17">
        <v>1000</v>
      </c>
      <c r="E217" s="17">
        <v>400</v>
      </c>
    </row>
    <row r="218" spans="1:5" x14ac:dyDescent="0.35">
      <c r="A218" s="13" t="s">
        <v>364</v>
      </c>
      <c r="B218" s="13" t="s">
        <v>53</v>
      </c>
      <c r="C218" s="43">
        <v>0.35</v>
      </c>
      <c r="D218" s="17">
        <v>300</v>
      </c>
      <c r="E218" s="17">
        <v>105</v>
      </c>
    </row>
    <row r="219" spans="1:5" x14ac:dyDescent="0.35">
      <c r="A219" s="13" t="s">
        <v>364</v>
      </c>
      <c r="B219" s="13" t="s">
        <v>60</v>
      </c>
      <c r="C219" s="43">
        <v>0.3</v>
      </c>
      <c r="D219" s="17">
        <v>2500</v>
      </c>
      <c r="E219" s="17">
        <v>750</v>
      </c>
    </row>
    <row r="220" spans="1:5" x14ac:dyDescent="0.35">
      <c r="A220" s="13" t="s">
        <v>364</v>
      </c>
      <c r="B220" s="13" t="s">
        <v>34</v>
      </c>
      <c r="C220" s="43">
        <v>1.4</v>
      </c>
      <c r="D220" s="17">
        <v>5000</v>
      </c>
      <c r="E220" s="17">
        <v>7000</v>
      </c>
    </row>
    <row r="221" spans="1:5" x14ac:dyDescent="0.35">
      <c r="A221" s="13" t="s">
        <v>364</v>
      </c>
      <c r="B221" s="13" t="s">
        <v>94</v>
      </c>
      <c r="C221" s="43">
        <v>2.15</v>
      </c>
      <c r="D221" s="17">
        <v>2800</v>
      </c>
      <c r="E221" s="17">
        <v>6020</v>
      </c>
    </row>
    <row r="222" spans="1:5" x14ac:dyDescent="0.35">
      <c r="A222" s="13" t="s">
        <v>398</v>
      </c>
      <c r="B222" s="13" t="s">
        <v>41</v>
      </c>
      <c r="C222" s="43">
        <v>4.5999999999999996</v>
      </c>
      <c r="D222" s="17">
        <v>1000</v>
      </c>
      <c r="E222" s="17">
        <v>4600</v>
      </c>
    </row>
    <row r="223" spans="1:5" x14ac:dyDescent="0.35">
      <c r="A223" s="13" t="s">
        <v>398</v>
      </c>
      <c r="B223" s="13" t="s">
        <v>53</v>
      </c>
      <c r="C223" s="43">
        <v>0.45</v>
      </c>
      <c r="D223" s="17">
        <v>300</v>
      </c>
      <c r="E223" s="17">
        <v>135</v>
      </c>
    </row>
    <row r="224" spans="1:5" x14ac:dyDescent="0.35">
      <c r="A224" s="13" t="s">
        <v>398</v>
      </c>
      <c r="B224" s="13" t="s">
        <v>25</v>
      </c>
      <c r="C224" s="43">
        <v>0.85</v>
      </c>
      <c r="D224" s="17">
        <v>1000</v>
      </c>
      <c r="E224" s="17">
        <v>850</v>
      </c>
    </row>
    <row r="225" spans="1:5" x14ac:dyDescent="0.35">
      <c r="A225" s="13" t="s">
        <v>398</v>
      </c>
      <c r="B225" s="13" t="s">
        <v>18</v>
      </c>
      <c r="C225" s="43">
        <v>1.6</v>
      </c>
      <c r="D225" s="17">
        <v>150</v>
      </c>
      <c r="E225" s="17">
        <v>240</v>
      </c>
    </row>
    <row r="226" spans="1:5" x14ac:dyDescent="0.35">
      <c r="A226" s="13" t="s">
        <v>398</v>
      </c>
      <c r="B226" s="13" t="s">
        <v>60</v>
      </c>
      <c r="C226" s="43">
        <v>0.25</v>
      </c>
      <c r="D226" s="17">
        <v>2500</v>
      </c>
      <c r="E226" s="17">
        <v>625</v>
      </c>
    </row>
    <row r="227" spans="1:5" x14ac:dyDescent="0.35">
      <c r="A227" s="13" t="s">
        <v>398</v>
      </c>
      <c r="B227" s="13" t="s">
        <v>51</v>
      </c>
      <c r="C227" s="43">
        <v>1.95</v>
      </c>
      <c r="D227" s="17">
        <v>500</v>
      </c>
      <c r="E227" s="17">
        <v>975</v>
      </c>
    </row>
    <row r="228" spans="1:5" x14ac:dyDescent="0.35">
      <c r="A228" s="13" t="s">
        <v>398</v>
      </c>
      <c r="B228" s="13" t="s">
        <v>39</v>
      </c>
      <c r="C228" s="43">
        <v>0.8</v>
      </c>
      <c r="D228" s="17">
        <v>1500</v>
      </c>
      <c r="E228" s="17">
        <v>1200</v>
      </c>
    </row>
    <row r="229" spans="1:5" x14ac:dyDescent="0.35">
      <c r="A229" s="13" t="s">
        <v>398</v>
      </c>
      <c r="B229" s="13" t="s">
        <v>94</v>
      </c>
      <c r="C229" s="43">
        <v>1.85</v>
      </c>
      <c r="D229" s="17">
        <v>2800</v>
      </c>
      <c r="E229" s="17">
        <v>5180</v>
      </c>
    </row>
    <row r="230" spans="1:5" x14ac:dyDescent="0.35">
      <c r="A230" s="13" t="s">
        <v>360</v>
      </c>
      <c r="B230" s="13" t="s">
        <v>13</v>
      </c>
      <c r="C230" s="43">
        <v>0.35</v>
      </c>
      <c r="D230" s="17">
        <v>500</v>
      </c>
      <c r="E230" s="17">
        <v>175</v>
      </c>
    </row>
    <row r="231" spans="1:5" x14ac:dyDescent="0.35">
      <c r="A231" s="13" t="s">
        <v>360</v>
      </c>
      <c r="B231" s="13" t="s">
        <v>53</v>
      </c>
      <c r="C231" s="43">
        <v>1.35</v>
      </c>
      <c r="D231" s="17">
        <v>300</v>
      </c>
      <c r="E231" s="17">
        <v>405</v>
      </c>
    </row>
    <row r="232" spans="1:5" x14ac:dyDescent="0.35">
      <c r="A232" s="13" t="s">
        <v>360</v>
      </c>
      <c r="B232" s="13" t="s">
        <v>60</v>
      </c>
      <c r="C232" s="43">
        <v>0.35</v>
      </c>
      <c r="D232" s="17">
        <v>2500</v>
      </c>
      <c r="E232" s="17">
        <v>875</v>
      </c>
    </row>
    <row r="233" spans="1:5" x14ac:dyDescent="0.35">
      <c r="A233" s="13" t="s">
        <v>360</v>
      </c>
      <c r="B233" s="13" t="s">
        <v>128</v>
      </c>
      <c r="C233" s="43">
        <v>0.3</v>
      </c>
      <c r="D233" s="17">
        <v>3500</v>
      </c>
      <c r="E233" s="17">
        <v>1050</v>
      </c>
    </row>
    <row r="234" spans="1:5" x14ac:dyDescent="0.35">
      <c r="A234" s="13" t="s">
        <v>360</v>
      </c>
      <c r="B234" s="13" t="s">
        <v>127</v>
      </c>
      <c r="C234" s="43">
        <v>0.2</v>
      </c>
      <c r="D234" s="17">
        <v>8000</v>
      </c>
      <c r="E234" s="17">
        <v>1600</v>
      </c>
    </row>
    <row r="235" spans="1:5" x14ac:dyDescent="0.35">
      <c r="A235" s="13" t="s">
        <v>360</v>
      </c>
      <c r="B235" s="13" t="s">
        <v>25</v>
      </c>
      <c r="C235" s="43">
        <v>1.95</v>
      </c>
      <c r="D235" s="17">
        <v>1000</v>
      </c>
      <c r="E235" s="17">
        <v>1950</v>
      </c>
    </row>
    <row r="236" spans="1:5" x14ac:dyDescent="0.35">
      <c r="A236" s="13" t="s">
        <v>360</v>
      </c>
      <c r="B236" s="13" t="s">
        <v>51</v>
      </c>
      <c r="C236" s="43">
        <v>0.85</v>
      </c>
      <c r="D236" s="17">
        <v>500</v>
      </c>
      <c r="E236" s="17">
        <v>425</v>
      </c>
    </row>
    <row r="237" spans="1:5" x14ac:dyDescent="0.35">
      <c r="A237" s="13" t="s">
        <v>360</v>
      </c>
      <c r="B237" s="13" t="s">
        <v>94</v>
      </c>
      <c r="C237" s="43">
        <v>1</v>
      </c>
      <c r="D237" s="17">
        <v>2800</v>
      </c>
      <c r="E237" s="17">
        <v>2800</v>
      </c>
    </row>
    <row r="238" spans="1:5" x14ac:dyDescent="0.35">
      <c r="A238" s="13" t="s">
        <v>399</v>
      </c>
      <c r="B238" s="13" t="s">
        <v>25</v>
      </c>
      <c r="C238" s="43">
        <v>2.85</v>
      </c>
      <c r="D238" s="17">
        <v>1000</v>
      </c>
      <c r="E238" s="17">
        <v>2850</v>
      </c>
    </row>
    <row r="239" spans="1:5" x14ac:dyDescent="0.35">
      <c r="A239" s="13" t="s">
        <v>399</v>
      </c>
      <c r="B239" s="13" t="s">
        <v>41</v>
      </c>
      <c r="C239" s="43">
        <v>0.35</v>
      </c>
      <c r="D239" s="17">
        <v>1000</v>
      </c>
      <c r="E239" s="17">
        <v>350</v>
      </c>
    </row>
    <row r="240" spans="1:5" x14ac:dyDescent="0.35">
      <c r="A240" s="13" t="s">
        <v>399</v>
      </c>
      <c r="B240" s="13" t="s">
        <v>51</v>
      </c>
      <c r="C240" s="43">
        <v>1.1000000000000001</v>
      </c>
      <c r="D240" s="17">
        <v>500</v>
      </c>
      <c r="E240" s="17">
        <v>550</v>
      </c>
    </row>
    <row r="241" spans="1:5" x14ac:dyDescent="0.35">
      <c r="A241" s="13" t="s">
        <v>399</v>
      </c>
      <c r="B241" s="13" t="s">
        <v>53</v>
      </c>
      <c r="C241" s="43">
        <v>3.35</v>
      </c>
      <c r="D241" s="17">
        <v>300</v>
      </c>
      <c r="E241" s="17">
        <v>1005</v>
      </c>
    </row>
    <row r="242" spans="1:5" x14ac:dyDescent="0.35">
      <c r="A242" s="13" t="s">
        <v>399</v>
      </c>
      <c r="B242" s="13" t="s">
        <v>263</v>
      </c>
      <c r="C242" s="43">
        <v>1.9</v>
      </c>
      <c r="D242" s="17">
        <v>400</v>
      </c>
      <c r="E242" s="17">
        <v>760</v>
      </c>
    </row>
    <row r="243" spans="1:5" x14ac:dyDescent="0.35">
      <c r="A243" s="13" t="s">
        <v>399</v>
      </c>
      <c r="B243" s="13" t="s">
        <v>13</v>
      </c>
      <c r="C243" s="43">
        <v>0.8</v>
      </c>
      <c r="D243" s="17">
        <v>500</v>
      </c>
      <c r="E243" s="17">
        <v>400</v>
      </c>
    </row>
    <row r="244" spans="1:5" x14ac:dyDescent="0.35">
      <c r="A244" s="13" t="s">
        <v>399</v>
      </c>
      <c r="B244" s="13" t="s">
        <v>26</v>
      </c>
      <c r="C244" s="43">
        <v>0.75</v>
      </c>
      <c r="D244" s="17">
        <v>1000</v>
      </c>
      <c r="E244" s="17">
        <v>750</v>
      </c>
    </row>
    <row r="245" spans="1:5" x14ac:dyDescent="0.35">
      <c r="A245" s="13" t="s">
        <v>356</v>
      </c>
      <c r="B245" s="13" t="s">
        <v>41</v>
      </c>
      <c r="C245" s="43">
        <v>18</v>
      </c>
      <c r="D245" s="17">
        <v>1000</v>
      </c>
      <c r="E245" s="17">
        <v>18000</v>
      </c>
    </row>
    <row r="246" spans="1:5" x14ac:dyDescent="0.35">
      <c r="A246" s="13" t="s">
        <v>356</v>
      </c>
      <c r="B246" s="13" t="s">
        <v>94</v>
      </c>
      <c r="C246" s="43">
        <v>2.65</v>
      </c>
      <c r="D246" s="17">
        <v>2800</v>
      </c>
      <c r="E246" s="17">
        <v>7420</v>
      </c>
    </row>
    <row r="247" spans="1:5" x14ac:dyDescent="0.35">
      <c r="A247" s="13" t="s">
        <v>356</v>
      </c>
      <c r="B247" s="13" t="s">
        <v>125</v>
      </c>
      <c r="C247" s="43">
        <v>10.15</v>
      </c>
      <c r="D247" s="17">
        <v>800</v>
      </c>
      <c r="E247" s="17">
        <v>8120</v>
      </c>
    </row>
    <row r="248" spans="1:5" x14ac:dyDescent="0.35">
      <c r="A248" s="13" t="s">
        <v>356</v>
      </c>
      <c r="B248" s="13" t="s">
        <v>100</v>
      </c>
      <c r="C248" s="43">
        <v>3.3</v>
      </c>
      <c r="D248" s="17">
        <v>1400</v>
      </c>
      <c r="E248" s="17">
        <v>4620</v>
      </c>
    </row>
    <row r="249" spans="1:5" x14ac:dyDescent="0.35">
      <c r="A249" s="13" t="s">
        <v>356</v>
      </c>
      <c r="B249" s="13" t="s">
        <v>51</v>
      </c>
      <c r="C249" s="43">
        <v>6.5</v>
      </c>
      <c r="D249" s="17">
        <v>500</v>
      </c>
      <c r="E249" s="17">
        <v>3250</v>
      </c>
    </row>
    <row r="250" spans="1:5" x14ac:dyDescent="0.35">
      <c r="A250" s="13" t="s">
        <v>356</v>
      </c>
      <c r="B250" s="13" t="s">
        <v>25</v>
      </c>
      <c r="C250" s="43">
        <v>1.4</v>
      </c>
      <c r="D250" s="17">
        <v>1000</v>
      </c>
      <c r="E250" s="17">
        <v>1400</v>
      </c>
    </row>
    <row r="251" spans="1:5" x14ac:dyDescent="0.35">
      <c r="A251" s="13" t="s">
        <v>356</v>
      </c>
      <c r="B251" s="13" t="s">
        <v>26</v>
      </c>
      <c r="C251" s="43">
        <v>4</v>
      </c>
      <c r="D251" s="17">
        <v>1000</v>
      </c>
      <c r="E251" s="17">
        <v>4000</v>
      </c>
    </row>
    <row r="252" spans="1:5" x14ac:dyDescent="0.35">
      <c r="A252" s="13" t="s">
        <v>356</v>
      </c>
      <c r="B252" s="13" t="s">
        <v>39</v>
      </c>
      <c r="C252" s="43">
        <v>0.45</v>
      </c>
      <c r="D252" s="17">
        <v>1500</v>
      </c>
      <c r="E252" s="17">
        <v>675</v>
      </c>
    </row>
    <row r="253" spans="1:5" x14ac:dyDescent="0.35">
      <c r="A253" s="13" t="s">
        <v>356</v>
      </c>
      <c r="B253" s="13" t="s">
        <v>15</v>
      </c>
      <c r="C253" s="43">
        <v>2.0499999999999998</v>
      </c>
      <c r="D253" s="17">
        <v>2500</v>
      </c>
      <c r="E253" s="17">
        <v>5125</v>
      </c>
    </row>
    <row r="254" spans="1:5" x14ac:dyDescent="0.35">
      <c r="A254" s="13" t="s">
        <v>356</v>
      </c>
      <c r="B254" s="13" t="s">
        <v>18</v>
      </c>
      <c r="C254" s="43">
        <v>1</v>
      </c>
      <c r="D254" s="17">
        <v>150</v>
      </c>
      <c r="E254" s="17">
        <v>150</v>
      </c>
    </row>
    <row r="255" spans="1:5" x14ac:dyDescent="0.35">
      <c r="A255" s="13" t="s">
        <v>356</v>
      </c>
      <c r="B255" s="13" t="s">
        <v>60</v>
      </c>
      <c r="C255" s="43">
        <v>0.45</v>
      </c>
      <c r="D255" s="17">
        <v>2500</v>
      </c>
      <c r="E255" s="17">
        <v>1125</v>
      </c>
    </row>
    <row r="256" spans="1:5" x14ac:dyDescent="0.35">
      <c r="A256" s="13" t="s">
        <v>356</v>
      </c>
      <c r="B256" s="13" t="s">
        <v>53</v>
      </c>
      <c r="C256" s="43">
        <v>2.6</v>
      </c>
      <c r="D256" s="17">
        <v>300</v>
      </c>
      <c r="E256" s="17">
        <v>780</v>
      </c>
    </row>
    <row r="257" spans="1:5" x14ac:dyDescent="0.35">
      <c r="A257" s="13" t="s">
        <v>356</v>
      </c>
      <c r="B257" s="13" t="s">
        <v>13</v>
      </c>
      <c r="C257" s="43">
        <v>0.5</v>
      </c>
      <c r="D257" s="17">
        <v>500</v>
      </c>
      <c r="E257" s="17">
        <v>250</v>
      </c>
    </row>
    <row r="258" spans="1:5" x14ac:dyDescent="0.35">
      <c r="A258" s="13" t="s">
        <v>400</v>
      </c>
      <c r="B258" s="13" t="s">
        <v>51</v>
      </c>
      <c r="C258" s="43">
        <v>3</v>
      </c>
      <c r="D258" s="17">
        <v>500</v>
      </c>
      <c r="E258" s="17">
        <v>1500</v>
      </c>
    </row>
    <row r="259" spans="1:5" x14ac:dyDescent="0.35">
      <c r="A259" s="13" t="s">
        <v>400</v>
      </c>
      <c r="B259" s="13" t="s">
        <v>34</v>
      </c>
      <c r="C259" s="43">
        <v>0.45</v>
      </c>
      <c r="D259" s="17">
        <v>5000</v>
      </c>
      <c r="E259" s="17">
        <v>2250</v>
      </c>
    </row>
    <row r="260" spans="1:5" x14ac:dyDescent="0.35">
      <c r="A260" s="13" t="s">
        <v>400</v>
      </c>
      <c r="B260" s="13" t="s">
        <v>263</v>
      </c>
      <c r="C260" s="43">
        <v>0.55000000000000004</v>
      </c>
      <c r="D260" s="17">
        <v>400</v>
      </c>
      <c r="E260" s="17">
        <v>220</v>
      </c>
    </row>
    <row r="261" spans="1:5" x14ac:dyDescent="0.35">
      <c r="A261" s="13" t="s">
        <v>400</v>
      </c>
      <c r="B261" s="13" t="s">
        <v>39</v>
      </c>
      <c r="C261" s="43">
        <v>1.8</v>
      </c>
      <c r="D261" s="17">
        <v>1500</v>
      </c>
      <c r="E261" s="17">
        <v>2700</v>
      </c>
    </row>
    <row r="262" spans="1:5" x14ac:dyDescent="0.35">
      <c r="A262" s="13" t="s">
        <v>400</v>
      </c>
      <c r="B262" s="13" t="s">
        <v>60</v>
      </c>
      <c r="C262" s="43">
        <v>0.2</v>
      </c>
      <c r="D262" s="17">
        <v>2500</v>
      </c>
      <c r="E262" s="17">
        <v>500</v>
      </c>
    </row>
    <row r="263" spans="1:5" x14ac:dyDescent="0.35">
      <c r="A263" s="13" t="s">
        <v>400</v>
      </c>
      <c r="B263" s="13" t="s">
        <v>53</v>
      </c>
      <c r="C263" s="43">
        <v>1.1499999999999999</v>
      </c>
      <c r="D263" s="17">
        <v>300</v>
      </c>
      <c r="E263" s="17">
        <v>345</v>
      </c>
    </row>
    <row r="264" spans="1:5" x14ac:dyDescent="0.35">
      <c r="A264" s="13" t="s">
        <v>400</v>
      </c>
      <c r="B264" s="13" t="s">
        <v>13</v>
      </c>
      <c r="C264" s="43">
        <v>2.65</v>
      </c>
      <c r="D264" s="17">
        <v>500</v>
      </c>
      <c r="E264" s="17">
        <v>1325</v>
      </c>
    </row>
    <row r="265" spans="1:5" x14ac:dyDescent="0.35">
      <c r="A265" s="13" t="s">
        <v>400</v>
      </c>
      <c r="B265" s="13" t="s">
        <v>126</v>
      </c>
      <c r="C265" s="43">
        <v>1.1499999999999999</v>
      </c>
      <c r="D265" s="17">
        <v>1800</v>
      </c>
      <c r="E265" s="17">
        <v>2070</v>
      </c>
    </row>
    <row r="266" spans="1:5" x14ac:dyDescent="0.35">
      <c r="A266" s="13" t="s">
        <v>400</v>
      </c>
      <c r="B266" s="13" t="s">
        <v>26</v>
      </c>
      <c r="C266" s="43">
        <v>3.85</v>
      </c>
      <c r="D266" s="17">
        <v>1000</v>
      </c>
      <c r="E266" s="17">
        <v>3850</v>
      </c>
    </row>
    <row r="267" spans="1:5" x14ac:dyDescent="0.35">
      <c r="A267" s="13" t="s">
        <v>400</v>
      </c>
      <c r="B267" s="13" t="s">
        <v>25</v>
      </c>
      <c r="C267" s="43">
        <v>2.95</v>
      </c>
      <c r="D267" s="17">
        <v>1000</v>
      </c>
      <c r="E267" s="17">
        <v>2950</v>
      </c>
    </row>
    <row r="268" spans="1:5" x14ac:dyDescent="0.35">
      <c r="A268" s="13" t="s">
        <v>400</v>
      </c>
      <c r="B268" s="13" t="s">
        <v>18</v>
      </c>
      <c r="C268" s="43">
        <v>1.65</v>
      </c>
      <c r="D268" s="17">
        <v>150</v>
      </c>
      <c r="E268" s="17">
        <v>248</v>
      </c>
    </row>
    <row r="269" spans="1:5" x14ac:dyDescent="0.35">
      <c r="A269" s="13" t="s">
        <v>400</v>
      </c>
      <c r="B269" s="13" t="s">
        <v>94</v>
      </c>
      <c r="C269" s="43">
        <v>1.85</v>
      </c>
      <c r="D269" s="17">
        <v>2800</v>
      </c>
      <c r="E269" s="17">
        <v>5180</v>
      </c>
    </row>
    <row r="270" spans="1:5" x14ac:dyDescent="0.35">
      <c r="A270" s="13" t="s">
        <v>400</v>
      </c>
      <c r="B270" s="13" t="s">
        <v>41</v>
      </c>
      <c r="C270" s="43">
        <v>8.9</v>
      </c>
      <c r="D270" s="17">
        <v>1000</v>
      </c>
      <c r="E270" s="17">
        <v>8900</v>
      </c>
    </row>
    <row r="271" spans="1:5" x14ac:dyDescent="0.35">
      <c r="A271" s="13" t="s">
        <v>401</v>
      </c>
      <c r="B271" s="13" t="s">
        <v>54</v>
      </c>
      <c r="C271" s="43">
        <v>0.05</v>
      </c>
      <c r="D271" s="17">
        <v>800</v>
      </c>
      <c r="E271" s="17">
        <v>40</v>
      </c>
    </row>
    <row r="272" spans="1:5" x14ac:dyDescent="0.35">
      <c r="A272" s="13" t="s">
        <v>401</v>
      </c>
      <c r="B272" s="13" t="s">
        <v>25</v>
      </c>
      <c r="C272" s="43">
        <v>1.2</v>
      </c>
      <c r="D272" s="17">
        <v>1000</v>
      </c>
      <c r="E272" s="17">
        <v>1200</v>
      </c>
    </row>
    <row r="273" spans="1:5" x14ac:dyDescent="0.35">
      <c r="A273" s="13" t="s">
        <v>401</v>
      </c>
      <c r="B273" s="13" t="s">
        <v>13</v>
      </c>
      <c r="C273" s="43">
        <v>1.6</v>
      </c>
      <c r="D273" s="17">
        <v>500</v>
      </c>
      <c r="E273" s="17">
        <v>800</v>
      </c>
    </row>
    <row r="274" spans="1:5" x14ac:dyDescent="0.35">
      <c r="A274" s="13" t="s">
        <v>401</v>
      </c>
      <c r="B274" s="13" t="s">
        <v>51</v>
      </c>
      <c r="C274" s="43">
        <v>2.0499999999999998</v>
      </c>
      <c r="D274" s="17">
        <v>500</v>
      </c>
      <c r="E274" s="17">
        <v>1025</v>
      </c>
    </row>
    <row r="275" spans="1:5" x14ac:dyDescent="0.35">
      <c r="A275" s="13" t="s">
        <v>401</v>
      </c>
      <c r="B275" s="13" t="s">
        <v>126</v>
      </c>
      <c r="C275" s="43">
        <v>0.25</v>
      </c>
      <c r="D275" s="17">
        <v>1800</v>
      </c>
      <c r="E275" s="17">
        <v>450</v>
      </c>
    </row>
    <row r="276" spans="1:5" x14ac:dyDescent="0.35">
      <c r="A276" s="13" t="s">
        <v>401</v>
      </c>
      <c r="B276" s="13" t="s">
        <v>94</v>
      </c>
      <c r="C276" s="43">
        <v>0.75</v>
      </c>
      <c r="D276" s="17">
        <v>2800</v>
      </c>
      <c r="E276" s="17">
        <v>2100</v>
      </c>
    </row>
    <row r="277" spans="1:5" x14ac:dyDescent="0.35">
      <c r="A277" s="13" t="s">
        <v>401</v>
      </c>
      <c r="B277" s="13" t="s">
        <v>53</v>
      </c>
      <c r="C277" s="43">
        <v>1.95</v>
      </c>
      <c r="D277" s="17">
        <v>300</v>
      </c>
      <c r="E277" s="17">
        <v>585</v>
      </c>
    </row>
    <row r="278" spans="1:5" x14ac:dyDescent="0.35">
      <c r="A278" s="13" t="s">
        <v>402</v>
      </c>
      <c r="B278" s="13" t="s">
        <v>41</v>
      </c>
      <c r="C278" s="43">
        <v>0.3</v>
      </c>
      <c r="D278" s="17">
        <v>1000</v>
      </c>
      <c r="E278" s="17">
        <v>300</v>
      </c>
    </row>
    <row r="279" spans="1:5" x14ac:dyDescent="0.35">
      <c r="A279" s="13" t="s">
        <v>402</v>
      </c>
      <c r="B279" s="13" t="s">
        <v>51</v>
      </c>
      <c r="C279" s="43">
        <v>1.4</v>
      </c>
      <c r="D279" s="17">
        <v>500</v>
      </c>
      <c r="E279" s="17">
        <v>700</v>
      </c>
    </row>
    <row r="280" spans="1:5" x14ac:dyDescent="0.35">
      <c r="A280" s="13" t="s">
        <v>402</v>
      </c>
      <c r="B280" s="13" t="s">
        <v>18</v>
      </c>
      <c r="C280" s="43">
        <v>2.95</v>
      </c>
      <c r="D280" s="17">
        <v>150</v>
      </c>
      <c r="E280" s="17">
        <v>443</v>
      </c>
    </row>
    <row r="281" spans="1:5" x14ac:dyDescent="0.35">
      <c r="A281" s="13" t="s">
        <v>402</v>
      </c>
      <c r="B281" s="13" t="s">
        <v>26</v>
      </c>
      <c r="C281" s="43">
        <v>0.6</v>
      </c>
      <c r="D281" s="17">
        <v>1000</v>
      </c>
      <c r="E281" s="17">
        <v>600</v>
      </c>
    </row>
    <row r="282" spans="1:5" x14ac:dyDescent="0.35">
      <c r="A282" s="13" t="s">
        <v>402</v>
      </c>
      <c r="B282" s="13" t="s">
        <v>53</v>
      </c>
      <c r="C282" s="43">
        <v>1.55</v>
      </c>
      <c r="D282" s="17">
        <v>300</v>
      </c>
      <c r="E282" s="17">
        <v>465</v>
      </c>
    </row>
    <row r="283" spans="1:5" x14ac:dyDescent="0.35">
      <c r="A283" s="13" t="s">
        <v>402</v>
      </c>
      <c r="B283" s="13" t="s">
        <v>34</v>
      </c>
      <c r="C283" s="43">
        <v>4.45</v>
      </c>
      <c r="D283" s="17">
        <v>5000</v>
      </c>
      <c r="E283" s="17">
        <v>22250</v>
      </c>
    </row>
    <row r="284" spans="1:5" x14ac:dyDescent="0.35">
      <c r="A284" s="13" t="s">
        <v>361</v>
      </c>
      <c r="B284" s="13" t="s">
        <v>53</v>
      </c>
      <c r="C284" s="43">
        <v>5.7</v>
      </c>
      <c r="D284" s="17">
        <v>300</v>
      </c>
      <c r="E284" s="17">
        <v>1710</v>
      </c>
    </row>
    <row r="285" spans="1:5" x14ac:dyDescent="0.35">
      <c r="A285" s="13" t="s">
        <v>361</v>
      </c>
      <c r="B285" s="13" t="s">
        <v>26</v>
      </c>
      <c r="C285" s="43">
        <v>3.55</v>
      </c>
      <c r="D285" s="17">
        <v>1000</v>
      </c>
      <c r="E285" s="17">
        <v>3550</v>
      </c>
    </row>
    <row r="286" spans="1:5" x14ac:dyDescent="0.35">
      <c r="A286" s="13" t="s">
        <v>361</v>
      </c>
      <c r="B286" s="13" t="s">
        <v>39</v>
      </c>
      <c r="C286" s="43">
        <v>1.4</v>
      </c>
      <c r="D286" s="17">
        <v>1500</v>
      </c>
      <c r="E286" s="17">
        <v>2100</v>
      </c>
    </row>
    <row r="287" spans="1:5" x14ac:dyDescent="0.35">
      <c r="A287" s="13" t="s">
        <v>361</v>
      </c>
      <c r="B287" s="13" t="s">
        <v>94</v>
      </c>
      <c r="C287" s="43">
        <v>3.35</v>
      </c>
      <c r="D287" s="17">
        <v>2800</v>
      </c>
      <c r="E287" s="17">
        <v>9380</v>
      </c>
    </row>
    <row r="288" spans="1:5" x14ac:dyDescent="0.35">
      <c r="A288" s="13" t="s">
        <v>361</v>
      </c>
      <c r="B288" s="13" t="s">
        <v>51</v>
      </c>
      <c r="C288" s="43">
        <v>7.9</v>
      </c>
      <c r="D288" s="17">
        <v>500</v>
      </c>
      <c r="E288" s="17">
        <v>3950</v>
      </c>
    </row>
    <row r="289" spans="1:5" x14ac:dyDescent="0.35">
      <c r="A289" s="13" t="s">
        <v>361</v>
      </c>
      <c r="B289" s="13" t="s">
        <v>41</v>
      </c>
      <c r="C289" s="43">
        <v>12.75</v>
      </c>
      <c r="D289" s="17">
        <v>1000</v>
      </c>
      <c r="E289" s="17">
        <v>12750</v>
      </c>
    </row>
    <row r="290" spans="1:5" x14ac:dyDescent="0.35">
      <c r="A290" s="13" t="s">
        <v>403</v>
      </c>
      <c r="B290" s="13" t="s">
        <v>29</v>
      </c>
      <c r="C290" s="43">
        <v>0.25</v>
      </c>
      <c r="D290" s="17">
        <v>1600</v>
      </c>
      <c r="E290" s="17">
        <v>400</v>
      </c>
    </row>
    <row r="291" spans="1:5" x14ac:dyDescent="0.35">
      <c r="A291" s="13" t="s">
        <v>403</v>
      </c>
      <c r="B291" s="13" t="s">
        <v>26</v>
      </c>
      <c r="C291" s="43">
        <v>1.3</v>
      </c>
      <c r="D291" s="17">
        <v>1000</v>
      </c>
      <c r="E291" s="17">
        <v>1300</v>
      </c>
    </row>
    <row r="292" spans="1:5" x14ac:dyDescent="0.35">
      <c r="A292" s="13" t="s">
        <v>403</v>
      </c>
      <c r="B292" s="13" t="s">
        <v>126</v>
      </c>
      <c r="C292" s="43">
        <v>0.2</v>
      </c>
      <c r="D292" s="17">
        <v>1800</v>
      </c>
      <c r="E292" s="17">
        <v>360</v>
      </c>
    </row>
    <row r="293" spans="1:5" x14ac:dyDescent="0.35">
      <c r="A293" s="13" t="s">
        <v>403</v>
      </c>
      <c r="B293" s="13" t="s">
        <v>15</v>
      </c>
      <c r="C293" s="43">
        <v>0.25</v>
      </c>
      <c r="D293" s="17">
        <v>2500</v>
      </c>
      <c r="E293" s="17">
        <v>625</v>
      </c>
    </row>
    <row r="294" spans="1:5" x14ac:dyDescent="0.35">
      <c r="A294" s="13" t="s">
        <v>403</v>
      </c>
      <c r="B294" s="13" t="s">
        <v>25</v>
      </c>
      <c r="C294" s="43">
        <v>0.35</v>
      </c>
      <c r="D294" s="17">
        <v>1000</v>
      </c>
      <c r="E294" s="17">
        <v>350</v>
      </c>
    </row>
    <row r="295" spans="1:5" x14ac:dyDescent="0.35">
      <c r="A295" s="13" t="s">
        <v>403</v>
      </c>
      <c r="B295" s="13" t="s">
        <v>41</v>
      </c>
      <c r="C295" s="43">
        <v>3.45</v>
      </c>
      <c r="D295" s="17">
        <v>1000</v>
      </c>
      <c r="E295" s="17">
        <v>3450</v>
      </c>
    </row>
    <row r="296" spans="1:5" x14ac:dyDescent="0.35">
      <c r="A296" s="13" t="s">
        <v>403</v>
      </c>
      <c r="B296" s="13" t="s">
        <v>39</v>
      </c>
      <c r="C296" s="43">
        <v>0.9</v>
      </c>
      <c r="D296" s="17">
        <v>1500</v>
      </c>
      <c r="E296" s="17">
        <v>1350</v>
      </c>
    </row>
    <row r="297" spans="1:5" x14ac:dyDescent="0.35">
      <c r="A297" s="13" t="s">
        <v>403</v>
      </c>
      <c r="B297" s="13" t="s">
        <v>51</v>
      </c>
      <c r="C297" s="43">
        <v>1.95</v>
      </c>
      <c r="D297" s="17">
        <v>500</v>
      </c>
      <c r="E297" s="17">
        <v>975</v>
      </c>
    </row>
    <row r="298" spans="1:5" x14ac:dyDescent="0.35">
      <c r="A298" s="13" t="s">
        <v>403</v>
      </c>
      <c r="B298" s="13" t="s">
        <v>53</v>
      </c>
      <c r="C298" s="43">
        <v>1.1000000000000001</v>
      </c>
      <c r="D298" s="17">
        <v>300</v>
      </c>
      <c r="E298" s="17">
        <v>330</v>
      </c>
    </row>
    <row r="299" spans="1:5" x14ac:dyDescent="0.35">
      <c r="A299" s="13" t="s">
        <v>403</v>
      </c>
      <c r="B299" s="13" t="s">
        <v>18</v>
      </c>
      <c r="C299" s="43">
        <v>3.25</v>
      </c>
      <c r="D299" s="17">
        <v>150</v>
      </c>
      <c r="E299" s="17">
        <v>488</v>
      </c>
    </row>
    <row r="300" spans="1:5" x14ac:dyDescent="0.35">
      <c r="A300" s="13" t="s">
        <v>403</v>
      </c>
      <c r="B300" s="13" t="s">
        <v>61</v>
      </c>
      <c r="C300" s="43">
        <v>0.65</v>
      </c>
      <c r="D300" s="17">
        <v>3500</v>
      </c>
      <c r="E300" s="17">
        <v>2275</v>
      </c>
    </row>
    <row r="301" spans="1:5" x14ac:dyDescent="0.35">
      <c r="A301" s="13" t="s">
        <v>403</v>
      </c>
      <c r="B301" s="13" t="s">
        <v>94</v>
      </c>
      <c r="C301" s="43">
        <v>1.7</v>
      </c>
      <c r="D301" s="17">
        <v>2800</v>
      </c>
      <c r="E301" s="17">
        <v>4760</v>
      </c>
    </row>
    <row r="302" spans="1:5" x14ac:dyDescent="0.35">
      <c r="A302" s="13" t="s">
        <v>318</v>
      </c>
      <c r="B302" s="13" t="s">
        <v>25</v>
      </c>
      <c r="C302" s="43">
        <v>0.6</v>
      </c>
      <c r="D302" s="17">
        <v>1000</v>
      </c>
      <c r="E302" s="17">
        <v>600</v>
      </c>
    </row>
    <row r="303" spans="1:5" x14ac:dyDescent="0.35">
      <c r="A303" s="13" t="s">
        <v>318</v>
      </c>
      <c r="B303" s="13" t="s">
        <v>13</v>
      </c>
      <c r="C303" s="43">
        <v>0.1</v>
      </c>
      <c r="D303" s="17">
        <v>500</v>
      </c>
      <c r="E303" s="17">
        <v>50</v>
      </c>
    </row>
    <row r="304" spans="1:5" x14ac:dyDescent="0.35">
      <c r="A304" s="13" t="s">
        <v>318</v>
      </c>
      <c r="B304" s="13" t="s">
        <v>18</v>
      </c>
      <c r="C304" s="43">
        <v>0.95</v>
      </c>
      <c r="D304" s="17">
        <v>150</v>
      </c>
      <c r="E304" s="17">
        <v>143</v>
      </c>
    </row>
    <row r="305" spans="1:5" x14ac:dyDescent="0.35">
      <c r="A305" s="13" t="s">
        <v>318</v>
      </c>
      <c r="B305" s="13" t="s">
        <v>29</v>
      </c>
      <c r="C305" s="43">
        <v>0.3</v>
      </c>
      <c r="D305" s="17">
        <v>1600</v>
      </c>
      <c r="E305" s="17">
        <v>480</v>
      </c>
    </row>
    <row r="306" spans="1:5" x14ac:dyDescent="0.35">
      <c r="A306" s="13" t="s">
        <v>318</v>
      </c>
      <c r="B306" s="13" t="s">
        <v>41</v>
      </c>
      <c r="C306" s="43">
        <v>0.35</v>
      </c>
      <c r="D306" s="17">
        <v>1000</v>
      </c>
      <c r="E306" s="17">
        <v>350</v>
      </c>
    </row>
    <row r="307" spans="1:5" x14ac:dyDescent="0.35">
      <c r="A307" s="13" t="s">
        <v>318</v>
      </c>
      <c r="B307" s="13" t="s">
        <v>51</v>
      </c>
      <c r="C307" s="43">
        <v>1</v>
      </c>
      <c r="D307" s="17">
        <v>500</v>
      </c>
      <c r="E307" s="17">
        <v>500</v>
      </c>
    </row>
    <row r="308" spans="1:5" x14ac:dyDescent="0.35">
      <c r="A308" s="13" t="s">
        <v>318</v>
      </c>
      <c r="B308" s="13" t="s">
        <v>100</v>
      </c>
      <c r="C308" s="43">
        <v>0.65</v>
      </c>
      <c r="D308" s="17">
        <v>1400</v>
      </c>
      <c r="E308" s="17">
        <v>910</v>
      </c>
    </row>
    <row r="309" spans="1:5" x14ac:dyDescent="0.35">
      <c r="A309" s="13" t="s">
        <v>318</v>
      </c>
      <c r="B309" s="13" t="s">
        <v>125</v>
      </c>
      <c r="C309" s="43">
        <v>5.75</v>
      </c>
      <c r="D309" s="17">
        <v>800</v>
      </c>
      <c r="E309" s="17">
        <v>4600</v>
      </c>
    </row>
    <row r="310" spans="1:5" x14ac:dyDescent="0.35">
      <c r="A310" s="13" t="s">
        <v>318</v>
      </c>
      <c r="B310" s="13" t="s">
        <v>60</v>
      </c>
      <c r="C310" s="43">
        <v>0.25</v>
      </c>
      <c r="D310" s="17">
        <v>2500</v>
      </c>
      <c r="E310" s="17">
        <v>625</v>
      </c>
    </row>
    <row r="311" spans="1:5" x14ac:dyDescent="0.35">
      <c r="A311" s="13" t="s">
        <v>318</v>
      </c>
      <c r="B311" s="13" t="s">
        <v>53</v>
      </c>
      <c r="C311" s="43">
        <v>1.05</v>
      </c>
      <c r="D311" s="17">
        <v>300</v>
      </c>
      <c r="E311" s="17">
        <v>315</v>
      </c>
    </row>
    <row r="312" spans="1:5" x14ac:dyDescent="0.35">
      <c r="A312" s="13" t="s">
        <v>318</v>
      </c>
      <c r="B312" s="13" t="s">
        <v>94</v>
      </c>
      <c r="C312" s="43">
        <v>1.7</v>
      </c>
      <c r="D312" s="17">
        <v>2800</v>
      </c>
      <c r="E312" s="17">
        <v>4760</v>
      </c>
    </row>
    <row r="313" spans="1:5" x14ac:dyDescent="0.35">
      <c r="A313" s="13" t="s">
        <v>318</v>
      </c>
      <c r="B313" s="13" t="s">
        <v>34</v>
      </c>
      <c r="C313" s="43">
        <v>1.85</v>
      </c>
      <c r="D313" s="17">
        <v>5000</v>
      </c>
      <c r="E313" s="17">
        <v>9250</v>
      </c>
    </row>
    <row r="314" spans="1:5" x14ac:dyDescent="0.35">
      <c r="A314" s="13" t="s">
        <v>359</v>
      </c>
      <c r="B314" s="13" t="s">
        <v>94</v>
      </c>
      <c r="C314" s="43">
        <v>2.2000000000000002</v>
      </c>
      <c r="D314" s="17">
        <v>2800</v>
      </c>
      <c r="E314" s="17">
        <v>6160</v>
      </c>
    </row>
    <row r="315" spans="1:5" x14ac:dyDescent="0.35">
      <c r="A315" s="13" t="s">
        <v>359</v>
      </c>
      <c r="B315" s="13" t="s">
        <v>60</v>
      </c>
      <c r="C315" s="43">
        <v>0.2</v>
      </c>
      <c r="D315" s="17">
        <v>2500</v>
      </c>
      <c r="E315" s="17">
        <v>500</v>
      </c>
    </row>
    <row r="316" spans="1:5" x14ac:dyDescent="0.35">
      <c r="A316" s="13" t="s">
        <v>359</v>
      </c>
      <c r="B316" s="13" t="s">
        <v>26</v>
      </c>
      <c r="C316" s="43">
        <v>0.9</v>
      </c>
      <c r="D316" s="17">
        <v>1000</v>
      </c>
      <c r="E316" s="17">
        <v>900</v>
      </c>
    </row>
    <row r="317" spans="1:5" x14ac:dyDescent="0.35">
      <c r="A317" s="13" t="s">
        <v>359</v>
      </c>
      <c r="B317" s="13" t="s">
        <v>29</v>
      </c>
      <c r="C317" s="43">
        <v>0.25</v>
      </c>
      <c r="D317" s="17">
        <v>1600</v>
      </c>
      <c r="E317" s="17">
        <v>400</v>
      </c>
    </row>
    <row r="318" spans="1:5" x14ac:dyDescent="0.35">
      <c r="A318" s="13" t="s">
        <v>359</v>
      </c>
      <c r="B318" s="13" t="s">
        <v>51</v>
      </c>
      <c r="C318" s="43">
        <v>1.2</v>
      </c>
      <c r="D318" s="17">
        <v>500</v>
      </c>
      <c r="E318" s="17">
        <v>600</v>
      </c>
    </row>
    <row r="319" spans="1:5" x14ac:dyDescent="0.35">
      <c r="A319" s="13" t="s">
        <v>359</v>
      </c>
      <c r="B319" s="13" t="s">
        <v>13</v>
      </c>
      <c r="C319" s="43">
        <v>0.05</v>
      </c>
      <c r="D319" s="17">
        <v>500</v>
      </c>
      <c r="E319" s="17">
        <v>25</v>
      </c>
    </row>
    <row r="320" spans="1:5" x14ac:dyDescent="0.35">
      <c r="A320" s="13" t="s">
        <v>359</v>
      </c>
      <c r="B320" s="13" t="s">
        <v>53</v>
      </c>
      <c r="C320" s="43">
        <v>0.4</v>
      </c>
      <c r="D320" s="17">
        <v>300</v>
      </c>
      <c r="E320" s="17">
        <v>120</v>
      </c>
    </row>
    <row r="321" spans="1:5" x14ac:dyDescent="0.35">
      <c r="A321" s="13" t="s">
        <v>359</v>
      </c>
      <c r="B321" s="13" t="s">
        <v>13</v>
      </c>
      <c r="C321" s="43">
        <v>0.05</v>
      </c>
      <c r="D321" s="17">
        <v>500</v>
      </c>
      <c r="E321" s="17">
        <v>25</v>
      </c>
    </row>
    <row r="322" spans="1:5" x14ac:dyDescent="0.35">
      <c r="A322" s="13" t="s">
        <v>359</v>
      </c>
      <c r="B322" s="13" t="s">
        <v>54</v>
      </c>
      <c r="C322" s="43">
        <v>0.05</v>
      </c>
      <c r="D322" s="17">
        <v>800</v>
      </c>
      <c r="E322" s="17">
        <v>40</v>
      </c>
    </row>
    <row r="323" spans="1:5" x14ac:dyDescent="0.35">
      <c r="A323" s="13" t="s">
        <v>359</v>
      </c>
      <c r="B323" s="13" t="s">
        <v>53</v>
      </c>
      <c r="C323" s="43">
        <v>0.7</v>
      </c>
      <c r="D323" s="17">
        <v>300</v>
      </c>
      <c r="E323" s="17">
        <v>210</v>
      </c>
    </row>
    <row r="324" spans="1:5" x14ac:dyDescent="0.35">
      <c r="A324" s="13" t="s">
        <v>359</v>
      </c>
      <c r="B324" s="13" t="s">
        <v>41</v>
      </c>
      <c r="C324" s="43">
        <v>8</v>
      </c>
      <c r="D324" s="17">
        <v>1000</v>
      </c>
      <c r="E324" s="17">
        <v>8000</v>
      </c>
    </row>
    <row r="325" spans="1:5" x14ac:dyDescent="0.35">
      <c r="A325" s="13" t="s">
        <v>365</v>
      </c>
      <c r="B325" s="13" t="s">
        <v>18</v>
      </c>
      <c r="C325" s="43">
        <v>0.6</v>
      </c>
      <c r="D325" s="17">
        <v>150</v>
      </c>
      <c r="E325" s="17">
        <v>90</v>
      </c>
    </row>
    <row r="326" spans="1:5" x14ac:dyDescent="0.35">
      <c r="A326" s="13" t="s">
        <v>365</v>
      </c>
      <c r="B326" s="13" t="s">
        <v>26</v>
      </c>
      <c r="C326" s="43">
        <v>1.4</v>
      </c>
      <c r="D326" s="17">
        <v>1000</v>
      </c>
      <c r="E326" s="17">
        <v>1400</v>
      </c>
    </row>
    <row r="327" spans="1:5" x14ac:dyDescent="0.35">
      <c r="A327" s="13" t="s">
        <v>365</v>
      </c>
      <c r="B327" s="13" t="s">
        <v>128</v>
      </c>
      <c r="C327" s="43">
        <v>1.05</v>
      </c>
      <c r="D327" s="17">
        <v>3500</v>
      </c>
      <c r="E327" s="17">
        <v>3675</v>
      </c>
    </row>
    <row r="328" spans="1:5" x14ac:dyDescent="0.35">
      <c r="A328" s="13" t="s">
        <v>365</v>
      </c>
      <c r="B328" s="13" t="s">
        <v>60</v>
      </c>
      <c r="C328" s="43">
        <v>0.1</v>
      </c>
      <c r="D328" s="17">
        <v>2500</v>
      </c>
      <c r="E328" s="17">
        <v>250</v>
      </c>
    </row>
    <row r="329" spans="1:5" x14ac:dyDescent="0.35">
      <c r="A329" s="13" t="s">
        <v>365</v>
      </c>
      <c r="B329" s="13" t="s">
        <v>61</v>
      </c>
      <c r="C329" s="43">
        <v>0.1</v>
      </c>
      <c r="D329" s="17">
        <v>3500</v>
      </c>
      <c r="E329" s="17">
        <v>350</v>
      </c>
    </row>
    <row r="330" spans="1:5" x14ac:dyDescent="0.35">
      <c r="A330" s="13" t="s">
        <v>365</v>
      </c>
      <c r="B330" s="13" t="s">
        <v>94</v>
      </c>
      <c r="C330" s="43">
        <v>0.5</v>
      </c>
      <c r="D330" s="17">
        <v>2800</v>
      </c>
      <c r="E330" s="17">
        <v>1400</v>
      </c>
    </row>
    <row r="331" spans="1:5" x14ac:dyDescent="0.35">
      <c r="A331" s="13" t="s">
        <v>365</v>
      </c>
      <c r="B331" s="13" t="s">
        <v>53</v>
      </c>
      <c r="C331" s="43">
        <v>2.4</v>
      </c>
      <c r="D331" s="17">
        <v>300</v>
      </c>
      <c r="E331" s="17">
        <v>720</v>
      </c>
    </row>
    <row r="332" spans="1:5" x14ac:dyDescent="0.35">
      <c r="A332" s="13" t="s">
        <v>365</v>
      </c>
      <c r="B332" s="13" t="s">
        <v>41</v>
      </c>
      <c r="C332" s="43">
        <v>8.6</v>
      </c>
      <c r="D332" s="17">
        <v>1000</v>
      </c>
      <c r="E332" s="17">
        <v>8600</v>
      </c>
    </row>
    <row r="333" spans="1:5" x14ac:dyDescent="0.35">
      <c r="A333" s="24" t="s">
        <v>274</v>
      </c>
      <c r="B333" s="13" t="s">
        <v>53</v>
      </c>
      <c r="C333" s="43">
        <f>0.95+1.7</f>
        <v>2.65</v>
      </c>
      <c r="D333" s="17">
        <v>300</v>
      </c>
      <c r="E333" s="17">
        <f>C333*D333</f>
        <v>795</v>
      </c>
    </row>
    <row r="334" spans="1:5" x14ac:dyDescent="0.35">
      <c r="A334" s="24" t="s">
        <v>272</v>
      </c>
      <c r="B334" s="13" t="s">
        <v>41</v>
      </c>
      <c r="C334" s="75">
        <v>3</v>
      </c>
      <c r="D334" s="17">
        <v>1000</v>
      </c>
      <c r="E334" s="17">
        <f t="shared" ref="E334:E335" si="5">C334*D334</f>
        <v>3000</v>
      </c>
    </row>
    <row r="335" spans="1:5" x14ac:dyDescent="0.35">
      <c r="A335" s="24" t="s">
        <v>272</v>
      </c>
      <c r="B335" s="13" t="s">
        <v>53</v>
      </c>
      <c r="C335" s="75">
        <f>2.25+0.45</f>
        <v>2.7</v>
      </c>
      <c r="D335" s="17">
        <v>300</v>
      </c>
      <c r="E335" s="17">
        <f t="shared" si="5"/>
        <v>810</v>
      </c>
    </row>
    <row r="336" spans="1:5" x14ac:dyDescent="0.35">
      <c r="A336" s="24" t="s">
        <v>270</v>
      </c>
      <c r="B336" s="13" t="s">
        <v>53</v>
      </c>
      <c r="C336" s="75">
        <f>0.5+0.55</f>
        <v>1.05</v>
      </c>
      <c r="D336" s="17">
        <v>300</v>
      </c>
      <c r="E336" s="17">
        <f t="shared" ref="E336" si="6">C336*D336</f>
        <v>315</v>
      </c>
    </row>
    <row r="337" spans="1:5" x14ac:dyDescent="0.35">
      <c r="A337" s="24" t="s">
        <v>271</v>
      </c>
      <c r="B337" s="13" t="s">
        <v>53</v>
      </c>
      <c r="C337" s="75">
        <v>3.65</v>
      </c>
      <c r="D337" s="17">
        <v>300</v>
      </c>
      <c r="E337" s="17">
        <f t="shared" ref="E337" si="7">C337*D337</f>
        <v>1095</v>
      </c>
    </row>
    <row r="338" spans="1:5" x14ac:dyDescent="0.35">
      <c r="A338" s="24" t="s">
        <v>271</v>
      </c>
      <c r="B338" s="13" t="s">
        <v>26</v>
      </c>
      <c r="C338" s="43">
        <v>2.95</v>
      </c>
      <c r="D338" s="17">
        <v>1000</v>
      </c>
      <c r="E338" s="17">
        <v>1400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F462-0AFE-4B36-914F-5B9D9D9EB483}">
  <dimension ref="A2:AF352"/>
  <sheetViews>
    <sheetView topLeftCell="F13" zoomScale="70" zoomScaleNormal="70" zoomScaleSheetLayoutView="100" workbookViewId="0">
      <selection activeCell="R63" sqref="R63"/>
    </sheetView>
  </sheetViews>
  <sheetFormatPr defaultRowHeight="14.5" x14ac:dyDescent="0.35"/>
  <cols>
    <col min="1" max="2" width="25" customWidth="1"/>
    <col min="3" max="3" width="14.90625" customWidth="1"/>
    <col min="4" max="5" width="14.90625" style="63" customWidth="1"/>
    <col min="7" max="7" width="21.36328125" bestFit="1" customWidth="1"/>
    <col min="8" max="8" width="12.1796875" bestFit="1" customWidth="1"/>
    <col min="9" max="9" width="11.90625" bestFit="1" customWidth="1"/>
    <col min="10" max="10" width="11.90625" customWidth="1"/>
    <col min="11" max="11" width="25" bestFit="1" customWidth="1"/>
    <col min="12" max="12" width="12.1796875" bestFit="1" customWidth="1"/>
    <col min="15" max="15" width="26.7265625" bestFit="1" customWidth="1"/>
    <col min="18" max="18" width="11.81640625" bestFit="1" customWidth="1"/>
    <col min="21" max="21" width="26.7265625" bestFit="1" customWidth="1"/>
    <col min="24" max="24" width="11.81640625" bestFit="1" customWidth="1"/>
    <col min="25" max="25" width="9.26953125" bestFit="1" customWidth="1"/>
    <col min="27" max="27" width="26.7265625" bestFit="1" customWidth="1"/>
    <col min="30" max="30" width="11.81640625" bestFit="1" customWidth="1"/>
    <col min="31" max="31" width="9.26953125" bestFit="1" customWidth="1"/>
    <col min="32" max="32" width="18.36328125" bestFit="1" customWidth="1"/>
  </cols>
  <sheetData>
    <row r="2" spans="1:32" x14ac:dyDescent="0.35">
      <c r="A2" s="56" t="s">
        <v>82</v>
      </c>
      <c r="B2" s="56" t="s">
        <v>83</v>
      </c>
      <c r="C2" s="56" t="s">
        <v>65</v>
      </c>
      <c r="D2" s="56" t="s">
        <v>66</v>
      </c>
      <c r="E2" s="56" t="s">
        <v>6</v>
      </c>
      <c r="G2" s="15" t="s">
        <v>85</v>
      </c>
      <c r="H2" t="s">
        <v>137</v>
      </c>
      <c r="I2" t="s">
        <v>129</v>
      </c>
      <c r="K2" s="15" t="s">
        <v>85</v>
      </c>
      <c r="L2" t="s">
        <v>137</v>
      </c>
      <c r="N2" s="20" t="s">
        <v>132</v>
      </c>
      <c r="Q2" t="s">
        <v>374</v>
      </c>
      <c r="T2" s="20" t="s">
        <v>298</v>
      </c>
      <c r="W2" t="s">
        <v>374</v>
      </c>
      <c r="Z2" s="20" t="s">
        <v>298</v>
      </c>
      <c r="AC2" t="s">
        <v>374</v>
      </c>
    </row>
    <row r="3" spans="1:32" x14ac:dyDescent="0.35">
      <c r="A3" s="13" t="s">
        <v>318</v>
      </c>
      <c r="B3" s="13" t="s">
        <v>319</v>
      </c>
      <c r="C3" s="43">
        <v>0.55000000000000004</v>
      </c>
      <c r="D3" s="39">
        <v>1500</v>
      </c>
      <c r="E3" s="17">
        <f>C3*D3</f>
        <v>825.00000000000011</v>
      </c>
      <c r="G3" s="14" t="s">
        <v>333</v>
      </c>
      <c r="H3" s="29">
        <v>12.200000000000001</v>
      </c>
      <c r="I3" s="19">
        <v>16305</v>
      </c>
      <c r="J3" s="19"/>
      <c r="K3" s="14" t="s">
        <v>9</v>
      </c>
      <c r="L3" s="29">
        <v>2.7</v>
      </c>
      <c r="N3" s="21" t="s">
        <v>0</v>
      </c>
      <c r="O3" s="22" t="s">
        <v>64</v>
      </c>
      <c r="P3" s="23" t="s">
        <v>133</v>
      </c>
      <c r="Q3" s="22" t="s">
        <v>65</v>
      </c>
      <c r="R3" s="23" t="s">
        <v>134</v>
      </c>
      <c r="T3" s="21" t="s">
        <v>0</v>
      </c>
      <c r="U3" s="22" t="s">
        <v>64</v>
      </c>
      <c r="V3" s="23" t="s">
        <v>133</v>
      </c>
      <c r="W3" s="22" t="s">
        <v>65</v>
      </c>
      <c r="X3" s="23" t="s">
        <v>134</v>
      </c>
      <c r="Z3" s="21" t="s">
        <v>0</v>
      </c>
      <c r="AA3" s="22" t="s">
        <v>64</v>
      </c>
      <c r="AB3" s="23" t="s">
        <v>133</v>
      </c>
      <c r="AC3" s="22" t="s">
        <v>65</v>
      </c>
      <c r="AD3" s="23" t="s">
        <v>134</v>
      </c>
      <c r="AF3" t="s">
        <v>378</v>
      </c>
    </row>
    <row r="4" spans="1:32" x14ac:dyDescent="0.35">
      <c r="A4" s="13" t="s">
        <v>320</v>
      </c>
      <c r="B4" s="13" t="s">
        <v>55</v>
      </c>
      <c r="C4" s="43">
        <v>1.1000000000000001</v>
      </c>
      <c r="D4" s="17">
        <v>400</v>
      </c>
      <c r="E4" s="17">
        <f>C4*D4</f>
        <v>440.00000000000006</v>
      </c>
      <c r="G4" s="14" t="s">
        <v>327</v>
      </c>
      <c r="H4" s="29">
        <v>6</v>
      </c>
      <c r="I4" s="19">
        <v>6513</v>
      </c>
      <c r="J4" s="19"/>
      <c r="K4" s="14" t="s">
        <v>127</v>
      </c>
      <c r="L4" s="29">
        <v>0.45</v>
      </c>
      <c r="N4" s="22">
        <v>1</v>
      </c>
      <c r="O4" s="24" t="s">
        <v>7</v>
      </c>
      <c r="P4" s="25">
        <f>VLOOKUP(O4,KamiBox!$C$2:$F$58,4,0)</f>
        <v>200000</v>
      </c>
      <c r="Q4" s="26">
        <f>SUMIF($B$3:$B$346,O4,$C$3:$C$346)</f>
        <v>0</v>
      </c>
      <c r="R4" s="25">
        <f>P4*Q4</f>
        <v>0</v>
      </c>
      <c r="T4" s="22">
        <v>1</v>
      </c>
      <c r="U4" s="77" t="s">
        <v>13</v>
      </c>
      <c r="V4" s="78">
        <f>VLOOKUP(U4,KamiBox!$C$2:$F$58,4,0)</f>
        <v>1500</v>
      </c>
      <c r="W4" s="79">
        <f t="shared" ref="W4" si="0">SUMIF($B$3:$B$346,U4,$C$3:$C$346)</f>
        <v>19.7</v>
      </c>
      <c r="X4" s="78">
        <f>V4*W4</f>
        <v>29550</v>
      </c>
      <c r="Z4" s="22">
        <v>1</v>
      </c>
      <c r="AA4" s="24" t="s">
        <v>34</v>
      </c>
      <c r="AB4" s="25">
        <v>8800</v>
      </c>
      <c r="AC4" s="26">
        <f>(17*9)+15</f>
        <v>168</v>
      </c>
      <c r="AD4" s="25">
        <v>1482000</v>
      </c>
      <c r="AE4" s="63">
        <v>1080250</v>
      </c>
      <c r="AF4" s="82">
        <f>AD4-AE4</f>
        <v>401750</v>
      </c>
    </row>
    <row r="5" spans="1:32" x14ac:dyDescent="0.35">
      <c r="A5" s="13" t="s">
        <v>322</v>
      </c>
      <c r="B5" s="13" t="s">
        <v>26</v>
      </c>
      <c r="C5" s="43">
        <v>0.3</v>
      </c>
      <c r="D5" s="17">
        <v>1000</v>
      </c>
      <c r="E5" s="17">
        <v>300</v>
      </c>
      <c r="G5" s="14" t="s">
        <v>373</v>
      </c>
      <c r="H5" s="29">
        <v>15.2</v>
      </c>
      <c r="I5" s="19">
        <v>106400</v>
      </c>
      <c r="J5" s="19"/>
      <c r="K5" s="14" t="s">
        <v>13</v>
      </c>
      <c r="L5" s="29">
        <v>19.7</v>
      </c>
      <c r="M5" s="76">
        <f>2.7+4.15</f>
        <v>6.8500000000000005</v>
      </c>
      <c r="N5" s="22">
        <v>2</v>
      </c>
      <c r="O5" s="24" t="s">
        <v>9</v>
      </c>
      <c r="P5" s="25">
        <f>VLOOKUP(O5,KamiBox!$C$2:$F$58,4,0)</f>
        <v>9000</v>
      </c>
      <c r="Q5" s="26">
        <f t="shared" ref="Q5:Q48" si="1">SUMIF($B$3:$B$346,O5,$C$3:$C$346)</f>
        <v>2.7</v>
      </c>
      <c r="R5" s="25">
        <f t="shared" ref="R5:R48" si="2">P5*Q5</f>
        <v>24300</v>
      </c>
      <c r="T5" s="22">
        <v>2</v>
      </c>
      <c r="U5" s="77" t="s">
        <v>54</v>
      </c>
      <c r="V5" s="78">
        <v>1700</v>
      </c>
      <c r="W5" s="79">
        <f t="shared" ref="W5:W6" si="3">SUMIF($B$3:$B$346,U5,$C$3:$C$346)</f>
        <v>0.60000000000000009</v>
      </c>
      <c r="X5" s="78">
        <f>V5*W5</f>
        <v>1020.0000000000001</v>
      </c>
      <c r="Z5" s="1"/>
      <c r="AB5" s="51"/>
      <c r="AC5" s="83"/>
      <c r="AD5" s="51"/>
    </row>
    <row r="6" spans="1:32" x14ac:dyDescent="0.35">
      <c r="A6" s="13" t="s">
        <v>322</v>
      </c>
      <c r="B6" s="13" t="s">
        <v>53</v>
      </c>
      <c r="C6" s="43">
        <v>0.4</v>
      </c>
      <c r="D6" s="17">
        <v>300</v>
      </c>
      <c r="E6" s="17">
        <v>120</v>
      </c>
      <c r="G6" s="14" t="s">
        <v>339</v>
      </c>
      <c r="H6" s="29">
        <v>5.73</v>
      </c>
      <c r="I6" s="19">
        <v>6345</v>
      </c>
      <c r="J6" s="19"/>
      <c r="K6" s="14" t="s">
        <v>319</v>
      </c>
      <c r="L6" s="29">
        <v>0.55000000000000004</v>
      </c>
      <c r="N6" s="22">
        <v>3</v>
      </c>
      <c r="O6" t="s">
        <v>10</v>
      </c>
      <c r="P6" s="25">
        <f>VLOOKUP(O6,KamiBox!$C$2:$F$58,4,0)</f>
        <v>4000</v>
      </c>
      <c r="Q6" s="26">
        <f t="shared" si="1"/>
        <v>0</v>
      </c>
      <c r="R6" s="25">
        <f t="shared" si="2"/>
        <v>0</v>
      </c>
      <c r="T6" s="22">
        <v>3</v>
      </c>
      <c r="U6" s="77" t="s">
        <v>266</v>
      </c>
      <c r="V6" s="78">
        <v>1700</v>
      </c>
      <c r="W6" s="79">
        <f t="shared" si="3"/>
        <v>4.1500000000000004</v>
      </c>
      <c r="X6" s="78">
        <f>V6*W6</f>
        <v>7055.0000000000009</v>
      </c>
      <c r="Z6" s="1"/>
      <c r="AB6" s="51"/>
      <c r="AC6" s="83"/>
      <c r="AD6" s="51"/>
    </row>
    <row r="7" spans="1:32" x14ac:dyDescent="0.35">
      <c r="A7" s="13" t="s">
        <v>322</v>
      </c>
      <c r="B7" s="13" t="s">
        <v>34</v>
      </c>
      <c r="C7" s="43">
        <v>2.15</v>
      </c>
      <c r="D7" s="17">
        <v>5000</v>
      </c>
      <c r="E7" s="17">
        <v>10750</v>
      </c>
      <c r="G7" s="14" t="s">
        <v>361</v>
      </c>
      <c r="H7" s="29">
        <v>12.3</v>
      </c>
      <c r="I7" s="19">
        <v>16223</v>
      </c>
      <c r="J7" s="19"/>
      <c r="K7" s="14" t="s">
        <v>15</v>
      </c>
      <c r="L7" s="29">
        <v>9.4</v>
      </c>
      <c r="N7" s="22">
        <v>4</v>
      </c>
      <c r="O7" s="24" t="s">
        <v>11</v>
      </c>
      <c r="P7" s="25">
        <f>VLOOKUP(O7,KamiBox!$C$2:$F$58,4,0)</f>
        <v>10000</v>
      </c>
      <c r="Q7" s="26">
        <f>GETPIVOTDATA("Berat",$K$2,"Material","Aluminium Rongsok")</f>
        <v>0.45</v>
      </c>
      <c r="R7" s="25">
        <f t="shared" si="2"/>
        <v>4500</v>
      </c>
      <c r="T7" s="22"/>
      <c r="U7" s="86" t="s">
        <v>135</v>
      </c>
      <c r="V7" s="25"/>
      <c r="W7" s="87">
        <f>SUM(W4:W6)</f>
        <v>24.450000000000003</v>
      </c>
      <c r="X7" s="88">
        <f>SUM(X4:X6)</f>
        <v>37625</v>
      </c>
      <c r="Z7" s="1"/>
      <c r="AB7" s="51"/>
      <c r="AC7" s="83"/>
      <c r="AD7" s="51"/>
    </row>
    <row r="8" spans="1:32" x14ac:dyDescent="0.35">
      <c r="A8" s="13" t="s">
        <v>322</v>
      </c>
      <c r="B8" s="13" t="s">
        <v>25</v>
      </c>
      <c r="C8" s="43">
        <v>0.55000000000000004</v>
      </c>
      <c r="D8" s="17">
        <v>1000</v>
      </c>
      <c r="E8" s="17">
        <v>550</v>
      </c>
      <c r="G8" s="14" t="s">
        <v>365</v>
      </c>
      <c r="H8" s="29">
        <v>31.049999999999997</v>
      </c>
      <c r="I8" s="19">
        <v>34575</v>
      </c>
      <c r="J8" s="19"/>
      <c r="K8" s="14" t="s">
        <v>18</v>
      </c>
      <c r="L8" s="29">
        <v>22.950000000000006</v>
      </c>
      <c r="N8" s="22">
        <v>5</v>
      </c>
      <c r="O8" s="24" t="s">
        <v>12</v>
      </c>
      <c r="P8" s="25">
        <f>VLOOKUP(O8,KamiBox!$C$2:$F$58,4,0)</f>
        <v>1000</v>
      </c>
      <c r="Q8" s="26">
        <f t="shared" si="1"/>
        <v>0</v>
      </c>
      <c r="R8" s="25">
        <f t="shared" si="2"/>
        <v>0</v>
      </c>
      <c r="T8" s="1"/>
      <c r="V8" s="51"/>
      <c r="W8" s="83"/>
      <c r="X8" s="51"/>
      <c r="Z8" s="1"/>
      <c r="AB8" s="51"/>
      <c r="AC8" s="83"/>
      <c r="AD8" s="51"/>
    </row>
    <row r="9" spans="1:32" x14ac:dyDescent="0.35">
      <c r="A9" s="13" t="s">
        <v>322</v>
      </c>
      <c r="B9" s="13" t="s">
        <v>13</v>
      </c>
      <c r="C9" s="43">
        <v>0.2</v>
      </c>
      <c r="D9" s="17">
        <v>500</v>
      </c>
      <c r="E9" s="17">
        <v>100</v>
      </c>
      <c r="G9" s="14" t="s">
        <v>332</v>
      </c>
      <c r="H9" s="29">
        <v>2.1500000000000004</v>
      </c>
      <c r="I9" s="19">
        <v>2150</v>
      </c>
      <c r="J9" s="19"/>
      <c r="K9" s="14" t="s">
        <v>94</v>
      </c>
      <c r="L9" s="29">
        <v>55.379999999999995</v>
      </c>
      <c r="M9">
        <f>6.35+3.6+2.65+2.85+2.8+3.15+4.05+5.4+4.9+4.2+4+4.9+6.25+3.3+0.1</f>
        <v>58.5</v>
      </c>
      <c r="N9" s="22">
        <v>6</v>
      </c>
      <c r="O9" s="24" t="s">
        <v>13</v>
      </c>
      <c r="P9" s="25"/>
      <c r="Q9" s="26"/>
      <c r="R9" s="25">
        <f t="shared" si="2"/>
        <v>0</v>
      </c>
      <c r="T9" s="1"/>
      <c r="Z9" s="1"/>
      <c r="AB9" s="51"/>
      <c r="AC9" s="83"/>
      <c r="AD9" s="51"/>
    </row>
    <row r="10" spans="1:32" x14ac:dyDescent="0.35">
      <c r="A10" s="13" t="s">
        <v>322</v>
      </c>
      <c r="B10" s="13" t="s">
        <v>125</v>
      </c>
      <c r="C10" s="43">
        <v>0.9</v>
      </c>
      <c r="D10" s="17">
        <v>800</v>
      </c>
      <c r="E10" s="17">
        <v>720</v>
      </c>
      <c r="G10" s="14" t="s">
        <v>320</v>
      </c>
      <c r="H10" s="29">
        <v>4.8</v>
      </c>
      <c r="I10" s="19">
        <v>2893</v>
      </c>
      <c r="J10" s="19"/>
      <c r="K10" s="14" t="s">
        <v>22</v>
      </c>
      <c r="L10" s="29">
        <v>13.33</v>
      </c>
      <c r="N10" s="22">
        <v>7</v>
      </c>
      <c r="O10" s="24" t="s">
        <v>15</v>
      </c>
      <c r="P10" s="25">
        <f>VLOOKUP(O10,KamiBox!$C$2:$F$58,4,0)</f>
        <v>4000</v>
      </c>
      <c r="Q10" s="26">
        <f t="shared" si="1"/>
        <v>9.4</v>
      </c>
      <c r="R10" s="25">
        <f t="shared" si="2"/>
        <v>37600</v>
      </c>
      <c r="T10" s="1"/>
      <c r="V10" s="51"/>
      <c r="W10" s="83"/>
      <c r="X10" s="51"/>
      <c r="Z10" s="1"/>
      <c r="AB10" s="51"/>
      <c r="AC10" s="83"/>
      <c r="AD10" s="51"/>
    </row>
    <row r="11" spans="1:32" x14ac:dyDescent="0.35">
      <c r="A11" s="13" t="s">
        <v>322</v>
      </c>
      <c r="B11" s="13" t="s">
        <v>51</v>
      </c>
      <c r="C11" s="43">
        <v>0.2</v>
      </c>
      <c r="D11" s="17">
        <v>500</v>
      </c>
      <c r="E11" s="17">
        <v>100</v>
      </c>
      <c r="G11" s="14" t="s">
        <v>345</v>
      </c>
      <c r="H11" s="29">
        <v>27.15</v>
      </c>
      <c r="I11" s="19">
        <v>47675</v>
      </c>
      <c r="J11" s="19"/>
      <c r="K11" s="14" t="s">
        <v>125</v>
      </c>
      <c r="L11" s="29">
        <v>36.849999999999994</v>
      </c>
      <c r="N11" s="22">
        <v>8</v>
      </c>
      <c r="O11" s="24" t="s">
        <v>16</v>
      </c>
      <c r="P11" s="25">
        <f>VLOOKUP(O11,KamiBox!$C$2:$F$58,4,0)</f>
        <v>400</v>
      </c>
      <c r="Q11" s="26">
        <f t="shared" si="1"/>
        <v>0</v>
      </c>
      <c r="R11" s="25">
        <f t="shared" si="2"/>
        <v>0</v>
      </c>
      <c r="T11" s="1"/>
      <c r="V11" s="51"/>
      <c r="W11" s="83"/>
      <c r="X11" s="51"/>
      <c r="Z11" s="1"/>
      <c r="AB11" s="51"/>
      <c r="AC11" s="83"/>
      <c r="AD11" s="51"/>
    </row>
    <row r="12" spans="1:32" x14ac:dyDescent="0.35">
      <c r="A12" s="13" t="s">
        <v>322</v>
      </c>
      <c r="B12" s="13" t="s">
        <v>41</v>
      </c>
      <c r="C12" s="43">
        <v>7.85</v>
      </c>
      <c r="D12" s="17">
        <v>1000</v>
      </c>
      <c r="E12" s="17">
        <v>7850</v>
      </c>
      <c r="G12" s="14" t="s">
        <v>331</v>
      </c>
      <c r="H12" s="29">
        <v>14.55</v>
      </c>
      <c r="I12" s="19">
        <v>10828</v>
      </c>
      <c r="J12" s="19"/>
      <c r="K12" s="14" t="s">
        <v>25</v>
      </c>
      <c r="L12" s="29">
        <v>68.649999999999991</v>
      </c>
      <c r="N12" s="22">
        <v>9</v>
      </c>
      <c r="O12" s="24" t="s">
        <v>17</v>
      </c>
      <c r="P12" s="25">
        <f>VLOOKUP(O12,KamiBox!$C$2:$F$58,4,0)</f>
        <v>100</v>
      </c>
      <c r="Q12" s="26">
        <f t="shared" si="1"/>
        <v>0</v>
      </c>
      <c r="R12" s="25">
        <f t="shared" si="2"/>
        <v>0</v>
      </c>
      <c r="T12" s="1"/>
      <c r="V12" s="51"/>
      <c r="W12" s="83"/>
      <c r="X12" s="51"/>
      <c r="Z12" s="1"/>
      <c r="AB12" s="51"/>
      <c r="AC12" s="83"/>
      <c r="AD12" s="51"/>
    </row>
    <row r="13" spans="1:32" x14ac:dyDescent="0.35">
      <c r="A13" s="13" t="s">
        <v>323</v>
      </c>
      <c r="B13" s="13" t="s">
        <v>13</v>
      </c>
      <c r="C13" s="43">
        <v>0.5</v>
      </c>
      <c r="D13" s="17">
        <v>500</v>
      </c>
      <c r="E13" s="17">
        <v>250</v>
      </c>
      <c r="G13" s="14" t="s">
        <v>324</v>
      </c>
      <c r="H13" s="29">
        <v>5.5</v>
      </c>
      <c r="I13" s="19">
        <v>5235</v>
      </c>
      <c r="J13" s="19"/>
      <c r="K13" s="14" t="s">
        <v>26</v>
      </c>
      <c r="L13" s="29">
        <v>29</v>
      </c>
      <c r="N13" s="22">
        <v>10</v>
      </c>
      <c r="O13" s="24" t="s">
        <v>18</v>
      </c>
      <c r="P13" s="25">
        <f>VLOOKUP(O13,KamiBox!$C$2:$F$58,4,0)</f>
        <v>200</v>
      </c>
      <c r="Q13" s="26">
        <f t="shared" si="1"/>
        <v>22.950000000000006</v>
      </c>
      <c r="R13" s="25">
        <f t="shared" si="2"/>
        <v>4590.0000000000009</v>
      </c>
      <c r="T13" s="1"/>
      <c r="V13" s="51"/>
      <c r="W13" s="83"/>
      <c r="X13" s="51"/>
      <c r="Z13" s="1"/>
      <c r="AB13" s="51"/>
      <c r="AC13" s="83"/>
      <c r="AD13" s="51"/>
    </row>
    <row r="14" spans="1:32" x14ac:dyDescent="0.35">
      <c r="A14" s="13" t="s">
        <v>323</v>
      </c>
      <c r="B14" s="13" t="s">
        <v>18</v>
      </c>
      <c r="C14" s="43">
        <v>0.55000000000000004</v>
      </c>
      <c r="D14" s="17">
        <v>150</v>
      </c>
      <c r="E14" s="17">
        <v>83</v>
      </c>
      <c r="G14" s="14" t="s">
        <v>337</v>
      </c>
      <c r="H14" s="29">
        <v>10.6</v>
      </c>
      <c r="I14" s="19">
        <v>13000</v>
      </c>
      <c r="J14" s="19"/>
      <c r="K14" s="14" t="s">
        <v>128</v>
      </c>
      <c r="L14" s="29">
        <v>0.3</v>
      </c>
      <c r="N14" s="22">
        <v>11</v>
      </c>
      <c r="O14" s="24" t="s">
        <v>19</v>
      </c>
      <c r="P14" s="25">
        <f>VLOOKUP(O14,KamiBox!$C$2:$F$58,4,0)</f>
        <v>100</v>
      </c>
      <c r="Q14" s="26">
        <f t="shared" si="1"/>
        <v>0</v>
      </c>
      <c r="R14" s="25">
        <f t="shared" si="2"/>
        <v>0</v>
      </c>
      <c r="T14" s="1"/>
      <c r="V14" s="51"/>
      <c r="W14" s="83"/>
      <c r="X14" s="51"/>
      <c r="Z14" s="1"/>
      <c r="AB14" s="51"/>
      <c r="AC14" s="83"/>
      <c r="AD14" s="51"/>
    </row>
    <row r="15" spans="1:32" x14ac:dyDescent="0.35">
      <c r="A15" s="13" t="s">
        <v>323</v>
      </c>
      <c r="B15" s="13" t="s">
        <v>51</v>
      </c>
      <c r="C15" s="43">
        <v>0.6</v>
      </c>
      <c r="D15" s="17">
        <v>500</v>
      </c>
      <c r="E15" s="17">
        <v>300</v>
      </c>
      <c r="G15" s="14" t="s">
        <v>344</v>
      </c>
      <c r="H15" s="29">
        <v>2.4499999999999997</v>
      </c>
      <c r="I15" s="19">
        <v>4090</v>
      </c>
      <c r="J15" s="19"/>
      <c r="K15" s="14" t="s">
        <v>29</v>
      </c>
      <c r="L15" s="29">
        <v>2.1500000000000004</v>
      </c>
      <c r="N15" s="22">
        <v>12</v>
      </c>
      <c r="O15" s="24" t="s">
        <v>20</v>
      </c>
      <c r="P15" s="25">
        <f>VLOOKUP(O15,KamiBox!$C$2:$F$58,4,0)</f>
        <v>800</v>
      </c>
      <c r="Q15" s="26">
        <f t="shared" si="1"/>
        <v>0</v>
      </c>
      <c r="R15" s="25">
        <f t="shared" si="2"/>
        <v>0</v>
      </c>
      <c r="T15" s="1"/>
      <c r="V15" s="51"/>
      <c r="W15" s="83"/>
      <c r="X15" s="51"/>
      <c r="Z15" s="1"/>
      <c r="AB15" s="51"/>
      <c r="AC15" s="83"/>
      <c r="AD15" s="51"/>
    </row>
    <row r="16" spans="1:32" x14ac:dyDescent="0.35">
      <c r="A16" s="13" t="s">
        <v>323</v>
      </c>
      <c r="B16" s="13" t="s">
        <v>53</v>
      </c>
      <c r="C16" s="43">
        <v>0.45</v>
      </c>
      <c r="D16" s="17">
        <v>300</v>
      </c>
      <c r="E16" s="17">
        <v>135</v>
      </c>
      <c r="G16" s="14" t="s">
        <v>358</v>
      </c>
      <c r="H16" s="29">
        <v>11</v>
      </c>
      <c r="I16" s="19">
        <v>15258</v>
      </c>
      <c r="J16" s="19"/>
      <c r="K16" s="14" t="s">
        <v>100</v>
      </c>
      <c r="L16" s="29">
        <v>7.15</v>
      </c>
      <c r="N16" s="22">
        <v>13</v>
      </c>
      <c r="O16" s="24" t="s">
        <v>94</v>
      </c>
      <c r="P16" s="25">
        <f>VLOOKUP(O16,KamiBox!$C$2:$F$58,4,0)</f>
        <v>5000</v>
      </c>
      <c r="Q16" s="26">
        <v>58.5</v>
      </c>
      <c r="R16" s="25">
        <f t="shared" si="2"/>
        <v>292500</v>
      </c>
      <c r="T16" s="1"/>
      <c r="V16" s="51"/>
      <c r="W16" s="83"/>
      <c r="X16" s="51"/>
      <c r="Z16" s="1"/>
      <c r="AB16" s="51"/>
      <c r="AC16" s="83"/>
      <c r="AD16" s="51"/>
    </row>
    <row r="17" spans="1:30" x14ac:dyDescent="0.35">
      <c r="A17" s="13" t="s">
        <v>324</v>
      </c>
      <c r="B17" s="13" t="s">
        <v>25</v>
      </c>
      <c r="C17" s="43">
        <v>0.4</v>
      </c>
      <c r="D17" s="17">
        <v>1000</v>
      </c>
      <c r="E17" s="17">
        <v>400</v>
      </c>
      <c r="G17" s="14" t="s">
        <v>355</v>
      </c>
      <c r="H17" s="29">
        <v>10.95</v>
      </c>
      <c r="I17" s="19">
        <v>20150</v>
      </c>
      <c r="J17" s="19"/>
      <c r="K17" s="14" t="s">
        <v>34</v>
      </c>
      <c r="L17" s="29">
        <v>82.1</v>
      </c>
      <c r="M17">
        <v>60.25</v>
      </c>
      <c r="N17" s="22">
        <v>14</v>
      </c>
      <c r="O17" s="24" t="s">
        <v>22</v>
      </c>
      <c r="P17" s="25">
        <f>VLOOKUP(O17,KamiBox!$C$2:$F$58,4,0)</f>
        <v>2500</v>
      </c>
      <c r="Q17" s="26">
        <f t="shared" si="1"/>
        <v>13.33</v>
      </c>
      <c r="R17" s="25">
        <f t="shared" si="2"/>
        <v>33325</v>
      </c>
      <c r="T17" s="1"/>
      <c r="V17" s="51"/>
      <c r="W17" s="83"/>
      <c r="X17" s="51"/>
      <c r="Z17" s="1"/>
      <c r="AB17" s="51"/>
      <c r="AC17" s="83"/>
      <c r="AD17" s="51"/>
    </row>
    <row r="18" spans="1:30" x14ac:dyDescent="0.35">
      <c r="A18" s="13" t="s">
        <v>324</v>
      </c>
      <c r="B18" s="13" t="s">
        <v>54</v>
      </c>
      <c r="C18" s="43">
        <v>0.2</v>
      </c>
      <c r="D18" s="17">
        <v>800</v>
      </c>
      <c r="E18" s="17">
        <v>160</v>
      </c>
      <c r="G18" s="14" t="s">
        <v>336</v>
      </c>
      <c r="H18" s="29">
        <v>5.45</v>
      </c>
      <c r="I18" s="19">
        <v>6855</v>
      </c>
      <c r="J18" s="19"/>
      <c r="K18" s="14" t="s">
        <v>293</v>
      </c>
      <c r="L18" s="29">
        <v>3.5</v>
      </c>
      <c r="M18">
        <f>GETPIVOTDATA("Berat",$K$2,"Material","Jelantah")-M17</f>
        <v>21.849999999999994</v>
      </c>
      <c r="N18" s="22">
        <v>15</v>
      </c>
      <c r="O18" s="24" t="s">
        <v>23</v>
      </c>
      <c r="P18" s="25">
        <f>VLOOKUP(O18,KamiBox!$C$2:$F$58,4,0)</f>
        <v>1000</v>
      </c>
      <c r="Q18" s="26">
        <f t="shared" si="1"/>
        <v>0</v>
      </c>
      <c r="R18" s="25">
        <f t="shared" si="2"/>
        <v>0</v>
      </c>
      <c r="T18" s="1"/>
      <c r="V18" s="51"/>
      <c r="W18" s="83"/>
      <c r="X18" s="51"/>
      <c r="Z18" s="1"/>
      <c r="AB18" s="51"/>
      <c r="AC18" s="83"/>
      <c r="AD18" s="51"/>
    </row>
    <row r="19" spans="1:30" x14ac:dyDescent="0.35">
      <c r="A19" s="13" t="s">
        <v>324</v>
      </c>
      <c r="B19" s="13" t="s">
        <v>41</v>
      </c>
      <c r="C19" s="43">
        <v>0.6</v>
      </c>
      <c r="D19" s="17">
        <v>1000</v>
      </c>
      <c r="E19" s="17">
        <v>600</v>
      </c>
      <c r="G19" s="14" t="s">
        <v>323</v>
      </c>
      <c r="H19" s="29">
        <v>2.1</v>
      </c>
      <c r="I19" s="19">
        <v>768</v>
      </c>
      <c r="J19" s="19"/>
      <c r="K19" s="14" t="s">
        <v>39</v>
      </c>
      <c r="L19" s="29">
        <v>13.449999999999998</v>
      </c>
      <c r="N19" s="22">
        <v>16</v>
      </c>
      <c r="O19" s="24" t="s">
        <v>125</v>
      </c>
      <c r="P19" s="25">
        <f>VLOOKUP(O19,KamiBox!$C$2:$F$58,4,0)</f>
        <v>1000</v>
      </c>
      <c r="Q19" s="26">
        <f t="shared" si="1"/>
        <v>36.849999999999994</v>
      </c>
      <c r="R19" s="25">
        <f t="shared" si="2"/>
        <v>36849.999999999993</v>
      </c>
      <c r="T19" s="1"/>
      <c r="V19" s="51"/>
      <c r="W19" s="83"/>
      <c r="X19" s="51"/>
      <c r="Z19" s="1"/>
      <c r="AB19" s="51"/>
      <c r="AC19" s="83"/>
      <c r="AD19" s="51"/>
    </row>
    <row r="20" spans="1:30" x14ac:dyDescent="0.35">
      <c r="A20" s="13" t="s">
        <v>324</v>
      </c>
      <c r="B20" s="13" t="s">
        <v>125</v>
      </c>
      <c r="C20" s="43">
        <v>3.6</v>
      </c>
      <c r="D20" s="17">
        <v>800</v>
      </c>
      <c r="E20" s="17">
        <v>2880</v>
      </c>
      <c r="G20" s="14" t="s">
        <v>379</v>
      </c>
      <c r="H20" s="29">
        <v>8.0499999999999989</v>
      </c>
      <c r="I20" s="19">
        <v>7825</v>
      </c>
      <c r="J20" s="19"/>
      <c r="K20" s="14" t="s">
        <v>41</v>
      </c>
      <c r="L20" s="29">
        <v>156.9</v>
      </c>
      <c r="N20" s="22">
        <v>17</v>
      </c>
      <c r="O20" s="24" t="s">
        <v>25</v>
      </c>
      <c r="P20" s="25">
        <f>VLOOKUP(O20,KamiBox!$C$2:$F$58,4,0)</f>
        <v>1200</v>
      </c>
      <c r="Q20" s="26">
        <f t="shared" si="1"/>
        <v>68.649999999999991</v>
      </c>
      <c r="R20" s="25">
        <f t="shared" si="2"/>
        <v>82379.999999999985</v>
      </c>
      <c r="T20" s="1"/>
      <c r="V20" s="51"/>
      <c r="W20" s="83"/>
      <c r="X20" s="51"/>
      <c r="Z20" s="1"/>
      <c r="AB20" s="51"/>
      <c r="AC20" s="83"/>
      <c r="AD20" s="51"/>
    </row>
    <row r="21" spans="1:30" x14ac:dyDescent="0.35">
      <c r="A21" s="13" t="s">
        <v>324</v>
      </c>
      <c r="B21" s="13" t="s">
        <v>60</v>
      </c>
      <c r="C21" s="43">
        <v>0.05</v>
      </c>
      <c r="D21" s="17">
        <v>2500</v>
      </c>
      <c r="E21" s="17">
        <v>125</v>
      </c>
      <c r="G21" s="14" t="s">
        <v>364</v>
      </c>
      <c r="H21" s="29">
        <v>1.55</v>
      </c>
      <c r="I21" s="19">
        <v>7750</v>
      </c>
      <c r="J21" s="19"/>
      <c r="K21" s="14" t="s">
        <v>263</v>
      </c>
      <c r="L21" s="29">
        <v>1.3</v>
      </c>
      <c r="N21" s="22">
        <v>18</v>
      </c>
      <c r="O21" s="24" t="s">
        <v>26</v>
      </c>
      <c r="P21" s="25">
        <f>VLOOKUP(O21,KamiBox!$C$2:$F$58,4,0)</f>
        <v>1000</v>
      </c>
      <c r="Q21" s="26">
        <f t="shared" si="1"/>
        <v>29</v>
      </c>
      <c r="R21" s="25">
        <f t="shared" si="2"/>
        <v>29000</v>
      </c>
      <c r="T21" s="1"/>
      <c r="V21" s="51"/>
      <c r="W21" s="83"/>
      <c r="X21" s="51"/>
      <c r="Z21" s="1"/>
      <c r="AB21" s="51"/>
      <c r="AC21" s="83"/>
      <c r="AD21" s="51"/>
    </row>
    <row r="22" spans="1:30" x14ac:dyDescent="0.35">
      <c r="A22" s="13" t="s">
        <v>324</v>
      </c>
      <c r="B22" s="13" t="s">
        <v>53</v>
      </c>
      <c r="C22" s="43">
        <v>0.3</v>
      </c>
      <c r="D22" s="17">
        <v>300</v>
      </c>
      <c r="E22" s="17">
        <v>90</v>
      </c>
      <c r="G22" s="14" t="s">
        <v>342</v>
      </c>
      <c r="H22" s="29">
        <v>5.0500000000000007</v>
      </c>
      <c r="I22" s="19">
        <v>6680</v>
      </c>
      <c r="J22" s="19"/>
      <c r="K22" s="14" t="s">
        <v>46</v>
      </c>
      <c r="L22" s="29">
        <v>0.4</v>
      </c>
      <c r="N22" s="22">
        <v>19</v>
      </c>
      <c r="O22" s="24" t="s">
        <v>27</v>
      </c>
      <c r="P22" s="25">
        <f>VLOOKUP(O22,KamiBox!$C$2:$F$58,4,0)</f>
        <v>3000</v>
      </c>
      <c r="Q22" s="26">
        <f t="shared" si="1"/>
        <v>0</v>
      </c>
      <c r="R22" s="25">
        <f t="shared" si="2"/>
        <v>0</v>
      </c>
      <c r="T22" s="1"/>
      <c r="V22" s="51"/>
      <c r="W22" s="83"/>
      <c r="X22" s="51"/>
      <c r="Z22" s="1"/>
      <c r="AB22" s="51"/>
      <c r="AC22" s="83"/>
      <c r="AD22" s="51"/>
    </row>
    <row r="23" spans="1:30" x14ac:dyDescent="0.35">
      <c r="A23" s="13" t="s">
        <v>324</v>
      </c>
      <c r="B23" s="13" t="s">
        <v>94</v>
      </c>
      <c r="C23" s="43">
        <v>0.35</v>
      </c>
      <c r="D23" s="17">
        <v>2800</v>
      </c>
      <c r="E23" s="17">
        <v>980</v>
      </c>
      <c r="G23" s="14" t="s">
        <v>353</v>
      </c>
      <c r="H23" s="29">
        <v>6.6999999999999993</v>
      </c>
      <c r="I23" s="19">
        <v>9775</v>
      </c>
      <c r="J23" s="19"/>
      <c r="K23" s="14" t="s">
        <v>51</v>
      </c>
      <c r="L23" s="29">
        <v>36.1</v>
      </c>
      <c r="N23" s="22">
        <v>20</v>
      </c>
      <c r="O23" s="24" t="s">
        <v>28</v>
      </c>
      <c r="P23" s="25">
        <f>VLOOKUP(O23,KamiBox!$C$2:$F$58,4,0)</f>
        <v>4000</v>
      </c>
      <c r="Q23" s="26">
        <f>GETPIVOTDATA("Berat",$K$2,"Material","Gelas PP Bersih (bening)")</f>
        <v>0.3</v>
      </c>
      <c r="R23" s="25">
        <f t="shared" si="2"/>
        <v>1200</v>
      </c>
      <c r="T23" s="1"/>
      <c r="V23" s="51"/>
      <c r="W23" s="83"/>
      <c r="X23" s="51"/>
      <c r="Z23" s="1"/>
      <c r="AB23" s="51"/>
      <c r="AC23" s="83"/>
      <c r="AD23" s="51"/>
    </row>
    <row r="24" spans="1:30" x14ac:dyDescent="0.35">
      <c r="A24" s="13" t="s">
        <v>325</v>
      </c>
      <c r="B24" s="13" t="s">
        <v>266</v>
      </c>
      <c r="C24" s="43">
        <v>1.35</v>
      </c>
      <c r="D24" s="17">
        <v>1000</v>
      </c>
      <c r="E24" s="17">
        <v>1350</v>
      </c>
      <c r="G24" s="14" t="s">
        <v>341</v>
      </c>
      <c r="H24" s="29">
        <v>32.930000000000007</v>
      </c>
      <c r="I24" s="19">
        <v>36074</v>
      </c>
      <c r="J24" s="19"/>
      <c r="K24" s="14" t="s">
        <v>53</v>
      </c>
      <c r="L24" s="29">
        <v>33.97</v>
      </c>
      <c r="M24">
        <f>7.9+9.45+6.9+9.25+8.05+8+7.85+6.1</f>
        <v>63.5</v>
      </c>
      <c r="N24" s="22">
        <v>21</v>
      </c>
      <c r="O24" s="24" t="s">
        <v>29</v>
      </c>
      <c r="P24" s="25">
        <f>VLOOKUP(O24,KamiBox!$C$2:$F$58,4,0)</f>
        <v>2000</v>
      </c>
      <c r="Q24" s="26">
        <f t="shared" si="1"/>
        <v>2.1500000000000004</v>
      </c>
      <c r="R24" s="25">
        <f t="shared" si="2"/>
        <v>4300.0000000000009</v>
      </c>
      <c r="T24" s="1"/>
      <c r="V24" s="51"/>
      <c r="W24" s="83"/>
      <c r="X24" s="51"/>
      <c r="Z24" s="1"/>
      <c r="AB24" s="51"/>
      <c r="AC24" s="83"/>
      <c r="AD24" s="51"/>
    </row>
    <row r="25" spans="1:30" x14ac:dyDescent="0.35">
      <c r="A25" s="13" t="s">
        <v>325</v>
      </c>
      <c r="B25" s="13" t="s">
        <v>13</v>
      </c>
      <c r="C25" s="43">
        <v>2.2999999999999998</v>
      </c>
      <c r="D25" s="17">
        <v>500</v>
      </c>
      <c r="E25" s="17">
        <v>1150</v>
      </c>
      <c r="G25" s="14" t="s">
        <v>350</v>
      </c>
      <c r="H25" s="29">
        <v>6.5</v>
      </c>
      <c r="I25" s="19">
        <v>5440</v>
      </c>
      <c r="J25" s="19"/>
      <c r="K25" s="14" t="s">
        <v>54</v>
      </c>
      <c r="L25" s="29">
        <v>0.60000000000000009</v>
      </c>
      <c r="N25" s="22">
        <v>22</v>
      </c>
      <c r="O25" s="24" t="s">
        <v>30</v>
      </c>
      <c r="P25" s="25">
        <f>VLOOKUP(O25,KamiBox!$C$2:$F$58,4,0)</f>
        <v>5000</v>
      </c>
      <c r="Q25" s="26">
        <f t="shared" si="1"/>
        <v>0</v>
      </c>
      <c r="R25" s="25">
        <f t="shared" si="2"/>
        <v>0</v>
      </c>
      <c r="T25" s="1"/>
      <c r="V25" s="51"/>
      <c r="W25" s="83"/>
      <c r="X25" s="51"/>
      <c r="Z25" s="1"/>
      <c r="AB25" s="51"/>
      <c r="AC25" s="83"/>
      <c r="AD25" s="51"/>
    </row>
    <row r="26" spans="1:30" x14ac:dyDescent="0.35">
      <c r="A26" s="13" t="s">
        <v>325</v>
      </c>
      <c r="B26" s="13" t="s">
        <v>46</v>
      </c>
      <c r="C26" s="43">
        <v>0.4</v>
      </c>
      <c r="D26" s="17">
        <v>2700</v>
      </c>
      <c r="E26" s="17">
        <v>1080</v>
      </c>
      <c r="G26" s="14" t="s">
        <v>322</v>
      </c>
      <c r="H26" s="29">
        <v>12.55</v>
      </c>
      <c r="I26" s="19">
        <v>20490</v>
      </c>
      <c r="J26" s="19"/>
      <c r="K26" s="14" t="s">
        <v>266</v>
      </c>
      <c r="L26" s="29">
        <v>4.1500000000000004</v>
      </c>
      <c r="N26" s="22">
        <v>23</v>
      </c>
      <c r="O26" s="24" t="s">
        <v>100</v>
      </c>
      <c r="P26" s="25">
        <f>VLOOKUP(O26,KamiBox!$C$2:$F$58,4,0)</f>
        <v>2000</v>
      </c>
      <c r="Q26" s="26">
        <f t="shared" si="1"/>
        <v>7.15</v>
      </c>
      <c r="R26" s="25">
        <f t="shared" si="2"/>
        <v>14300</v>
      </c>
      <c r="T26" s="1"/>
      <c r="V26" s="51"/>
      <c r="W26" s="83"/>
      <c r="X26" s="51"/>
      <c r="Z26" s="1"/>
      <c r="AB26" s="51"/>
      <c r="AC26" s="83"/>
      <c r="AD26" s="51"/>
    </row>
    <row r="27" spans="1:30" x14ac:dyDescent="0.35">
      <c r="A27" s="13" t="s">
        <v>326</v>
      </c>
      <c r="B27" s="13" t="s">
        <v>126</v>
      </c>
      <c r="C27" s="43">
        <v>0.65</v>
      </c>
      <c r="D27" s="17">
        <v>1800</v>
      </c>
      <c r="E27" s="17">
        <v>1170</v>
      </c>
      <c r="G27" s="14" t="s">
        <v>329</v>
      </c>
      <c r="H27" s="29">
        <v>10.4</v>
      </c>
      <c r="I27" s="19">
        <v>12005</v>
      </c>
      <c r="J27" s="19"/>
      <c r="K27" s="14" t="s">
        <v>55</v>
      </c>
      <c r="L27" s="29">
        <v>2.6</v>
      </c>
      <c r="N27" s="22">
        <v>24</v>
      </c>
      <c r="O27" s="24" t="s">
        <v>33</v>
      </c>
      <c r="P27" s="25">
        <f>VLOOKUP(O27,KamiBox!$C$2:$F$58,4,0)</f>
        <v>700</v>
      </c>
      <c r="Q27" s="26">
        <f t="shared" si="1"/>
        <v>0</v>
      </c>
      <c r="R27" s="25">
        <f t="shared" si="2"/>
        <v>0</v>
      </c>
      <c r="T27" s="1"/>
      <c r="V27" s="51"/>
      <c r="W27" s="83"/>
      <c r="X27" s="51"/>
      <c r="Z27" s="1"/>
      <c r="AB27" s="51"/>
      <c r="AC27" s="83"/>
      <c r="AD27" s="51"/>
    </row>
    <row r="28" spans="1:30" x14ac:dyDescent="0.35">
      <c r="A28" s="13" t="s">
        <v>326</v>
      </c>
      <c r="B28" s="13" t="s">
        <v>53</v>
      </c>
      <c r="C28" s="43">
        <v>1</v>
      </c>
      <c r="D28" s="17">
        <v>300</v>
      </c>
      <c r="E28" s="17">
        <v>300</v>
      </c>
      <c r="G28" s="14" t="s">
        <v>357</v>
      </c>
      <c r="H28" s="29">
        <v>35.349999999999994</v>
      </c>
      <c r="I28" s="19">
        <v>36000</v>
      </c>
      <c r="J28" s="19"/>
      <c r="K28" s="14" t="s">
        <v>321</v>
      </c>
      <c r="L28" s="29">
        <v>1.1000000000000001</v>
      </c>
      <c r="N28" s="22">
        <v>25</v>
      </c>
      <c r="O28" s="24" t="s">
        <v>34</v>
      </c>
      <c r="P28" s="25"/>
      <c r="Q28" s="26"/>
      <c r="R28" s="25"/>
      <c r="T28" s="1"/>
      <c r="V28" s="51"/>
      <c r="W28" s="83"/>
      <c r="X28" s="51"/>
      <c r="Z28" s="1"/>
    </row>
    <row r="29" spans="1:30" x14ac:dyDescent="0.35">
      <c r="A29" s="13" t="s">
        <v>326</v>
      </c>
      <c r="B29" s="13" t="s">
        <v>18</v>
      </c>
      <c r="C29" s="43">
        <v>0.6</v>
      </c>
      <c r="D29" s="17">
        <v>150</v>
      </c>
      <c r="E29" s="17">
        <v>90</v>
      </c>
      <c r="G29" s="14" t="s">
        <v>363</v>
      </c>
      <c r="H29" s="29">
        <v>4.8499999999999996</v>
      </c>
      <c r="I29" s="19">
        <v>5815</v>
      </c>
      <c r="J29" s="19"/>
      <c r="K29" s="14" t="s">
        <v>56</v>
      </c>
      <c r="L29" s="29">
        <v>0.30000000000000004</v>
      </c>
      <c r="N29" s="22">
        <v>26</v>
      </c>
      <c r="O29" s="24" t="s">
        <v>35</v>
      </c>
      <c r="P29" s="25">
        <f>VLOOKUP(O29,KamiBox!$C$2:$F$58,4,0)</f>
        <v>1500</v>
      </c>
      <c r="Q29" s="26">
        <f>GETPIVOTDATA("Berat",$K$2,"Material","Kabel Alumunium")</f>
        <v>3.5</v>
      </c>
      <c r="R29" s="25">
        <f t="shared" si="2"/>
        <v>5250</v>
      </c>
      <c r="T29" s="1"/>
      <c r="V29" s="51"/>
      <c r="W29" s="83"/>
      <c r="X29" s="51"/>
      <c r="Z29" s="1"/>
      <c r="AB29" s="51"/>
      <c r="AC29" s="83"/>
      <c r="AD29" s="51"/>
    </row>
    <row r="30" spans="1:30" x14ac:dyDescent="0.35">
      <c r="A30" s="13" t="s">
        <v>326</v>
      </c>
      <c r="B30" s="13" t="s">
        <v>51</v>
      </c>
      <c r="C30" s="43">
        <v>0.75</v>
      </c>
      <c r="D30" s="17">
        <v>500</v>
      </c>
      <c r="E30" s="17">
        <v>375</v>
      </c>
      <c r="G30" s="14" t="s">
        <v>348</v>
      </c>
      <c r="H30" s="29">
        <v>2.85</v>
      </c>
      <c r="I30" s="19">
        <v>2860</v>
      </c>
      <c r="J30" s="19"/>
      <c r="K30" s="14" t="s">
        <v>126</v>
      </c>
      <c r="L30" s="29">
        <v>9.7000000000000011</v>
      </c>
      <c r="N30" s="22">
        <v>27</v>
      </c>
      <c r="O30" s="24" t="s">
        <v>37</v>
      </c>
      <c r="P30" s="25">
        <f>VLOOKUP(O30,KamiBox!$C$2:$F$58,4,0)</f>
        <v>2000</v>
      </c>
      <c r="Q30" s="26">
        <f>GETPIVOTDATA("Berat",$K$2,"Material","STAL/Kabin/Enamel")</f>
        <v>9.7000000000000011</v>
      </c>
      <c r="R30" s="25">
        <f t="shared" si="2"/>
        <v>19400.000000000004</v>
      </c>
      <c r="T30" s="1"/>
      <c r="V30" s="51"/>
      <c r="W30" s="83"/>
      <c r="X30" s="51"/>
      <c r="Z30" s="1"/>
      <c r="AB30" s="51"/>
      <c r="AC30" s="83"/>
      <c r="AD30" s="51"/>
    </row>
    <row r="31" spans="1:30" x14ac:dyDescent="0.35">
      <c r="A31" s="13" t="s">
        <v>326</v>
      </c>
      <c r="B31" s="13" t="s">
        <v>26</v>
      </c>
      <c r="C31" s="43">
        <v>1.2</v>
      </c>
      <c r="D31" s="17">
        <v>1000</v>
      </c>
      <c r="E31" s="17">
        <v>1200</v>
      </c>
      <c r="G31" s="14" t="s">
        <v>354</v>
      </c>
      <c r="H31" s="29">
        <v>5.55</v>
      </c>
      <c r="I31" s="19">
        <v>9385</v>
      </c>
      <c r="J31" s="19"/>
      <c r="K31" s="14" t="s">
        <v>60</v>
      </c>
      <c r="L31" s="29">
        <v>4.8499999999999996</v>
      </c>
      <c r="M31">
        <f>3.85+11.1</f>
        <v>14.95</v>
      </c>
      <c r="N31" s="22">
        <v>28</v>
      </c>
      <c r="O31" s="24" t="s">
        <v>38</v>
      </c>
      <c r="P31" s="25">
        <f>VLOOKUP(O31,KamiBox!$C$2:$F$58,4,0)</f>
        <v>100</v>
      </c>
      <c r="Q31" s="26">
        <f t="shared" si="1"/>
        <v>0</v>
      </c>
      <c r="R31" s="25">
        <f t="shared" si="2"/>
        <v>0</v>
      </c>
      <c r="T31" s="1"/>
      <c r="V31" s="51"/>
      <c r="W31" s="83"/>
      <c r="X31" s="51"/>
      <c r="Z31" s="1"/>
      <c r="AB31" s="51"/>
      <c r="AC31" s="83"/>
      <c r="AD31" s="51"/>
    </row>
    <row r="32" spans="1:30" x14ac:dyDescent="0.35">
      <c r="A32" s="13" t="s">
        <v>326</v>
      </c>
      <c r="B32" s="13" t="s">
        <v>25</v>
      </c>
      <c r="C32" s="43">
        <v>0.4</v>
      </c>
      <c r="D32" s="17">
        <v>1000</v>
      </c>
      <c r="E32" s="17">
        <v>400</v>
      </c>
      <c r="G32" s="14" t="s">
        <v>326</v>
      </c>
      <c r="H32" s="29">
        <v>14.9</v>
      </c>
      <c r="I32" s="19">
        <v>14260</v>
      </c>
      <c r="J32" s="19"/>
      <c r="K32" s="14" t="s">
        <v>61</v>
      </c>
      <c r="L32" s="29">
        <v>1.63</v>
      </c>
      <c r="M32">
        <v>2.4</v>
      </c>
      <c r="N32" s="22">
        <v>29</v>
      </c>
      <c r="O32" s="24" t="s">
        <v>39</v>
      </c>
      <c r="P32" s="25">
        <f>VLOOKUP(O32,KamiBox!$C$2:$F$58,4,0)</f>
        <v>2000</v>
      </c>
      <c r="Q32" s="26">
        <f t="shared" si="1"/>
        <v>13.449999999999998</v>
      </c>
      <c r="R32" s="25">
        <f t="shared" si="2"/>
        <v>26899.999999999996</v>
      </c>
      <c r="T32" s="1"/>
      <c r="V32" s="51"/>
      <c r="W32" s="83"/>
      <c r="X32" s="51"/>
      <c r="Z32" s="1"/>
      <c r="AB32" s="51"/>
      <c r="AC32" s="83"/>
      <c r="AD32" s="51"/>
    </row>
    <row r="33" spans="1:30" x14ac:dyDescent="0.35">
      <c r="A33" s="13" t="s">
        <v>326</v>
      </c>
      <c r="B33" s="13" t="s">
        <v>60</v>
      </c>
      <c r="C33" s="43">
        <v>0.1</v>
      </c>
      <c r="D33" s="17">
        <v>2500</v>
      </c>
      <c r="E33" s="17">
        <v>250</v>
      </c>
      <c r="G33" s="14" t="s">
        <v>340</v>
      </c>
      <c r="H33" s="29">
        <v>26.7</v>
      </c>
      <c r="I33" s="19">
        <v>32480</v>
      </c>
      <c r="J33" s="19"/>
      <c r="K33" s="14" t="s">
        <v>124</v>
      </c>
      <c r="L33" s="29">
        <v>621.21</v>
      </c>
      <c r="N33" s="22">
        <v>30</v>
      </c>
      <c r="O33" s="24" t="s">
        <v>40</v>
      </c>
      <c r="P33" s="25">
        <f>VLOOKUP(O33,KamiBox!$C$2:$F$58,4,0)</f>
        <v>1800</v>
      </c>
      <c r="Q33" s="26">
        <f t="shared" si="1"/>
        <v>0</v>
      </c>
      <c r="R33" s="25">
        <f t="shared" si="2"/>
        <v>0</v>
      </c>
      <c r="T33" s="1"/>
      <c r="V33" s="51"/>
      <c r="W33" s="83"/>
      <c r="X33" s="51"/>
      <c r="Z33" s="1"/>
      <c r="AB33" s="51"/>
      <c r="AC33" s="83"/>
      <c r="AD33" s="51"/>
    </row>
    <row r="34" spans="1:30" x14ac:dyDescent="0.35">
      <c r="A34" s="13" t="s">
        <v>326</v>
      </c>
      <c r="B34" s="13" t="s">
        <v>39</v>
      </c>
      <c r="C34" s="43">
        <v>0.55000000000000004</v>
      </c>
      <c r="D34" s="17">
        <v>1500</v>
      </c>
      <c r="E34" s="17">
        <v>825</v>
      </c>
      <c r="G34" s="14" t="s">
        <v>346</v>
      </c>
      <c r="H34" s="29">
        <v>2.75</v>
      </c>
      <c r="I34" s="19">
        <v>6758</v>
      </c>
      <c r="J34" s="19"/>
      <c r="N34" s="22">
        <v>31</v>
      </c>
      <c r="O34" s="24" t="s">
        <v>41</v>
      </c>
      <c r="P34" s="25">
        <f>VLOOKUP(O34,KamiBox!$C$2:$F$58,4,0)</f>
        <v>1800</v>
      </c>
      <c r="Q34" s="26">
        <f t="shared" si="1"/>
        <v>156.9</v>
      </c>
      <c r="R34" s="25">
        <f t="shared" si="2"/>
        <v>282420</v>
      </c>
      <c r="T34" s="1"/>
      <c r="V34" s="51"/>
      <c r="W34" s="83"/>
      <c r="X34" s="51"/>
      <c r="Z34" s="1"/>
      <c r="AB34" s="51"/>
      <c r="AC34" s="83"/>
      <c r="AD34" s="51"/>
    </row>
    <row r="35" spans="1:30" x14ac:dyDescent="0.35">
      <c r="A35" s="13" t="s">
        <v>326</v>
      </c>
      <c r="B35" s="13" t="s">
        <v>41</v>
      </c>
      <c r="C35" s="43">
        <v>9.65</v>
      </c>
      <c r="D35" s="17">
        <v>1000</v>
      </c>
      <c r="E35" s="17">
        <v>9650</v>
      </c>
      <c r="G35" s="14" t="s">
        <v>359</v>
      </c>
      <c r="H35" s="29">
        <v>12.549999999999999</v>
      </c>
      <c r="I35" s="19">
        <v>17353</v>
      </c>
      <c r="J35" s="19"/>
      <c r="N35" s="22">
        <v>32</v>
      </c>
      <c r="O35" s="24" t="s">
        <v>42</v>
      </c>
      <c r="P35" s="25">
        <f>VLOOKUP(O35,KamiBox!$C$2:$F$58,4,0)</f>
        <v>4000</v>
      </c>
      <c r="Q35" s="26">
        <f t="shared" si="1"/>
        <v>0</v>
      </c>
      <c r="R35" s="25">
        <f t="shared" si="2"/>
        <v>0</v>
      </c>
      <c r="T35" s="1"/>
      <c r="V35" s="51"/>
      <c r="W35" s="83"/>
      <c r="X35" s="51"/>
      <c r="Z35" s="1"/>
      <c r="AB35" s="51"/>
      <c r="AC35" s="83"/>
      <c r="AD35" s="51"/>
    </row>
    <row r="36" spans="1:30" x14ac:dyDescent="0.35">
      <c r="A36" s="13" t="s">
        <v>327</v>
      </c>
      <c r="B36" s="13" t="s">
        <v>53</v>
      </c>
      <c r="C36" s="43">
        <v>0.7</v>
      </c>
      <c r="D36" s="17">
        <v>300</v>
      </c>
      <c r="E36" s="17">
        <v>210</v>
      </c>
      <c r="G36" s="14" t="s">
        <v>349</v>
      </c>
      <c r="H36" s="29">
        <v>16.400000000000002</v>
      </c>
      <c r="I36" s="19">
        <v>18073</v>
      </c>
      <c r="J36" s="19"/>
      <c r="N36" s="22">
        <v>33</v>
      </c>
      <c r="O36" s="24" t="s">
        <v>43</v>
      </c>
      <c r="P36" s="25">
        <f>VLOOKUP(O36,KamiBox!$C$2:$F$58,4,0)</f>
        <v>60000</v>
      </c>
      <c r="Q36" s="26">
        <f t="shared" si="1"/>
        <v>0</v>
      </c>
      <c r="R36" s="25">
        <f t="shared" si="2"/>
        <v>0</v>
      </c>
      <c r="T36" s="1"/>
      <c r="V36" s="51"/>
      <c r="W36" s="83"/>
      <c r="X36" s="51"/>
      <c r="Z36" s="1"/>
      <c r="AB36" s="51"/>
      <c r="AC36" s="83"/>
      <c r="AD36" s="51"/>
    </row>
    <row r="37" spans="1:30" x14ac:dyDescent="0.35">
      <c r="A37" s="13" t="s">
        <v>327</v>
      </c>
      <c r="B37" s="13" t="s">
        <v>18</v>
      </c>
      <c r="C37" s="43">
        <v>0.85</v>
      </c>
      <c r="D37" s="17">
        <v>150</v>
      </c>
      <c r="E37" s="17">
        <v>128</v>
      </c>
      <c r="G37" s="14" t="s">
        <v>362</v>
      </c>
      <c r="H37" s="29">
        <v>22.5</v>
      </c>
      <c r="I37" s="19">
        <v>26158</v>
      </c>
      <c r="J37" s="19"/>
      <c r="K37" t="s">
        <v>73</v>
      </c>
      <c r="N37" s="22">
        <v>34</v>
      </c>
      <c r="O37" s="24" t="s">
        <v>44</v>
      </c>
      <c r="P37" s="25">
        <f>VLOOKUP(O37,KamiBox!$C$2:$F$58,4,0)</f>
        <v>700</v>
      </c>
      <c r="Q37" s="26">
        <f t="shared" si="1"/>
        <v>0</v>
      </c>
      <c r="R37" s="25">
        <f t="shared" si="2"/>
        <v>0</v>
      </c>
      <c r="T37" s="1"/>
      <c r="V37" s="51"/>
      <c r="W37" s="83"/>
      <c r="X37" s="51"/>
      <c r="Z37" s="1"/>
      <c r="AB37" s="51"/>
      <c r="AC37" s="83"/>
      <c r="AD37" s="51"/>
    </row>
    <row r="38" spans="1:30" x14ac:dyDescent="0.35">
      <c r="A38" s="13" t="s">
        <v>327</v>
      </c>
      <c r="B38" s="13" t="s">
        <v>29</v>
      </c>
      <c r="C38" s="43">
        <v>0.45</v>
      </c>
      <c r="D38" s="17">
        <v>1600</v>
      </c>
      <c r="E38" s="17">
        <v>720</v>
      </c>
      <c r="G38" s="14" t="s">
        <v>360</v>
      </c>
      <c r="H38" s="29">
        <v>10.7</v>
      </c>
      <c r="I38" s="19">
        <v>16705</v>
      </c>
      <c r="J38" s="19"/>
      <c r="K38" s="5">
        <f>R59+X7+AF4</f>
        <v>1434360</v>
      </c>
      <c r="N38" s="22">
        <v>35</v>
      </c>
      <c r="O38" s="24" t="s">
        <v>46</v>
      </c>
      <c r="P38" s="25">
        <f>VLOOKUP(O38,KamiBox!$C$2:$F$58,4,0)</f>
        <v>4000</v>
      </c>
      <c r="Q38" s="26">
        <f t="shared" si="1"/>
        <v>0.4</v>
      </c>
      <c r="R38" s="25">
        <f t="shared" si="2"/>
        <v>1600</v>
      </c>
      <c r="T38" s="1"/>
      <c r="V38" s="51"/>
      <c r="W38" s="83"/>
      <c r="X38" s="51"/>
      <c r="Z38" s="1"/>
      <c r="AB38" s="51"/>
      <c r="AC38" s="83"/>
      <c r="AD38" s="51"/>
    </row>
    <row r="39" spans="1:30" x14ac:dyDescent="0.35">
      <c r="A39" s="13" t="s">
        <v>327</v>
      </c>
      <c r="B39" s="13" t="s">
        <v>25</v>
      </c>
      <c r="C39" s="43">
        <v>0.45</v>
      </c>
      <c r="D39" s="17">
        <v>1000</v>
      </c>
      <c r="E39" s="17">
        <v>450</v>
      </c>
      <c r="G39" s="14" t="s">
        <v>343</v>
      </c>
      <c r="H39" s="29">
        <v>26.299999999999997</v>
      </c>
      <c r="I39" s="19">
        <v>46575</v>
      </c>
      <c r="J39" s="19"/>
      <c r="K39" s="5">
        <f>K38-GETPIVOTDATA("Total",$G$2)</f>
        <v>273768</v>
      </c>
      <c r="N39" s="22">
        <v>36</v>
      </c>
      <c r="O39" s="24" t="s">
        <v>47</v>
      </c>
      <c r="P39" s="25">
        <f>VLOOKUP(O39,KamiBox!$C$2:$F$58,4,0)</f>
        <v>50000</v>
      </c>
      <c r="Q39" s="26">
        <f t="shared" si="1"/>
        <v>0</v>
      </c>
      <c r="R39" s="25">
        <f t="shared" si="2"/>
        <v>0</v>
      </c>
      <c r="T39" s="1"/>
      <c r="V39" s="51"/>
      <c r="W39" s="83"/>
      <c r="X39" s="51"/>
      <c r="Z39" s="1"/>
      <c r="AB39" s="51"/>
      <c r="AC39" s="83"/>
      <c r="AD39" s="51"/>
    </row>
    <row r="40" spans="1:30" x14ac:dyDescent="0.35">
      <c r="A40" s="13" t="s">
        <v>327</v>
      </c>
      <c r="B40" s="13" t="s">
        <v>94</v>
      </c>
      <c r="C40" s="43">
        <v>0.85</v>
      </c>
      <c r="D40" s="17">
        <v>2800</v>
      </c>
      <c r="E40" s="17">
        <v>2380</v>
      </c>
      <c r="G40" s="14" t="s">
        <v>370</v>
      </c>
      <c r="H40" s="29">
        <v>1.5</v>
      </c>
      <c r="I40" s="19">
        <v>450</v>
      </c>
      <c r="J40" s="19"/>
      <c r="N40" s="22">
        <v>37</v>
      </c>
      <c r="O40" s="24" t="s">
        <v>48</v>
      </c>
      <c r="P40" s="25">
        <f>VLOOKUP(O40,KamiBox!$C$2:$F$58,4,0)</f>
        <v>35000</v>
      </c>
      <c r="Q40" s="26">
        <f t="shared" si="1"/>
        <v>0</v>
      </c>
      <c r="R40" s="25">
        <f t="shared" si="2"/>
        <v>0</v>
      </c>
      <c r="T40" s="1"/>
      <c r="V40" s="51"/>
      <c r="W40" s="83"/>
      <c r="X40" s="51"/>
      <c r="Z40" s="1"/>
      <c r="AB40" s="51"/>
      <c r="AC40" s="83"/>
      <c r="AD40" s="51"/>
    </row>
    <row r="41" spans="1:30" x14ac:dyDescent="0.35">
      <c r="A41" s="13" t="s">
        <v>327</v>
      </c>
      <c r="B41" s="13" t="s">
        <v>39</v>
      </c>
      <c r="C41" s="43">
        <v>0.95</v>
      </c>
      <c r="D41" s="17">
        <v>1500</v>
      </c>
      <c r="E41" s="17">
        <v>1425</v>
      </c>
      <c r="G41" s="14" t="s">
        <v>347</v>
      </c>
      <c r="H41" s="29">
        <v>15.299999999999999</v>
      </c>
      <c r="I41" s="19">
        <v>45770</v>
      </c>
      <c r="J41" s="19"/>
      <c r="N41" s="22">
        <v>38</v>
      </c>
      <c r="O41" s="24" t="s">
        <v>49</v>
      </c>
      <c r="P41" s="25">
        <f>VLOOKUP(O41,KamiBox!$C$2:$F$58,4,0)</f>
        <v>50000</v>
      </c>
      <c r="Q41" s="26">
        <f t="shared" si="1"/>
        <v>0</v>
      </c>
      <c r="R41" s="25">
        <f t="shared" si="2"/>
        <v>0</v>
      </c>
      <c r="T41" s="1"/>
      <c r="V41" s="51"/>
      <c r="W41" s="83"/>
      <c r="X41" s="51"/>
      <c r="Z41" s="1"/>
      <c r="AB41" s="51"/>
      <c r="AC41" s="83"/>
      <c r="AD41" s="51"/>
    </row>
    <row r="42" spans="1:30" x14ac:dyDescent="0.35">
      <c r="A42" s="13" t="s">
        <v>327</v>
      </c>
      <c r="B42" s="13" t="s">
        <v>51</v>
      </c>
      <c r="C42" s="43">
        <v>1.1000000000000001</v>
      </c>
      <c r="D42" s="17">
        <v>500</v>
      </c>
      <c r="E42" s="17">
        <v>550</v>
      </c>
      <c r="G42" s="14" t="s">
        <v>325</v>
      </c>
      <c r="H42" s="29">
        <v>4.05</v>
      </c>
      <c r="I42" s="19">
        <v>3580</v>
      </c>
      <c r="J42" s="19"/>
      <c r="N42" s="22">
        <v>39</v>
      </c>
      <c r="O42" s="24" t="s">
        <v>50</v>
      </c>
      <c r="P42" s="25"/>
      <c r="Q42" s="26">
        <f t="shared" si="1"/>
        <v>0</v>
      </c>
      <c r="R42" s="25">
        <f t="shared" si="2"/>
        <v>0</v>
      </c>
      <c r="T42" s="1"/>
      <c r="V42" s="51"/>
      <c r="W42" s="83"/>
      <c r="X42" s="51"/>
      <c r="Z42" s="1"/>
      <c r="AB42" s="51"/>
      <c r="AC42" s="83"/>
      <c r="AD42" s="51"/>
    </row>
    <row r="43" spans="1:30" x14ac:dyDescent="0.35">
      <c r="A43" s="13" t="s">
        <v>327</v>
      </c>
      <c r="B43" s="13" t="s">
        <v>41</v>
      </c>
      <c r="C43" s="43">
        <v>0.65</v>
      </c>
      <c r="D43" s="17">
        <v>1000</v>
      </c>
      <c r="E43" s="17">
        <v>650</v>
      </c>
      <c r="G43" s="14" t="s">
        <v>338</v>
      </c>
      <c r="H43" s="29">
        <v>6.8000000000000007</v>
      </c>
      <c r="I43" s="19">
        <v>6335</v>
      </c>
      <c r="J43" s="19"/>
      <c r="N43" s="22">
        <v>40</v>
      </c>
      <c r="O43" s="24" t="s">
        <v>51</v>
      </c>
      <c r="P43" s="25">
        <f>VLOOKUP(O43,KamiBox!$C$2:$F$58,4,0)</f>
        <v>700</v>
      </c>
      <c r="Q43" s="26">
        <f t="shared" si="1"/>
        <v>36.1</v>
      </c>
      <c r="R43" s="25">
        <f t="shared" si="2"/>
        <v>25270</v>
      </c>
      <c r="T43" s="1"/>
      <c r="V43" s="51"/>
      <c r="W43" s="83"/>
      <c r="X43" s="51"/>
      <c r="Z43" s="1"/>
      <c r="AB43" s="51"/>
      <c r="AC43" s="83"/>
      <c r="AD43" s="51"/>
    </row>
    <row r="44" spans="1:30" x14ac:dyDescent="0.35">
      <c r="A44" s="13" t="s">
        <v>320</v>
      </c>
      <c r="B44" s="13" t="s">
        <v>41</v>
      </c>
      <c r="C44" s="43">
        <v>1.2</v>
      </c>
      <c r="D44" s="17">
        <v>1000</v>
      </c>
      <c r="E44" s="17">
        <v>1200</v>
      </c>
      <c r="G44" s="14" t="s">
        <v>318</v>
      </c>
      <c r="H44" s="29">
        <v>17.149999999999999</v>
      </c>
      <c r="I44" s="19">
        <v>31965</v>
      </c>
      <c r="J44" s="19"/>
      <c r="N44" s="22">
        <v>41</v>
      </c>
      <c r="O44" s="24" t="s">
        <v>52</v>
      </c>
      <c r="P44" s="25"/>
      <c r="Q44" s="26">
        <f t="shared" si="1"/>
        <v>0</v>
      </c>
      <c r="R44" s="25">
        <f t="shared" si="2"/>
        <v>0</v>
      </c>
      <c r="T44" s="1"/>
      <c r="V44" s="51"/>
      <c r="W44" s="83"/>
      <c r="X44" s="51"/>
      <c r="Z44" s="1"/>
      <c r="AB44" s="51"/>
      <c r="AC44" s="83"/>
      <c r="AD44" s="51"/>
    </row>
    <row r="45" spans="1:30" x14ac:dyDescent="0.35">
      <c r="A45" s="13" t="s">
        <v>320</v>
      </c>
      <c r="B45" s="13" t="s">
        <v>18</v>
      </c>
      <c r="C45" s="43">
        <v>1.25</v>
      </c>
      <c r="D45" s="17">
        <v>150</v>
      </c>
      <c r="E45" s="17">
        <v>188</v>
      </c>
      <c r="G45" s="14" t="s">
        <v>356</v>
      </c>
      <c r="H45" s="29">
        <v>14.549999999999997</v>
      </c>
      <c r="I45" s="19">
        <v>16898</v>
      </c>
      <c r="J45" s="19"/>
      <c r="N45" s="22">
        <v>42</v>
      </c>
      <c r="O45" s="24" t="s">
        <v>53</v>
      </c>
      <c r="P45" s="25">
        <f>VLOOKUP(O45,KamiBox!$C$2:$F$58,4,0)</f>
        <v>500</v>
      </c>
      <c r="Q45" s="26">
        <v>63.5</v>
      </c>
      <c r="R45" s="25">
        <f t="shared" si="2"/>
        <v>31750</v>
      </c>
      <c r="T45" s="1"/>
      <c r="V45" s="51"/>
      <c r="W45" s="83"/>
      <c r="X45" s="51"/>
      <c r="Z45" s="1"/>
      <c r="AB45" s="51"/>
      <c r="AC45" s="83"/>
      <c r="AD45" s="51"/>
    </row>
    <row r="46" spans="1:30" x14ac:dyDescent="0.35">
      <c r="A46" s="13" t="s">
        <v>320</v>
      </c>
      <c r="B46" s="13" t="s">
        <v>53</v>
      </c>
      <c r="C46" s="43">
        <v>0.25</v>
      </c>
      <c r="D46" s="17">
        <v>300</v>
      </c>
      <c r="E46" s="17">
        <v>75</v>
      </c>
      <c r="G46" s="14" t="s">
        <v>369</v>
      </c>
      <c r="H46" s="29">
        <v>2.73</v>
      </c>
      <c r="I46" s="19">
        <v>3068</v>
      </c>
      <c r="J46" s="19"/>
      <c r="N46" s="22">
        <v>43</v>
      </c>
      <c r="O46" s="24" t="s">
        <v>54</v>
      </c>
      <c r="P46" s="25"/>
      <c r="Q46" s="26"/>
      <c r="R46" s="25">
        <f t="shared" si="2"/>
        <v>0</v>
      </c>
      <c r="T46" s="1"/>
      <c r="Z46" s="1"/>
      <c r="AB46" s="51"/>
      <c r="AC46" s="83"/>
      <c r="AD46" s="51"/>
    </row>
    <row r="47" spans="1:30" x14ac:dyDescent="0.35">
      <c r="A47" s="13" t="s">
        <v>320</v>
      </c>
      <c r="B47" s="13" t="s">
        <v>25</v>
      </c>
      <c r="C47" s="43">
        <v>0.5</v>
      </c>
      <c r="D47" s="17">
        <v>1000</v>
      </c>
      <c r="E47" s="17">
        <v>500</v>
      </c>
      <c r="G47" s="14" t="s">
        <v>335</v>
      </c>
      <c r="H47" s="29">
        <v>4.4000000000000004</v>
      </c>
      <c r="I47" s="19">
        <v>6070</v>
      </c>
      <c r="J47" s="19"/>
      <c r="N47" s="22">
        <v>44</v>
      </c>
      <c r="O47" s="24" t="s">
        <v>266</v>
      </c>
      <c r="P47" s="25"/>
      <c r="Q47" s="26"/>
      <c r="R47" s="25">
        <f t="shared" si="2"/>
        <v>0</v>
      </c>
      <c r="T47" s="1"/>
      <c r="Z47" s="1"/>
      <c r="AB47" s="51"/>
      <c r="AC47" s="83"/>
      <c r="AD47" s="51"/>
    </row>
    <row r="48" spans="1:30" x14ac:dyDescent="0.35">
      <c r="A48" s="13" t="s">
        <v>320</v>
      </c>
      <c r="B48" s="13" t="s">
        <v>293</v>
      </c>
      <c r="C48" s="43">
        <v>0.15</v>
      </c>
      <c r="D48" s="17">
        <v>1400</v>
      </c>
      <c r="E48" s="17">
        <v>210</v>
      </c>
      <c r="G48" s="14" t="s">
        <v>330</v>
      </c>
      <c r="H48" s="29">
        <v>6.5500000000000007</v>
      </c>
      <c r="I48" s="19">
        <v>12580</v>
      </c>
      <c r="J48" s="19"/>
      <c r="N48" s="22">
        <v>45</v>
      </c>
      <c r="O48" s="24" t="s">
        <v>55</v>
      </c>
      <c r="P48" s="25">
        <f>VLOOKUP(O48,KamiBox!$C$2:$F$58,4,0)</f>
        <v>900</v>
      </c>
      <c r="Q48" s="26">
        <f t="shared" si="1"/>
        <v>3.7</v>
      </c>
      <c r="R48" s="25">
        <f t="shared" si="2"/>
        <v>3330</v>
      </c>
      <c r="T48" s="1"/>
      <c r="V48" s="51"/>
      <c r="W48" s="83"/>
      <c r="X48" s="51"/>
      <c r="Z48" s="1"/>
      <c r="AB48" s="51"/>
      <c r="AC48" s="83"/>
      <c r="AD48" s="51"/>
    </row>
    <row r="49" spans="1:30" x14ac:dyDescent="0.35">
      <c r="A49" s="13" t="s">
        <v>320</v>
      </c>
      <c r="B49" s="13" t="s">
        <v>54</v>
      </c>
      <c r="C49" s="43">
        <v>0.35</v>
      </c>
      <c r="D49" s="17">
        <v>800</v>
      </c>
      <c r="E49" s="17">
        <v>280</v>
      </c>
      <c r="G49" s="14" t="s">
        <v>372</v>
      </c>
      <c r="H49" s="29">
        <v>0.5</v>
      </c>
      <c r="I49" s="19">
        <v>150</v>
      </c>
      <c r="J49" s="19"/>
      <c r="N49" s="22">
        <v>46</v>
      </c>
      <c r="O49" s="24" t="s">
        <v>56</v>
      </c>
      <c r="P49" s="25">
        <f>VLOOKUP(O49,KamiBox!$C$2:$F$58,4,0)</f>
        <v>700</v>
      </c>
      <c r="Q49" s="26">
        <f t="shared" ref="Q49:Q58" si="4">SUMIF($B$3:$B$346,O49,$C$3:$C$346)</f>
        <v>0.30000000000000004</v>
      </c>
      <c r="R49" s="25">
        <f t="shared" ref="R49:R58" si="5">P49*Q49</f>
        <v>210.00000000000003</v>
      </c>
      <c r="T49" s="1"/>
      <c r="V49" s="51"/>
      <c r="W49" s="83"/>
      <c r="X49" s="51"/>
      <c r="Z49" s="1"/>
      <c r="AB49" s="51"/>
      <c r="AC49" s="83"/>
      <c r="AD49" s="51"/>
    </row>
    <row r="50" spans="1:30" x14ac:dyDescent="0.35">
      <c r="A50" s="13" t="s">
        <v>328</v>
      </c>
      <c r="B50" s="13" t="s">
        <v>41</v>
      </c>
      <c r="C50" s="43">
        <v>0.35</v>
      </c>
      <c r="D50" s="17">
        <v>1000</v>
      </c>
      <c r="E50" s="17">
        <v>350</v>
      </c>
      <c r="G50" s="14" t="s">
        <v>352</v>
      </c>
      <c r="H50" s="29">
        <v>17.05</v>
      </c>
      <c r="I50" s="19">
        <v>16180</v>
      </c>
      <c r="J50" s="19"/>
      <c r="N50" s="22">
        <v>46</v>
      </c>
      <c r="O50" s="24" t="s">
        <v>57</v>
      </c>
      <c r="P50" s="25">
        <f>VLOOKUP(O50,KamiBox!$C$2:$F$58,4,0)</f>
        <v>400</v>
      </c>
      <c r="Q50" s="26">
        <f t="shared" si="4"/>
        <v>0</v>
      </c>
      <c r="R50" s="25">
        <f t="shared" si="5"/>
        <v>0</v>
      </c>
      <c r="T50" s="1"/>
      <c r="V50" s="51"/>
      <c r="W50" s="83"/>
      <c r="X50" s="51"/>
      <c r="Z50" s="1"/>
      <c r="AB50" s="51"/>
      <c r="AC50" s="83"/>
      <c r="AD50" s="51"/>
    </row>
    <row r="51" spans="1:30" x14ac:dyDescent="0.35">
      <c r="A51" s="13" t="s">
        <v>328</v>
      </c>
      <c r="B51" s="13" t="s">
        <v>94</v>
      </c>
      <c r="C51" s="43">
        <v>0.2</v>
      </c>
      <c r="D51" s="17">
        <v>2800</v>
      </c>
      <c r="E51" s="17">
        <v>560</v>
      </c>
      <c r="G51" s="14" t="s">
        <v>366</v>
      </c>
      <c r="H51" s="29">
        <v>29.42</v>
      </c>
      <c r="I51" s="19">
        <v>36629</v>
      </c>
      <c r="J51" s="19"/>
      <c r="N51" s="22">
        <v>47</v>
      </c>
      <c r="O51" s="24" t="s">
        <v>58</v>
      </c>
      <c r="P51" s="25">
        <f>VLOOKUP(O51,KamiBox!$C$2:$F$58,4,0)</f>
        <v>60000</v>
      </c>
      <c r="Q51" s="26">
        <f t="shared" si="4"/>
        <v>0</v>
      </c>
      <c r="R51" s="25">
        <f t="shared" si="5"/>
        <v>0</v>
      </c>
      <c r="T51" s="1"/>
      <c r="V51" s="51"/>
      <c r="W51" s="83"/>
      <c r="X51" s="51"/>
      <c r="Z51" s="1"/>
      <c r="AB51" s="51"/>
      <c r="AC51" s="83"/>
      <c r="AD51" s="51"/>
    </row>
    <row r="52" spans="1:30" x14ac:dyDescent="0.35">
      <c r="A52" s="13" t="s">
        <v>328</v>
      </c>
      <c r="B52" s="13" t="s">
        <v>127</v>
      </c>
      <c r="C52" s="43">
        <v>0.1</v>
      </c>
      <c r="D52" s="17">
        <v>8000</v>
      </c>
      <c r="E52" s="17">
        <v>800</v>
      </c>
      <c r="G52" s="14" t="s">
        <v>328</v>
      </c>
      <c r="H52" s="29">
        <v>3.45</v>
      </c>
      <c r="I52" s="19">
        <v>3465</v>
      </c>
      <c r="J52" s="19"/>
      <c r="N52" s="22">
        <v>48</v>
      </c>
      <c r="O52" s="24" t="s">
        <v>59</v>
      </c>
      <c r="P52" s="25">
        <f>VLOOKUP(O52,KamiBox!$C$2:$F$58,4,0)</f>
        <v>150</v>
      </c>
      <c r="Q52" s="26">
        <f t="shared" si="4"/>
        <v>0</v>
      </c>
      <c r="R52" s="25">
        <f t="shared" si="5"/>
        <v>0</v>
      </c>
      <c r="T52" s="1"/>
      <c r="V52" s="51"/>
      <c r="W52" s="83"/>
      <c r="X52" s="51"/>
      <c r="Z52" s="1"/>
      <c r="AB52" s="51"/>
      <c r="AC52" s="83"/>
      <c r="AD52" s="51"/>
    </row>
    <row r="53" spans="1:30" x14ac:dyDescent="0.35">
      <c r="A53" s="13" t="s">
        <v>328</v>
      </c>
      <c r="B53" s="13" t="s">
        <v>13</v>
      </c>
      <c r="C53" s="43">
        <v>0.1</v>
      </c>
      <c r="D53" s="17">
        <v>500</v>
      </c>
      <c r="E53" s="17">
        <v>50</v>
      </c>
      <c r="G53" s="14" t="s">
        <v>380</v>
      </c>
      <c r="H53" s="29">
        <v>3.9000000000000004</v>
      </c>
      <c r="I53" s="19">
        <v>3878</v>
      </c>
      <c r="J53" s="19"/>
      <c r="N53" s="22">
        <v>49</v>
      </c>
      <c r="O53" s="24" t="s">
        <v>60</v>
      </c>
      <c r="P53" s="25">
        <f>VLOOKUP(O53,KamiBox!$C$2:$F$58,4,0)</f>
        <v>3000</v>
      </c>
      <c r="Q53" s="26">
        <v>14.95</v>
      </c>
      <c r="R53" s="25">
        <f t="shared" si="5"/>
        <v>44850</v>
      </c>
      <c r="T53" s="1"/>
      <c r="V53" s="51"/>
      <c r="W53" s="83"/>
      <c r="X53" s="51"/>
      <c r="Z53" s="1"/>
      <c r="AB53" s="51"/>
      <c r="AC53" s="83"/>
      <c r="AD53" s="51"/>
    </row>
    <row r="54" spans="1:30" x14ac:dyDescent="0.35">
      <c r="A54" s="13" t="s">
        <v>328</v>
      </c>
      <c r="B54" s="13" t="s">
        <v>53</v>
      </c>
      <c r="C54" s="43">
        <v>0.6</v>
      </c>
      <c r="D54" s="17">
        <v>300</v>
      </c>
      <c r="E54" s="17">
        <v>180</v>
      </c>
      <c r="G54" s="14" t="s">
        <v>371</v>
      </c>
      <c r="H54" s="29">
        <v>4.5</v>
      </c>
      <c r="I54" s="19">
        <v>4500</v>
      </c>
      <c r="J54" s="19"/>
      <c r="N54" s="22">
        <v>50</v>
      </c>
      <c r="O54" s="24" t="s">
        <v>61</v>
      </c>
      <c r="P54" s="25">
        <f>VLOOKUP(O54,KamiBox!$C$2:$F$58,4,0)</f>
        <v>4500</v>
      </c>
      <c r="Q54" s="26">
        <v>2.4</v>
      </c>
      <c r="R54" s="25">
        <f t="shared" si="5"/>
        <v>10800</v>
      </c>
      <c r="T54" s="1"/>
      <c r="V54" s="51"/>
      <c r="W54" s="83"/>
      <c r="X54" s="51"/>
      <c r="Z54" s="1"/>
      <c r="AB54" s="51"/>
      <c r="AC54" s="83"/>
      <c r="AD54" s="51"/>
    </row>
    <row r="55" spans="1:30" x14ac:dyDescent="0.35">
      <c r="A55" s="13" t="s">
        <v>328</v>
      </c>
      <c r="B55" s="13" t="s">
        <v>51</v>
      </c>
      <c r="C55" s="43">
        <v>1.1499999999999999</v>
      </c>
      <c r="D55" s="17">
        <v>500</v>
      </c>
      <c r="E55" s="17">
        <v>575</v>
      </c>
      <c r="G55" s="14" t="s">
        <v>264</v>
      </c>
      <c r="H55" s="29">
        <v>45.050000000000004</v>
      </c>
      <c r="I55" s="19">
        <v>315350.00000000006</v>
      </c>
      <c r="J55" s="19"/>
      <c r="N55" s="22">
        <v>51</v>
      </c>
      <c r="O55" s="24" t="s">
        <v>62</v>
      </c>
      <c r="P55" s="25">
        <f>VLOOKUP(O55,KamiBox!$C$2:$F$58,4,0)</f>
        <v>20000</v>
      </c>
      <c r="Q55" s="26">
        <f t="shared" si="4"/>
        <v>0</v>
      </c>
      <c r="R55" s="25">
        <f t="shared" si="5"/>
        <v>0</v>
      </c>
      <c r="T55" s="1"/>
      <c r="V55" s="51"/>
      <c r="W55" s="83"/>
      <c r="X55" s="51"/>
      <c r="Z55" s="1"/>
      <c r="AB55" s="51"/>
      <c r="AC55" s="83"/>
      <c r="AD55" s="51"/>
    </row>
    <row r="56" spans="1:30" x14ac:dyDescent="0.35">
      <c r="A56" s="13" t="s">
        <v>328</v>
      </c>
      <c r="B56" s="13" t="s">
        <v>25</v>
      </c>
      <c r="C56" s="43">
        <v>0.95</v>
      </c>
      <c r="D56" s="17">
        <v>1000</v>
      </c>
      <c r="E56" s="17">
        <v>950</v>
      </c>
      <c r="G56" s="14" t="s">
        <v>124</v>
      </c>
      <c r="H56" s="29">
        <v>621.20999999999992</v>
      </c>
      <c r="I56" s="19">
        <v>1160592</v>
      </c>
      <c r="J56" s="19"/>
      <c r="N56" s="22">
        <v>52</v>
      </c>
      <c r="O56" s="24" t="s">
        <v>63</v>
      </c>
      <c r="P56" s="25">
        <f>VLOOKUP(O56,KamiBox!$C$2:$F$58,4,0)</f>
        <v>1000</v>
      </c>
      <c r="Q56" s="26">
        <f t="shared" si="4"/>
        <v>0</v>
      </c>
      <c r="R56" s="25">
        <f t="shared" si="5"/>
        <v>0</v>
      </c>
      <c r="T56" s="1"/>
      <c r="V56" s="51"/>
      <c r="W56" s="83"/>
      <c r="X56" s="51"/>
      <c r="Z56" s="1"/>
      <c r="AB56" s="51"/>
      <c r="AC56" s="83"/>
      <c r="AD56" s="51"/>
    </row>
    <row r="57" spans="1:30" x14ac:dyDescent="0.35">
      <c r="A57" s="13" t="s">
        <v>329</v>
      </c>
      <c r="B57" s="13" t="s">
        <v>13</v>
      </c>
      <c r="C57" s="43">
        <v>1.85</v>
      </c>
      <c r="D57" s="17">
        <v>500</v>
      </c>
      <c r="E57" s="17">
        <v>925</v>
      </c>
      <c r="N57" s="22">
        <v>53</v>
      </c>
      <c r="O57" s="24" t="s">
        <v>263</v>
      </c>
      <c r="P57" s="25">
        <f>VLOOKUP(O57,KamiBox!$C$2:$F$58,4,0)</f>
        <v>1200</v>
      </c>
      <c r="Q57" s="26">
        <f t="shared" si="4"/>
        <v>1.3</v>
      </c>
      <c r="R57" s="25">
        <f t="shared" si="5"/>
        <v>1560</v>
      </c>
      <c r="T57" s="1"/>
      <c r="V57" s="51"/>
      <c r="W57" s="83"/>
      <c r="X57" s="51"/>
      <c r="Z57" s="1"/>
      <c r="AB57" s="51"/>
      <c r="AC57" s="83"/>
      <c r="AD57" s="51"/>
    </row>
    <row r="58" spans="1:30" x14ac:dyDescent="0.35">
      <c r="A58" s="13" t="s">
        <v>329</v>
      </c>
      <c r="B58" s="13" t="s">
        <v>22</v>
      </c>
      <c r="C58" s="43">
        <v>0.7</v>
      </c>
      <c r="D58" s="17">
        <v>1600</v>
      </c>
      <c r="E58" s="17">
        <v>1120</v>
      </c>
      <c r="N58" s="22">
        <v>54</v>
      </c>
      <c r="O58" s="24" t="s">
        <v>319</v>
      </c>
      <c r="P58" s="25">
        <f>VLOOKUP(O58,KamiBox!$C$2:$F$58,4,0)</f>
        <v>2000</v>
      </c>
      <c r="Q58" s="26">
        <f t="shared" si="4"/>
        <v>0.55000000000000004</v>
      </c>
      <c r="R58" s="25">
        <f t="shared" si="5"/>
        <v>1100</v>
      </c>
      <c r="T58" s="1"/>
      <c r="V58" s="51"/>
      <c r="W58" s="83"/>
      <c r="X58" s="51"/>
      <c r="Z58" s="1"/>
      <c r="AB58" s="51"/>
      <c r="AC58" s="83"/>
      <c r="AD58" s="51"/>
    </row>
    <row r="59" spans="1:30" x14ac:dyDescent="0.35">
      <c r="A59" s="13" t="s">
        <v>329</v>
      </c>
      <c r="B59" s="13" t="s">
        <v>53</v>
      </c>
      <c r="C59" s="43">
        <v>0.85</v>
      </c>
      <c r="D59" s="17">
        <v>300</v>
      </c>
      <c r="E59" s="17">
        <v>255</v>
      </c>
      <c r="N59" s="24"/>
      <c r="O59" s="24"/>
      <c r="P59" s="27" t="s">
        <v>135</v>
      </c>
      <c r="Q59" s="27">
        <f>SUM(Q4:Q58)</f>
        <v>558.17999999999995</v>
      </c>
      <c r="R59" s="28">
        <f>SUM(R6:R58)</f>
        <v>994985</v>
      </c>
      <c r="T59" s="1"/>
      <c r="V59" s="51"/>
      <c r="W59" s="83"/>
      <c r="X59" s="51"/>
      <c r="Z59" s="1"/>
      <c r="AB59" s="51"/>
      <c r="AC59" s="83"/>
      <c r="AD59" s="51"/>
    </row>
    <row r="60" spans="1:30" x14ac:dyDescent="0.35">
      <c r="A60" s="13" t="s">
        <v>329</v>
      </c>
      <c r="B60" s="13" t="s">
        <v>125</v>
      </c>
      <c r="C60" s="43">
        <v>0.85</v>
      </c>
      <c r="D60" s="17">
        <v>800</v>
      </c>
      <c r="E60" s="17">
        <v>680</v>
      </c>
      <c r="V60" s="84"/>
      <c r="W60" s="84"/>
      <c r="X60" s="85"/>
      <c r="AB60" s="84"/>
      <c r="AC60" s="84"/>
      <c r="AD60" s="85"/>
    </row>
    <row r="61" spans="1:30" x14ac:dyDescent="0.35">
      <c r="A61" s="13" t="s">
        <v>329</v>
      </c>
      <c r="B61" s="13" t="s">
        <v>126</v>
      </c>
      <c r="C61" s="43">
        <v>2.0499999999999998</v>
      </c>
      <c r="D61" s="17">
        <v>1800</v>
      </c>
      <c r="E61" s="17">
        <v>3690</v>
      </c>
    </row>
    <row r="62" spans="1:30" x14ac:dyDescent="0.35">
      <c r="A62" s="13" t="s">
        <v>329</v>
      </c>
      <c r="B62" s="13" t="s">
        <v>51</v>
      </c>
      <c r="C62" s="43">
        <v>1.85</v>
      </c>
      <c r="D62" s="17">
        <v>500</v>
      </c>
      <c r="E62" s="17">
        <v>925</v>
      </c>
      <c r="R62" s="5"/>
    </row>
    <row r="63" spans="1:30" x14ac:dyDescent="0.35">
      <c r="A63" s="13" t="s">
        <v>329</v>
      </c>
      <c r="B63" s="13" t="s">
        <v>41</v>
      </c>
      <c r="C63" s="43">
        <v>1.05</v>
      </c>
      <c r="D63" s="17">
        <v>1000</v>
      </c>
      <c r="E63" s="17">
        <v>1050</v>
      </c>
    </row>
    <row r="64" spans="1:30" x14ac:dyDescent="0.35">
      <c r="A64" s="13" t="s">
        <v>329</v>
      </c>
      <c r="B64" s="13" t="s">
        <v>94</v>
      </c>
      <c r="C64" s="43">
        <v>1.2</v>
      </c>
      <c r="D64" s="17">
        <v>2800</v>
      </c>
      <c r="E64" s="17">
        <v>3360</v>
      </c>
    </row>
    <row r="65" spans="1:5" x14ac:dyDescent="0.35">
      <c r="A65" s="13" t="s">
        <v>330</v>
      </c>
      <c r="B65" s="13" t="s">
        <v>41</v>
      </c>
      <c r="C65" s="43">
        <v>3.2</v>
      </c>
      <c r="D65" s="17">
        <v>1000</v>
      </c>
      <c r="E65" s="17">
        <v>3200</v>
      </c>
    </row>
    <row r="66" spans="1:5" x14ac:dyDescent="0.35">
      <c r="A66" s="13" t="s">
        <v>330</v>
      </c>
      <c r="B66" s="13" t="s">
        <v>94</v>
      </c>
      <c r="C66" s="43">
        <v>3.35</v>
      </c>
      <c r="D66" s="17">
        <v>2800</v>
      </c>
      <c r="E66" s="17">
        <v>9380</v>
      </c>
    </row>
    <row r="67" spans="1:5" x14ac:dyDescent="0.35">
      <c r="A67" s="13" t="s">
        <v>331</v>
      </c>
      <c r="B67" s="13" t="s">
        <v>18</v>
      </c>
      <c r="C67" s="43">
        <v>2.65</v>
      </c>
      <c r="D67" s="17">
        <v>150</v>
      </c>
      <c r="E67" s="17">
        <v>398</v>
      </c>
    </row>
    <row r="68" spans="1:5" x14ac:dyDescent="0.35">
      <c r="A68" s="13" t="s">
        <v>331</v>
      </c>
      <c r="B68" s="13" t="s">
        <v>39</v>
      </c>
      <c r="C68" s="43">
        <v>0.45</v>
      </c>
      <c r="D68" s="17">
        <v>1500</v>
      </c>
      <c r="E68" s="17">
        <v>675</v>
      </c>
    </row>
    <row r="69" spans="1:5" x14ac:dyDescent="0.35">
      <c r="A69" s="13" t="s">
        <v>331</v>
      </c>
      <c r="B69" s="13" t="s">
        <v>25</v>
      </c>
      <c r="C69" s="43">
        <v>3.45</v>
      </c>
      <c r="D69" s="17">
        <v>1000</v>
      </c>
      <c r="E69" s="17">
        <v>3450</v>
      </c>
    </row>
    <row r="70" spans="1:5" x14ac:dyDescent="0.35">
      <c r="A70" s="13" t="s">
        <v>331</v>
      </c>
      <c r="B70" s="13" t="s">
        <v>126</v>
      </c>
      <c r="C70" s="43">
        <v>1.1000000000000001</v>
      </c>
      <c r="D70" s="17">
        <v>1800</v>
      </c>
      <c r="E70" s="17">
        <v>1980</v>
      </c>
    </row>
    <row r="71" spans="1:5" x14ac:dyDescent="0.35">
      <c r="A71" s="13" t="s">
        <v>331</v>
      </c>
      <c r="B71" s="13" t="s">
        <v>26</v>
      </c>
      <c r="C71" s="43">
        <v>0.35</v>
      </c>
      <c r="D71" s="17">
        <v>1000</v>
      </c>
      <c r="E71" s="17">
        <v>350</v>
      </c>
    </row>
    <row r="72" spans="1:5" x14ac:dyDescent="0.35">
      <c r="A72" s="13" t="s">
        <v>331</v>
      </c>
      <c r="B72" s="13" t="s">
        <v>53</v>
      </c>
      <c r="C72" s="43">
        <v>0.6</v>
      </c>
      <c r="D72" s="17">
        <v>300</v>
      </c>
      <c r="E72" s="17">
        <v>180</v>
      </c>
    </row>
    <row r="73" spans="1:5" x14ac:dyDescent="0.35">
      <c r="A73" s="13" t="s">
        <v>331</v>
      </c>
      <c r="B73" s="13" t="s">
        <v>51</v>
      </c>
      <c r="C73" s="43">
        <v>0.4</v>
      </c>
      <c r="D73" s="17">
        <v>500</v>
      </c>
      <c r="E73" s="17">
        <v>200</v>
      </c>
    </row>
    <row r="74" spans="1:5" x14ac:dyDescent="0.35">
      <c r="A74" s="13" t="s">
        <v>331</v>
      </c>
      <c r="B74" s="13" t="s">
        <v>13</v>
      </c>
      <c r="C74" s="43">
        <v>2.35</v>
      </c>
      <c r="D74" s="17">
        <v>500</v>
      </c>
      <c r="E74" s="17">
        <v>1175</v>
      </c>
    </row>
    <row r="75" spans="1:5" x14ac:dyDescent="0.35">
      <c r="A75" s="13" t="s">
        <v>331</v>
      </c>
      <c r="B75" s="13" t="s">
        <v>263</v>
      </c>
      <c r="C75" s="43">
        <v>1.3</v>
      </c>
      <c r="D75" s="17">
        <v>400</v>
      </c>
      <c r="E75" s="17">
        <v>520</v>
      </c>
    </row>
    <row r="76" spans="1:5" x14ac:dyDescent="0.35">
      <c r="A76" s="13" t="s">
        <v>331</v>
      </c>
      <c r="B76" s="13" t="s">
        <v>41</v>
      </c>
      <c r="C76" s="43">
        <v>1.9</v>
      </c>
      <c r="D76" s="17">
        <v>1000</v>
      </c>
      <c r="E76" s="17">
        <v>1900</v>
      </c>
    </row>
    <row r="77" spans="1:5" x14ac:dyDescent="0.35">
      <c r="A77" s="13" t="s">
        <v>332</v>
      </c>
      <c r="B77" s="13" t="s">
        <v>26</v>
      </c>
      <c r="C77" s="43">
        <v>1.05</v>
      </c>
      <c r="D77" s="17">
        <v>1000</v>
      </c>
      <c r="E77" s="17">
        <v>1050</v>
      </c>
    </row>
    <row r="78" spans="1:5" x14ac:dyDescent="0.35">
      <c r="A78" s="13" t="s">
        <v>332</v>
      </c>
      <c r="B78" s="13" t="s">
        <v>41</v>
      </c>
      <c r="C78" s="43">
        <v>1.1000000000000001</v>
      </c>
      <c r="D78" s="17">
        <v>1000</v>
      </c>
      <c r="E78" s="17">
        <v>1100</v>
      </c>
    </row>
    <row r="79" spans="1:5" x14ac:dyDescent="0.35">
      <c r="A79" s="13" t="s">
        <v>333</v>
      </c>
      <c r="B79" s="13" t="s">
        <v>94</v>
      </c>
      <c r="C79" s="43">
        <v>3</v>
      </c>
      <c r="D79" s="17">
        <v>2800</v>
      </c>
      <c r="E79" s="17">
        <v>8400</v>
      </c>
    </row>
    <row r="80" spans="1:5" x14ac:dyDescent="0.35">
      <c r="A80" s="13" t="s">
        <v>333</v>
      </c>
      <c r="B80" s="13" t="s">
        <v>18</v>
      </c>
      <c r="C80" s="43">
        <v>1.4</v>
      </c>
      <c r="D80" s="17">
        <v>150</v>
      </c>
      <c r="E80" s="17">
        <v>210</v>
      </c>
    </row>
    <row r="81" spans="1:5" x14ac:dyDescent="0.35">
      <c r="A81" s="13" t="s">
        <v>333</v>
      </c>
      <c r="B81" s="13" t="s">
        <v>53</v>
      </c>
      <c r="C81" s="43">
        <v>1.95</v>
      </c>
      <c r="D81" s="17">
        <v>300</v>
      </c>
      <c r="E81" s="17">
        <v>585</v>
      </c>
    </row>
    <row r="82" spans="1:5" x14ac:dyDescent="0.35">
      <c r="A82" s="13" t="s">
        <v>333</v>
      </c>
      <c r="B82" s="13" t="s">
        <v>51</v>
      </c>
      <c r="C82" s="43">
        <v>1.25</v>
      </c>
      <c r="D82" s="17">
        <v>500</v>
      </c>
      <c r="E82" s="17">
        <v>625</v>
      </c>
    </row>
    <row r="83" spans="1:5" x14ac:dyDescent="0.35">
      <c r="A83" s="13" t="s">
        <v>333</v>
      </c>
      <c r="B83" s="13" t="s">
        <v>127</v>
      </c>
      <c r="C83" s="43">
        <v>0.15</v>
      </c>
      <c r="D83" s="17">
        <v>8000</v>
      </c>
      <c r="E83" s="17">
        <v>1200</v>
      </c>
    </row>
    <row r="84" spans="1:5" x14ac:dyDescent="0.35">
      <c r="A84" s="13" t="s">
        <v>333</v>
      </c>
      <c r="B84" s="13" t="s">
        <v>39</v>
      </c>
      <c r="C84" s="43">
        <v>0.05</v>
      </c>
      <c r="D84" s="17">
        <v>1500</v>
      </c>
      <c r="E84" s="17">
        <v>75</v>
      </c>
    </row>
    <row r="85" spans="1:5" x14ac:dyDescent="0.35">
      <c r="A85" s="13" t="s">
        <v>333</v>
      </c>
      <c r="B85" s="13" t="s">
        <v>25</v>
      </c>
      <c r="C85" s="43">
        <v>2.8</v>
      </c>
      <c r="D85" s="17">
        <v>1000</v>
      </c>
      <c r="E85" s="17">
        <v>2800</v>
      </c>
    </row>
    <row r="86" spans="1:5" x14ac:dyDescent="0.35">
      <c r="A86" s="13" t="s">
        <v>333</v>
      </c>
      <c r="B86" s="13" t="s">
        <v>22</v>
      </c>
      <c r="C86" s="43">
        <v>0.6</v>
      </c>
      <c r="D86" s="17">
        <v>1600</v>
      </c>
      <c r="E86" s="17">
        <v>960</v>
      </c>
    </row>
    <row r="87" spans="1:5" x14ac:dyDescent="0.35">
      <c r="A87" s="13" t="s">
        <v>333</v>
      </c>
      <c r="B87" s="13" t="s">
        <v>41</v>
      </c>
      <c r="C87" s="43">
        <v>0.7</v>
      </c>
      <c r="D87" s="17">
        <v>1000</v>
      </c>
      <c r="E87" s="17">
        <v>700</v>
      </c>
    </row>
    <row r="88" spans="1:5" x14ac:dyDescent="0.35">
      <c r="A88" s="13" t="s">
        <v>333</v>
      </c>
      <c r="B88" s="13" t="s">
        <v>60</v>
      </c>
      <c r="C88" s="43">
        <v>0.3</v>
      </c>
      <c r="D88" s="17">
        <v>2500</v>
      </c>
      <c r="E88" s="17">
        <v>750</v>
      </c>
    </row>
    <row r="89" spans="1:5" x14ac:dyDescent="0.35">
      <c r="A89" s="13" t="s">
        <v>334</v>
      </c>
      <c r="B89" s="13" t="s">
        <v>51</v>
      </c>
      <c r="C89" s="43">
        <v>0.35</v>
      </c>
      <c r="D89" s="17">
        <v>500</v>
      </c>
      <c r="E89" s="17">
        <v>175</v>
      </c>
    </row>
    <row r="90" spans="1:5" x14ac:dyDescent="0.35">
      <c r="A90" s="13" t="s">
        <v>334</v>
      </c>
      <c r="B90" s="13" t="s">
        <v>56</v>
      </c>
      <c r="C90" s="43">
        <v>0.1</v>
      </c>
      <c r="D90" s="17">
        <v>500</v>
      </c>
      <c r="E90" s="17">
        <v>50</v>
      </c>
    </row>
    <row r="91" spans="1:5" x14ac:dyDescent="0.35">
      <c r="A91" s="13" t="s">
        <v>334</v>
      </c>
      <c r="B91" s="13" t="s">
        <v>41</v>
      </c>
      <c r="C91" s="43">
        <v>7.6</v>
      </c>
      <c r="D91" s="17">
        <v>1000</v>
      </c>
      <c r="E91" s="17">
        <v>7600</v>
      </c>
    </row>
    <row r="92" spans="1:5" x14ac:dyDescent="0.35">
      <c r="A92" s="13" t="s">
        <v>335</v>
      </c>
      <c r="B92" s="13" t="s">
        <v>41</v>
      </c>
      <c r="C92" s="43">
        <v>1.5</v>
      </c>
      <c r="D92" s="17">
        <v>1000</v>
      </c>
      <c r="E92" s="17">
        <v>1500</v>
      </c>
    </row>
    <row r="93" spans="1:5" x14ac:dyDescent="0.35">
      <c r="A93" s="13" t="s">
        <v>335</v>
      </c>
      <c r="B93" s="13" t="s">
        <v>26</v>
      </c>
      <c r="C93" s="43">
        <v>1.1499999999999999</v>
      </c>
      <c r="D93" s="17">
        <v>1000</v>
      </c>
      <c r="E93" s="17">
        <v>1150</v>
      </c>
    </row>
    <row r="94" spans="1:5" x14ac:dyDescent="0.35">
      <c r="A94" s="13" t="s">
        <v>335</v>
      </c>
      <c r="B94" s="13" t="s">
        <v>53</v>
      </c>
      <c r="C94" s="43">
        <v>0.5</v>
      </c>
      <c r="D94" s="17">
        <v>300</v>
      </c>
      <c r="E94" s="17">
        <v>150</v>
      </c>
    </row>
    <row r="95" spans="1:5" x14ac:dyDescent="0.35">
      <c r="A95" s="13" t="s">
        <v>335</v>
      </c>
      <c r="B95" s="13" t="s">
        <v>13</v>
      </c>
      <c r="C95" s="43">
        <v>0.1</v>
      </c>
      <c r="D95" s="17">
        <v>500</v>
      </c>
      <c r="E95" s="17">
        <v>50</v>
      </c>
    </row>
    <row r="96" spans="1:5" x14ac:dyDescent="0.35">
      <c r="A96" s="13" t="s">
        <v>335</v>
      </c>
      <c r="B96" s="13" t="s">
        <v>94</v>
      </c>
      <c r="C96" s="43">
        <v>1.1499999999999999</v>
      </c>
      <c r="D96" s="17">
        <v>2800</v>
      </c>
      <c r="E96" s="17">
        <v>3220</v>
      </c>
    </row>
    <row r="97" spans="1:5" x14ac:dyDescent="0.35">
      <c r="A97" s="13" t="s">
        <v>336</v>
      </c>
      <c r="B97" s="13" t="s">
        <v>41</v>
      </c>
      <c r="C97" s="43">
        <v>2.35</v>
      </c>
      <c r="D97" s="17">
        <v>1000</v>
      </c>
      <c r="E97" s="17">
        <v>2350</v>
      </c>
    </row>
    <row r="98" spans="1:5" x14ac:dyDescent="0.35">
      <c r="A98" s="13" t="s">
        <v>336</v>
      </c>
      <c r="B98" s="13" t="s">
        <v>13</v>
      </c>
      <c r="C98" s="43">
        <v>0.2</v>
      </c>
      <c r="D98" s="17">
        <v>500</v>
      </c>
      <c r="E98" s="17">
        <v>100</v>
      </c>
    </row>
    <row r="99" spans="1:5" x14ac:dyDescent="0.35">
      <c r="A99" s="13" t="s">
        <v>336</v>
      </c>
      <c r="B99" s="13" t="s">
        <v>51</v>
      </c>
      <c r="C99" s="43">
        <v>0.1</v>
      </c>
      <c r="D99" s="17">
        <v>500</v>
      </c>
      <c r="E99" s="17">
        <v>50</v>
      </c>
    </row>
    <row r="100" spans="1:5" x14ac:dyDescent="0.35">
      <c r="A100" s="13" t="s">
        <v>336</v>
      </c>
      <c r="B100" s="13" t="s">
        <v>60</v>
      </c>
      <c r="C100" s="43">
        <v>0.05</v>
      </c>
      <c r="D100" s="17">
        <v>2500</v>
      </c>
      <c r="E100" s="17">
        <v>125</v>
      </c>
    </row>
    <row r="101" spans="1:5" x14ac:dyDescent="0.35">
      <c r="A101" s="13" t="s">
        <v>336</v>
      </c>
      <c r="B101" s="13" t="s">
        <v>53</v>
      </c>
      <c r="C101" s="43">
        <v>0.2</v>
      </c>
      <c r="D101" s="17">
        <v>300</v>
      </c>
      <c r="E101" s="17">
        <v>60</v>
      </c>
    </row>
    <row r="102" spans="1:5" x14ac:dyDescent="0.35">
      <c r="A102" s="13" t="s">
        <v>336</v>
      </c>
      <c r="B102" s="13" t="s">
        <v>25</v>
      </c>
      <c r="C102" s="43">
        <v>0.85</v>
      </c>
      <c r="D102" s="17">
        <v>1000</v>
      </c>
      <c r="E102" s="17">
        <v>850</v>
      </c>
    </row>
    <row r="103" spans="1:5" x14ac:dyDescent="0.35">
      <c r="A103" s="13" t="s">
        <v>336</v>
      </c>
      <c r="B103" s="13" t="s">
        <v>22</v>
      </c>
      <c r="C103" s="43">
        <v>1.2</v>
      </c>
      <c r="D103" s="17">
        <v>1600</v>
      </c>
      <c r="E103" s="17">
        <v>1920</v>
      </c>
    </row>
    <row r="104" spans="1:5" x14ac:dyDescent="0.35">
      <c r="A104" s="13" t="s">
        <v>336</v>
      </c>
      <c r="B104" s="13" t="s">
        <v>94</v>
      </c>
      <c r="C104" s="43">
        <v>0.5</v>
      </c>
      <c r="D104" s="17">
        <v>2800</v>
      </c>
      <c r="E104" s="17">
        <v>1400</v>
      </c>
    </row>
    <row r="105" spans="1:5" x14ac:dyDescent="0.35">
      <c r="A105" s="13" t="s">
        <v>337</v>
      </c>
      <c r="B105" s="13" t="s">
        <v>60</v>
      </c>
      <c r="C105" s="43">
        <v>0.15</v>
      </c>
      <c r="D105" s="17">
        <v>2500</v>
      </c>
      <c r="E105" s="17">
        <v>375</v>
      </c>
    </row>
    <row r="106" spans="1:5" x14ac:dyDescent="0.35">
      <c r="A106" s="13" t="s">
        <v>337</v>
      </c>
      <c r="B106" s="13" t="s">
        <v>53</v>
      </c>
      <c r="C106" s="43">
        <v>1.2</v>
      </c>
      <c r="D106" s="17">
        <v>300</v>
      </c>
      <c r="E106" s="17">
        <v>360</v>
      </c>
    </row>
    <row r="107" spans="1:5" x14ac:dyDescent="0.35">
      <c r="A107" s="13" t="s">
        <v>337</v>
      </c>
      <c r="B107" s="13" t="s">
        <v>51</v>
      </c>
      <c r="C107" s="43">
        <v>0.15</v>
      </c>
      <c r="D107" s="17">
        <v>500</v>
      </c>
      <c r="E107" s="17">
        <v>75</v>
      </c>
    </row>
    <row r="108" spans="1:5" x14ac:dyDescent="0.35">
      <c r="A108" s="13" t="s">
        <v>337</v>
      </c>
      <c r="B108" s="13" t="s">
        <v>22</v>
      </c>
      <c r="C108" s="43">
        <v>0.8</v>
      </c>
      <c r="D108" s="17">
        <v>1600</v>
      </c>
      <c r="E108" s="17">
        <v>1280</v>
      </c>
    </row>
    <row r="109" spans="1:5" x14ac:dyDescent="0.35">
      <c r="A109" s="13" t="s">
        <v>337</v>
      </c>
      <c r="B109" s="13" t="s">
        <v>94</v>
      </c>
      <c r="C109" s="43">
        <v>1.45</v>
      </c>
      <c r="D109" s="17">
        <v>2800</v>
      </c>
      <c r="E109" s="17">
        <v>4060</v>
      </c>
    </row>
    <row r="110" spans="1:5" x14ac:dyDescent="0.35">
      <c r="A110" s="13" t="s">
        <v>337</v>
      </c>
      <c r="B110" s="13" t="s">
        <v>41</v>
      </c>
      <c r="C110" s="43">
        <v>6.85</v>
      </c>
      <c r="D110" s="17">
        <v>1000</v>
      </c>
      <c r="E110" s="17">
        <v>6850</v>
      </c>
    </row>
    <row r="111" spans="1:5" x14ac:dyDescent="0.35">
      <c r="A111" s="13" t="s">
        <v>338</v>
      </c>
      <c r="B111" s="13" t="s">
        <v>26</v>
      </c>
      <c r="C111" s="43">
        <v>0.8</v>
      </c>
      <c r="D111" s="17">
        <v>1000</v>
      </c>
      <c r="E111" s="17">
        <v>800</v>
      </c>
    </row>
    <row r="112" spans="1:5" x14ac:dyDescent="0.35">
      <c r="A112" s="13" t="s">
        <v>338</v>
      </c>
      <c r="B112" s="13" t="s">
        <v>22</v>
      </c>
      <c r="C112" s="43">
        <v>0.8</v>
      </c>
      <c r="D112" s="17">
        <v>1600</v>
      </c>
      <c r="E112" s="17">
        <v>1280</v>
      </c>
    </row>
    <row r="113" spans="1:5" x14ac:dyDescent="0.35">
      <c r="A113" s="13" t="s">
        <v>338</v>
      </c>
      <c r="B113" s="13" t="s">
        <v>53</v>
      </c>
      <c r="C113" s="43">
        <v>1.35</v>
      </c>
      <c r="D113" s="17">
        <v>300</v>
      </c>
      <c r="E113" s="17">
        <v>405</v>
      </c>
    </row>
    <row r="114" spans="1:5" x14ac:dyDescent="0.35">
      <c r="A114" s="13" t="s">
        <v>338</v>
      </c>
      <c r="B114" s="13" t="s">
        <v>41</v>
      </c>
      <c r="C114" s="43">
        <v>3.85</v>
      </c>
      <c r="D114" s="17">
        <v>1000</v>
      </c>
      <c r="E114" s="17">
        <v>3850</v>
      </c>
    </row>
    <row r="115" spans="1:5" x14ac:dyDescent="0.35">
      <c r="A115" s="13" t="s">
        <v>339</v>
      </c>
      <c r="B115" s="13" t="s">
        <v>51</v>
      </c>
      <c r="C115" s="43">
        <v>1.8</v>
      </c>
      <c r="D115" s="17">
        <v>500</v>
      </c>
      <c r="E115" s="17">
        <v>900</v>
      </c>
    </row>
    <row r="116" spans="1:5" x14ac:dyDescent="0.35">
      <c r="A116" s="13" t="s">
        <v>339</v>
      </c>
      <c r="B116" s="13" t="s">
        <v>26</v>
      </c>
      <c r="C116" s="43">
        <v>0.85</v>
      </c>
      <c r="D116" s="17">
        <v>1000</v>
      </c>
      <c r="E116" s="17">
        <v>850</v>
      </c>
    </row>
    <row r="117" spans="1:5" x14ac:dyDescent="0.35">
      <c r="A117" s="13" t="s">
        <v>339</v>
      </c>
      <c r="B117" s="13" t="s">
        <v>13</v>
      </c>
      <c r="C117" s="43">
        <v>0.2</v>
      </c>
      <c r="D117" s="17">
        <v>500</v>
      </c>
      <c r="E117" s="17">
        <v>100</v>
      </c>
    </row>
    <row r="118" spans="1:5" x14ac:dyDescent="0.35">
      <c r="A118" s="13" t="s">
        <v>339</v>
      </c>
      <c r="B118" s="13" t="s">
        <v>53</v>
      </c>
      <c r="C118" s="43">
        <v>0.9</v>
      </c>
      <c r="D118" s="17">
        <v>300</v>
      </c>
      <c r="E118" s="17">
        <v>270</v>
      </c>
    </row>
    <row r="119" spans="1:5" x14ac:dyDescent="0.35">
      <c r="A119" s="13" t="s">
        <v>339</v>
      </c>
      <c r="B119" s="13" t="s">
        <v>293</v>
      </c>
      <c r="C119" s="43">
        <v>0.7</v>
      </c>
      <c r="D119" s="17">
        <v>1400</v>
      </c>
      <c r="E119" s="17">
        <v>980</v>
      </c>
    </row>
    <row r="120" spans="1:5" x14ac:dyDescent="0.35">
      <c r="A120" s="13" t="s">
        <v>339</v>
      </c>
      <c r="B120" s="13" t="s">
        <v>61</v>
      </c>
      <c r="C120" s="43">
        <v>0.63</v>
      </c>
      <c r="D120" s="17">
        <v>3500</v>
      </c>
      <c r="E120" s="17">
        <v>2205</v>
      </c>
    </row>
    <row r="121" spans="1:5" x14ac:dyDescent="0.35">
      <c r="A121" s="13" t="s">
        <v>339</v>
      </c>
      <c r="B121" s="13" t="s">
        <v>29</v>
      </c>
      <c r="C121" s="43">
        <v>0.65</v>
      </c>
      <c r="D121" s="17">
        <v>1600</v>
      </c>
      <c r="E121" s="17">
        <v>1040</v>
      </c>
    </row>
    <row r="122" spans="1:5" x14ac:dyDescent="0.35">
      <c r="A122" s="13" t="s">
        <v>340</v>
      </c>
      <c r="B122" s="13" t="s">
        <v>41</v>
      </c>
      <c r="C122" s="43">
        <v>13.65</v>
      </c>
      <c r="D122" s="17">
        <v>1000</v>
      </c>
      <c r="E122" s="17">
        <v>13650</v>
      </c>
    </row>
    <row r="123" spans="1:5" x14ac:dyDescent="0.35">
      <c r="A123" s="13" t="s">
        <v>340</v>
      </c>
      <c r="B123" s="13" t="s">
        <v>293</v>
      </c>
      <c r="C123" s="43">
        <v>1.4</v>
      </c>
      <c r="D123" s="17">
        <v>1400</v>
      </c>
      <c r="E123" s="17">
        <v>1960</v>
      </c>
    </row>
    <row r="124" spans="1:5" x14ac:dyDescent="0.35">
      <c r="A124" s="13" t="s">
        <v>340</v>
      </c>
      <c r="B124" s="13" t="s">
        <v>18</v>
      </c>
      <c r="C124" s="43">
        <v>0.4</v>
      </c>
      <c r="D124" s="17">
        <v>150</v>
      </c>
      <c r="E124" s="17">
        <v>60</v>
      </c>
    </row>
    <row r="125" spans="1:5" x14ac:dyDescent="0.35">
      <c r="A125" s="13" t="s">
        <v>340</v>
      </c>
      <c r="B125" s="13" t="s">
        <v>266</v>
      </c>
      <c r="C125" s="43">
        <v>1.05</v>
      </c>
      <c r="D125" s="17">
        <v>1000</v>
      </c>
      <c r="E125" s="17">
        <v>1050</v>
      </c>
    </row>
    <row r="126" spans="1:5" x14ac:dyDescent="0.35">
      <c r="A126" s="13" t="s">
        <v>340</v>
      </c>
      <c r="B126" s="13" t="s">
        <v>39</v>
      </c>
      <c r="C126" s="43">
        <v>0.2</v>
      </c>
      <c r="D126" s="17">
        <v>1500</v>
      </c>
      <c r="E126" s="17">
        <v>300</v>
      </c>
    </row>
    <row r="127" spans="1:5" x14ac:dyDescent="0.35">
      <c r="A127" s="13" t="s">
        <v>340</v>
      </c>
      <c r="B127" s="13" t="s">
        <v>25</v>
      </c>
      <c r="C127" s="43">
        <v>1.3</v>
      </c>
      <c r="D127" s="17">
        <v>1000</v>
      </c>
      <c r="E127" s="17">
        <v>1300</v>
      </c>
    </row>
    <row r="128" spans="1:5" x14ac:dyDescent="0.35">
      <c r="A128" s="13" t="s">
        <v>340</v>
      </c>
      <c r="B128" s="13" t="s">
        <v>15</v>
      </c>
      <c r="C128" s="43">
        <v>0.45</v>
      </c>
      <c r="D128" s="17">
        <v>2500</v>
      </c>
      <c r="E128" s="17">
        <v>1125</v>
      </c>
    </row>
    <row r="129" spans="1:5" x14ac:dyDescent="0.35">
      <c r="A129" s="13" t="s">
        <v>340</v>
      </c>
      <c r="B129" s="13" t="s">
        <v>13</v>
      </c>
      <c r="C129" s="43">
        <v>1.95</v>
      </c>
      <c r="D129" s="17">
        <v>500</v>
      </c>
      <c r="E129" s="17">
        <v>975</v>
      </c>
    </row>
    <row r="130" spans="1:5" x14ac:dyDescent="0.35">
      <c r="A130" s="13" t="s">
        <v>340</v>
      </c>
      <c r="B130" s="13" t="s">
        <v>60</v>
      </c>
      <c r="C130" s="43">
        <v>0.5</v>
      </c>
      <c r="D130" s="17">
        <v>2500</v>
      </c>
      <c r="E130" s="17">
        <v>1250</v>
      </c>
    </row>
    <row r="131" spans="1:5" x14ac:dyDescent="0.35">
      <c r="A131" s="13" t="s">
        <v>340</v>
      </c>
      <c r="B131" s="13" t="s">
        <v>26</v>
      </c>
      <c r="C131" s="43">
        <v>2.65</v>
      </c>
      <c r="D131" s="17">
        <v>1000</v>
      </c>
      <c r="E131" s="17">
        <v>2650</v>
      </c>
    </row>
    <row r="132" spans="1:5" x14ac:dyDescent="0.35">
      <c r="A132" s="13" t="s">
        <v>340</v>
      </c>
      <c r="B132" s="13" t="s">
        <v>29</v>
      </c>
      <c r="C132" s="43">
        <v>0.55000000000000004</v>
      </c>
      <c r="D132" s="17">
        <v>1600</v>
      </c>
      <c r="E132" s="17">
        <v>880</v>
      </c>
    </row>
    <row r="133" spans="1:5" x14ac:dyDescent="0.35">
      <c r="A133" s="13" t="s">
        <v>340</v>
      </c>
      <c r="B133" s="13" t="s">
        <v>94</v>
      </c>
      <c r="C133" s="43">
        <v>2.6</v>
      </c>
      <c r="D133" s="17">
        <v>2800</v>
      </c>
      <c r="E133" s="17">
        <v>7280</v>
      </c>
    </row>
    <row r="134" spans="1:5" x14ac:dyDescent="0.35">
      <c r="A134" s="13" t="s">
        <v>341</v>
      </c>
      <c r="B134" s="13" t="s">
        <v>51</v>
      </c>
      <c r="C134" s="43">
        <v>1.1499999999999999</v>
      </c>
      <c r="D134" s="17">
        <v>500</v>
      </c>
      <c r="E134" s="17">
        <v>575</v>
      </c>
    </row>
    <row r="135" spans="1:5" x14ac:dyDescent="0.35">
      <c r="A135" s="13" t="s">
        <v>341</v>
      </c>
      <c r="B135" s="13" t="s">
        <v>60</v>
      </c>
      <c r="C135" s="43">
        <v>0.35</v>
      </c>
      <c r="D135" s="17">
        <v>2500</v>
      </c>
      <c r="E135" s="17">
        <v>875</v>
      </c>
    </row>
    <row r="136" spans="1:5" x14ac:dyDescent="0.35">
      <c r="A136" s="13" t="s">
        <v>341</v>
      </c>
      <c r="B136" s="13" t="s">
        <v>53</v>
      </c>
      <c r="C136" s="43">
        <v>0.2</v>
      </c>
      <c r="D136" s="17">
        <v>300</v>
      </c>
      <c r="E136" s="17">
        <v>60</v>
      </c>
    </row>
    <row r="137" spans="1:5" x14ac:dyDescent="0.35">
      <c r="A137" s="13" t="s">
        <v>341</v>
      </c>
      <c r="B137" s="13" t="s">
        <v>13</v>
      </c>
      <c r="C137" s="43">
        <v>0.6</v>
      </c>
      <c r="D137" s="17">
        <v>500</v>
      </c>
      <c r="E137" s="17">
        <v>300</v>
      </c>
    </row>
    <row r="138" spans="1:5" x14ac:dyDescent="0.35">
      <c r="A138" s="13" t="s">
        <v>341</v>
      </c>
      <c r="B138" s="13" t="s">
        <v>94</v>
      </c>
      <c r="C138" s="43">
        <v>0.63</v>
      </c>
      <c r="D138" s="17">
        <v>2800</v>
      </c>
      <c r="E138" s="17">
        <v>1764</v>
      </c>
    </row>
    <row r="139" spans="1:5" x14ac:dyDescent="0.35">
      <c r="A139" s="13" t="s">
        <v>341</v>
      </c>
      <c r="B139" s="13" t="s">
        <v>266</v>
      </c>
      <c r="C139" s="43">
        <v>0.55000000000000004</v>
      </c>
      <c r="D139" s="17">
        <v>1000</v>
      </c>
      <c r="E139" s="17">
        <v>550</v>
      </c>
    </row>
    <row r="140" spans="1:5" x14ac:dyDescent="0.35">
      <c r="A140" s="13" t="s">
        <v>341</v>
      </c>
      <c r="B140" s="13" t="s">
        <v>18</v>
      </c>
      <c r="C140" s="43">
        <v>0.9</v>
      </c>
      <c r="D140" s="17">
        <v>150</v>
      </c>
      <c r="E140" s="17">
        <v>135</v>
      </c>
    </row>
    <row r="141" spans="1:5" x14ac:dyDescent="0.35">
      <c r="A141" s="13" t="s">
        <v>341</v>
      </c>
      <c r="B141" s="13" t="s">
        <v>25</v>
      </c>
      <c r="C141" s="43">
        <v>6.05</v>
      </c>
      <c r="D141" s="17">
        <v>1000</v>
      </c>
      <c r="E141" s="17">
        <v>6050</v>
      </c>
    </row>
    <row r="142" spans="1:5" x14ac:dyDescent="0.35">
      <c r="A142" s="13" t="s">
        <v>341</v>
      </c>
      <c r="B142" s="13" t="s">
        <v>39</v>
      </c>
      <c r="C142" s="43">
        <v>0.65</v>
      </c>
      <c r="D142" s="17">
        <v>1500</v>
      </c>
      <c r="E142" s="17">
        <v>975</v>
      </c>
    </row>
    <row r="143" spans="1:5" x14ac:dyDescent="0.35">
      <c r="A143" s="13" t="s">
        <v>341</v>
      </c>
      <c r="B143" s="13" t="s">
        <v>125</v>
      </c>
      <c r="C143" s="43">
        <v>5.15</v>
      </c>
      <c r="D143" s="17">
        <v>800</v>
      </c>
      <c r="E143" s="17">
        <v>4120</v>
      </c>
    </row>
    <row r="144" spans="1:5" x14ac:dyDescent="0.35">
      <c r="A144" s="13" t="s">
        <v>341</v>
      </c>
      <c r="B144" s="13" t="s">
        <v>126</v>
      </c>
      <c r="C144" s="43">
        <v>0.25</v>
      </c>
      <c r="D144" s="17">
        <v>1800</v>
      </c>
      <c r="E144" s="17">
        <v>450</v>
      </c>
    </row>
    <row r="145" spans="1:5" x14ac:dyDescent="0.35">
      <c r="A145" s="13" t="s">
        <v>341</v>
      </c>
      <c r="B145" s="13" t="s">
        <v>56</v>
      </c>
      <c r="C145" s="43">
        <v>0.2</v>
      </c>
      <c r="D145" s="17">
        <v>500</v>
      </c>
      <c r="E145" s="17">
        <v>100</v>
      </c>
    </row>
    <row r="146" spans="1:5" x14ac:dyDescent="0.35">
      <c r="A146" s="13" t="s">
        <v>341</v>
      </c>
      <c r="B146" s="13" t="s">
        <v>55</v>
      </c>
      <c r="C146" s="43">
        <v>2.6</v>
      </c>
      <c r="D146" s="17">
        <v>700</v>
      </c>
      <c r="E146" s="17">
        <v>1820</v>
      </c>
    </row>
    <row r="147" spans="1:5" x14ac:dyDescent="0.35">
      <c r="A147" s="13" t="s">
        <v>341</v>
      </c>
      <c r="B147" s="13" t="s">
        <v>15</v>
      </c>
      <c r="C147" s="43">
        <v>3.1</v>
      </c>
      <c r="D147" s="17">
        <v>2500</v>
      </c>
      <c r="E147" s="17">
        <v>7750</v>
      </c>
    </row>
    <row r="148" spans="1:5" x14ac:dyDescent="0.35">
      <c r="A148" s="13" t="s">
        <v>341</v>
      </c>
      <c r="B148" s="13" t="s">
        <v>41</v>
      </c>
      <c r="C148" s="43">
        <v>10.55</v>
      </c>
      <c r="D148" s="17">
        <v>1000</v>
      </c>
      <c r="E148" s="17">
        <v>10550</v>
      </c>
    </row>
    <row r="149" spans="1:5" x14ac:dyDescent="0.35">
      <c r="A149" s="13" t="s">
        <v>342</v>
      </c>
      <c r="B149" s="13" t="s">
        <v>22</v>
      </c>
      <c r="C149" s="43">
        <v>1.35</v>
      </c>
      <c r="D149" s="17">
        <v>1600</v>
      </c>
      <c r="E149" s="17">
        <v>2160</v>
      </c>
    </row>
    <row r="150" spans="1:5" x14ac:dyDescent="0.35">
      <c r="A150" s="13" t="s">
        <v>342</v>
      </c>
      <c r="B150" s="13" t="s">
        <v>15</v>
      </c>
      <c r="C150" s="43">
        <v>0.8</v>
      </c>
      <c r="D150" s="17">
        <v>2500</v>
      </c>
      <c r="E150" s="17">
        <v>2000</v>
      </c>
    </row>
    <row r="151" spans="1:5" x14ac:dyDescent="0.35">
      <c r="A151" s="13" t="s">
        <v>342</v>
      </c>
      <c r="B151" s="13" t="s">
        <v>51</v>
      </c>
      <c r="C151" s="43">
        <v>0.8</v>
      </c>
      <c r="D151" s="17">
        <v>500</v>
      </c>
      <c r="E151" s="17">
        <v>400</v>
      </c>
    </row>
    <row r="152" spans="1:5" x14ac:dyDescent="0.35">
      <c r="A152" s="13" t="s">
        <v>342</v>
      </c>
      <c r="B152" s="13" t="s">
        <v>25</v>
      </c>
      <c r="C152" s="43">
        <v>1.25</v>
      </c>
      <c r="D152" s="17">
        <v>1000</v>
      </c>
      <c r="E152" s="17">
        <v>1250</v>
      </c>
    </row>
    <row r="153" spans="1:5" x14ac:dyDescent="0.35">
      <c r="A153" s="13" t="s">
        <v>342</v>
      </c>
      <c r="B153" s="13" t="s">
        <v>126</v>
      </c>
      <c r="C153" s="43">
        <v>0.45</v>
      </c>
      <c r="D153" s="17">
        <v>1800</v>
      </c>
      <c r="E153" s="17">
        <v>810</v>
      </c>
    </row>
    <row r="154" spans="1:5" x14ac:dyDescent="0.35">
      <c r="A154" s="13" t="s">
        <v>342</v>
      </c>
      <c r="B154" s="13" t="s">
        <v>18</v>
      </c>
      <c r="C154" s="43">
        <v>0.4</v>
      </c>
      <c r="D154" s="17">
        <v>150</v>
      </c>
      <c r="E154" s="17">
        <v>60</v>
      </c>
    </row>
    <row r="155" spans="1:5" x14ac:dyDescent="0.35">
      <c r="A155" s="13" t="s">
        <v>343</v>
      </c>
      <c r="B155" s="13" t="s">
        <v>34</v>
      </c>
      <c r="C155" s="43">
        <v>6</v>
      </c>
      <c r="D155" s="17">
        <v>5000</v>
      </c>
      <c r="E155" s="17">
        <v>30000</v>
      </c>
    </row>
    <row r="156" spans="1:5" x14ac:dyDescent="0.35">
      <c r="A156" s="13" t="s">
        <v>343</v>
      </c>
      <c r="B156" s="13" t="s">
        <v>51</v>
      </c>
      <c r="C156" s="43">
        <v>0.3</v>
      </c>
      <c r="D156" s="17">
        <v>500</v>
      </c>
      <c r="E156" s="17">
        <v>150</v>
      </c>
    </row>
    <row r="157" spans="1:5" x14ac:dyDescent="0.35">
      <c r="A157" s="13" t="s">
        <v>343</v>
      </c>
      <c r="B157" s="13" t="s">
        <v>41</v>
      </c>
      <c r="C157" s="43">
        <v>1.65</v>
      </c>
      <c r="D157" s="17">
        <v>1000</v>
      </c>
      <c r="E157" s="17">
        <v>1650</v>
      </c>
    </row>
    <row r="158" spans="1:5" x14ac:dyDescent="0.35">
      <c r="A158" s="13" t="s">
        <v>343</v>
      </c>
      <c r="B158" s="13" t="s">
        <v>125</v>
      </c>
      <c r="C158" s="43">
        <v>10.5</v>
      </c>
      <c r="D158" s="17">
        <v>800</v>
      </c>
      <c r="E158" s="17">
        <v>8400</v>
      </c>
    </row>
    <row r="159" spans="1:5" x14ac:dyDescent="0.35">
      <c r="A159" s="13" t="s">
        <v>343</v>
      </c>
      <c r="B159" s="13" t="s">
        <v>25</v>
      </c>
      <c r="C159" s="43">
        <v>4.2</v>
      </c>
      <c r="D159" s="17">
        <v>1000</v>
      </c>
      <c r="E159" s="17">
        <v>4200</v>
      </c>
    </row>
    <row r="160" spans="1:5" x14ac:dyDescent="0.35">
      <c r="A160" s="13" t="s">
        <v>343</v>
      </c>
      <c r="B160" s="13" t="s">
        <v>53</v>
      </c>
      <c r="C160" s="43">
        <v>2.75</v>
      </c>
      <c r="D160" s="17">
        <v>300</v>
      </c>
      <c r="E160" s="17">
        <v>825</v>
      </c>
    </row>
    <row r="161" spans="1:5" x14ac:dyDescent="0.35">
      <c r="A161" s="13" t="s">
        <v>343</v>
      </c>
      <c r="B161" s="13" t="s">
        <v>39</v>
      </c>
      <c r="C161" s="43">
        <v>0.9</v>
      </c>
      <c r="D161" s="17">
        <v>1500</v>
      </c>
      <c r="E161" s="17">
        <v>1350</v>
      </c>
    </row>
    <row r="162" spans="1:5" x14ac:dyDescent="0.35">
      <c r="A162" s="13" t="s">
        <v>344</v>
      </c>
      <c r="B162" s="13" t="s">
        <v>94</v>
      </c>
      <c r="C162" s="43">
        <v>0.85</v>
      </c>
      <c r="D162" s="17">
        <v>2800</v>
      </c>
      <c r="E162" s="17">
        <v>2380</v>
      </c>
    </row>
    <row r="163" spans="1:5" x14ac:dyDescent="0.35">
      <c r="A163" s="13" t="s">
        <v>344</v>
      </c>
      <c r="B163" s="13" t="s">
        <v>25</v>
      </c>
      <c r="C163" s="43">
        <v>0.4</v>
      </c>
      <c r="D163" s="17">
        <v>1000</v>
      </c>
      <c r="E163" s="17">
        <v>400</v>
      </c>
    </row>
    <row r="164" spans="1:5" x14ac:dyDescent="0.35">
      <c r="A164" s="13" t="s">
        <v>344</v>
      </c>
      <c r="B164" s="13" t="s">
        <v>53</v>
      </c>
      <c r="C164" s="43">
        <v>0.45</v>
      </c>
      <c r="D164" s="17">
        <v>300</v>
      </c>
      <c r="E164" s="17">
        <v>135</v>
      </c>
    </row>
    <row r="165" spans="1:5" x14ac:dyDescent="0.35">
      <c r="A165" s="13" t="s">
        <v>344</v>
      </c>
      <c r="B165" s="13" t="s">
        <v>13</v>
      </c>
      <c r="C165" s="43">
        <v>0.1</v>
      </c>
      <c r="D165" s="17">
        <v>500</v>
      </c>
      <c r="E165" s="17">
        <v>50</v>
      </c>
    </row>
    <row r="166" spans="1:5" x14ac:dyDescent="0.35">
      <c r="A166" s="13" t="s">
        <v>344</v>
      </c>
      <c r="B166" s="13" t="s">
        <v>39</v>
      </c>
      <c r="C166" s="43">
        <v>0.5</v>
      </c>
      <c r="D166" s="17">
        <v>1500</v>
      </c>
      <c r="E166" s="17">
        <v>750</v>
      </c>
    </row>
    <row r="167" spans="1:5" x14ac:dyDescent="0.35">
      <c r="A167" s="13" t="s">
        <v>344</v>
      </c>
      <c r="B167" s="13" t="s">
        <v>60</v>
      </c>
      <c r="C167" s="43">
        <v>0.15</v>
      </c>
      <c r="D167" s="17">
        <v>2500</v>
      </c>
      <c r="E167" s="17">
        <v>375</v>
      </c>
    </row>
    <row r="168" spans="1:5" x14ac:dyDescent="0.35">
      <c r="A168" s="13" t="s">
        <v>345</v>
      </c>
      <c r="B168" s="13" t="s">
        <v>13</v>
      </c>
      <c r="C168" s="43">
        <v>0.5</v>
      </c>
      <c r="D168" s="17">
        <v>500</v>
      </c>
      <c r="E168" s="17">
        <v>250</v>
      </c>
    </row>
    <row r="169" spans="1:5" x14ac:dyDescent="0.35">
      <c r="A169" s="13" t="s">
        <v>345</v>
      </c>
      <c r="B169" s="13" t="s">
        <v>61</v>
      </c>
      <c r="C169" s="43">
        <v>0.35</v>
      </c>
      <c r="D169" s="17">
        <v>3500</v>
      </c>
      <c r="E169" s="17">
        <v>1225</v>
      </c>
    </row>
    <row r="170" spans="1:5" x14ac:dyDescent="0.35">
      <c r="A170" s="13" t="s">
        <v>345</v>
      </c>
      <c r="B170" s="13" t="s">
        <v>60</v>
      </c>
      <c r="C170" s="43">
        <v>0.45</v>
      </c>
      <c r="D170" s="17">
        <v>2500</v>
      </c>
      <c r="E170" s="17">
        <v>1125</v>
      </c>
    </row>
    <row r="171" spans="1:5" x14ac:dyDescent="0.35">
      <c r="A171" s="13" t="s">
        <v>345</v>
      </c>
      <c r="B171" s="13" t="s">
        <v>53</v>
      </c>
      <c r="C171" s="43">
        <v>1.1499999999999999</v>
      </c>
      <c r="D171" s="17">
        <v>300</v>
      </c>
      <c r="E171" s="17">
        <v>345</v>
      </c>
    </row>
    <row r="172" spans="1:5" x14ac:dyDescent="0.35">
      <c r="A172" s="13" t="s">
        <v>345</v>
      </c>
      <c r="B172" s="13" t="s">
        <v>25</v>
      </c>
      <c r="C172" s="43">
        <v>1.25</v>
      </c>
      <c r="D172" s="17">
        <v>1000</v>
      </c>
      <c r="E172" s="17">
        <v>1250</v>
      </c>
    </row>
    <row r="173" spans="1:5" x14ac:dyDescent="0.35">
      <c r="A173" s="13" t="s">
        <v>345</v>
      </c>
      <c r="B173" s="13" t="s">
        <v>125</v>
      </c>
      <c r="C173" s="43">
        <v>3.45</v>
      </c>
      <c r="D173" s="17">
        <v>800</v>
      </c>
      <c r="E173" s="17">
        <v>2760</v>
      </c>
    </row>
    <row r="174" spans="1:5" x14ac:dyDescent="0.35">
      <c r="A174" s="13" t="s">
        <v>345</v>
      </c>
      <c r="B174" s="13" t="s">
        <v>26</v>
      </c>
      <c r="C174" s="43">
        <v>2.95</v>
      </c>
      <c r="D174" s="17">
        <v>1000</v>
      </c>
      <c r="E174" s="17">
        <v>2950</v>
      </c>
    </row>
    <row r="175" spans="1:5" x14ac:dyDescent="0.35">
      <c r="A175" s="13" t="s">
        <v>345</v>
      </c>
      <c r="B175" s="13" t="s">
        <v>51</v>
      </c>
      <c r="C175" s="43">
        <v>3.8</v>
      </c>
      <c r="D175" s="17">
        <v>500</v>
      </c>
      <c r="E175" s="17">
        <v>1900</v>
      </c>
    </row>
    <row r="176" spans="1:5" x14ac:dyDescent="0.35">
      <c r="A176" s="13" t="s">
        <v>345</v>
      </c>
      <c r="B176" s="13" t="s">
        <v>34</v>
      </c>
      <c r="C176" s="43">
        <v>2.7</v>
      </c>
      <c r="D176" s="17">
        <v>5000</v>
      </c>
      <c r="E176" s="17">
        <v>13500</v>
      </c>
    </row>
    <row r="177" spans="1:5" x14ac:dyDescent="0.35">
      <c r="A177" s="13" t="s">
        <v>345</v>
      </c>
      <c r="B177" s="13" t="s">
        <v>29</v>
      </c>
      <c r="C177" s="43">
        <v>0.5</v>
      </c>
      <c r="D177" s="17">
        <v>1600</v>
      </c>
      <c r="E177" s="17">
        <v>800</v>
      </c>
    </row>
    <row r="178" spans="1:5" x14ac:dyDescent="0.35">
      <c r="A178" s="13" t="s">
        <v>345</v>
      </c>
      <c r="B178" s="13" t="s">
        <v>41</v>
      </c>
      <c r="C178" s="43">
        <v>3.65</v>
      </c>
      <c r="D178" s="17">
        <v>1000</v>
      </c>
      <c r="E178" s="17">
        <v>3650</v>
      </c>
    </row>
    <row r="179" spans="1:5" x14ac:dyDescent="0.35">
      <c r="A179" s="13" t="s">
        <v>345</v>
      </c>
      <c r="B179" s="13" t="s">
        <v>94</v>
      </c>
      <c r="C179" s="43">
        <v>6.4</v>
      </c>
      <c r="D179" s="17">
        <v>2800</v>
      </c>
      <c r="E179" s="17">
        <v>17920</v>
      </c>
    </row>
    <row r="180" spans="1:5" x14ac:dyDescent="0.35">
      <c r="A180" s="13" t="s">
        <v>346</v>
      </c>
      <c r="B180" s="13" t="s">
        <v>53</v>
      </c>
      <c r="C180" s="43">
        <v>0.25</v>
      </c>
      <c r="D180" s="17">
        <v>300</v>
      </c>
      <c r="E180" s="17">
        <v>75</v>
      </c>
    </row>
    <row r="181" spans="1:5" x14ac:dyDescent="0.35">
      <c r="A181" s="13" t="s">
        <v>346</v>
      </c>
      <c r="B181" s="13" t="s">
        <v>94</v>
      </c>
      <c r="C181" s="43">
        <v>0.25</v>
      </c>
      <c r="D181" s="17">
        <v>2800</v>
      </c>
      <c r="E181" s="17">
        <v>700</v>
      </c>
    </row>
    <row r="182" spans="1:5" x14ac:dyDescent="0.35">
      <c r="A182" s="13" t="s">
        <v>346</v>
      </c>
      <c r="B182" s="13" t="s">
        <v>25</v>
      </c>
      <c r="C182" s="43">
        <v>0.8</v>
      </c>
      <c r="D182" s="17">
        <v>1000</v>
      </c>
      <c r="E182" s="17">
        <v>800</v>
      </c>
    </row>
    <row r="183" spans="1:5" x14ac:dyDescent="0.35">
      <c r="A183" s="13" t="s">
        <v>346</v>
      </c>
      <c r="B183" s="13" t="s">
        <v>34</v>
      </c>
      <c r="C183" s="43">
        <v>0.7</v>
      </c>
      <c r="D183" s="17">
        <v>5000</v>
      </c>
      <c r="E183" s="17">
        <v>3500</v>
      </c>
    </row>
    <row r="184" spans="1:5" x14ac:dyDescent="0.35">
      <c r="A184" s="13" t="s">
        <v>346</v>
      </c>
      <c r="B184" s="13" t="s">
        <v>18</v>
      </c>
      <c r="C184" s="43">
        <v>0.55000000000000004</v>
      </c>
      <c r="D184" s="17">
        <v>150</v>
      </c>
      <c r="E184" s="17">
        <v>83</v>
      </c>
    </row>
    <row r="185" spans="1:5" x14ac:dyDescent="0.35">
      <c r="A185" s="13" t="s">
        <v>346</v>
      </c>
      <c r="B185" s="13" t="s">
        <v>127</v>
      </c>
      <c r="C185" s="43">
        <v>0.2</v>
      </c>
      <c r="D185" s="17">
        <v>8000</v>
      </c>
      <c r="E185" s="17">
        <v>1600</v>
      </c>
    </row>
    <row r="186" spans="1:5" x14ac:dyDescent="0.35">
      <c r="A186" s="13" t="s">
        <v>347</v>
      </c>
      <c r="B186" s="13" t="s">
        <v>26</v>
      </c>
      <c r="C186" s="43">
        <v>5.3</v>
      </c>
      <c r="D186" s="17">
        <v>1000</v>
      </c>
      <c r="E186" s="17">
        <v>5300</v>
      </c>
    </row>
    <row r="187" spans="1:5" x14ac:dyDescent="0.35">
      <c r="A187" s="13" t="s">
        <v>347</v>
      </c>
      <c r="B187" s="13" t="s">
        <v>22</v>
      </c>
      <c r="C187" s="43">
        <v>1.25</v>
      </c>
      <c r="D187" s="17">
        <v>1600</v>
      </c>
      <c r="E187" s="17">
        <v>2000</v>
      </c>
    </row>
    <row r="188" spans="1:5" x14ac:dyDescent="0.35">
      <c r="A188" s="13" t="s">
        <v>347</v>
      </c>
      <c r="B188" s="13" t="s">
        <v>94</v>
      </c>
      <c r="C188" s="43">
        <v>2.4</v>
      </c>
      <c r="D188" s="17">
        <v>2800</v>
      </c>
      <c r="E188" s="17">
        <v>6720</v>
      </c>
    </row>
    <row r="189" spans="1:5" x14ac:dyDescent="0.35">
      <c r="A189" s="13" t="s">
        <v>347</v>
      </c>
      <c r="B189" s="13" t="s">
        <v>34</v>
      </c>
      <c r="C189" s="43">
        <v>6.35</v>
      </c>
      <c r="D189" s="17">
        <v>5000</v>
      </c>
      <c r="E189" s="17">
        <v>31750</v>
      </c>
    </row>
    <row r="190" spans="1:5" x14ac:dyDescent="0.35">
      <c r="A190" s="13" t="s">
        <v>348</v>
      </c>
      <c r="B190" s="13" t="s">
        <v>25</v>
      </c>
      <c r="C190" s="43">
        <v>0.65</v>
      </c>
      <c r="D190" s="17">
        <v>1000</v>
      </c>
      <c r="E190" s="17">
        <v>650</v>
      </c>
    </row>
    <row r="191" spans="1:5" x14ac:dyDescent="0.35">
      <c r="A191" s="13" t="s">
        <v>348</v>
      </c>
      <c r="B191" s="13" t="s">
        <v>60</v>
      </c>
      <c r="C191" s="43">
        <v>0.15</v>
      </c>
      <c r="D191" s="17">
        <v>2500</v>
      </c>
      <c r="E191" s="17">
        <v>375</v>
      </c>
    </row>
    <row r="192" spans="1:5" x14ac:dyDescent="0.35">
      <c r="A192" s="13" t="s">
        <v>348</v>
      </c>
      <c r="B192" s="13" t="s">
        <v>53</v>
      </c>
      <c r="C192" s="43">
        <v>0.55000000000000004</v>
      </c>
      <c r="D192" s="17">
        <v>300</v>
      </c>
      <c r="E192" s="17">
        <v>165</v>
      </c>
    </row>
    <row r="193" spans="1:5" x14ac:dyDescent="0.35">
      <c r="A193" s="13" t="s">
        <v>348</v>
      </c>
      <c r="B193" s="13" t="s">
        <v>13</v>
      </c>
      <c r="C193" s="43">
        <v>0.45</v>
      </c>
      <c r="D193" s="17">
        <v>500</v>
      </c>
      <c r="E193" s="17">
        <v>225</v>
      </c>
    </row>
    <row r="194" spans="1:5" x14ac:dyDescent="0.35">
      <c r="A194" s="13" t="s">
        <v>348</v>
      </c>
      <c r="B194" s="13" t="s">
        <v>51</v>
      </c>
      <c r="C194" s="43">
        <v>0.65</v>
      </c>
      <c r="D194" s="17">
        <v>500</v>
      </c>
      <c r="E194" s="17">
        <v>325</v>
      </c>
    </row>
    <row r="195" spans="1:5" x14ac:dyDescent="0.35">
      <c r="A195" s="13" t="s">
        <v>348</v>
      </c>
      <c r="B195" s="13" t="s">
        <v>94</v>
      </c>
      <c r="C195" s="43">
        <v>0.4</v>
      </c>
      <c r="D195" s="17">
        <v>2800</v>
      </c>
      <c r="E195" s="17">
        <v>1120</v>
      </c>
    </row>
    <row r="196" spans="1:5" x14ac:dyDescent="0.35">
      <c r="A196" s="13" t="s">
        <v>349</v>
      </c>
      <c r="B196" s="13" t="s">
        <v>51</v>
      </c>
      <c r="C196" s="43">
        <v>2.4</v>
      </c>
      <c r="D196" s="17">
        <v>500</v>
      </c>
      <c r="E196" s="17">
        <v>1200</v>
      </c>
    </row>
    <row r="197" spans="1:5" x14ac:dyDescent="0.35">
      <c r="A197" s="13" t="s">
        <v>349</v>
      </c>
      <c r="B197" s="13" t="s">
        <v>26</v>
      </c>
      <c r="C197" s="43">
        <v>3.5</v>
      </c>
      <c r="D197" s="17">
        <v>1000</v>
      </c>
      <c r="E197" s="17">
        <v>3500</v>
      </c>
    </row>
    <row r="198" spans="1:5" x14ac:dyDescent="0.35">
      <c r="A198" s="13" t="s">
        <v>349</v>
      </c>
      <c r="B198" s="13" t="s">
        <v>94</v>
      </c>
      <c r="C198" s="43">
        <v>1.9</v>
      </c>
      <c r="D198" s="17">
        <v>2800</v>
      </c>
      <c r="E198" s="17">
        <v>5320</v>
      </c>
    </row>
    <row r="199" spans="1:5" x14ac:dyDescent="0.35">
      <c r="A199" s="13" t="s">
        <v>349</v>
      </c>
      <c r="B199" s="13" t="s">
        <v>53</v>
      </c>
      <c r="C199" s="43">
        <v>0.35</v>
      </c>
      <c r="D199" s="17">
        <v>300</v>
      </c>
      <c r="E199" s="17">
        <v>105</v>
      </c>
    </row>
    <row r="200" spans="1:5" x14ac:dyDescent="0.35">
      <c r="A200" s="13" t="s">
        <v>349</v>
      </c>
      <c r="B200" s="13" t="s">
        <v>25</v>
      </c>
      <c r="C200" s="43">
        <v>3.45</v>
      </c>
      <c r="D200" s="17">
        <v>1000</v>
      </c>
      <c r="E200" s="17">
        <v>3450</v>
      </c>
    </row>
    <row r="201" spans="1:5" x14ac:dyDescent="0.35">
      <c r="A201" s="13" t="s">
        <v>349</v>
      </c>
      <c r="B201" s="13" t="s">
        <v>39</v>
      </c>
      <c r="C201" s="43">
        <v>0.5</v>
      </c>
      <c r="D201" s="17">
        <v>1500</v>
      </c>
      <c r="E201" s="17">
        <v>750</v>
      </c>
    </row>
    <row r="202" spans="1:5" x14ac:dyDescent="0.35">
      <c r="A202" s="13" t="s">
        <v>349</v>
      </c>
      <c r="B202" s="13" t="s">
        <v>41</v>
      </c>
      <c r="C202" s="43">
        <v>3.65</v>
      </c>
      <c r="D202" s="17">
        <v>1000</v>
      </c>
      <c r="E202" s="17">
        <v>3650</v>
      </c>
    </row>
    <row r="203" spans="1:5" x14ac:dyDescent="0.35">
      <c r="A203" s="13" t="s">
        <v>349</v>
      </c>
      <c r="B203" s="13" t="s">
        <v>18</v>
      </c>
      <c r="C203" s="43">
        <v>0.65</v>
      </c>
      <c r="D203" s="17">
        <v>150</v>
      </c>
      <c r="E203" s="17">
        <v>98</v>
      </c>
    </row>
    <row r="204" spans="1:5" x14ac:dyDescent="0.35">
      <c r="A204" s="13" t="s">
        <v>350</v>
      </c>
      <c r="B204" s="13" t="s">
        <v>26</v>
      </c>
      <c r="C204" s="43">
        <v>0.8</v>
      </c>
      <c r="D204" s="17">
        <v>1000</v>
      </c>
      <c r="E204" s="17">
        <v>800</v>
      </c>
    </row>
    <row r="205" spans="1:5" x14ac:dyDescent="0.35">
      <c r="A205" s="13" t="s">
        <v>350</v>
      </c>
      <c r="B205" s="13" t="s">
        <v>53</v>
      </c>
      <c r="C205" s="43">
        <v>0.35</v>
      </c>
      <c r="D205" s="17">
        <v>300</v>
      </c>
      <c r="E205" s="17">
        <v>105</v>
      </c>
    </row>
    <row r="206" spans="1:5" x14ac:dyDescent="0.35">
      <c r="A206" s="13" t="s">
        <v>350</v>
      </c>
      <c r="B206" s="13" t="s">
        <v>25</v>
      </c>
      <c r="C206" s="43">
        <v>1.65</v>
      </c>
      <c r="D206" s="17">
        <v>1000</v>
      </c>
      <c r="E206" s="17">
        <v>1650</v>
      </c>
    </row>
    <row r="207" spans="1:5" x14ac:dyDescent="0.35">
      <c r="A207" s="13" t="s">
        <v>350</v>
      </c>
      <c r="B207" s="13" t="s">
        <v>39</v>
      </c>
      <c r="C207" s="43">
        <v>0.3</v>
      </c>
      <c r="D207" s="17">
        <v>1500</v>
      </c>
      <c r="E207" s="17">
        <v>450</v>
      </c>
    </row>
    <row r="208" spans="1:5" x14ac:dyDescent="0.35">
      <c r="A208" s="13" t="s">
        <v>350</v>
      </c>
      <c r="B208" s="13" t="s">
        <v>94</v>
      </c>
      <c r="C208" s="43">
        <v>0.2</v>
      </c>
      <c r="D208" s="17">
        <v>2800</v>
      </c>
      <c r="E208" s="17">
        <v>560</v>
      </c>
    </row>
    <row r="209" spans="1:5" x14ac:dyDescent="0.35">
      <c r="A209" s="13" t="s">
        <v>350</v>
      </c>
      <c r="B209" s="13" t="s">
        <v>13</v>
      </c>
      <c r="C209" s="43">
        <v>0.1</v>
      </c>
      <c r="D209" s="17">
        <v>500</v>
      </c>
      <c r="E209" s="17">
        <v>50</v>
      </c>
    </row>
    <row r="210" spans="1:5" x14ac:dyDescent="0.35">
      <c r="A210" s="13" t="s">
        <v>350</v>
      </c>
      <c r="B210" s="13" t="s">
        <v>41</v>
      </c>
      <c r="C210" s="43">
        <v>0.55000000000000004</v>
      </c>
      <c r="D210" s="17">
        <v>1000</v>
      </c>
      <c r="E210" s="17">
        <v>550</v>
      </c>
    </row>
    <row r="211" spans="1:5" x14ac:dyDescent="0.35">
      <c r="A211" s="13" t="s">
        <v>350</v>
      </c>
      <c r="B211" s="13" t="s">
        <v>51</v>
      </c>
      <c r="C211" s="43">
        <v>2.5499999999999998</v>
      </c>
      <c r="D211" s="17">
        <v>500</v>
      </c>
      <c r="E211" s="17">
        <v>1275</v>
      </c>
    </row>
    <row r="212" spans="1:5" x14ac:dyDescent="0.35">
      <c r="A212" s="13" t="s">
        <v>351</v>
      </c>
      <c r="B212" s="13" t="s">
        <v>18</v>
      </c>
      <c r="C212" s="43">
        <v>0.15</v>
      </c>
      <c r="D212" s="17">
        <v>150</v>
      </c>
      <c r="E212" s="17">
        <v>23</v>
      </c>
    </row>
    <row r="213" spans="1:5" x14ac:dyDescent="0.35">
      <c r="A213" s="13" t="s">
        <v>351</v>
      </c>
      <c r="B213" s="13" t="s">
        <v>94</v>
      </c>
      <c r="C213" s="43">
        <v>0.1</v>
      </c>
      <c r="D213" s="17">
        <v>2800</v>
      </c>
      <c r="E213" s="17">
        <v>280</v>
      </c>
    </row>
    <row r="214" spans="1:5" x14ac:dyDescent="0.35">
      <c r="A214" s="13" t="s">
        <v>351</v>
      </c>
      <c r="B214" s="13" t="s">
        <v>25</v>
      </c>
      <c r="C214" s="43">
        <v>0.5</v>
      </c>
      <c r="D214" s="17">
        <v>1000</v>
      </c>
      <c r="E214" s="17">
        <v>500</v>
      </c>
    </row>
    <row r="215" spans="1:5" x14ac:dyDescent="0.35">
      <c r="A215" s="13" t="s">
        <v>351</v>
      </c>
      <c r="B215" s="13" t="s">
        <v>13</v>
      </c>
      <c r="C215" s="43">
        <v>0.7</v>
      </c>
      <c r="D215" s="17">
        <v>500</v>
      </c>
      <c r="E215" s="17">
        <v>350</v>
      </c>
    </row>
    <row r="216" spans="1:5" x14ac:dyDescent="0.35">
      <c r="A216" s="13" t="s">
        <v>351</v>
      </c>
      <c r="B216" s="13" t="s">
        <v>39</v>
      </c>
      <c r="C216" s="43">
        <v>1.5</v>
      </c>
      <c r="D216" s="17">
        <v>1500</v>
      </c>
      <c r="E216" s="17">
        <v>2250</v>
      </c>
    </row>
    <row r="217" spans="1:5" x14ac:dyDescent="0.35">
      <c r="A217" s="13" t="s">
        <v>351</v>
      </c>
      <c r="B217" s="13" t="s">
        <v>51</v>
      </c>
      <c r="C217" s="43">
        <v>0.95</v>
      </c>
      <c r="D217" s="17">
        <v>500</v>
      </c>
      <c r="E217" s="17">
        <v>475</v>
      </c>
    </row>
    <row r="218" spans="1:5" x14ac:dyDescent="0.35">
      <c r="A218" s="13" t="s">
        <v>318</v>
      </c>
      <c r="B218" s="13" t="s">
        <v>18</v>
      </c>
      <c r="C218" s="43">
        <v>0.3</v>
      </c>
      <c r="D218" s="17">
        <v>150</v>
      </c>
      <c r="E218" s="17">
        <v>45</v>
      </c>
    </row>
    <row r="219" spans="1:5" x14ac:dyDescent="0.35">
      <c r="A219" s="13" t="s">
        <v>318</v>
      </c>
      <c r="B219" s="13" t="s">
        <v>39</v>
      </c>
      <c r="C219" s="43">
        <v>0.85</v>
      </c>
      <c r="D219" s="17">
        <v>1500</v>
      </c>
      <c r="E219" s="17">
        <v>1275</v>
      </c>
    </row>
    <row r="220" spans="1:5" x14ac:dyDescent="0.35">
      <c r="A220" s="13" t="s">
        <v>318</v>
      </c>
      <c r="B220" s="13" t="s">
        <v>53</v>
      </c>
      <c r="C220" s="43">
        <v>0.45</v>
      </c>
      <c r="D220" s="17">
        <v>300</v>
      </c>
      <c r="E220" s="17">
        <v>135</v>
      </c>
    </row>
    <row r="221" spans="1:5" x14ac:dyDescent="0.35">
      <c r="A221" s="13" t="s">
        <v>318</v>
      </c>
      <c r="B221" s="13" t="s">
        <v>94</v>
      </c>
      <c r="C221" s="43">
        <v>2.7</v>
      </c>
      <c r="D221" s="17">
        <v>2800</v>
      </c>
      <c r="E221" s="17">
        <v>7560</v>
      </c>
    </row>
    <row r="222" spans="1:5" x14ac:dyDescent="0.35">
      <c r="A222" s="13" t="s">
        <v>318</v>
      </c>
      <c r="B222" s="13" t="s">
        <v>9</v>
      </c>
      <c r="C222" s="43">
        <v>1</v>
      </c>
      <c r="D222" s="17">
        <v>6000</v>
      </c>
      <c r="E222" s="17">
        <v>6000</v>
      </c>
    </row>
    <row r="223" spans="1:5" x14ac:dyDescent="0.35">
      <c r="A223" s="13" t="s">
        <v>318</v>
      </c>
      <c r="B223" s="13" t="s">
        <v>51</v>
      </c>
      <c r="C223" s="43">
        <v>1.3</v>
      </c>
      <c r="D223" s="17">
        <v>500</v>
      </c>
      <c r="E223" s="17">
        <v>650</v>
      </c>
    </row>
    <row r="224" spans="1:5" x14ac:dyDescent="0.35">
      <c r="A224" s="13" t="s">
        <v>318</v>
      </c>
      <c r="B224" s="13" t="s">
        <v>22</v>
      </c>
      <c r="C224" s="43">
        <v>1</v>
      </c>
      <c r="D224" s="17">
        <v>1600</v>
      </c>
      <c r="E224" s="17">
        <v>1600</v>
      </c>
    </row>
    <row r="225" spans="1:5" x14ac:dyDescent="0.35">
      <c r="A225" s="13" t="s">
        <v>318</v>
      </c>
      <c r="B225" s="13" t="s">
        <v>60</v>
      </c>
      <c r="C225" s="43">
        <v>0.25</v>
      </c>
      <c r="D225" s="17">
        <v>2500</v>
      </c>
      <c r="E225" s="17">
        <v>625</v>
      </c>
    </row>
    <row r="226" spans="1:5" x14ac:dyDescent="0.35">
      <c r="A226" s="13" t="s">
        <v>318</v>
      </c>
      <c r="B226" s="13" t="s">
        <v>15</v>
      </c>
      <c r="C226" s="43">
        <v>2.2000000000000002</v>
      </c>
      <c r="D226" s="17">
        <v>2500</v>
      </c>
      <c r="E226" s="17">
        <v>5500</v>
      </c>
    </row>
    <row r="227" spans="1:5" x14ac:dyDescent="0.35">
      <c r="A227" s="13" t="s">
        <v>318</v>
      </c>
      <c r="B227" s="13" t="s">
        <v>25</v>
      </c>
      <c r="C227" s="43">
        <v>4.7</v>
      </c>
      <c r="D227" s="17">
        <v>1000</v>
      </c>
      <c r="E227" s="17">
        <v>4700</v>
      </c>
    </row>
    <row r="228" spans="1:5" x14ac:dyDescent="0.35">
      <c r="A228" s="13" t="s">
        <v>318</v>
      </c>
      <c r="B228" s="13" t="s">
        <v>126</v>
      </c>
      <c r="C228" s="43">
        <v>1.1499999999999999</v>
      </c>
      <c r="D228" s="17">
        <v>1800</v>
      </c>
      <c r="E228" s="17">
        <v>2070</v>
      </c>
    </row>
    <row r="229" spans="1:5" x14ac:dyDescent="0.35">
      <c r="A229" s="13" t="s">
        <v>318</v>
      </c>
      <c r="B229" s="13" t="s">
        <v>293</v>
      </c>
      <c r="C229" s="43">
        <v>0.7</v>
      </c>
      <c r="D229" s="17">
        <v>1400</v>
      </c>
      <c r="E229" s="17">
        <v>980</v>
      </c>
    </row>
    <row r="230" spans="1:5" x14ac:dyDescent="0.35">
      <c r="A230" s="13" t="s">
        <v>352</v>
      </c>
      <c r="B230" s="13" t="s">
        <v>39</v>
      </c>
      <c r="C230" s="43">
        <v>0.3</v>
      </c>
      <c r="D230" s="17">
        <v>1500</v>
      </c>
      <c r="E230" s="17">
        <v>450</v>
      </c>
    </row>
    <row r="231" spans="1:5" x14ac:dyDescent="0.35">
      <c r="A231" s="13" t="s">
        <v>352</v>
      </c>
      <c r="B231" s="13" t="s">
        <v>41</v>
      </c>
      <c r="C231" s="43">
        <v>2.4</v>
      </c>
      <c r="D231" s="17">
        <v>1000</v>
      </c>
      <c r="E231" s="17">
        <v>2400</v>
      </c>
    </row>
    <row r="232" spans="1:5" x14ac:dyDescent="0.35">
      <c r="A232" s="13" t="s">
        <v>352</v>
      </c>
      <c r="B232" s="13" t="s">
        <v>53</v>
      </c>
      <c r="C232" s="43">
        <v>0.6</v>
      </c>
      <c r="D232" s="17">
        <v>300</v>
      </c>
      <c r="E232" s="17">
        <v>180</v>
      </c>
    </row>
    <row r="233" spans="1:5" x14ac:dyDescent="0.35">
      <c r="A233" s="13" t="s">
        <v>352</v>
      </c>
      <c r="B233" s="13" t="s">
        <v>25</v>
      </c>
      <c r="C233" s="43">
        <v>12.55</v>
      </c>
      <c r="D233" s="17">
        <v>1000</v>
      </c>
      <c r="E233" s="17">
        <v>12550</v>
      </c>
    </row>
    <row r="234" spans="1:5" x14ac:dyDescent="0.35">
      <c r="A234" s="13" t="s">
        <v>352</v>
      </c>
      <c r="B234" s="13" t="s">
        <v>51</v>
      </c>
      <c r="C234" s="43">
        <v>1.2</v>
      </c>
      <c r="D234" s="17">
        <v>500</v>
      </c>
      <c r="E234" s="17">
        <v>600</v>
      </c>
    </row>
    <row r="235" spans="1:5" x14ac:dyDescent="0.35">
      <c r="A235" s="13" t="s">
        <v>353</v>
      </c>
      <c r="B235" s="13" t="s">
        <v>41</v>
      </c>
      <c r="C235" s="43">
        <v>2.5499999999999998</v>
      </c>
      <c r="D235" s="17">
        <v>1000</v>
      </c>
      <c r="E235" s="17">
        <v>2550</v>
      </c>
    </row>
    <row r="236" spans="1:5" x14ac:dyDescent="0.35">
      <c r="A236" s="13" t="s">
        <v>353</v>
      </c>
      <c r="B236" s="13" t="s">
        <v>25</v>
      </c>
      <c r="C236" s="43">
        <v>0.85</v>
      </c>
      <c r="D236" s="17">
        <v>1000</v>
      </c>
      <c r="E236" s="17">
        <v>850</v>
      </c>
    </row>
    <row r="237" spans="1:5" x14ac:dyDescent="0.35">
      <c r="A237" s="13" t="s">
        <v>353</v>
      </c>
      <c r="B237" s="13" t="s">
        <v>60</v>
      </c>
      <c r="C237" s="43">
        <v>0.2</v>
      </c>
      <c r="D237" s="17">
        <v>2500</v>
      </c>
      <c r="E237" s="17">
        <v>500</v>
      </c>
    </row>
    <row r="238" spans="1:5" x14ac:dyDescent="0.35">
      <c r="A238" s="13" t="s">
        <v>353</v>
      </c>
      <c r="B238" s="13" t="s">
        <v>94</v>
      </c>
      <c r="C238" s="43">
        <v>1.95</v>
      </c>
      <c r="D238" s="17">
        <v>2800</v>
      </c>
      <c r="E238" s="17">
        <v>5460</v>
      </c>
    </row>
    <row r="239" spans="1:5" x14ac:dyDescent="0.35">
      <c r="A239" s="13" t="s">
        <v>353</v>
      </c>
      <c r="B239" s="13" t="s">
        <v>53</v>
      </c>
      <c r="C239" s="43">
        <v>0.8</v>
      </c>
      <c r="D239" s="17">
        <v>300</v>
      </c>
      <c r="E239" s="17">
        <v>240</v>
      </c>
    </row>
    <row r="240" spans="1:5" x14ac:dyDescent="0.35">
      <c r="A240" s="13" t="s">
        <v>353</v>
      </c>
      <c r="B240" s="13" t="s">
        <v>13</v>
      </c>
      <c r="C240" s="43">
        <v>0.35</v>
      </c>
      <c r="D240" s="17">
        <v>500</v>
      </c>
      <c r="E240" s="17">
        <v>175</v>
      </c>
    </row>
    <row r="241" spans="1:5" x14ac:dyDescent="0.35">
      <c r="A241" s="13" t="s">
        <v>354</v>
      </c>
      <c r="B241" s="13" t="s">
        <v>51</v>
      </c>
      <c r="C241" s="43">
        <v>0.35</v>
      </c>
      <c r="D241" s="17">
        <v>500</v>
      </c>
      <c r="E241" s="17">
        <v>175</v>
      </c>
    </row>
    <row r="242" spans="1:5" x14ac:dyDescent="0.35">
      <c r="A242" s="13" t="s">
        <v>354</v>
      </c>
      <c r="B242" s="13" t="s">
        <v>125</v>
      </c>
      <c r="C242" s="43">
        <v>0.7</v>
      </c>
      <c r="D242" s="17">
        <v>800</v>
      </c>
      <c r="E242" s="17">
        <v>560</v>
      </c>
    </row>
    <row r="243" spans="1:5" x14ac:dyDescent="0.35">
      <c r="A243" s="13" t="s">
        <v>354</v>
      </c>
      <c r="B243" s="13" t="s">
        <v>41</v>
      </c>
      <c r="C243" s="43">
        <v>0.9</v>
      </c>
      <c r="D243" s="17">
        <v>1000</v>
      </c>
      <c r="E243" s="17">
        <v>900</v>
      </c>
    </row>
    <row r="244" spans="1:5" x14ac:dyDescent="0.35">
      <c r="A244" s="13" t="s">
        <v>354</v>
      </c>
      <c r="B244" s="13" t="s">
        <v>13</v>
      </c>
      <c r="C244" s="43">
        <v>0.3</v>
      </c>
      <c r="D244" s="17">
        <v>500</v>
      </c>
      <c r="E244" s="17">
        <v>150</v>
      </c>
    </row>
    <row r="245" spans="1:5" x14ac:dyDescent="0.35">
      <c r="A245" s="13" t="s">
        <v>354</v>
      </c>
      <c r="B245" s="13" t="s">
        <v>39</v>
      </c>
      <c r="C245" s="43">
        <v>0.5</v>
      </c>
      <c r="D245" s="17">
        <v>1500</v>
      </c>
      <c r="E245" s="17">
        <v>750</v>
      </c>
    </row>
    <row r="246" spans="1:5" x14ac:dyDescent="0.35">
      <c r="A246" s="13" t="s">
        <v>354</v>
      </c>
      <c r="B246" s="13" t="s">
        <v>25</v>
      </c>
      <c r="C246" s="43">
        <v>0.55000000000000004</v>
      </c>
      <c r="D246" s="17">
        <v>1000</v>
      </c>
      <c r="E246" s="17">
        <v>550</v>
      </c>
    </row>
    <row r="247" spans="1:5" x14ac:dyDescent="0.35">
      <c r="A247" s="13" t="s">
        <v>354</v>
      </c>
      <c r="B247" s="13" t="s">
        <v>94</v>
      </c>
      <c r="C247" s="43">
        <v>2.25</v>
      </c>
      <c r="D247" s="17">
        <v>2800</v>
      </c>
      <c r="E247" s="17">
        <v>6300</v>
      </c>
    </row>
    <row r="248" spans="1:5" x14ac:dyDescent="0.35">
      <c r="A248" s="13" t="s">
        <v>355</v>
      </c>
      <c r="B248" s="13" t="s">
        <v>13</v>
      </c>
      <c r="C248" s="43">
        <v>0.4</v>
      </c>
      <c r="D248" s="17">
        <v>500</v>
      </c>
      <c r="E248" s="17">
        <v>200</v>
      </c>
    </row>
    <row r="249" spans="1:5" x14ac:dyDescent="0.35">
      <c r="A249" s="13" t="s">
        <v>355</v>
      </c>
      <c r="B249" s="13" t="s">
        <v>53</v>
      </c>
      <c r="C249" s="43">
        <v>2.7</v>
      </c>
      <c r="D249" s="17">
        <v>300</v>
      </c>
      <c r="E249" s="17">
        <v>810</v>
      </c>
    </row>
    <row r="250" spans="1:5" x14ac:dyDescent="0.35">
      <c r="A250" s="13" t="s">
        <v>355</v>
      </c>
      <c r="B250" s="13" t="s">
        <v>9</v>
      </c>
      <c r="C250" s="43">
        <v>1.7</v>
      </c>
      <c r="D250" s="17">
        <v>6000</v>
      </c>
      <c r="E250" s="17">
        <v>10200</v>
      </c>
    </row>
    <row r="251" spans="1:5" x14ac:dyDescent="0.35">
      <c r="A251" s="13" t="s">
        <v>355</v>
      </c>
      <c r="B251" s="13" t="s">
        <v>41</v>
      </c>
      <c r="C251" s="43">
        <v>2.0499999999999998</v>
      </c>
      <c r="D251" s="17">
        <v>1000</v>
      </c>
      <c r="E251" s="17">
        <v>2050</v>
      </c>
    </row>
    <row r="252" spans="1:5" x14ac:dyDescent="0.35">
      <c r="A252" s="13" t="s">
        <v>355</v>
      </c>
      <c r="B252" s="13" t="s">
        <v>25</v>
      </c>
      <c r="C252" s="43">
        <v>2.5499999999999998</v>
      </c>
      <c r="D252" s="17">
        <v>1000</v>
      </c>
      <c r="E252" s="17">
        <v>2550</v>
      </c>
    </row>
    <row r="253" spans="1:5" x14ac:dyDescent="0.35">
      <c r="A253" s="13" t="s">
        <v>355</v>
      </c>
      <c r="B253" s="13" t="s">
        <v>94</v>
      </c>
      <c r="C253" s="43">
        <v>1.55</v>
      </c>
      <c r="D253" s="17">
        <v>2800</v>
      </c>
      <c r="E253" s="17">
        <v>4340</v>
      </c>
    </row>
    <row r="254" spans="1:5" x14ac:dyDescent="0.35">
      <c r="A254" s="13" t="s">
        <v>356</v>
      </c>
      <c r="B254" s="13" t="s">
        <v>41</v>
      </c>
      <c r="C254" s="43">
        <v>6.05</v>
      </c>
      <c r="D254" s="17">
        <v>1000</v>
      </c>
      <c r="E254" s="17">
        <v>6050</v>
      </c>
    </row>
    <row r="255" spans="1:5" x14ac:dyDescent="0.35">
      <c r="A255" s="13" t="s">
        <v>356</v>
      </c>
      <c r="B255" s="13" t="s">
        <v>15</v>
      </c>
      <c r="C255" s="43">
        <v>0.25</v>
      </c>
      <c r="D255" s="17">
        <v>2500</v>
      </c>
      <c r="E255" s="17">
        <v>625</v>
      </c>
    </row>
    <row r="256" spans="1:5" x14ac:dyDescent="0.35">
      <c r="A256" s="13" t="s">
        <v>356</v>
      </c>
      <c r="B256" s="13" t="s">
        <v>13</v>
      </c>
      <c r="C256" s="43">
        <v>0.85</v>
      </c>
      <c r="D256" s="17">
        <v>500</v>
      </c>
      <c r="E256" s="17">
        <v>425</v>
      </c>
    </row>
    <row r="257" spans="1:5" x14ac:dyDescent="0.35">
      <c r="A257" s="13" t="s">
        <v>356</v>
      </c>
      <c r="B257" s="13" t="s">
        <v>25</v>
      </c>
      <c r="C257" s="43">
        <v>1.5</v>
      </c>
      <c r="D257" s="17">
        <v>1000</v>
      </c>
      <c r="E257" s="17">
        <v>1500</v>
      </c>
    </row>
    <row r="258" spans="1:5" x14ac:dyDescent="0.35">
      <c r="A258" s="13" t="s">
        <v>356</v>
      </c>
      <c r="B258" s="13" t="s">
        <v>53</v>
      </c>
      <c r="C258" s="43">
        <v>0.95</v>
      </c>
      <c r="D258" s="17">
        <v>300</v>
      </c>
      <c r="E258" s="17">
        <v>285</v>
      </c>
    </row>
    <row r="259" spans="1:5" x14ac:dyDescent="0.35">
      <c r="A259" s="13" t="s">
        <v>356</v>
      </c>
      <c r="B259" s="13" t="s">
        <v>18</v>
      </c>
      <c r="C259" s="43">
        <v>1.85</v>
      </c>
      <c r="D259" s="17">
        <v>150</v>
      </c>
      <c r="E259" s="17">
        <v>278</v>
      </c>
    </row>
    <row r="260" spans="1:5" x14ac:dyDescent="0.35">
      <c r="A260" s="13" t="s">
        <v>356</v>
      </c>
      <c r="B260" s="13" t="s">
        <v>39</v>
      </c>
      <c r="C260" s="43">
        <v>0.6</v>
      </c>
      <c r="D260" s="17">
        <v>1500</v>
      </c>
      <c r="E260" s="17">
        <v>900</v>
      </c>
    </row>
    <row r="261" spans="1:5" x14ac:dyDescent="0.35">
      <c r="A261" s="13" t="s">
        <v>356</v>
      </c>
      <c r="B261" s="13" t="s">
        <v>60</v>
      </c>
      <c r="C261" s="43">
        <v>0.55000000000000004</v>
      </c>
      <c r="D261" s="17">
        <v>2500</v>
      </c>
      <c r="E261" s="17">
        <v>1375</v>
      </c>
    </row>
    <row r="262" spans="1:5" x14ac:dyDescent="0.35">
      <c r="A262" s="13" t="s">
        <v>356</v>
      </c>
      <c r="B262" s="13" t="s">
        <v>94</v>
      </c>
      <c r="C262" s="43">
        <v>1.95</v>
      </c>
      <c r="D262" s="17">
        <v>2800</v>
      </c>
      <c r="E262" s="17">
        <v>5460</v>
      </c>
    </row>
    <row r="263" spans="1:5" x14ac:dyDescent="0.35">
      <c r="A263" s="13" t="s">
        <v>357</v>
      </c>
      <c r="B263" s="13" t="s">
        <v>126</v>
      </c>
      <c r="C263" s="43">
        <v>0.45</v>
      </c>
      <c r="D263" s="17">
        <v>1800</v>
      </c>
      <c r="E263" s="17">
        <v>810</v>
      </c>
    </row>
    <row r="264" spans="1:5" x14ac:dyDescent="0.35">
      <c r="A264" s="13" t="s">
        <v>357</v>
      </c>
      <c r="B264" s="13" t="s">
        <v>60</v>
      </c>
      <c r="C264" s="43">
        <v>0.55000000000000004</v>
      </c>
      <c r="D264" s="17">
        <v>2500</v>
      </c>
      <c r="E264" s="17">
        <v>1375</v>
      </c>
    </row>
    <row r="265" spans="1:5" x14ac:dyDescent="0.35">
      <c r="A265" s="13" t="s">
        <v>357</v>
      </c>
      <c r="B265" s="13" t="s">
        <v>100</v>
      </c>
      <c r="C265" s="43">
        <v>7.15</v>
      </c>
      <c r="D265" s="17">
        <v>1400</v>
      </c>
      <c r="E265" s="17">
        <v>10010</v>
      </c>
    </row>
    <row r="266" spans="1:5" x14ac:dyDescent="0.35">
      <c r="A266" s="13" t="s">
        <v>357</v>
      </c>
      <c r="B266" s="13" t="s">
        <v>125</v>
      </c>
      <c r="C266" s="43">
        <v>4.4000000000000004</v>
      </c>
      <c r="D266" s="17">
        <v>800</v>
      </c>
      <c r="E266" s="17">
        <v>3520</v>
      </c>
    </row>
    <row r="267" spans="1:5" x14ac:dyDescent="0.35">
      <c r="A267" s="13" t="s">
        <v>357</v>
      </c>
      <c r="B267" s="13" t="s">
        <v>51</v>
      </c>
      <c r="C267" s="43">
        <v>2.1</v>
      </c>
      <c r="D267" s="17">
        <v>500</v>
      </c>
      <c r="E267" s="17">
        <v>1050</v>
      </c>
    </row>
    <row r="268" spans="1:5" x14ac:dyDescent="0.35">
      <c r="A268" s="13" t="s">
        <v>357</v>
      </c>
      <c r="B268" s="13" t="s">
        <v>18</v>
      </c>
      <c r="C268" s="43">
        <v>6.9</v>
      </c>
      <c r="D268" s="17">
        <v>150</v>
      </c>
      <c r="E268" s="17">
        <v>1035</v>
      </c>
    </row>
    <row r="269" spans="1:5" x14ac:dyDescent="0.35">
      <c r="A269" s="13" t="s">
        <v>357</v>
      </c>
      <c r="B269" s="13" t="s">
        <v>41</v>
      </c>
      <c r="C269" s="43">
        <v>6.85</v>
      </c>
      <c r="D269" s="17">
        <v>1000</v>
      </c>
      <c r="E269" s="17">
        <v>6850</v>
      </c>
    </row>
    <row r="270" spans="1:5" x14ac:dyDescent="0.35">
      <c r="A270" s="13" t="s">
        <v>357</v>
      </c>
      <c r="B270" s="13" t="s">
        <v>53</v>
      </c>
      <c r="C270" s="43">
        <v>0.6</v>
      </c>
      <c r="D270" s="17">
        <v>300</v>
      </c>
      <c r="E270" s="17">
        <v>180</v>
      </c>
    </row>
    <row r="271" spans="1:5" x14ac:dyDescent="0.35">
      <c r="A271" s="13" t="s">
        <v>357</v>
      </c>
      <c r="B271" s="13" t="s">
        <v>39</v>
      </c>
      <c r="C271" s="43">
        <v>0.5</v>
      </c>
      <c r="D271" s="17">
        <v>1500</v>
      </c>
      <c r="E271" s="17">
        <v>750</v>
      </c>
    </row>
    <row r="272" spans="1:5" x14ac:dyDescent="0.35">
      <c r="A272" s="13" t="s">
        <v>357</v>
      </c>
      <c r="B272" s="13" t="s">
        <v>13</v>
      </c>
      <c r="C272" s="43">
        <v>0.4</v>
      </c>
      <c r="D272" s="17">
        <v>500</v>
      </c>
      <c r="E272" s="17">
        <v>200</v>
      </c>
    </row>
    <row r="273" spans="1:5" x14ac:dyDescent="0.35">
      <c r="A273" s="13" t="s">
        <v>357</v>
      </c>
      <c r="B273" s="13" t="s">
        <v>25</v>
      </c>
      <c r="C273" s="43">
        <v>2.8</v>
      </c>
      <c r="D273" s="17">
        <v>1000</v>
      </c>
      <c r="E273" s="17">
        <v>2800</v>
      </c>
    </row>
    <row r="274" spans="1:5" x14ac:dyDescent="0.35">
      <c r="A274" s="13" t="s">
        <v>357</v>
      </c>
      <c r="B274" s="13" t="s">
        <v>94</v>
      </c>
      <c r="C274" s="43">
        <v>2.65</v>
      </c>
      <c r="D274" s="17">
        <v>2800</v>
      </c>
      <c r="E274" s="17">
        <v>7420</v>
      </c>
    </row>
    <row r="275" spans="1:5" x14ac:dyDescent="0.35">
      <c r="A275" s="13" t="s">
        <v>358</v>
      </c>
      <c r="B275" s="13" t="s">
        <v>126</v>
      </c>
      <c r="C275" s="43">
        <v>3.05</v>
      </c>
      <c r="D275" s="17">
        <v>1800</v>
      </c>
      <c r="E275" s="17">
        <v>5490</v>
      </c>
    </row>
    <row r="276" spans="1:5" x14ac:dyDescent="0.35">
      <c r="A276" s="13" t="s">
        <v>358</v>
      </c>
      <c r="B276" s="13" t="s">
        <v>18</v>
      </c>
      <c r="C276" s="43">
        <v>0.35</v>
      </c>
      <c r="D276" s="17">
        <v>150</v>
      </c>
      <c r="E276" s="17">
        <v>53</v>
      </c>
    </row>
    <row r="277" spans="1:5" x14ac:dyDescent="0.35">
      <c r="A277" s="13" t="s">
        <v>358</v>
      </c>
      <c r="B277" s="13" t="s">
        <v>60</v>
      </c>
      <c r="C277" s="43">
        <v>0.1</v>
      </c>
      <c r="D277" s="17">
        <v>2500</v>
      </c>
      <c r="E277" s="17">
        <v>250</v>
      </c>
    </row>
    <row r="278" spans="1:5" x14ac:dyDescent="0.35">
      <c r="A278" s="13" t="s">
        <v>358</v>
      </c>
      <c r="B278" s="13" t="s">
        <v>94</v>
      </c>
      <c r="C278" s="43">
        <v>1.8</v>
      </c>
      <c r="D278" s="17">
        <v>2800</v>
      </c>
      <c r="E278" s="17">
        <v>5040</v>
      </c>
    </row>
    <row r="279" spans="1:5" x14ac:dyDescent="0.35">
      <c r="A279" s="13" t="s">
        <v>358</v>
      </c>
      <c r="B279" s="13" t="s">
        <v>41</v>
      </c>
      <c r="C279" s="43">
        <v>3.15</v>
      </c>
      <c r="D279" s="17">
        <v>1000</v>
      </c>
      <c r="E279" s="17">
        <v>3150</v>
      </c>
    </row>
    <row r="280" spans="1:5" x14ac:dyDescent="0.35">
      <c r="A280" s="13" t="s">
        <v>358</v>
      </c>
      <c r="B280" s="13" t="s">
        <v>51</v>
      </c>
      <c r="C280" s="43">
        <v>2.5499999999999998</v>
      </c>
      <c r="D280" s="17">
        <v>500</v>
      </c>
      <c r="E280" s="17">
        <v>1275</v>
      </c>
    </row>
    <row r="281" spans="1:5" x14ac:dyDescent="0.35">
      <c r="A281" s="13" t="s">
        <v>359</v>
      </c>
      <c r="B281" s="13" t="s">
        <v>53</v>
      </c>
      <c r="C281" s="43">
        <v>1.1499999999999999</v>
      </c>
      <c r="D281" s="17">
        <v>300</v>
      </c>
      <c r="E281" s="17">
        <v>345</v>
      </c>
    </row>
    <row r="282" spans="1:5" x14ac:dyDescent="0.35">
      <c r="A282" s="13" t="s">
        <v>359</v>
      </c>
      <c r="B282" s="13" t="s">
        <v>25</v>
      </c>
      <c r="C282" s="43">
        <v>0.65</v>
      </c>
      <c r="D282" s="17">
        <v>1000</v>
      </c>
      <c r="E282" s="17">
        <v>650</v>
      </c>
    </row>
    <row r="283" spans="1:5" x14ac:dyDescent="0.35">
      <c r="A283" s="13" t="s">
        <v>359</v>
      </c>
      <c r="B283" s="13" t="s">
        <v>18</v>
      </c>
      <c r="C283" s="43">
        <v>0.55000000000000004</v>
      </c>
      <c r="D283" s="17">
        <v>150</v>
      </c>
      <c r="E283" s="17">
        <v>83</v>
      </c>
    </row>
    <row r="284" spans="1:5" x14ac:dyDescent="0.35">
      <c r="A284" s="13" t="s">
        <v>359</v>
      </c>
      <c r="B284" s="13" t="s">
        <v>60</v>
      </c>
      <c r="C284" s="43">
        <v>0.3</v>
      </c>
      <c r="D284" s="17">
        <v>2500</v>
      </c>
      <c r="E284" s="17">
        <v>750</v>
      </c>
    </row>
    <row r="285" spans="1:5" x14ac:dyDescent="0.35">
      <c r="A285" s="13" t="s">
        <v>359</v>
      </c>
      <c r="B285" s="13" t="s">
        <v>41</v>
      </c>
      <c r="C285" s="43">
        <v>5.3</v>
      </c>
      <c r="D285" s="17">
        <v>1000</v>
      </c>
      <c r="E285" s="17">
        <v>5300</v>
      </c>
    </row>
    <row r="286" spans="1:5" x14ac:dyDescent="0.35">
      <c r="A286" s="13" t="s">
        <v>359</v>
      </c>
      <c r="B286" s="13" t="s">
        <v>39</v>
      </c>
      <c r="C286" s="43">
        <v>0.45</v>
      </c>
      <c r="D286" s="17">
        <v>1500</v>
      </c>
      <c r="E286" s="17">
        <v>675</v>
      </c>
    </row>
    <row r="287" spans="1:5" x14ac:dyDescent="0.35">
      <c r="A287" s="13" t="s">
        <v>359</v>
      </c>
      <c r="B287" s="13" t="s">
        <v>51</v>
      </c>
      <c r="C287" s="43">
        <v>0.9</v>
      </c>
      <c r="D287" s="17">
        <v>500</v>
      </c>
      <c r="E287" s="17">
        <v>450</v>
      </c>
    </row>
    <row r="288" spans="1:5" x14ac:dyDescent="0.35">
      <c r="A288" s="13" t="s">
        <v>359</v>
      </c>
      <c r="B288" s="13" t="s">
        <v>94</v>
      </c>
      <c r="C288" s="43">
        <v>3.25</v>
      </c>
      <c r="D288" s="17">
        <v>2800</v>
      </c>
      <c r="E288" s="17">
        <v>9100</v>
      </c>
    </row>
    <row r="289" spans="1:5" x14ac:dyDescent="0.35">
      <c r="A289" s="13" t="s">
        <v>360</v>
      </c>
      <c r="B289" s="13" t="s">
        <v>15</v>
      </c>
      <c r="C289" s="43">
        <v>2.6</v>
      </c>
      <c r="D289" s="17">
        <v>2500</v>
      </c>
      <c r="E289" s="17">
        <v>6500</v>
      </c>
    </row>
    <row r="290" spans="1:5" x14ac:dyDescent="0.35">
      <c r="A290" s="13" t="s">
        <v>360</v>
      </c>
      <c r="B290" s="13" t="s">
        <v>51</v>
      </c>
      <c r="C290" s="43">
        <v>1.2</v>
      </c>
      <c r="D290" s="17">
        <v>500</v>
      </c>
      <c r="E290" s="17">
        <v>600</v>
      </c>
    </row>
    <row r="291" spans="1:5" x14ac:dyDescent="0.35">
      <c r="A291" s="13" t="s">
        <v>360</v>
      </c>
      <c r="B291" s="13" t="s">
        <v>25</v>
      </c>
      <c r="C291" s="43">
        <v>1.9</v>
      </c>
      <c r="D291" s="17">
        <v>1000</v>
      </c>
      <c r="E291" s="17">
        <v>1900</v>
      </c>
    </row>
    <row r="292" spans="1:5" x14ac:dyDescent="0.35">
      <c r="A292" s="13" t="s">
        <v>360</v>
      </c>
      <c r="B292" s="13" t="s">
        <v>39</v>
      </c>
      <c r="C292" s="43">
        <v>0.6</v>
      </c>
      <c r="D292" s="17">
        <v>1500</v>
      </c>
      <c r="E292" s="17">
        <v>900</v>
      </c>
    </row>
    <row r="293" spans="1:5" x14ac:dyDescent="0.35">
      <c r="A293" s="13" t="s">
        <v>360</v>
      </c>
      <c r="B293" s="13" t="s">
        <v>53</v>
      </c>
      <c r="C293" s="43">
        <v>1.7</v>
      </c>
      <c r="D293" s="17">
        <v>300</v>
      </c>
      <c r="E293" s="17">
        <v>510</v>
      </c>
    </row>
    <row r="294" spans="1:5" x14ac:dyDescent="0.35">
      <c r="A294" s="13" t="s">
        <v>360</v>
      </c>
      <c r="B294" s="13" t="s">
        <v>94</v>
      </c>
      <c r="C294" s="43">
        <v>2.15</v>
      </c>
      <c r="D294" s="17">
        <v>2800</v>
      </c>
      <c r="E294" s="17">
        <v>6020</v>
      </c>
    </row>
    <row r="295" spans="1:5" x14ac:dyDescent="0.35">
      <c r="A295" s="13" t="s">
        <v>360</v>
      </c>
      <c r="B295" s="13" t="s">
        <v>13</v>
      </c>
      <c r="C295" s="43">
        <v>0.55000000000000004</v>
      </c>
      <c r="D295" s="17">
        <v>500</v>
      </c>
      <c r="E295" s="17">
        <v>275</v>
      </c>
    </row>
    <row r="296" spans="1:5" x14ac:dyDescent="0.35">
      <c r="A296" s="13" t="s">
        <v>361</v>
      </c>
      <c r="B296" s="13" t="s">
        <v>26</v>
      </c>
      <c r="C296" s="43">
        <v>1.95</v>
      </c>
      <c r="D296" s="17">
        <v>1000</v>
      </c>
      <c r="E296" s="17">
        <v>1950</v>
      </c>
    </row>
    <row r="297" spans="1:5" x14ac:dyDescent="0.35">
      <c r="A297" s="13" t="s">
        <v>361</v>
      </c>
      <c r="B297" s="13" t="s">
        <v>41</v>
      </c>
      <c r="C297" s="43">
        <v>2.8</v>
      </c>
      <c r="D297" s="17">
        <v>1000</v>
      </c>
      <c r="E297" s="17">
        <v>2800</v>
      </c>
    </row>
    <row r="298" spans="1:5" x14ac:dyDescent="0.35">
      <c r="A298" s="13" t="s">
        <v>361</v>
      </c>
      <c r="B298" s="13" t="s">
        <v>51</v>
      </c>
      <c r="C298" s="43">
        <v>1.2</v>
      </c>
      <c r="D298" s="17">
        <v>500</v>
      </c>
      <c r="E298" s="17">
        <v>600</v>
      </c>
    </row>
    <row r="299" spans="1:5" x14ac:dyDescent="0.35">
      <c r="A299" s="13" t="s">
        <v>361</v>
      </c>
      <c r="B299" s="13" t="s">
        <v>53</v>
      </c>
      <c r="C299" s="43">
        <v>2</v>
      </c>
      <c r="D299" s="17">
        <v>300</v>
      </c>
      <c r="E299" s="17">
        <v>600</v>
      </c>
    </row>
    <row r="300" spans="1:5" x14ac:dyDescent="0.35">
      <c r="A300" s="13" t="s">
        <v>361</v>
      </c>
      <c r="B300" s="13" t="s">
        <v>94</v>
      </c>
      <c r="C300" s="43">
        <v>1.3</v>
      </c>
      <c r="D300" s="17">
        <v>2800</v>
      </c>
      <c r="E300" s="17">
        <v>3640</v>
      </c>
    </row>
    <row r="301" spans="1:5" x14ac:dyDescent="0.35">
      <c r="A301" s="13" t="s">
        <v>361</v>
      </c>
      <c r="B301" s="13" t="s">
        <v>39</v>
      </c>
      <c r="C301" s="43">
        <v>1.7</v>
      </c>
      <c r="D301" s="17">
        <v>1500</v>
      </c>
      <c r="E301" s="17">
        <v>2550</v>
      </c>
    </row>
    <row r="302" spans="1:5" x14ac:dyDescent="0.35">
      <c r="A302" s="13" t="s">
        <v>361</v>
      </c>
      <c r="B302" s="13" t="s">
        <v>34</v>
      </c>
      <c r="C302" s="43">
        <v>0.8</v>
      </c>
      <c r="D302" s="17">
        <v>5000</v>
      </c>
      <c r="E302" s="17">
        <v>4000</v>
      </c>
    </row>
    <row r="303" spans="1:5" x14ac:dyDescent="0.35">
      <c r="A303" s="13" t="s">
        <v>361</v>
      </c>
      <c r="B303" s="13" t="s">
        <v>18</v>
      </c>
      <c r="C303" s="43">
        <v>0.55000000000000004</v>
      </c>
      <c r="D303" s="17">
        <v>150</v>
      </c>
      <c r="E303" s="17">
        <v>83</v>
      </c>
    </row>
    <row r="304" spans="1:5" x14ac:dyDescent="0.35">
      <c r="A304" s="13" t="s">
        <v>362</v>
      </c>
      <c r="B304" s="13" t="s">
        <v>18</v>
      </c>
      <c r="C304" s="43">
        <v>1.1499999999999999</v>
      </c>
      <c r="D304" s="17">
        <v>150</v>
      </c>
      <c r="E304" s="17">
        <v>173</v>
      </c>
    </row>
    <row r="305" spans="1:5" x14ac:dyDescent="0.35">
      <c r="A305" s="13" t="s">
        <v>362</v>
      </c>
      <c r="B305" s="13" t="s">
        <v>25</v>
      </c>
      <c r="C305" s="43">
        <v>1.25</v>
      </c>
      <c r="D305" s="17">
        <v>1000</v>
      </c>
      <c r="E305" s="17">
        <v>1250</v>
      </c>
    </row>
    <row r="306" spans="1:5" x14ac:dyDescent="0.35">
      <c r="A306" s="13" t="s">
        <v>362</v>
      </c>
      <c r="B306" s="13" t="s">
        <v>13</v>
      </c>
      <c r="C306" s="43">
        <v>4.6500000000000004</v>
      </c>
      <c r="D306" s="17">
        <v>500</v>
      </c>
      <c r="E306" s="17">
        <v>2325</v>
      </c>
    </row>
    <row r="307" spans="1:5" x14ac:dyDescent="0.35">
      <c r="A307" s="13" t="s">
        <v>362</v>
      </c>
      <c r="B307" s="13" t="s">
        <v>53</v>
      </c>
      <c r="C307" s="43">
        <v>1.5</v>
      </c>
      <c r="D307" s="17">
        <v>300</v>
      </c>
      <c r="E307" s="17">
        <v>450</v>
      </c>
    </row>
    <row r="308" spans="1:5" x14ac:dyDescent="0.35">
      <c r="A308" s="13" t="s">
        <v>362</v>
      </c>
      <c r="B308" s="13" t="s">
        <v>266</v>
      </c>
      <c r="C308" s="43">
        <v>0.5</v>
      </c>
      <c r="D308" s="17">
        <v>1000</v>
      </c>
      <c r="E308" s="17">
        <v>500</v>
      </c>
    </row>
    <row r="309" spans="1:5" x14ac:dyDescent="0.35">
      <c r="A309" s="13" t="s">
        <v>362</v>
      </c>
      <c r="B309" s="13" t="s">
        <v>94</v>
      </c>
      <c r="C309" s="43">
        <v>4.45</v>
      </c>
      <c r="D309" s="17">
        <v>2800</v>
      </c>
      <c r="E309" s="17">
        <v>12460</v>
      </c>
    </row>
    <row r="310" spans="1:5" x14ac:dyDescent="0.35">
      <c r="A310" s="13" t="s">
        <v>362</v>
      </c>
      <c r="B310" s="13" t="s">
        <v>41</v>
      </c>
      <c r="C310" s="43">
        <v>9</v>
      </c>
      <c r="D310" s="17">
        <v>1000</v>
      </c>
      <c r="E310" s="17">
        <v>9000</v>
      </c>
    </row>
    <row r="311" spans="1:5" x14ac:dyDescent="0.35">
      <c r="A311" s="13" t="s">
        <v>363</v>
      </c>
      <c r="B311" s="13" t="s">
        <v>53</v>
      </c>
      <c r="C311" s="43">
        <v>0.15</v>
      </c>
      <c r="D311" s="17">
        <v>300</v>
      </c>
      <c r="E311" s="17">
        <v>45</v>
      </c>
    </row>
    <row r="312" spans="1:5" x14ac:dyDescent="0.35">
      <c r="A312" s="13" t="s">
        <v>363</v>
      </c>
      <c r="B312" s="13" t="s">
        <v>51</v>
      </c>
      <c r="C312" s="43">
        <v>0.5</v>
      </c>
      <c r="D312" s="17">
        <v>500</v>
      </c>
      <c r="E312" s="17">
        <v>250</v>
      </c>
    </row>
    <row r="313" spans="1:5" x14ac:dyDescent="0.35">
      <c r="A313" s="13" t="s">
        <v>363</v>
      </c>
      <c r="B313" s="13" t="s">
        <v>25</v>
      </c>
      <c r="C313" s="43">
        <v>0.45</v>
      </c>
      <c r="D313" s="17">
        <v>1000</v>
      </c>
      <c r="E313" s="17">
        <v>450</v>
      </c>
    </row>
    <row r="314" spans="1:5" x14ac:dyDescent="0.35">
      <c r="A314" s="13" t="s">
        <v>363</v>
      </c>
      <c r="B314" s="13" t="s">
        <v>94</v>
      </c>
      <c r="C314" s="43">
        <v>0.65</v>
      </c>
      <c r="D314" s="17">
        <v>2800</v>
      </c>
      <c r="E314" s="17">
        <v>1820</v>
      </c>
    </row>
    <row r="315" spans="1:5" x14ac:dyDescent="0.35">
      <c r="A315" s="13" t="s">
        <v>363</v>
      </c>
      <c r="B315" s="13" t="s">
        <v>60</v>
      </c>
      <c r="C315" s="43">
        <v>0.1</v>
      </c>
      <c r="D315" s="17">
        <v>2500</v>
      </c>
      <c r="E315" s="17">
        <v>250</v>
      </c>
    </row>
    <row r="316" spans="1:5" x14ac:dyDescent="0.35">
      <c r="A316" s="13" t="s">
        <v>363</v>
      </c>
      <c r="B316" s="13" t="s">
        <v>26</v>
      </c>
      <c r="C316" s="43">
        <v>0.45</v>
      </c>
      <c r="D316" s="17">
        <v>1000</v>
      </c>
      <c r="E316" s="17">
        <v>450</v>
      </c>
    </row>
    <row r="317" spans="1:5" x14ac:dyDescent="0.35">
      <c r="A317" s="13" t="s">
        <v>363</v>
      </c>
      <c r="B317" s="13" t="s">
        <v>41</v>
      </c>
      <c r="C317" s="43">
        <v>2.5499999999999998</v>
      </c>
      <c r="D317" s="17">
        <v>1000</v>
      </c>
      <c r="E317" s="17">
        <v>2550</v>
      </c>
    </row>
    <row r="318" spans="1:5" x14ac:dyDescent="0.35">
      <c r="A318" s="13" t="s">
        <v>364</v>
      </c>
      <c r="B318" s="13" t="s">
        <v>34</v>
      </c>
      <c r="C318" s="43">
        <v>1.55</v>
      </c>
      <c r="D318" s="17">
        <v>5000</v>
      </c>
      <c r="E318" s="17">
        <v>7750</v>
      </c>
    </row>
    <row r="319" spans="1:5" x14ac:dyDescent="0.35">
      <c r="A319" s="13" t="s">
        <v>365</v>
      </c>
      <c r="B319" s="13" t="s">
        <v>293</v>
      </c>
      <c r="C319" s="43">
        <v>0.55000000000000004</v>
      </c>
      <c r="D319" s="17">
        <v>1400</v>
      </c>
      <c r="E319" s="17">
        <v>770</v>
      </c>
    </row>
    <row r="320" spans="1:5" x14ac:dyDescent="0.35">
      <c r="A320" s="13" t="s">
        <v>365</v>
      </c>
      <c r="B320" s="13" t="s">
        <v>126</v>
      </c>
      <c r="C320" s="43">
        <v>0.55000000000000004</v>
      </c>
      <c r="D320" s="17">
        <v>1800</v>
      </c>
      <c r="E320" s="17">
        <v>990</v>
      </c>
    </row>
    <row r="321" spans="1:5" x14ac:dyDescent="0.35">
      <c r="A321" s="13" t="s">
        <v>365</v>
      </c>
      <c r="B321" s="13" t="s">
        <v>39</v>
      </c>
      <c r="C321" s="43">
        <v>1.05</v>
      </c>
      <c r="D321" s="17">
        <v>1500</v>
      </c>
      <c r="E321" s="17">
        <v>1575</v>
      </c>
    </row>
    <row r="322" spans="1:5" x14ac:dyDescent="0.35">
      <c r="A322" s="13" t="s">
        <v>365</v>
      </c>
      <c r="B322" s="13" t="s">
        <v>25</v>
      </c>
      <c r="C322" s="43">
        <v>5.05</v>
      </c>
      <c r="D322" s="17">
        <v>1000</v>
      </c>
      <c r="E322" s="17">
        <v>5050</v>
      </c>
    </row>
    <row r="323" spans="1:5" x14ac:dyDescent="0.35">
      <c r="A323" s="13" t="s">
        <v>365</v>
      </c>
      <c r="B323" s="13" t="s">
        <v>22</v>
      </c>
      <c r="C323" s="43">
        <v>3.9</v>
      </c>
      <c r="D323" s="17">
        <v>1600</v>
      </c>
      <c r="E323" s="17">
        <v>6240</v>
      </c>
    </row>
    <row r="324" spans="1:5" x14ac:dyDescent="0.35">
      <c r="A324" s="13" t="s">
        <v>365</v>
      </c>
      <c r="B324" s="13" t="s">
        <v>41</v>
      </c>
      <c r="C324" s="43">
        <v>19.95</v>
      </c>
      <c r="D324" s="17">
        <v>1000</v>
      </c>
      <c r="E324" s="17">
        <v>19950</v>
      </c>
    </row>
    <row r="325" spans="1:5" x14ac:dyDescent="0.35">
      <c r="A325" s="13" t="s">
        <v>366</v>
      </c>
      <c r="B325" s="13" t="s">
        <v>41</v>
      </c>
      <c r="C325" s="43">
        <v>9.25</v>
      </c>
      <c r="D325" s="17">
        <v>1000</v>
      </c>
      <c r="E325" s="17">
        <v>9250</v>
      </c>
    </row>
    <row r="326" spans="1:5" x14ac:dyDescent="0.35">
      <c r="A326" s="13" t="s">
        <v>366</v>
      </c>
      <c r="B326" s="13" t="s">
        <v>51</v>
      </c>
      <c r="C326" s="43">
        <v>2.5</v>
      </c>
      <c r="D326" s="17">
        <v>500</v>
      </c>
      <c r="E326" s="17">
        <v>1250</v>
      </c>
    </row>
    <row r="327" spans="1:5" x14ac:dyDescent="0.35">
      <c r="A327" s="13" t="s">
        <v>366</v>
      </c>
      <c r="B327" s="13" t="s">
        <v>54</v>
      </c>
      <c r="C327" s="43">
        <v>0.05</v>
      </c>
      <c r="D327" s="17">
        <v>800</v>
      </c>
      <c r="E327" s="17">
        <v>40</v>
      </c>
    </row>
    <row r="328" spans="1:5" x14ac:dyDescent="0.35">
      <c r="A328" s="13" t="s">
        <v>366</v>
      </c>
      <c r="B328" s="13" t="s">
        <v>53</v>
      </c>
      <c r="C328" s="43">
        <v>1.07</v>
      </c>
      <c r="D328" s="17">
        <v>300</v>
      </c>
      <c r="E328" s="17">
        <v>321</v>
      </c>
    </row>
    <row r="329" spans="1:5" x14ac:dyDescent="0.35">
      <c r="A329" s="13" t="s">
        <v>366</v>
      </c>
      <c r="B329" s="13" t="s">
        <v>266</v>
      </c>
      <c r="C329" s="43">
        <v>0.7</v>
      </c>
      <c r="D329" s="17">
        <v>1000</v>
      </c>
      <c r="E329" s="17">
        <v>700</v>
      </c>
    </row>
    <row r="330" spans="1:5" x14ac:dyDescent="0.35">
      <c r="A330" s="13" t="s">
        <v>366</v>
      </c>
      <c r="B330" s="13" t="s">
        <v>125</v>
      </c>
      <c r="C330" s="43">
        <v>7.3</v>
      </c>
      <c r="D330" s="17">
        <v>800</v>
      </c>
      <c r="E330" s="17">
        <v>5840</v>
      </c>
    </row>
    <row r="331" spans="1:5" x14ac:dyDescent="0.35">
      <c r="A331" s="13" t="s">
        <v>366</v>
      </c>
      <c r="B331" s="13" t="s">
        <v>25</v>
      </c>
      <c r="C331" s="43">
        <v>2</v>
      </c>
      <c r="D331" s="17">
        <v>1000</v>
      </c>
      <c r="E331" s="17">
        <v>2000</v>
      </c>
    </row>
    <row r="332" spans="1:5" x14ac:dyDescent="0.35">
      <c r="A332" s="13" t="s">
        <v>366</v>
      </c>
      <c r="B332" s="13" t="s">
        <v>18</v>
      </c>
      <c r="C332" s="43">
        <v>0.95</v>
      </c>
      <c r="D332" s="17">
        <v>150</v>
      </c>
      <c r="E332" s="17">
        <v>143</v>
      </c>
    </row>
    <row r="333" spans="1:5" x14ac:dyDescent="0.35">
      <c r="A333" s="13" t="s">
        <v>366</v>
      </c>
      <c r="B333" s="13" t="s">
        <v>26</v>
      </c>
      <c r="C333" s="43">
        <v>1.2</v>
      </c>
      <c r="D333" s="17">
        <v>1000</v>
      </c>
      <c r="E333" s="17">
        <v>1200</v>
      </c>
    </row>
    <row r="334" spans="1:5" x14ac:dyDescent="0.35">
      <c r="A334" s="13" t="s">
        <v>366</v>
      </c>
      <c r="B334" s="13" t="s">
        <v>61</v>
      </c>
      <c r="C334" s="43">
        <v>0.65</v>
      </c>
      <c r="D334" s="17">
        <v>3500</v>
      </c>
      <c r="E334" s="17">
        <v>2275</v>
      </c>
    </row>
    <row r="335" spans="1:5" x14ac:dyDescent="0.35">
      <c r="A335" s="13" t="s">
        <v>366</v>
      </c>
      <c r="B335" s="13" t="s">
        <v>60</v>
      </c>
      <c r="C335" s="43">
        <v>0.55000000000000004</v>
      </c>
      <c r="D335" s="17">
        <v>2500</v>
      </c>
      <c r="E335" s="17">
        <v>1375</v>
      </c>
    </row>
    <row r="336" spans="1:5" x14ac:dyDescent="0.35">
      <c r="A336" s="13" t="s">
        <v>366</v>
      </c>
      <c r="B336" s="13" t="s">
        <v>39</v>
      </c>
      <c r="C336" s="43">
        <v>0.35</v>
      </c>
      <c r="D336" s="17">
        <v>1500</v>
      </c>
      <c r="E336" s="17">
        <v>525</v>
      </c>
    </row>
    <row r="337" spans="1:6" x14ac:dyDescent="0.35">
      <c r="A337" s="13" t="s">
        <v>366</v>
      </c>
      <c r="B337" s="13" t="s">
        <v>34</v>
      </c>
      <c r="C337" s="43">
        <v>1.6</v>
      </c>
      <c r="D337" s="17">
        <v>5000</v>
      </c>
      <c r="E337" s="17">
        <v>8000</v>
      </c>
    </row>
    <row r="338" spans="1:6" x14ac:dyDescent="0.35">
      <c r="A338" s="13" t="s">
        <v>366</v>
      </c>
      <c r="B338" s="13" t="s">
        <v>94</v>
      </c>
      <c r="C338" s="43">
        <v>0.95</v>
      </c>
      <c r="D338" s="17">
        <v>2800</v>
      </c>
      <c r="E338" s="17">
        <v>2660</v>
      </c>
    </row>
    <row r="339" spans="1:6" x14ac:dyDescent="0.35">
      <c r="A339" s="13" t="s">
        <v>366</v>
      </c>
      <c r="B339" s="13" t="s">
        <v>128</v>
      </c>
      <c r="C339" s="43">
        <v>0.3</v>
      </c>
      <c r="D339" s="17">
        <v>3500</v>
      </c>
      <c r="E339" s="17">
        <v>1050</v>
      </c>
    </row>
    <row r="340" spans="1:6" x14ac:dyDescent="0.35">
      <c r="A340" s="13" t="s">
        <v>369</v>
      </c>
      <c r="B340" s="13" t="s">
        <v>53</v>
      </c>
      <c r="C340" s="73">
        <v>1</v>
      </c>
      <c r="D340" s="17">
        <v>300</v>
      </c>
      <c r="E340" s="74">
        <f>C340*D340</f>
        <v>300</v>
      </c>
      <c r="F340" t="s">
        <v>308</v>
      </c>
    </row>
    <row r="341" spans="1:6" x14ac:dyDescent="0.35">
      <c r="A341" s="13" t="s">
        <v>369</v>
      </c>
      <c r="B341" s="13" t="s">
        <v>22</v>
      </c>
      <c r="C341" s="75">
        <f>1+0.73</f>
        <v>1.73</v>
      </c>
      <c r="D341" s="17">
        <v>1600</v>
      </c>
      <c r="E341" s="74">
        <f t="shared" ref="E341:E346" si="6">C341*D341</f>
        <v>2768</v>
      </c>
      <c r="F341" t="s">
        <v>308</v>
      </c>
    </row>
    <row r="342" spans="1:6" x14ac:dyDescent="0.35">
      <c r="A342" s="24" t="s">
        <v>370</v>
      </c>
      <c r="B342" s="13" t="s">
        <v>53</v>
      </c>
      <c r="C342" s="75">
        <v>1.5</v>
      </c>
      <c r="D342" s="17">
        <v>300</v>
      </c>
      <c r="E342" s="74">
        <f t="shared" si="6"/>
        <v>450</v>
      </c>
      <c r="F342" t="s">
        <v>308</v>
      </c>
    </row>
    <row r="343" spans="1:6" x14ac:dyDescent="0.35">
      <c r="A343" s="13" t="s">
        <v>371</v>
      </c>
      <c r="B343" s="13" t="s">
        <v>26</v>
      </c>
      <c r="C343" s="75">
        <v>4.5</v>
      </c>
      <c r="D343" s="17">
        <v>1000</v>
      </c>
      <c r="E343" s="74">
        <f t="shared" si="6"/>
        <v>4500</v>
      </c>
      <c r="F343" t="s">
        <v>308</v>
      </c>
    </row>
    <row r="344" spans="1:6" x14ac:dyDescent="0.35">
      <c r="A344" s="13" t="s">
        <v>372</v>
      </c>
      <c r="B344" s="24" t="s">
        <v>53</v>
      </c>
      <c r="C344" s="75">
        <v>0.5</v>
      </c>
      <c r="D344" s="17">
        <v>300</v>
      </c>
      <c r="E344" s="74">
        <f t="shared" si="6"/>
        <v>150</v>
      </c>
      <c r="F344" t="s">
        <v>308</v>
      </c>
    </row>
    <row r="345" spans="1:6" x14ac:dyDescent="0.35">
      <c r="A345" s="77" t="s">
        <v>373</v>
      </c>
      <c r="B345" s="13" t="s">
        <v>34</v>
      </c>
      <c r="C345" s="75">
        <v>15.2</v>
      </c>
      <c r="D345" s="17">
        <v>7000</v>
      </c>
      <c r="E345" s="74">
        <f t="shared" si="6"/>
        <v>106400</v>
      </c>
    </row>
    <row r="346" spans="1:6" x14ac:dyDescent="0.35">
      <c r="A346" s="80" t="s">
        <v>264</v>
      </c>
      <c r="B346" s="13" t="s">
        <v>34</v>
      </c>
      <c r="C346" s="75">
        <f>14.2+13.9+13.85+3.1</f>
        <v>45.050000000000004</v>
      </c>
      <c r="D346" s="17">
        <v>7000</v>
      </c>
      <c r="E346" s="74">
        <f t="shared" si="6"/>
        <v>315350.00000000006</v>
      </c>
    </row>
    <row r="347" spans="1:6" x14ac:dyDescent="0.35">
      <c r="A347" s="4" t="s">
        <v>251</v>
      </c>
      <c r="B347" s="4"/>
      <c r="C347" s="81">
        <v>46</v>
      </c>
    </row>
    <row r="349" spans="1:6" x14ac:dyDescent="0.35">
      <c r="D349" s="63" t="s">
        <v>377</v>
      </c>
    </row>
    <row r="350" spans="1:6" x14ac:dyDescent="0.35">
      <c r="D350" t="s">
        <v>375</v>
      </c>
      <c r="E350" s="63" t="s">
        <v>376</v>
      </c>
    </row>
    <row r="351" spans="1:6" x14ac:dyDescent="0.35">
      <c r="D351" s="63">
        <f>(46+15.2+45.05)*7000</f>
        <v>743750</v>
      </c>
      <c r="E351" s="63">
        <f>(45.45+21.85)*5000</f>
        <v>336500.00000000006</v>
      </c>
    </row>
    <row r="352" spans="1:6" x14ac:dyDescent="0.35">
      <c r="E352" s="63">
        <f>D351+E351</f>
        <v>1080250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EE3-6183-4551-A97E-6A7AF3E143D8}">
  <dimension ref="A2:AB395"/>
  <sheetViews>
    <sheetView topLeftCell="A8" zoomScale="67" zoomScaleNormal="80" zoomScaleSheetLayoutView="100" workbookViewId="0">
      <selection activeCell="K36" sqref="K36"/>
    </sheetView>
  </sheetViews>
  <sheetFormatPr defaultRowHeight="14.5" x14ac:dyDescent="0.35"/>
  <cols>
    <col min="1" max="2" width="25" customWidth="1"/>
    <col min="3" max="3" width="14.90625" customWidth="1"/>
    <col min="4" max="5" width="14.90625" style="11" customWidth="1"/>
    <col min="7" max="7" width="21.81640625" bestFit="1" customWidth="1"/>
    <col min="8" max="8" width="11.6328125" bestFit="1" customWidth="1"/>
    <col min="9" max="9" width="11.36328125" bestFit="1" customWidth="1"/>
    <col min="11" max="11" width="25.36328125" bestFit="1" customWidth="1"/>
    <col min="12" max="12" width="11.6328125" bestFit="1" customWidth="1"/>
    <col min="14" max="14" width="7.54296875" customWidth="1"/>
    <col min="15" max="15" width="26.7265625" bestFit="1" customWidth="1"/>
    <col min="18" max="18" width="11.81640625" bestFit="1" customWidth="1"/>
    <col min="21" max="21" width="26.7265625" bestFit="1" customWidth="1"/>
    <col min="24" max="24" width="11.81640625" bestFit="1" customWidth="1"/>
  </cols>
  <sheetData>
    <row r="2" spans="1:28" x14ac:dyDescent="0.35">
      <c r="A2" s="56" t="s">
        <v>82</v>
      </c>
      <c r="B2" s="56" t="s">
        <v>83</v>
      </c>
      <c r="C2" s="56" t="s">
        <v>65</v>
      </c>
      <c r="D2" s="58" t="s">
        <v>66</v>
      </c>
      <c r="E2" s="58" t="s">
        <v>6</v>
      </c>
      <c r="G2" s="15" t="s">
        <v>85</v>
      </c>
      <c r="H2" t="s">
        <v>137</v>
      </c>
      <c r="I2" t="s">
        <v>129</v>
      </c>
      <c r="K2" s="15" t="s">
        <v>85</v>
      </c>
      <c r="L2" t="s">
        <v>137</v>
      </c>
      <c r="N2" s="20" t="s">
        <v>132</v>
      </c>
      <c r="Q2" t="s">
        <v>295</v>
      </c>
      <c r="T2" s="20" t="s">
        <v>298</v>
      </c>
      <c r="W2" t="s">
        <v>295</v>
      </c>
    </row>
    <row r="3" spans="1:28" x14ac:dyDescent="0.35">
      <c r="A3" s="13" t="s">
        <v>296</v>
      </c>
      <c r="B3" s="13" t="s">
        <v>34</v>
      </c>
      <c r="C3" s="13">
        <v>8.9499999999999993</v>
      </c>
      <c r="D3" s="17">
        <v>5000</v>
      </c>
      <c r="E3" s="17">
        <v>44750</v>
      </c>
      <c r="G3" s="14" t="s">
        <v>296</v>
      </c>
      <c r="H3">
        <v>8.9499999999999993</v>
      </c>
      <c r="I3" s="19">
        <v>44750</v>
      </c>
      <c r="K3" s="14" t="s">
        <v>127</v>
      </c>
      <c r="L3">
        <v>0.4</v>
      </c>
      <c r="N3" s="21" t="s">
        <v>0</v>
      </c>
      <c r="O3" s="22" t="s">
        <v>64</v>
      </c>
      <c r="P3" s="23" t="s">
        <v>133</v>
      </c>
      <c r="Q3" s="22" t="s">
        <v>65</v>
      </c>
      <c r="R3" s="23" t="s">
        <v>134</v>
      </c>
      <c r="T3" s="21" t="s">
        <v>0</v>
      </c>
      <c r="U3" s="22" t="s">
        <v>64</v>
      </c>
      <c r="V3" s="23" t="s">
        <v>133</v>
      </c>
      <c r="W3" s="22" t="s">
        <v>65</v>
      </c>
      <c r="X3" s="23" t="s">
        <v>134</v>
      </c>
      <c r="Z3" s="64"/>
      <c r="AA3" s="65"/>
      <c r="AB3" s="66"/>
    </row>
    <row r="4" spans="1:28" x14ac:dyDescent="0.35">
      <c r="A4" s="13" t="s">
        <v>158</v>
      </c>
      <c r="B4" s="13" t="s">
        <v>41</v>
      </c>
      <c r="C4" s="13">
        <v>1.2</v>
      </c>
      <c r="D4" s="17">
        <v>1000</v>
      </c>
      <c r="E4" s="17">
        <v>1200</v>
      </c>
      <c r="G4" s="14" t="s">
        <v>158</v>
      </c>
      <c r="H4">
        <v>6.6</v>
      </c>
      <c r="I4" s="19">
        <v>7200</v>
      </c>
      <c r="K4" s="14" t="s">
        <v>13</v>
      </c>
      <c r="L4">
        <v>13.1</v>
      </c>
      <c r="N4" s="22">
        <v>1</v>
      </c>
      <c r="O4" s="24" t="s">
        <v>7</v>
      </c>
      <c r="P4" s="25">
        <f>VLOOKUP(O4,KamiBox!$C$2:$F$58,4,0)</f>
        <v>200000</v>
      </c>
      <c r="Q4" s="26">
        <f>SUMIF($B$3:$B$394,O4,$C$3:$C$394)</f>
        <v>0</v>
      </c>
      <c r="R4" s="25">
        <f>P4*Q4</f>
        <v>0</v>
      </c>
      <c r="T4" s="22">
        <v>1</v>
      </c>
      <c r="U4" s="24" t="s">
        <v>7</v>
      </c>
      <c r="V4" s="25">
        <f>VLOOKUP(U4,KamiBox!$C$2:$F$58,4,0)</f>
        <v>200000</v>
      </c>
      <c r="W4" s="26"/>
      <c r="X4" s="25">
        <f>V4*W4</f>
        <v>0</v>
      </c>
      <c r="Z4" s="67"/>
      <c r="AA4" s="68"/>
      <c r="AB4" s="69"/>
    </row>
    <row r="5" spans="1:28" x14ac:dyDescent="0.35">
      <c r="A5" s="13" t="s">
        <v>158</v>
      </c>
      <c r="B5" s="13" t="s">
        <v>29</v>
      </c>
      <c r="C5" s="13">
        <v>0.9</v>
      </c>
      <c r="D5" s="17">
        <v>1600</v>
      </c>
      <c r="E5" s="17">
        <v>1440</v>
      </c>
      <c r="G5" s="14" t="s">
        <v>176</v>
      </c>
      <c r="H5">
        <v>10.7</v>
      </c>
      <c r="I5" s="19">
        <v>26193</v>
      </c>
      <c r="K5" s="14" t="s">
        <v>15</v>
      </c>
      <c r="L5">
        <v>25.849999999999998</v>
      </c>
      <c r="N5" s="22">
        <v>2</v>
      </c>
      <c r="O5" s="24" t="s">
        <v>9</v>
      </c>
      <c r="P5" s="25">
        <f>VLOOKUP(O5,KamiBox!$C$2:$F$58,4,0)</f>
        <v>9000</v>
      </c>
      <c r="Q5" s="26">
        <f t="shared" ref="Q5:Q47" si="0">SUMIF($B$3:$B$394,O5,$C$3:$C$394)</f>
        <v>0</v>
      </c>
      <c r="R5" s="25">
        <f t="shared" ref="R5:R47" si="1">P5*Q5</f>
        <v>0</v>
      </c>
      <c r="T5" s="22">
        <v>2</v>
      </c>
      <c r="U5" s="24" t="s">
        <v>9</v>
      </c>
      <c r="V5" s="25">
        <f>VLOOKUP(U5,KamiBox!$C$2:$F$58,4,0)</f>
        <v>9000</v>
      </c>
      <c r="W5" s="26"/>
      <c r="X5" s="25">
        <f t="shared" ref="X5:X46" si="2">V5*W5</f>
        <v>0</v>
      </c>
      <c r="Z5" s="67"/>
      <c r="AA5" s="68"/>
      <c r="AB5" s="69"/>
    </row>
    <row r="6" spans="1:28" x14ac:dyDescent="0.35">
      <c r="A6" s="13" t="s">
        <v>158</v>
      </c>
      <c r="B6" s="13" t="s">
        <v>51</v>
      </c>
      <c r="C6" s="13">
        <v>2.2999999999999998</v>
      </c>
      <c r="D6" s="17">
        <v>500</v>
      </c>
      <c r="E6" s="17">
        <v>1150</v>
      </c>
      <c r="G6" s="14" t="s">
        <v>86</v>
      </c>
      <c r="H6">
        <v>9.15</v>
      </c>
      <c r="I6" s="19">
        <v>9943</v>
      </c>
      <c r="K6" s="14" t="s">
        <v>18</v>
      </c>
      <c r="L6">
        <v>23.65</v>
      </c>
      <c r="N6" s="22">
        <v>3</v>
      </c>
      <c r="O6" t="s">
        <v>10</v>
      </c>
      <c r="P6" s="25">
        <f>VLOOKUP(O6,KamiBox!$C$2:$F$58,4,0)</f>
        <v>4000</v>
      </c>
      <c r="Q6" s="26">
        <f t="shared" si="0"/>
        <v>0</v>
      </c>
      <c r="R6" s="25">
        <f t="shared" si="1"/>
        <v>0</v>
      </c>
      <c r="T6" s="22">
        <v>3</v>
      </c>
      <c r="U6" t="s">
        <v>10</v>
      </c>
      <c r="V6" s="25">
        <f>VLOOKUP(U6,KamiBox!$C$2:$F$58,4,0)</f>
        <v>4000</v>
      </c>
      <c r="W6" s="26"/>
      <c r="X6" s="25">
        <f t="shared" si="2"/>
        <v>0</v>
      </c>
      <c r="Z6" s="67"/>
      <c r="AA6" s="68"/>
      <c r="AB6" s="69"/>
    </row>
    <row r="7" spans="1:28" x14ac:dyDescent="0.35">
      <c r="A7" s="13" t="s">
        <v>158</v>
      </c>
      <c r="B7" s="13" t="s">
        <v>53</v>
      </c>
      <c r="C7" s="13">
        <v>1.1000000000000001</v>
      </c>
      <c r="D7" s="17">
        <v>300</v>
      </c>
      <c r="E7" s="17">
        <v>330</v>
      </c>
      <c r="G7" s="14" t="s">
        <v>88</v>
      </c>
      <c r="H7">
        <v>20.950000000000003</v>
      </c>
      <c r="I7" s="19">
        <v>19083</v>
      </c>
      <c r="K7" s="14" t="s">
        <v>20</v>
      </c>
      <c r="L7">
        <v>0.8</v>
      </c>
      <c r="N7" s="22">
        <v>4</v>
      </c>
      <c r="O7" s="24" t="s">
        <v>11</v>
      </c>
      <c r="P7" s="25">
        <f>VLOOKUP(O7,KamiBox!$C$2:$F$58,4,0)</f>
        <v>10000</v>
      </c>
      <c r="Q7" s="26">
        <v>0.4</v>
      </c>
      <c r="R7" s="25">
        <f t="shared" si="1"/>
        <v>4000</v>
      </c>
      <c r="T7" s="22">
        <v>4</v>
      </c>
      <c r="U7" s="24" t="s">
        <v>11</v>
      </c>
      <c r="V7" s="25">
        <f>VLOOKUP(U7,KamiBox!$C$2:$F$58,4,0)</f>
        <v>10000</v>
      </c>
      <c r="W7" s="26"/>
      <c r="X7" s="25">
        <f t="shared" si="2"/>
        <v>0</v>
      </c>
      <c r="Z7" s="67"/>
      <c r="AA7" s="68"/>
      <c r="AB7" s="69"/>
    </row>
    <row r="8" spans="1:28" x14ac:dyDescent="0.35">
      <c r="A8" s="13" t="s">
        <v>158</v>
      </c>
      <c r="B8" s="13" t="s">
        <v>94</v>
      </c>
      <c r="C8" s="13">
        <v>1.1000000000000001</v>
      </c>
      <c r="D8" s="17">
        <v>2800</v>
      </c>
      <c r="E8" s="17">
        <v>3080</v>
      </c>
      <c r="G8" s="14" t="s">
        <v>220</v>
      </c>
      <c r="H8">
        <v>15.999999999999998</v>
      </c>
      <c r="I8" s="19">
        <v>25413</v>
      </c>
      <c r="K8" s="14" t="s">
        <v>17</v>
      </c>
      <c r="L8">
        <v>8</v>
      </c>
      <c r="N8" s="22">
        <v>5</v>
      </c>
      <c r="O8" s="24" t="s">
        <v>12</v>
      </c>
      <c r="P8" s="25">
        <f>VLOOKUP(O8,KamiBox!$C$2:$F$58,4,0)</f>
        <v>1000</v>
      </c>
      <c r="Q8" s="26">
        <f t="shared" si="0"/>
        <v>0</v>
      </c>
      <c r="R8" s="25">
        <f t="shared" si="1"/>
        <v>0</v>
      </c>
      <c r="T8" s="22">
        <v>5</v>
      </c>
      <c r="U8" s="24" t="s">
        <v>12</v>
      </c>
      <c r="V8" s="25">
        <f>VLOOKUP(U8,KamiBox!$C$2:$F$58,4,0)</f>
        <v>1000</v>
      </c>
      <c r="W8" s="26"/>
      <c r="X8" s="25">
        <f t="shared" si="2"/>
        <v>0</v>
      </c>
      <c r="Z8" s="67"/>
      <c r="AA8" s="68"/>
      <c r="AB8" s="69"/>
    </row>
    <row r="9" spans="1:28" x14ac:dyDescent="0.35">
      <c r="A9" s="13" t="s">
        <v>176</v>
      </c>
      <c r="B9" s="13" t="s">
        <v>18</v>
      </c>
      <c r="C9" s="13">
        <v>0.35</v>
      </c>
      <c r="D9" s="17">
        <v>150</v>
      </c>
      <c r="E9" s="17">
        <v>53</v>
      </c>
      <c r="G9" s="14" t="s">
        <v>89</v>
      </c>
      <c r="H9">
        <v>17</v>
      </c>
      <c r="I9" s="19">
        <v>21273</v>
      </c>
      <c r="K9" s="14" t="s">
        <v>94</v>
      </c>
      <c r="L9">
        <v>57.449999999999996</v>
      </c>
      <c r="N9" s="22">
        <v>6</v>
      </c>
      <c r="O9" s="24" t="s">
        <v>13</v>
      </c>
      <c r="P9" s="25"/>
      <c r="Q9" s="26">
        <v>0</v>
      </c>
      <c r="R9" s="25">
        <f t="shared" si="1"/>
        <v>0</v>
      </c>
      <c r="S9" s="29">
        <f>W9-Q9</f>
        <v>16.05</v>
      </c>
      <c r="T9" s="22">
        <v>6</v>
      </c>
      <c r="U9" s="24" t="s">
        <v>13</v>
      </c>
      <c r="V9" s="25">
        <f>VLOOKUP(U9,KamiBox!$C$2:$F$58,4,0)</f>
        <v>1500</v>
      </c>
      <c r="W9" s="26">
        <v>16.05</v>
      </c>
      <c r="X9" s="25">
        <v>24825</v>
      </c>
      <c r="Y9" t="s">
        <v>301</v>
      </c>
      <c r="Z9" s="67"/>
      <c r="AA9" s="68"/>
      <c r="AB9" s="69"/>
    </row>
    <row r="10" spans="1:28" x14ac:dyDescent="0.35">
      <c r="A10" s="13" t="s">
        <v>176</v>
      </c>
      <c r="B10" s="13" t="s">
        <v>266</v>
      </c>
      <c r="C10" s="13">
        <v>0.1</v>
      </c>
      <c r="D10" s="17">
        <v>1000</v>
      </c>
      <c r="E10" s="17">
        <v>100</v>
      </c>
      <c r="G10" s="14" t="s">
        <v>91</v>
      </c>
      <c r="H10">
        <v>13.95</v>
      </c>
      <c r="I10" s="19">
        <v>15150</v>
      </c>
      <c r="K10" s="14" t="s">
        <v>22</v>
      </c>
      <c r="L10">
        <v>4.8499999999999996</v>
      </c>
      <c r="N10" s="22">
        <v>7</v>
      </c>
      <c r="O10" s="24" t="s">
        <v>15</v>
      </c>
      <c r="P10" s="25">
        <f>VLOOKUP(O10,KamiBox!$C$2:$F$58,4,0)</f>
        <v>4000</v>
      </c>
      <c r="Q10" s="26">
        <f t="shared" si="0"/>
        <v>25.849999999999998</v>
      </c>
      <c r="R10" s="25">
        <f t="shared" si="1"/>
        <v>103399.99999999999</v>
      </c>
      <c r="S10" s="29">
        <f>S9-1.95</f>
        <v>14.100000000000001</v>
      </c>
      <c r="T10" s="22">
        <v>7</v>
      </c>
      <c r="U10" s="24" t="s">
        <v>15</v>
      </c>
      <c r="V10" s="25">
        <f>VLOOKUP(U10,KamiBox!$C$2:$F$58,4,0)</f>
        <v>4000</v>
      </c>
      <c r="W10" s="26"/>
      <c r="X10" s="25">
        <f t="shared" si="2"/>
        <v>0</v>
      </c>
      <c r="Z10" s="67"/>
      <c r="AA10" s="68"/>
      <c r="AB10" s="69"/>
    </row>
    <row r="11" spans="1:28" x14ac:dyDescent="0.35">
      <c r="A11" s="13" t="s">
        <v>176</v>
      </c>
      <c r="B11" s="13" t="s">
        <v>39</v>
      </c>
      <c r="C11" s="13">
        <v>0.75</v>
      </c>
      <c r="D11" s="17">
        <v>1500</v>
      </c>
      <c r="E11" s="17">
        <v>1125</v>
      </c>
      <c r="G11" s="14" t="s">
        <v>93</v>
      </c>
      <c r="H11">
        <v>10.55</v>
      </c>
      <c r="I11" s="19">
        <v>11880</v>
      </c>
      <c r="K11" s="14" t="s">
        <v>125</v>
      </c>
      <c r="L11">
        <v>98.15</v>
      </c>
      <c r="N11" s="22">
        <v>8</v>
      </c>
      <c r="O11" s="24" t="s">
        <v>16</v>
      </c>
      <c r="P11" s="25">
        <f>VLOOKUP(O11,KamiBox!$C$2:$F$58,4,0)</f>
        <v>400</v>
      </c>
      <c r="Q11" s="26">
        <f t="shared" si="0"/>
        <v>0</v>
      </c>
      <c r="R11" s="25">
        <f t="shared" si="1"/>
        <v>0</v>
      </c>
      <c r="T11" s="22">
        <v>8</v>
      </c>
      <c r="U11" s="24" t="s">
        <v>16</v>
      </c>
      <c r="V11" s="25">
        <f>VLOOKUP(U11,KamiBox!$C$2:$F$58,4,0)</f>
        <v>400</v>
      </c>
      <c r="W11" s="26"/>
      <c r="X11" s="25">
        <f t="shared" si="2"/>
        <v>0</v>
      </c>
      <c r="Z11" s="67"/>
      <c r="AA11" s="68"/>
      <c r="AB11" s="69"/>
    </row>
    <row r="12" spans="1:28" x14ac:dyDescent="0.35">
      <c r="A12" s="13" t="s">
        <v>176</v>
      </c>
      <c r="B12" s="13" t="s">
        <v>13</v>
      </c>
      <c r="C12" s="13">
        <v>0.1</v>
      </c>
      <c r="D12" s="17">
        <v>500</v>
      </c>
      <c r="E12" s="17">
        <v>50</v>
      </c>
      <c r="G12" s="14" t="s">
        <v>84</v>
      </c>
      <c r="H12">
        <v>59.7</v>
      </c>
      <c r="I12" s="19">
        <v>86060</v>
      </c>
      <c r="K12" s="14" t="s">
        <v>25</v>
      </c>
      <c r="L12">
        <v>93.679999999999993</v>
      </c>
      <c r="N12" s="22">
        <v>9</v>
      </c>
      <c r="O12" s="24" t="s">
        <v>17</v>
      </c>
      <c r="P12" s="25">
        <f>VLOOKUP(O12,KamiBox!$C$2:$F$58,4,0)</f>
        <v>100</v>
      </c>
      <c r="Q12" s="26">
        <f t="shared" si="0"/>
        <v>8</v>
      </c>
      <c r="R12" s="25">
        <f t="shared" si="1"/>
        <v>800</v>
      </c>
      <c r="T12" s="22">
        <v>9</v>
      </c>
      <c r="U12" s="24" t="s">
        <v>17</v>
      </c>
      <c r="V12" s="25">
        <f>VLOOKUP(U12,KamiBox!$C$2:$F$58,4,0)</f>
        <v>100</v>
      </c>
      <c r="W12" s="26"/>
      <c r="X12" s="25">
        <f t="shared" si="2"/>
        <v>0</v>
      </c>
      <c r="Z12" s="67"/>
      <c r="AA12" s="68"/>
      <c r="AB12" s="69"/>
    </row>
    <row r="13" spans="1:28" x14ac:dyDescent="0.35">
      <c r="A13" s="13" t="s">
        <v>176</v>
      </c>
      <c r="B13" s="13" t="s">
        <v>53</v>
      </c>
      <c r="C13" s="13">
        <v>0.7</v>
      </c>
      <c r="D13" s="17">
        <v>300</v>
      </c>
      <c r="E13" s="17">
        <v>210</v>
      </c>
      <c r="G13" s="14" t="s">
        <v>95</v>
      </c>
      <c r="H13">
        <v>6.8</v>
      </c>
      <c r="I13" s="19">
        <v>8945</v>
      </c>
      <c r="K13" s="14" t="s">
        <v>26</v>
      </c>
      <c r="L13">
        <v>37.700000000000003</v>
      </c>
      <c r="N13" s="22">
        <v>10</v>
      </c>
      <c r="O13" s="24" t="s">
        <v>18</v>
      </c>
      <c r="P13" s="25">
        <f>VLOOKUP(O13,KamiBox!$C$2:$F$58,4,0)</f>
        <v>200</v>
      </c>
      <c r="Q13" s="26">
        <f t="shared" si="0"/>
        <v>23.65</v>
      </c>
      <c r="R13" s="25">
        <f t="shared" si="1"/>
        <v>4730</v>
      </c>
      <c r="T13" s="22">
        <v>10</v>
      </c>
      <c r="U13" s="24" t="s">
        <v>18</v>
      </c>
      <c r="V13" s="25">
        <f>VLOOKUP(U13,KamiBox!$C$2:$F$58,4,0)</f>
        <v>200</v>
      </c>
      <c r="W13" s="26"/>
      <c r="X13" s="25">
        <f t="shared" si="2"/>
        <v>0</v>
      </c>
      <c r="Z13" s="67"/>
      <c r="AA13" s="68"/>
      <c r="AB13" s="69"/>
    </row>
    <row r="14" spans="1:28" x14ac:dyDescent="0.35">
      <c r="A14" s="13" t="s">
        <v>176</v>
      </c>
      <c r="B14" s="13" t="s">
        <v>34</v>
      </c>
      <c r="C14" s="13">
        <v>3.75</v>
      </c>
      <c r="D14" s="17">
        <v>5000</v>
      </c>
      <c r="E14" s="17">
        <v>18750</v>
      </c>
      <c r="G14" s="14" t="s">
        <v>179</v>
      </c>
      <c r="H14">
        <v>12.6</v>
      </c>
      <c r="I14" s="19">
        <v>11160</v>
      </c>
      <c r="K14" s="14" t="s">
        <v>128</v>
      </c>
      <c r="L14">
        <v>3.8000000000000007</v>
      </c>
      <c r="N14" s="22">
        <v>11</v>
      </c>
      <c r="O14" s="24" t="s">
        <v>19</v>
      </c>
      <c r="P14" s="25">
        <f>VLOOKUP(O14,KamiBox!$C$2:$F$58,4,0)</f>
        <v>100</v>
      </c>
      <c r="Q14" s="26">
        <f t="shared" si="0"/>
        <v>0</v>
      </c>
      <c r="R14" s="25">
        <f t="shared" si="1"/>
        <v>0</v>
      </c>
      <c r="T14" s="22">
        <v>11</v>
      </c>
      <c r="U14" s="24" t="s">
        <v>19</v>
      </c>
      <c r="V14" s="25">
        <f>VLOOKUP(U14,KamiBox!$C$2:$F$58,4,0)</f>
        <v>100</v>
      </c>
      <c r="W14" s="26"/>
      <c r="X14" s="25">
        <f t="shared" si="2"/>
        <v>0</v>
      </c>
      <c r="Z14" s="67"/>
      <c r="AA14" s="68"/>
      <c r="AB14" s="69"/>
    </row>
    <row r="15" spans="1:28" x14ac:dyDescent="0.35">
      <c r="A15" s="13" t="s">
        <v>176</v>
      </c>
      <c r="B15" s="13" t="s">
        <v>25</v>
      </c>
      <c r="C15" s="13">
        <v>0.25</v>
      </c>
      <c r="D15" s="17">
        <v>1000</v>
      </c>
      <c r="E15" s="17">
        <v>250</v>
      </c>
      <c r="G15" s="14" t="s">
        <v>98</v>
      </c>
      <c r="H15">
        <v>6.6499999999999995</v>
      </c>
      <c r="I15" s="19">
        <v>7288</v>
      </c>
      <c r="K15" s="14" t="s">
        <v>29</v>
      </c>
      <c r="L15">
        <v>4.55</v>
      </c>
      <c r="N15" s="22">
        <v>12</v>
      </c>
      <c r="O15" s="24" t="s">
        <v>20</v>
      </c>
      <c r="P15" s="25">
        <f>VLOOKUP(O15,KamiBox!$C$2:$F$58,4,0)</f>
        <v>800</v>
      </c>
      <c r="Q15" s="26">
        <f t="shared" si="0"/>
        <v>0.8</v>
      </c>
      <c r="R15" s="25">
        <f t="shared" si="1"/>
        <v>640</v>
      </c>
      <c r="T15" s="22">
        <v>12</v>
      </c>
      <c r="U15" s="24" t="s">
        <v>20</v>
      </c>
      <c r="V15" s="25">
        <f>VLOOKUP(U15,KamiBox!$C$2:$F$58,4,0)</f>
        <v>800</v>
      </c>
      <c r="W15" s="26"/>
      <c r="X15" s="25">
        <f t="shared" si="2"/>
        <v>0</v>
      </c>
      <c r="Z15" s="67"/>
      <c r="AA15" s="68"/>
      <c r="AB15" s="69"/>
    </row>
    <row r="16" spans="1:28" x14ac:dyDescent="0.35">
      <c r="A16" s="13" t="s">
        <v>176</v>
      </c>
      <c r="B16" s="13" t="s">
        <v>51</v>
      </c>
      <c r="C16" s="13">
        <v>1.45</v>
      </c>
      <c r="D16" s="17">
        <v>500</v>
      </c>
      <c r="E16" s="17">
        <v>725</v>
      </c>
      <c r="G16" s="14" t="s">
        <v>99</v>
      </c>
      <c r="H16">
        <v>3.1</v>
      </c>
      <c r="I16" s="19">
        <v>2230</v>
      </c>
      <c r="K16" s="14" t="s">
        <v>100</v>
      </c>
      <c r="L16">
        <v>1.8</v>
      </c>
      <c r="N16" s="22">
        <v>13</v>
      </c>
      <c r="O16" s="24" t="s">
        <v>94</v>
      </c>
      <c r="P16" s="25">
        <f>VLOOKUP(O16,KamiBox!$C$2:$F$58,4,0)</f>
        <v>5000</v>
      </c>
      <c r="Q16" s="26">
        <v>4.3</v>
      </c>
      <c r="R16" s="25">
        <f t="shared" si="1"/>
        <v>21500</v>
      </c>
      <c r="S16">
        <v>57.449999999999996</v>
      </c>
      <c r="T16" s="22">
        <v>13</v>
      </c>
      <c r="U16" s="24" t="s">
        <v>94</v>
      </c>
      <c r="V16" s="25">
        <v>5500</v>
      </c>
      <c r="W16" s="26">
        <v>62</v>
      </c>
      <c r="X16" s="25">
        <v>342000</v>
      </c>
      <c r="Y16" t="s">
        <v>299</v>
      </c>
      <c r="Z16" s="67"/>
      <c r="AA16" s="68"/>
      <c r="AB16" s="69"/>
    </row>
    <row r="17" spans="1:28" x14ac:dyDescent="0.35">
      <c r="A17" s="13" t="s">
        <v>176</v>
      </c>
      <c r="B17" s="13" t="s">
        <v>41</v>
      </c>
      <c r="C17" s="13">
        <v>0.9</v>
      </c>
      <c r="D17" s="17">
        <v>1000</v>
      </c>
      <c r="E17" s="17">
        <v>900</v>
      </c>
      <c r="G17" s="14" t="s">
        <v>101</v>
      </c>
      <c r="H17">
        <v>7.6499999999999995</v>
      </c>
      <c r="I17" s="19">
        <v>15285</v>
      </c>
      <c r="K17" s="14" t="s">
        <v>34</v>
      </c>
      <c r="L17">
        <v>91.45</v>
      </c>
      <c r="M17">
        <f>C383</f>
        <v>46</v>
      </c>
      <c r="N17" s="22">
        <v>14</v>
      </c>
      <c r="O17" s="24" t="s">
        <v>22</v>
      </c>
      <c r="P17" s="25">
        <f>VLOOKUP(O17,KamiBox!$C$2:$F$58,4,0)</f>
        <v>2500</v>
      </c>
      <c r="Q17" s="26">
        <f t="shared" si="0"/>
        <v>4.8499999999999996</v>
      </c>
      <c r="R17" s="25">
        <f t="shared" si="1"/>
        <v>12125</v>
      </c>
      <c r="T17" s="22">
        <v>14</v>
      </c>
      <c r="U17" s="24" t="s">
        <v>22</v>
      </c>
      <c r="V17" s="25">
        <f>VLOOKUP(U17,KamiBox!$C$2:$F$58,4,0)</f>
        <v>2500</v>
      </c>
      <c r="W17" s="26"/>
      <c r="X17" s="25">
        <f t="shared" si="2"/>
        <v>0</v>
      </c>
      <c r="Z17" s="67"/>
      <c r="AA17" s="68"/>
      <c r="AB17" s="69"/>
    </row>
    <row r="18" spans="1:28" x14ac:dyDescent="0.35">
      <c r="A18" s="13" t="s">
        <v>176</v>
      </c>
      <c r="B18" s="13" t="s">
        <v>94</v>
      </c>
      <c r="C18" s="13">
        <v>0.85</v>
      </c>
      <c r="D18" s="17">
        <v>2800</v>
      </c>
      <c r="E18" s="17">
        <v>2380</v>
      </c>
      <c r="G18" s="14" t="s">
        <v>225</v>
      </c>
      <c r="H18">
        <v>44.399999999999991</v>
      </c>
      <c r="I18" s="19">
        <v>53002</v>
      </c>
      <c r="K18" s="14" t="s">
        <v>293</v>
      </c>
      <c r="L18">
        <v>2.25</v>
      </c>
      <c r="M18">
        <f>GETPIVOTDATA("Berat",$K$2,"Material","Jelantah")-M17</f>
        <v>45.45</v>
      </c>
      <c r="N18" s="22">
        <v>15</v>
      </c>
      <c r="O18" s="24" t="s">
        <v>23</v>
      </c>
      <c r="P18" s="25">
        <f>VLOOKUP(O18,KamiBox!$C$2:$F$58,4,0)</f>
        <v>1000</v>
      </c>
      <c r="Q18" s="26">
        <f t="shared" si="0"/>
        <v>0</v>
      </c>
      <c r="R18" s="25">
        <f t="shared" si="1"/>
        <v>0</v>
      </c>
      <c r="T18" s="22">
        <v>15</v>
      </c>
      <c r="U18" s="24" t="s">
        <v>23</v>
      </c>
      <c r="V18" s="25">
        <f>VLOOKUP(U18,KamiBox!$C$2:$F$58,4,0)</f>
        <v>1000</v>
      </c>
      <c r="W18" s="26"/>
      <c r="X18" s="25">
        <f t="shared" si="2"/>
        <v>0</v>
      </c>
      <c r="Z18" s="67"/>
      <c r="AA18" s="68"/>
      <c r="AB18" s="69"/>
    </row>
    <row r="19" spans="1:28" x14ac:dyDescent="0.35">
      <c r="A19" s="13" t="s">
        <v>176</v>
      </c>
      <c r="B19" s="13" t="s">
        <v>26</v>
      </c>
      <c r="C19" s="13">
        <v>1.4</v>
      </c>
      <c r="D19" s="17">
        <v>1000</v>
      </c>
      <c r="E19" s="17">
        <v>1400</v>
      </c>
      <c r="G19" s="14" t="s">
        <v>102</v>
      </c>
      <c r="H19">
        <v>5.0500000000000007</v>
      </c>
      <c r="I19" s="19">
        <v>6130</v>
      </c>
      <c r="K19" s="14" t="s">
        <v>39</v>
      </c>
      <c r="L19">
        <v>12.900000000000004</v>
      </c>
      <c r="M19">
        <f>M18*5000</f>
        <v>227250</v>
      </c>
      <c r="N19" s="22">
        <v>16</v>
      </c>
      <c r="O19" s="24" t="s">
        <v>125</v>
      </c>
      <c r="P19" s="25">
        <f>VLOOKUP(O19,KamiBox!$C$2:$F$58,4,0)</f>
        <v>1000</v>
      </c>
      <c r="Q19" s="26">
        <f t="shared" si="0"/>
        <v>98.15</v>
      </c>
      <c r="R19" s="25">
        <f t="shared" si="1"/>
        <v>98150</v>
      </c>
      <c r="T19" s="22">
        <v>16</v>
      </c>
      <c r="U19" s="24" t="s">
        <v>125</v>
      </c>
      <c r="V19" s="25">
        <f>VLOOKUP(U19,KamiBox!$C$2:$F$58,4,0)</f>
        <v>1000</v>
      </c>
      <c r="W19" s="26"/>
      <c r="X19" s="25">
        <f t="shared" si="2"/>
        <v>0</v>
      </c>
      <c r="Z19" s="67"/>
      <c r="AA19" s="68"/>
      <c r="AB19" s="69"/>
    </row>
    <row r="20" spans="1:28" x14ac:dyDescent="0.35">
      <c r="A20" s="13" t="s">
        <v>176</v>
      </c>
      <c r="B20" s="13" t="s">
        <v>60</v>
      </c>
      <c r="C20" s="13">
        <v>0.1</v>
      </c>
      <c r="D20" s="17">
        <v>2500</v>
      </c>
      <c r="E20" s="17">
        <v>250</v>
      </c>
      <c r="G20" s="14" t="s">
        <v>195</v>
      </c>
      <c r="H20">
        <v>1.5</v>
      </c>
      <c r="I20" s="19">
        <v>1970</v>
      </c>
      <c r="K20" s="14" t="s">
        <v>41</v>
      </c>
      <c r="L20">
        <v>168.69999999999993</v>
      </c>
      <c r="N20" s="22">
        <v>17</v>
      </c>
      <c r="O20" s="24" t="s">
        <v>25</v>
      </c>
      <c r="P20" s="25">
        <f>VLOOKUP(O20,KamiBox!$C$2:$F$58,4,0)</f>
        <v>1200</v>
      </c>
      <c r="Q20" s="26">
        <f t="shared" si="0"/>
        <v>93.679999999999993</v>
      </c>
      <c r="R20" s="25">
        <f t="shared" si="1"/>
        <v>112415.99999999999</v>
      </c>
      <c r="T20" s="22">
        <v>17</v>
      </c>
      <c r="U20" s="24" t="s">
        <v>25</v>
      </c>
      <c r="V20" s="25">
        <f>VLOOKUP(U20,KamiBox!$C$2:$F$58,4,0)</f>
        <v>1200</v>
      </c>
      <c r="W20" s="26"/>
      <c r="X20" s="25">
        <f t="shared" si="2"/>
        <v>0</v>
      </c>
      <c r="Z20" s="70"/>
      <c r="AA20" s="71"/>
      <c r="AB20" s="72"/>
    </row>
    <row r="21" spans="1:28" x14ac:dyDescent="0.35">
      <c r="A21" s="13" t="s">
        <v>86</v>
      </c>
      <c r="B21" s="13" t="s">
        <v>53</v>
      </c>
      <c r="C21" s="13">
        <v>0.5</v>
      </c>
      <c r="D21" s="17">
        <v>300</v>
      </c>
      <c r="E21" s="17">
        <v>150</v>
      </c>
      <c r="G21" s="14" t="s">
        <v>204</v>
      </c>
      <c r="H21">
        <v>10.28</v>
      </c>
      <c r="I21" s="19">
        <v>8220</v>
      </c>
      <c r="K21" s="14" t="s">
        <v>263</v>
      </c>
      <c r="L21">
        <v>3.8</v>
      </c>
      <c r="N21" s="22">
        <v>18</v>
      </c>
      <c r="O21" s="24" t="s">
        <v>26</v>
      </c>
      <c r="P21" s="25">
        <f>VLOOKUP(O21,KamiBox!$C$2:$F$58,4,0)</f>
        <v>1000</v>
      </c>
      <c r="Q21" s="26">
        <v>35.700000000000003</v>
      </c>
      <c r="R21" s="25">
        <f t="shared" si="1"/>
        <v>35700</v>
      </c>
      <c r="T21" s="22">
        <v>18</v>
      </c>
      <c r="U21" s="24" t="s">
        <v>26</v>
      </c>
      <c r="V21" s="25">
        <f>VLOOKUP(U21,KamiBox!$C$2:$F$58,4,0)</f>
        <v>1000</v>
      </c>
      <c r="W21" s="26"/>
      <c r="X21" s="25">
        <f t="shared" si="2"/>
        <v>0</v>
      </c>
    </row>
    <row r="22" spans="1:28" x14ac:dyDescent="0.35">
      <c r="A22" s="13" t="s">
        <v>86</v>
      </c>
      <c r="B22" s="13" t="s">
        <v>18</v>
      </c>
      <c r="C22" s="13">
        <v>0.95</v>
      </c>
      <c r="D22" s="17">
        <v>150</v>
      </c>
      <c r="E22" s="17">
        <v>143</v>
      </c>
      <c r="G22" s="14" t="s">
        <v>103</v>
      </c>
      <c r="H22">
        <v>2.75</v>
      </c>
      <c r="I22" s="19">
        <v>3545</v>
      </c>
      <c r="K22" s="14" t="s">
        <v>44</v>
      </c>
      <c r="L22">
        <v>1.4</v>
      </c>
      <c r="N22" s="22">
        <v>19</v>
      </c>
      <c r="O22" s="24" t="s">
        <v>27</v>
      </c>
      <c r="P22" s="25">
        <f>VLOOKUP(O22,KamiBox!$C$2:$F$58,4,0)</f>
        <v>3000</v>
      </c>
      <c r="Q22" s="26">
        <f t="shared" si="0"/>
        <v>0</v>
      </c>
      <c r="R22" s="25">
        <f t="shared" si="1"/>
        <v>0</v>
      </c>
      <c r="T22" s="22">
        <v>19</v>
      </c>
      <c r="U22" s="24" t="s">
        <v>27</v>
      </c>
      <c r="V22" s="25">
        <f>VLOOKUP(U22,KamiBox!$C$2:$F$58,4,0)</f>
        <v>3000</v>
      </c>
      <c r="W22" s="26"/>
      <c r="X22" s="25">
        <f t="shared" si="2"/>
        <v>0</v>
      </c>
    </row>
    <row r="23" spans="1:28" x14ac:dyDescent="0.35">
      <c r="A23" s="13" t="s">
        <v>86</v>
      </c>
      <c r="B23" s="13" t="s">
        <v>25</v>
      </c>
      <c r="C23" s="13">
        <v>1.05</v>
      </c>
      <c r="D23" s="17">
        <v>1000</v>
      </c>
      <c r="E23" s="17">
        <v>1050</v>
      </c>
      <c r="G23" s="14" t="s">
        <v>221</v>
      </c>
      <c r="H23">
        <v>2.15</v>
      </c>
      <c r="I23" s="19">
        <v>1820</v>
      </c>
      <c r="K23" s="14" t="s">
        <v>46</v>
      </c>
      <c r="L23">
        <v>1.75</v>
      </c>
      <c r="N23" s="22">
        <v>20</v>
      </c>
      <c r="O23" s="24" t="s">
        <v>28</v>
      </c>
      <c r="P23" s="25">
        <f>VLOOKUP(O23,KamiBox!$C$2:$F$58,4,0)</f>
        <v>4000</v>
      </c>
      <c r="Q23" s="26">
        <v>3.8</v>
      </c>
      <c r="R23" s="25">
        <f t="shared" si="1"/>
        <v>15200</v>
      </c>
      <c r="T23" s="22">
        <v>20</v>
      </c>
      <c r="U23" s="24" t="s">
        <v>28</v>
      </c>
      <c r="V23" s="25">
        <f>VLOOKUP(U23,KamiBox!$C$2:$F$58,4,0)</f>
        <v>4000</v>
      </c>
      <c r="W23" s="26"/>
      <c r="X23" s="25">
        <f t="shared" si="2"/>
        <v>0</v>
      </c>
    </row>
    <row r="24" spans="1:28" x14ac:dyDescent="0.35">
      <c r="A24" s="13" t="s">
        <v>86</v>
      </c>
      <c r="B24" s="13" t="s">
        <v>94</v>
      </c>
      <c r="C24" s="13">
        <v>1.5</v>
      </c>
      <c r="D24" s="17">
        <v>2800</v>
      </c>
      <c r="E24" s="17">
        <v>4200</v>
      </c>
      <c r="G24" s="14" t="s">
        <v>162</v>
      </c>
      <c r="H24">
        <v>8.6500000000000021</v>
      </c>
      <c r="I24" s="19">
        <v>9815</v>
      </c>
      <c r="K24" s="14" t="s">
        <v>51</v>
      </c>
      <c r="L24">
        <v>45.55</v>
      </c>
      <c r="N24" s="22">
        <v>21</v>
      </c>
      <c r="O24" s="24" t="s">
        <v>29</v>
      </c>
      <c r="P24" s="25">
        <f>VLOOKUP(O24,KamiBox!$C$2:$F$58,4,0)</f>
        <v>2000</v>
      </c>
      <c r="Q24" s="26">
        <f t="shared" si="0"/>
        <v>4.55</v>
      </c>
      <c r="R24" s="25">
        <f t="shared" si="1"/>
        <v>9100</v>
      </c>
      <c r="T24" s="22">
        <v>21</v>
      </c>
      <c r="U24" s="24" t="s">
        <v>29</v>
      </c>
      <c r="V24" s="25">
        <f>VLOOKUP(U24,KamiBox!$C$2:$F$58,4,0)</f>
        <v>2000</v>
      </c>
      <c r="W24" s="26"/>
      <c r="X24" s="25">
        <f t="shared" si="2"/>
        <v>0</v>
      </c>
    </row>
    <row r="25" spans="1:28" x14ac:dyDescent="0.35">
      <c r="A25" s="13" t="s">
        <v>86</v>
      </c>
      <c r="B25" s="13" t="s">
        <v>51</v>
      </c>
      <c r="C25" s="13">
        <v>1.5</v>
      </c>
      <c r="D25" s="17">
        <v>500</v>
      </c>
      <c r="E25" s="17">
        <v>750</v>
      </c>
      <c r="G25" s="14" t="s">
        <v>105</v>
      </c>
      <c r="H25">
        <v>4.2</v>
      </c>
      <c r="I25" s="19">
        <v>6708</v>
      </c>
      <c r="K25" s="14" t="s">
        <v>53</v>
      </c>
      <c r="L25">
        <v>87.4</v>
      </c>
      <c r="N25" s="22">
        <v>22</v>
      </c>
      <c r="O25" s="24" t="s">
        <v>30</v>
      </c>
      <c r="P25" s="25">
        <f>VLOOKUP(O25,KamiBox!$C$2:$F$58,4,0)</f>
        <v>5000</v>
      </c>
      <c r="Q25" s="26">
        <f t="shared" si="0"/>
        <v>0</v>
      </c>
      <c r="R25" s="25">
        <f t="shared" si="1"/>
        <v>0</v>
      </c>
      <c r="T25" s="22">
        <v>22</v>
      </c>
      <c r="U25" s="24" t="s">
        <v>30</v>
      </c>
      <c r="V25" s="25">
        <f>VLOOKUP(U25,KamiBox!$C$2:$F$58,4,0)</f>
        <v>5000</v>
      </c>
      <c r="W25" s="26"/>
      <c r="X25" s="25">
        <f t="shared" si="2"/>
        <v>0</v>
      </c>
    </row>
    <row r="26" spans="1:28" x14ac:dyDescent="0.35">
      <c r="A26" s="13" t="s">
        <v>86</v>
      </c>
      <c r="B26" s="13" t="s">
        <v>41</v>
      </c>
      <c r="C26" s="13">
        <v>3.65</v>
      </c>
      <c r="D26" s="17">
        <v>1000</v>
      </c>
      <c r="E26" s="17">
        <v>3650</v>
      </c>
      <c r="G26" s="14" t="s">
        <v>106</v>
      </c>
      <c r="H26">
        <v>7.9</v>
      </c>
      <c r="I26" s="19">
        <v>7810</v>
      </c>
      <c r="K26" s="14" t="s">
        <v>54</v>
      </c>
      <c r="L26">
        <v>2.1</v>
      </c>
      <c r="N26" s="22">
        <v>23</v>
      </c>
      <c r="O26" s="24" t="s">
        <v>100</v>
      </c>
      <c r="P26" s="25">
        <f>VLOOKUP(O26,KamiBox!$C$2:$F$58,4,0)</f>
        <v>2000</v>
      </c>
      <c r="Q26" s="26">
        <f t="shared" si="0"/>
        <v>1.8</v>
      </c>
      <c r="R26" s="25">
        <f t="shared" si="1"/>
        <v>3600</v>
      </c>
      <c r="T26" s="22">
        <v>23</v>
      </c>
      <c r="U26" s="24" t="s">
        <v>100</v>
      </c>
      <c r="V26" s="25">
        <f>VLOOKUP(U26,KamiBox!$C$2:$F$58,4,0)</f>
        <v>2000</v>
      </c>
      <c r="W26" s="26"/>
      <c r="X26" s="25">
        <f t="shared" si="2"/>
        <v>0</v>
      </c>
    </row>
    <row r="27" spans="1:28" x14ac:dyDescent="0.35">
      <c r="A27" s="13" t="s">
        <v>88</v>
      </c>
      <c r="B27" s="13" t="s">
        <v>39</v>
      </c>
      <c r="C27" s="13">
        <v>0.7</v>
      </c>
      <c r="D27" s="17">
        <v>1500</v>
      </c>
      <c r="E27" s="17">
        <v>1050</v>
      </c>
      <c r="G27" s="14" t="s">
        <v>107</v>
      </c>
      <c r="H27">
        <v>2.9499999999999997</v>
      </c>
      <c r="I27" s="19">
        <v>4330</v>
      </c>
      <c r="K27" s="14" t="s">
        <v>266</v>
      </c>
      <c r="L27">
        <v>11.049999999999999</v>
      </c>
      <c r="N27" s="22">
        <v>24</v>
      </c>
      <c r="O27" s="24" t="s">
        <v>33</v>
      </c>
      <c r="P27" s="25">
        <f>VLOOKUP(O27,KamiBox!$C$2:$F$58,4,0)</f>
        <v>700</v>
      </c>
      <c r="Q27" s="26">
        <f t="shared" si="0"/>
        <v>0</v>
      </c>
      <c r="R27" s="25">
        <f t="shared" si="1"/>
        <v>0</v>
      </c>
      <c r="T27" s="22">
        <v>24</v>
      </c>
      <c r="U27" s="24" t="s">
        <v>33</v>
      </c>
      <c r="V27" s="25">
        <f>VLOOKUP(U27,KamiBox!$C$2:$F$58,4,0)</f>
        <v>700</v>
      </c>
      <c r="W27" s="26"/>
      <c r="X27" s="25">
        <f t="shared" si="2"/>
        <v>0</v>
      </c>
    </row>
    <row r="28" spans="1:28" x14ac:dyDescent="0.35">
      <c r="A28" s="13" t="s">
        <v>88</v>
      </c>
      <c r="B28" s="13" t="s">
        <v>18</v>
      </c>
      <c r="C28" s="13">
        <v>1.45</v>
      </c>
      <c r="D28" s="17">
        <v>150</v>
      </c>
      <c r="E28" s="17">
        <v>218</v>
      </c>
      <c r="G28" s="14" t="s">
        <v>206</v>
      </c>
      <c r="H28">
        <v>6.3500000000000005</v>
      </c>
      <c r="I28" s="19">
        <v>7415</v>
      </c>
      <c r="K28" s="14" t="s">
        <v>126</v>
      </c>
      <c r="L28">
        <v>17.2</v>
      </c>
      <c r="N28" s="22">
        <v>25</v>
      </c>
      <c r="O28" s="24" t="s">
        <v>34</v>
      </c>
      <c r="P28" s="25">
        <f>VLOOKUP(O28,KamiBox!$C$2:$F$58,4,0)</f>
        <v>7000</v>
      </c>
      <c r="Q28" s="26">
        <v>0</v>
      </c>
      <c r="R28" s="25">
        <f t="shared" si="1"/>
        <v>0</v>
      </c>
      <c r="T28" s="22">
        <v>25</v>
      </c>
      <c r="U28" s="24" t="s">
        <v>34</v>
      </c>
      <c r="V28" s="25">
        <f>VLOOKUP(U28,KamiBox!$C$2:$F$58,4,0)</f>
        <v>7000</v>
      </c>
      <c r="W28" s="26">
        <f>45.45+46</f>
        <v>91.45</v>
      </c>
      <c r="X28" s="25"/>
      <c r="Y28" t="s">
        <v>302</v>
      </c>
    </row>
    <row r="29" spans="1:28" x14ac:dyDescent="0.35">
      <c r="A29" s="13" t="s">
        <v>88</v>
      </c>
      <c r="B29" s="13" t="s">
        <v>22</v>
      </c>
      <c r="C29" s="13">
        <v>0.25</v>
      </c>
      <c r="D29" s="17">
        <v>1600</v>
      </c>
      <c r="E29" s="17">
        <v>400</v>
      </c>
      <c r="G29" s="14" t="s">
        <v>196</v>
      </c>
      <c r="H29">
        <v>2.4500000000000002</v>
      </c>
      <c r="I29" s="19">
        <v>2075</v>
      </c>
      <c r="K29" s="14" t="s">
        <v>57</v>
      </c>
      <c r="L29">
        <v>0.25</v>
      </c>
      <c r="N29" s="22">
        <v>26</v>
      </c>
      <c r="O29" s="24" t="s">
        <v>35</v>
      </c>
      <c r="P29" s="25">
        <f>VLOOKUP(O29,KamiBox!$C$2:$F$58,4,0)</f>
        <v>1500</v>
      </c>
      <c r="Q29" s="26">
        <v>2.25</v>
      </c>
      <c r="R29" s="25">
        <f t="shared" si="1"/>
        <v>3375</v>
      </c>
      <c r="T29" s="22">
        <v>26</v>
      </c>
      <c r="U29" s="24" t="s">
        <v>35</v>
      </c>
      <c r="V29" s="25">
        <f>VLOOKUP(U29,KamiBox!$C$2:$F$58,4,0)</f>
        <v>1500</v>
      </c>
      <c r="W29" s="26"/>
      <c r="X29" s="25">
        <f t="shared" si="2"/>
        <v>0</v>
      </c>
    </row>
    <row r="30" spans="1:28" x14ac:dyDescent="0.35">
      <c r="A30" s="13" t="s">
        <v>88</v>
      </c>
      <c r="B30" s="13" t="s">
        <v>51</v>
      </c>
      <c r="C30" s="13">
        <v>3.7</v>
      </c>
      <c r="D30" s="17">
        <v>500</v>
      </c>
      <c r="E30" s="17">
        <v>1850</v>
      </c>
      <c r="G30" s="14" t="s">
        <v>109</v>
      </c>
      <c r="H30">
        <v>7.75</v>
      </c>
      <c r="I30" s="19">
        <v>6565</v>
      </c>
      <c r="K30" s="14" t="s">
        <v>60</v>
      </c>
      <c r="L30">
        <v>5.55</v>
      </c>
      <c r="N30" s="22">
        <v>27</v>
      </c>
      <c r="O30" s="24" t="s">
        <v>37</v>
      </c>
      <c r="P30" s="25">
        <f>VLOOKUP(O30,KamiBox!$C$2:$F$58,4,0)</f>
        <v>2000</v>
      </c>
      <c r="Q30" s="26">
        <v>17.2</v>
      </c>
      <c r="R30" s="25">
        <f t="shared" si="1"/>
        <v>34400</v>
      </c>
      <c r="T30" s="22">
        <v>27</v>
      </c>
      <c r="U30" s="24" t="s">
        <v>37</v>
      </c>
      <c r="V30" s="25">
        <f>VLOOKUP(U30,KamiBox!$C$2:$F$58,4,0)</f>
        <v>2000</v>
      </c>
      <c r="W30" s="26"/>
      <c r="X30" s="25">
        <f t="shared" si="2"/>
        <v>0</v>
      </c>
    </row>
    <row r="31" spans="1:28" x14ac:dyDescent="0.35">
      <c r="A31" s="13" t="s">
        <v>88</v>
      </c>
      <c r="B31" s="13" t="s">
        <v>53</v>
      </c>
      <c r="C31" s="13">
        <v>2.75</v>
      </c>
      <c r="D31" s="17">
        <v>300</v>
      </c>
      <c r="E31" s="17">
        <v>825</v>
      </c>
      <c r="G31" s="14" t="s">
        <v>110</v>
      </c>
      <c r="H31">
        <v>6.45</v>
      </c>
      <c r="I31" s="19">
        <v>6695</v>
      </c>
      <c r="K31" s="14" t="s">
        <v>61</v>
      </c>
      <c r="L31">
        <v>0.55000000000000004</v>
      </c>
      <c r="N31" s="22">
        <v>28</v>
      </c>
      <c r="O31" s="24" t="s">
        <v>38</v>
      </c>
      <c r="P31" s="25">
        <f>VLOOKUP(O31,KamiBox!$C$2:$F$58,4,0)</f>
        <v>100</v>
      </c>
      <c r="Q31" s="26">
        <f t="shared" si="0"/>
        <v>0</v>
      </c>
      <c r="R31" s="25">
        <f t="shared" si="1"/>
        <v>0</v>
      </c>
      <c r="T31" s="22">
        <v>28</v>
      </c>
      <c r="U31" s="24" t="s">
        <v>38</v>
      </c>
      <c r="V31" s="25">
        <f>VLOOKUP(U31,KamiBox!$C$2:$F$58,4,0)</f>
        <v>100</v>
      </c>
      <c r="W31" s="26"/>
      <c r="X31" s="25">
        <f t="shared" si="2"/>
        <v>0</v>
      </c>
    </row>
    <row r="32" spans="1:28" x14ac:dyDescent="0.35">
      <c r="A32" s="13" t="s">
        <v>88</v>
      </c>
      <c r="B32" s="13" t="s">
        <v>125</v>
      </c>
      <c r="C32" s="13">
        <v>3.45</v>
      </c>
      <c r="D32" s="17">
        <v>800</v>
      </c>
      <c r="E32" s="17">
        <v>2760</v>
      </c>
      <c r="G32" s="14" t="s">
        <v>208</v>
      </c>
      <c r="H32">
        <v>11.3</v>
      </c>
      <c r="I32" s="19">
        <v>30020</v>
      </c>
      <c r="K32" s="14" t="s">
        <v>124</v>
      </c>
      <c r="L32">
        <v>825.67999999999972</v>
      </c>
      <c r="N32" s="22">
        <v>29</v>
      </c>
      <c r="O32" s="24" t="s">
        <v>39</v>
      </c>
      <c r="P32" s="25">
        <f>VLOOKUP(O32,KamiBox!$C$2:$F$58,4,0)</f>
        <v>2000</v>
      </c>
      <c r="Q32" s="26">
        <f t="shared" si="0"/>
        <v>12.900000000000004</v>
      </c>
      <c r="R32" s="25">
        <f t="shared" si="1"/>
        <v>25800.000000000007</v>
      </c>
      <c r="T32" s="22">
        <v>29</v>
      </c>
      <c r="U32" s="24" t="s">
        <v>39</v>
      </c>
      <c r="V32" s="25">
        <f>VLOOKUP(U32,KamiBox!$C$2:$F$58,4,0)</f>
        <v>2000</v>
      </c>
      <c r="W32" s="26"/>
      <c r="X32" s="25">
        <f t="shared" si="2"/>
        <v>0</v>
      </c>
    </row>
    <row r="33" spans="1:25" x14ac:dyDescent="0.35">
      <c r="A33" s="13" t="s">
        <v>88</v>
      </c>
      <c r="B33" s="13" t="s">
        <v>41</v>
      </c>
      <c r="C33" s="13">
        <v>5.15</v>
      </c>
      <c r="D33" s="17">
        <v>1000</v>
      </c>
      <c r="E33" s="17">
        <v>5150</v>
      </c>
      <c r="G33" s="14" t="s">
        <v>112</v>
      </c>
      <c r="H33">
        <v>13.600000000000001</v>
      </c>
      <c r="I33" s="19">
        <v>13880</v>
      </c>
      <c r="N33" s="22">
        <v>30</v>
      </c>
      <c r="O33" s="24" t="s">
        <v>40</v>
      </c>
      <c r="P33" s="25">
        <f>VLOOKUP(O33,KamiBox!$C$2:$F$58,4,0)</f>
        <v>1800</v>
      </c>
      <c r="Q33" s="26">
        <f t="shared" si="0"/>
        <v>0</v>
      </c>
      <c r="R33" s="25">
        <f t="shared" si="1"/>
        <v>0</v>
      </c>
      <c r="T33" s="22">
        <v>30</v>
      </c>
      <c r="U33" s="24" t="s">
        <v>40</v>
      </c>
      <c r="V33" s="25">
        <f>VLOOKUP(U33,KamiBox!$C$2:$F$58,4,0)</f>
        <v>1800</v>
      </c>
      <c r="W33" s="26"/>
      <c r="X33" s="25">
        <f t="shared" si="2"/>
        <v>0</v>
      </c>
    </row>
    <row r="34" spans="1:25" x14ac:dyDescent="0.35">
      <c r="A34" s="13" t="s">
        <v>88</v>
      </c>
      <c r="B34" s="13" t="s">
        <v>94</v>
      </c>
      <c r="C34" s="13">
        <v>1.85</v>
      </c>
      <c r="D34" s="17">
        <v>2800</v>
      </c>
      <c r="E34" s="17">
        <v>5180</v>
      </c>
      <c r="G34" s="14" t="s">
        <v>113</v>
      </c>
      <c r="H34">
        <v>8.8500000000000014</v>
      </c>
      <c r="I34" s="19">
        <v>8690</v>
      </c>
      <c r="N34" s="22">
        <v>31</v>
      </c>
      <c r="O34" s="24" t="s">
        <v>41</v>
      </c>
      <c r="P34" s="25">
        <f>VLOOKUP(O34,KamiBox!$C$2:$F$58,4,0)</f>
        <v>1800</v>
      </c>
      <c r="Q34" s="26">
        <f t="shared" si="0"/>
        <v>168.69999999999993</v>
      </c>
      <c r="R34" s="25">
        <f t="shared" si="1"/>
        <v>303659.99999999988</v>
      </c>
      <c r="T34" s="22">
        <v>31</v>
      </c>
      <c r="U34" s="24" t="s">
        <v>41</v>
      </c>
      <c r="V34" s="25">
        <f>VLOOKUP(U34,KamiBox!$C$2:$F$58,4,0)</f>
        <v>1800</v>
      </c>
      <c r="W34" s="26"/>
      <c r="X34" s="25">
        <f t="shared" si="2"/>
        <v>0</v>
      </c>
    </row>
    <row r="35" spans="1:25" x14ac:dyDescent="0.35">
      <c r="A35" s="13" t="s">
        <v>88</v>
      </c>
      <c r="B35" s="13" t="s">
        <v>25</v>
      </c>
      <c r="C35" s="13">
        <v>1.65</v>
      </c>
      <c r="D35" s="17">
        <v>1000</v>
      </c>
      <c r="E35" s="17">
        <v>1650</v>
      </c>
      <c r="G35" s="14" t="s">
        <v>168</v>
      </c>
      <c r="H35">
        <v>24.650000000000002</v>
      </c>
      <c r="I35" s="19">
        <v>20800</v>
      </c>
      <c r="K35" s="14" t="s">
        <v>73</v>
      </c>
      <c r="N35" s="22">
        <v>32</v>
      </c>
      <c r="O35" s="24" t="s">
        <v>42</v>
      </c>
      <c r="P35" s="25">
        <f>VLOOKUP(O35,KamiBox!$C$2:$F$58,4,0)</f>
        <v>4000</v>
      </c>
      <c r="Q35" s="26">
        <f t="shared" si="0"/>
        <v>0</v>
      </c>
      <c r="R35" s="25">
        <f t="shared" si="1"/>
        <v>0</v>
      </c>
      <c r="T35" s="22">
        <v>32</v>
      </c>
      <c r="U35" s="24" t="s">
        <v>42</v>
      </c>
      <c r="V35" s="25">
        <f>VLOOKUP(U35,KamiBox!$C$2:$F$58,4,0)</f>
        <v>4000</v>
      </c>
      <c r="W35" s="26"/>
      <c r="X35" s="25">
        <f t="shared" si="2"/>
        <v>0</v>
      </c>
    </row>
    <row r="36" spans="1:25" x14ac:dyDescent="0.35">
      <c r="A36" s="13" t="s">
        <v>220</v>
      </c>
      <c r="B36" s="13" t="s">
        <v>15</v>
      </c>
      <c r="C36" s="13">
        <v>6.35</v>
      </c>
      <c r="D36" s="17">
        <v>2500</v>
      </c>
      <c r="E36" s="17">
        <v>15875</v>
      </c>
      <c r="G36" s="14" t="s">
        <v>114</v>
      </c>
      <c r="H36">
        <v>8.8000000000000007</v>
      </c>
      <c r="I36" s="19">
        <v>6720</v>
      </c>
      <c r="K36" s="5">
        <f>X58+R58-GETPIVOTDATA("Sum of Total",$G$2)</f>
        <v>-69134</v>
      </c>
      <c r="N36" s="22">
        <v>33</v>
      </c>
      <c r="O36" s="24" t="s">
        <v>43</v>
      </c>
      <c r="P36" s="25">
        <f>VLOOKUP(O36,KamiBox!$C$2:$F$58,4,0)</f>
        <v>60000</v>
      </c>
      <c r="Q36" s="26">
        <f t="shared" si="0"/>
        <v>0</v>
      </c>
      <c r="R36" s="25">
        <f t="shared" si="1"/>
        <v>0</v>
      </c>
      <c r="T36" s="22">
        <v>33</v>
      </c>
      <c r="U36" s="24" t="s">
        <v>43</v>
      </c>
      <c r="V36" s="25">
        <f>VLOOKUP(U36,KamiBox!$C$2:$F$58,4,0)</f>
        <v>60000</v>
      </c>
      <c r="W36" s="26"/>
      <c r="X36" s="25">
        <f t="shared" si="2"/>
        <v>0</v>
      </c>
    </row>
    <row r="37" spans="1:25" x14ac:dyDescent="0.35">
      <c r="A37" s="13" t="s">
        <v>220</v>
      </c>
      <c r="B37" s="13" t="s">
        <v>18</v>
      </c>
      <c r="C37" s="13">
        <v>1.95</v>
      </c>
      <c r="D37" s="17">
        <v>150</v>
      </c>
      <c r="E37" s="17">
        <v>293</v>
      </c>
      <c r="G37" s="14" t="s">
        <v>213</v>
      </c>
      <c r="H37">
        <v>7.6999999999999993</v>
      </c>
      <c r="I37" s="19">
        <v>8510</v>
      </c>
      <c r="N37" s="22">
        <v>34</v>
      </c>
      <c r="O37" s="24" t="s">
        <v>44</v>
      </c>
      <c r="P37" s="25">
        <f>VLOOKUP(O37,KamiBox!$C$2:$F$58,4,0)</f>
        <v>700</v>
      </c>
      <c r="Q37" s="26">
        <f t="shared" si="0"/>
        <v>1.4</v>
      </c>
      <c r="R37" s="25">
        <f t="shared" si="1"/>
        <v>979.99999999999989</v>
      </c>
      <c r="T37" s="22">
        <v>34</v>
      </c>
      <c r="U37" s="24" t="s">
        <v>44</v>
      </c>
      <c r="V37" s="25">
        <f>VLOOKUP(U37,KamiBox!$C$2:$F$58,4,0)</f>
        <v>700</v>
      </c>
      <c r="W37" s="26"/>
      <c r="X37" s="25">
        <f t="shared" si="2"/>
        <v>0</v>
      </c>
    </row>
    <row r="38" spans="1:25" x14ac:dyDescent="0.35">
      <c r="A38" s="13" t="s">
        <v>220</v>
      </c>
      <c r="B38" s="13" t="s">
        <v>60</v>
      </c>
      <c r="C38" s="13">
        <v>0.05</v>
      </c>
      <c r="D38" s="17">
        <v>2500</v>
      </c>
      <c r="E38" s="17">
        <v>125</v>
      </c>
      <c r="G38" s="14" t="s">
        <v>116</v>
      </c>
      <c r="H38">
        <v>32.400000000000006</v>
      </c>
      <c r="I38" s="19">
        <v>122373</v>
      </c>
      <c r="N38" s="22">
        <v>35</v>
      </c>
      <c r="O38" s="24" t="s">
        <v>46</v>
      </c>
      <c r="P38" s="25">
        <f>VLOOKUP(O38,KamiBox!$C$2:$F$58,4,0)</f>
        <v>4000</v>
      </c>
      <c r="Q38" s="26">
        <f t="shared" si="0"/>
        <v>1.75</v>
      </c>
      <c r="R38" s="25">
        <f t="shared" si="1"/>
        <v>7000</v>
      </c>
      <c r="T38" s="22">
        <v>35</v>
      </c>
      <c r="U38" s="24" t="s">
        <v>46</v>
      </c>
      <c r="V38" s="25">
        <f>VLOOKUP(U38,KamiBox!$C$2:$F$58,4,0)</f>
        <v>4000</v>
      </c>
      <c r="W38" s="26"/>
      <c r="X38" s="25">
        <f t="shared" si="2"/>
        <v>0</v>
      </c>
    </row>
    <row r="39" spans="1:25" x14ac:dyDescent="0.35">
      <c r="A39" s="13" t="s">
        <v>220</v>
      </c>
      <c r="B39" s="13" t="s">
        <v>127</v>
      </c>
      <c r="C39" s="13">
        <v>0.1</v>
      </c>
      <c r="D39" s="17">
        <v>8000</v>
      </c>
      <c r="E39" s="17">
        <v>800</v>
      </c>
      <c r="G39" s="14" t="s">
        <v>214</v>
      </c>
      <c r="H39">
        <v>17.45</v>
      </c>
      <c r="I39" s="19">
        <v>17135</v>
      </c>
      <c r="N39" s="22">
        <v>36</v>
      </c>
      <c r="O39" s="24" t="s">
        <v>47</v>
      </c>
      <c r="P39" s="25">
        <f>VLOOKUP(O39,KamiBox!$C$2:$F$58,4,0)</f>
        <v>50000</v>
      </c>
      <c r="Q39" s="26">
        <f t="shared" si="0"/>
        <v>0</v>
      </c>
      <c r="R39" s="25">
        <f t="shared" si="1"/>
        <v>0</v>
      </c>
      <c r="T39" s="22">
        <v>36</v>
      </c>
      <c r="U39" s="24" t="s">
        <v>47</v>
      </c>
      <c r="V39" s="25">
        <f>VLOOKUP(U39,KamiBox!$C$2:$F$58,4,0)</f>
        <v>50000</v>
      </c>
      <c r="W39" s="26"/>
      <c r="X39" s="25">
        <f t="shared" si="2"/>
        <v>0</v>
      </c>
    </row>
    <row r="40" spans="1:25" x14ac:dyDescent="0.35">
      <c r="A40" s="13" t="s">
        <v>220</v>
      </c>
      <c r="B40" s="13" t="s">
        <v>13</v>
      </c>
      <c r="C40" s="13">
        <v>0.2</v>
      </c>
      <c r="D40" s="17">
        <v>500</v>
      </c>
      <c r="E40" s="17">
        <v>100</v>
      </c>
      <c r="G40" s="14" t="s">
        <v>250</v>
      </c>
      <c r="H40">
        <v>30.85</v>
      </c>
      <c r="I40" s="19">
        <v>39145</v>
      </c>
      <c r="N40" s="22">
        <v>37</v>
      </c>
      <c r="O40" s="24" t="s">
        <v>48</v>
      </c>
      <c r="P40" s="25">
        <f>VLOOKUP(O40,KamiBox!$C$2:$F$58,4,0)</f>
        <v>35000</v>
      </c>
      <c r="Q40" s="26">
        <f t="shared" si="0"/>
        <v>0</v>
      </c>
      <c r="R40" s="25">
        <f t="shared" si="1"/>
        <v>0</v>
      </c>
      <c r="T40" s="22">
        <v>37</v>
      </c>
      <c r="U40" s="24" t="s">
        <v>48</v>
      </c>
      <c r="V40" s="25">
        <f>VLOOKUP(U40,KamiBox!$C$2:$F$58,4,0)</f>
        <v>35000</v>
      </c>
      <c r="W40" s="26"/>
      <c r="X40" s="25">
        <f t="shared" si="2"/>
        <v>0</v>
      </c>
    </row>
    <row r="41" spans="1:25" x14ac:dyDescent="0.35">
      <c r="A41" s="13" t="s">
        <v>220</v>
      </c>
      <c r="B41" s="13" t="s">
        <v>53</v>
      </c>
      <c r="C41" s="13">
        <v>1.05</v>
      </c>
      <c r="D41" s="17">
        <v>300</v>
      </c>
      <c r="E41" s="17">
        <v>315</v>
      </c>
      <c r="G41" s="14" t="s">
        <v>291</v>
      </c>
      <c r="H41">
        <v>1.45</v>
      </c>
      <c r="I41" s="19">
        <v>435</v>
      </c>
      <c r="N41" s="22">
        <v>38</v>
      </c>
      <c r="O41" s="24" t="s">
        <v>49</v>
      </c>
      <c r="P41" s="25">
        <f>VLOOKUP(O41,KamiBox!$C$2:$F$58,4,0)</f>
        <v>50000</v>
      </c>
      <c r="Q41" s="26">
        <f t="shared" si="0"/>
        <v>0</v>
      </c>
      <c r="R41" s="25">
        <f t="shared" si="1"/>
        <v>0</v>
      </c>
      <c r="T41" s="22">
        <v>38</v>
      </c>
      <c r="U41" s="24" t="s">
        <v>49</v>
      </c>
      <c r="V41" s="25">
        <f>VLOOKUP(U41,KamiBox!$C$2:$F$58,4,0)</f>
        <v>50000</v>
      </c>
      <c r="W41" s="26"/>
      <c r="X41" s="25">
        <f t="shared" si="2"/>
        <v>0</v>
      </c>
    </row>
    <row r="42" spans="1:25" x14ac:dyDescent="0.35">
      <c r="A42" s="13" t="s">
        <v>220</v>
      </c>
      <c r="B42" s="13" t="s">
        <v>25</v>
      </c>
      <c r="C42" s="13">
        <v>1.95</v>
      </c>
      <c r="D42" s="17">
        <v>1000</v>
      </c>
      <c r="E42" s="17">
        <v>1950</v>
      </c>
      <c r="G42" s="14" t="s">
        <v>118</v>
      </c>
      <c r="H42">
        <v>6.9</v>
      </c>
      <c r="I42" s="19">
        <v>9640</v>
      </c>
      <c r="K42" s="26"/>
      <c r="N42" s="22">
        <v>39</v>
      </c>
      <c r="O42" s="24" t="s">
        <v>50</v>
      </c>
      <c r="P42" s="25"/>
      <c r="Q42" s="26">
        <f t="shared" si="0"/>
        <v>0</v>
      </c>
      <c r="R42" s="25">
        <f t="shared" si="1"/>
        <v>0</v>
      </c>
      <c r="T42" s="22">
        <v>39</v>
      </c>
      <c r="U42" s="24" t="s">
        <v>50</v>
      </c>
      <c r="V42" s="25"/>
      <c r="W42" s="26"/>
      <c r="X42" s="25">
        <f t="shared" si="2"/>
        <v>0</v>
      </c>
    </row>
    <row r="43" spans="1:25" x14ac:dyDescent="0.35">
      <c r="A43" s="13" t="s">
        <v>220</v>
      </c>
      <c r="B43" s="13" t="s">
        <v>94</v>
      </c>
      <c r="C43" s="13">
        <v>1.35</v>
      </c>
      <c r="D43" s="17">
        <v>2800</v>
      </c>
      <c r="E43" s="17">
        <v>3780</v>
      </c>
      <c r="G43" s="14" t="s">
        <v>232</v>
      </c>
      <c r="H43">
        <v>10.100000000000001</v>
      </c>
      <c r="I43" s="19">
        <v>7990</v>
      </c>
      <c r="N43" s="22">
        <v>40</v>
      </c>
      <c r="O43" s="24" t="s">
        <v>51</v>
      </c>
      <c r="P43" s="25">
        <f>VLOOKUP(O43,KamiBox!$C$2:$F$58,4,0)</f>
        <v>700</v>
      </c>
      <c r="Q43" s="26">
        <f t="shared" si="0"/>
        <v>45.55</v>
      </c>
      <c r="R43" s="25">
        <f t="shared" si="1"/>
        <v>31884.999999999996</v>
      </c>
      <c r="T43" s="22">
        <v>40</v>
      </c>
      <c r="U43" s="24" t="s">
        <v>51</v>
      </c>
      <c r="V43" s="25">
        <f>VLOOKUP(U43,KamiBox!$C$2:$F$58,4,0)</f>
        <v>700</v>
      </c>
      <c r="W43" s="26"/>
      <c r="X43" s="25">
        <f t="shared" si="2"/>
        <v>0</v>
      </c>
    </row>
    <row r="44" spans="1:25" x14ac:dyDescent="0.35">
      <c r="A44" s="13" t="s">
        <v>220</v>
      </c>
      <c r="B44" s="13" t="s">
        <v>41</v>
      </c>
      <c r="C44" s="13">
        <v>1.35</v>
      </c>
      <c r="D44" s="17">
        <v>1000</v>
      </c>
      <c r="E44" s="17">
        <v>1350</v>
      </c>
      <c r="G44" s="14" t="s">
        <v>262</v>
      </c>
      <c r="H44">
        <v>13.2</v>
      </c>
      <c r="I44" s="19">
        <v>13200</v>
      </c>
      <c r="N44" s="22">
        <v>41</v>
      </c>
      <c r="O44" s="24" t="s">
        <v>52</v>
      </c>
      <c r="P44" s="25"/>
      <c r="Q44" s="26">
        <f t="shared" si="0"/>
        <v>0</v>
      </c>
      <c r="R44" s="25">
        <f t="shared" si="1"/>
        <v>0</v>
      </c>
      <c r="T44" s="22">
        <v>41</v>
      </c>
      <c r="U44" s="24" t="s">
        <v>52</v>
      </c>
      <c r="V44" s="25"/>
      <c r="W44" s="26"/>
      <c r="X44" s="25">
        <f t="shared" si="2"/>
        <v>0</v>
      </c>
    </row>
    <row r="45" spans="1:25" x14ac:dyDescent="0.35">
      <c r="A45" s="13" t="s">
        <v>220</v>
      </c>
      <c r="B45" s="13" t="s">
        <v>51</v>
      </c>
      <c r="C45" s="13">
        <v>1.65</v>
      </c>
      <c r="D45" s="17">
        <v>500</v>
      </c>
      <c r="E45" s="17">
        <v>825</v>
      </c>
      <c r="G45" s="14" t="s">
        <v>131</v>
      </c>
      <c r="H45">
        <v>46.8</v>
      </c>
      <c r="I45" s="19">
        <v>39585</v>
      </c>
      <c r="N45" s="22">
        <v>42</v>
      </c>
      <c r="O45" s="24" t="s">
        <v>53</v>
      </c>
      <c r="P45" s="25">
        <f>VLOOKUP(O45,KamiBox!$C$2:$F$58,4,0)</f>
        <v>500</v>
      </c>
      <c r="Q45" s="26">
        <v>68.8</v>
      </c>
      <c r="R45" s="25">
        <f t="shared" si="1"/>
        <v>34400</v>
      </c>
      <c r="S45" s="26"/>
      <c r="T45" s="22">
        <v>42</v>
      </c>
      <c r="U45" s="24" t="s">
        <v>53</v>
      </c>
      <c r="V45" s="25">
        <f>VLOOKUP(U45,KamiBox!$C$2:$F$58,4,0)</f>
        <v>500</v>
      </c>
      <c r="W45" s="61">
        <v>18.600000000000001</v>
      </c>
      <c r="X45" s="25"/>
      <c r="Y45" s="36" t="s">
        <v>304</v>
      </c>
    </row>
    <row r="46" spans="1:25" x14ac:dyDescent="0.35">
      <c r="A46" s="13" t="s">
        <v>89</v>
      </c>
      <c r="B46" s="13" t="s">
        <v>26</v>
      </c>
      <c r="C46" s="13">
        <v>1.1000000000000001</v>
      </c>
      <c r="D46" s="17">
        <v>1000</v>
      </c>
      <c r="E46" s="17">
        <v>1100</v>
      </c>
      <c r="G46" s="14" t="s">
        <v>243</v>
      </c>
      <c r="H46">
        <v>11.5</v>
      </c>
      <c r="I46" s="19">
        <v>10800</v>
      </c>
      <c r="N46" s="22">
        <v>43</v>
      </c>
      <c r="O46" s="24" t="s">
        <v>54</v>
      </c>
      <c r="P46" s="25">
        <v>1000</v>
      </c>
      <c r="Q46" s="26">
        <f t="shared" si="0"/>
        <v>2.1</v>
      </c>
      <c r="R46" s="25">
        <f t="shared" si="1"/>
        <v>2100</v>
      </c>
      <c r="S46" s="29"/>
      <c r="T46" s="22">
        <v>43</v>
      </c>
      <c r="U46" s="24" t="s">
        <v>54</v>
      </c>
      <c r="V46" s="25">
        <f>VLOOKUP(U46,KamiBox!$C$2:$F$58,4,0)</f>
        <v>1700</v>
      </c>
      <c r="W46" s="26"/>
      <c r="X46" s="25">
        <f t="shared" si="2"/>
        <v>0</v>
      </c>
    </row>
    <row r="47" spans="1:25" x14ac:dyDescent="0.35">
      <c r="A47" s="13" t="s">
        <v>89</v>
      </c>
      <c r="B47" s="13" t="s">
        <v>18</v>
      </c>
      <c r="C47" s="13">
        <v>0.55000000000000004</v>
      </c>
      <c r="D47" s="17">
        <v>150</v>
      </c>
      <c r="E47" s="17">
        <v>83</v>
      </c>
      <c r="G47" s="14" t="s">
        <v>245</v>
      </c>
      <c r="H47">
        <v>1.45</v>
      </c>
      <c r="I47" s="19">
        <v>3915</v>
      </c>
      <c r="N47" s="22">
        <v>44</v>
      </c>
      <c r="O47" s="24" t="s">
        <v>266</v>
      </c>
      <c r="P47" s="25">
        <v>1000</v>
      </c>
      <c r="Q47" s="26">
        <f t="shared" si="0"/>
        <v>11.049999999999999</v>
      </c>
      <c r="R47" s="25">
        <f t="shared" si="1"/>
        <v>11049.999999999998</v>
      </c>
      <c r="T47" s="22">
        <v>44</v>
      </c>
      <c r="U47" s="24" t="s">
        <v>266</v>
      </c>
      <c r="V47" s="25">
        <f>VLOOKUP(U47,KamiBox!$C$2:$F$58,4,0)</f>
        <v>1700</v>
      </c>
      <c r="W47" s="26">
        <v>0.3</v>
      </c>
      <c r="X47" s="25">
        <v>510</v>
      </c>
      <c r="Y47" t="s">
        <v>301</v>
      </c>
    </row>
    <row r="48" spans="1:25" x14ac:dyDescent="0.35">
      <c r="A48" s="13" t="s">
        <v>89</v>
      </c>
      <c r="B48" s="13" t="s">
        <v>39</v>
      </c>
      <c r="C48" s="13">
        <v>0.2</v>
      </c>
      <c r="D48" s="17">
        <v>1500</v>
      </c>
      <c r="E48" s="17">
        <v>300</v>
      </c>
      <c r="G48" s="14" t="s">
        <v>119</v>
      </c>
      <c r="H48">
        <v>3.95</v>
      </c>
      <c r="I48" s="19">
        <v>2725</v>
      </c>
      <c r="N48" s="22">
        <v>45</v>
      </c>
      <c r="O48" s="24" t="s">
        <v>55</v>
      </c>
      <c r="P48" s="25">
        <f>VLOOKUP(O48,KamiBox!$C$2:$F$58,4,0)</f>
        <v>900</v>
      </c>
      <c r="Q48" s="26">
        <f t="shared" ref="Q48:Q57" si="3">SUMIF($B$3:$B$394,O48,$C$3:$C$394)</f>
        <v>0</v>
      </c>
      <c r="R48" s="25">
        <f t="shared" ref="R48:R57" si="4">P48*Q48</f>
        <v>0</v>
      </c>
      <c r="T48" s="22">
        <v>45</v>
      </c>
      <c r="U48" s="24" t="s">
        <v>55</v>
      </c>
      <c r="V48" s="25">
        <f>VLOOKUP(U48,KamiBox!$C$2:$F$58,4,0)</f>
        <v>900</v>
      </c>
      <c r="W48" s="26"/>
      <c r="X48" s="25">
        <f t="shared" ref="X48:X57" si="5">V48*W48</f>
        <v>0</v>
      </c>
    </row>
    <row r="49" spans="1:24" x14ac:dyDescent="0.35">
      <c r="A49" s="13" t="s">
        <v>89</v>
      </c>
      <c r="B49" s="13" t="s">
        <v>25</v>
      </c>
      <c r="C49" s="13">
        <v>0.35</v>
      </c>
      <c r="D49" s="17">
        <v>1000</v>
      </c>
      <c r="E49" s="17">
        <v>350</v>
      </c>
      <c r="G49" s="14" t="s">
        <v>166</v>
      </c>
      <c r="H49">
        <v>9.6000000000000014</v>
      </c>
      <c r="I49" s="19">
        <v>5150</v>
      </c>
      <c r="N49" s="22">
        <v>46</v>
      </c>
      <c r="O49" s="24" t="s">
        <v>56</v>
      </c>
      <c r="P49" s="25">
        <f>VLOOKUP(O49,KamiBox!$C$2:$F$58,4,0)</f>
        <v>700</v>
      </c>
      <c r="Q49" s="26">
        <f t="shared" si="3"/>
        <v>0</v>
      </c>
      <c r="R49" s="25">
        <f t="shared" si="4"/>
        <v>0</v>
      </c>
      <c r="T49" s="22">
        <v>46</v>
      </c>
      <c r="U49" s="24" t="s">
        <v>56</v>
      </c>
      <c r="V49" s="25">
        <f>VLOOKUP(U49,KamiBox!$C$2:$F$58,4,0)</f>
        <v>700</v>
      </c>
      <c r="W49" s="26"/>
      <c r="X49" s="25">
        <f t="shared" si="5"/>
        <v>0</v>
      </c>
    </row>
    <row r="50" spans="1:24" x14ac:dyDescent="0.35">
      <c r="A50" s="13" t="s">
        <v>89</v>
      </c>
      <c r="B50" s="13" t="s">
        <v>126</v>
      </c>
      <c r="C50" s="13">
        <v>1.95</v>
      </c>
      <c r="D50" s="17">
        <v>1800</v>
      </c>
      <c r="E50" s="17">
        <v>3510</v>
      </c>
      <c r="G50" s="14" t="s">
        <v>217</v>
      </c>
      <c r="H50">
        <v>38.499999999999993</v>
      </c>
      <c r="I50" s="19">
        <v>49053</v>
      </c>
      <c r="N50" s="22">
        <v>47</v>
      </c>
      <c r="O50" s="24" t="s">
        <v>57</v>
      </c>
      <c r="P50" s="25">
        <f>VLOOKUP(O50,KamiBox!$C$2:$F$58,4,0)</f>
        <v>400</v>
      </c>
      <c r="Q50" s="26">
        <f t="shared" si="3"/>
        <v>0.25</v>
      </c>
      <c r="R50" s="25">
        <f t="shared" si="4"/>
        <v>100</v>
      </c>
      <c r="T50" s="22">
        <v>47</v>
      </c>
      <c r="U50" s="24" t="s">
        <v>57</v>
      </c>
      <c r="V50" s="25">
        <f>VLOOKUP(U50,KamiBox!$C$2:$F$58,4,0)</f>
        <v>400</v>
      </c>
      <c r="W50" s="26"/>
      <c r="X50" s="25">
        <f t="shared" si="5"/>
        <v>0</v>
      </c>
    </row>
    <row r="51" spans="1:24" x14ac:dyDescent="0.35">
      <c r="A51" s="13" t="s">
        <v>89</v>
      </c>
      <c r="B51" s="13" t="s">
        <v>61</v>
      </c>
      <c r="C51" s="13">
        <v>0.1</v>
      </c>
      <c r="D51" s="17">
        <v>3500</v>
      </c>
      <c r="E51" s="17">
        <v>350</v>
      </c>
      <c r="G51" s="14" t="s">
        <v>186</v>
      </c>
      <c r="H51">
        <v>39.549999999999997</v>
      </c>
      <c r="I51" s="19">
        <v>65783</v>
      </c>
      <c r="N51" s="22">
        <v>48</v>
      </c>
      <c r="O51" s="24" t="s">
        <v>58</v>
      </c>
      <c r="P51" s="25">
        <f>VLOOKUP(O51,KamiBox!$C$2:$F$58,4,0)</f>
        <v>60000</v>
      </c>
      <c r="Q51" s="26">
        <f t="shared" si="3"/>
        <v>0</v>
      </c>
      <c r="R51" s="25">
        <f t="shared" si="4"/>
        <v>0</v>
      </c>
      <c r="T51" s="22">
        <v>48</v>
      </c>
      <c r="U51" s="24" t="s">
        <v>58</v>
      </c>
      <c r="V51" s="25">
        <f>VLOOKUP(U51,KamiBox!$C$2:$F$58,4,0)</f>
        <v>60000</v>
      </c>
      <c r="W51" s="26"/>
      <c r="X51" s="25">
        <f t="shared" si="5"/>
        <v>0</v>
      </c>
    </row>
    <row r="52" spans="1:24" x14ac:dyDescent="0.35">
      <c r="A52" s="13" t="s">
        <v>89</v>
      </c>
      <c r="B52" s="13" t="s">
        <v>60</v>
      </c>
      <c r="C52" s="13">
        <v>0.15</v>
      </c>
      <c r="D52" s="17">
        <v>2500</v>
      </c>
      <c r="E52" s="17">
        <v>375</v>
      </c>
      <c r="G52" s="14" t="s">
        <v>228</v>
      </c>
      <c r="H52">
        <v>11.15</v>
      </c>
      <c r="I52" s="19">
        <v>15935</v>
      </c>
      <c r="N52" s="22">
        <v>49</v>
      </c>
      <c r="O52" s="24" t="s">
        <v>59</v>
      </c>
      <c r="P52" s="25">
        <f>VLOOKUP(O52,KamiBox!$C$2:$F$58,4,0)</f>
        <v>150</v>
      </c>
      <c r="Q52" s="26">
        <f t="shared" si="3"/>
        <v>0</v>
      </c>
      <c r="R52" s="25">
        <f t="shared" si="4"/>
        <v>0</v>
      </c>
      <c r="T52" s="22">
        <v>49</v>
      </c>
      <c r="U52" s="24" t="s">
        <v>59</v>
      </c>
      <c r="V52" s="25">
        <f>VLOOKUP(U52,KamiBox!$C$2:$F$58,4,0)</f>
        <v>150</v>
      </c>
      <c r="W52" s="26"/>
      <c r="X52" s="25">
        <f t="shared" si="5"/>
        <v>0</v>
      </c>
    </row>
    <row r="53" spans="1:24" x14ac:dyDescent="0.35">
      <c r="A53" s="13" t="s">
        <v>89</v>
      </c>
      <c r="B53" s="13" t="s">
        <v>94</v>
      </c>
      <c r="C53" s="13">
        <v>0.75</v>
      </c>
      <c r="D53" s="17">
        <v>2800</v>
      </c>
      <c r="E53" s="17">
        <v>2100</v>
      </c>
      <c r="G53" s="14" t="s">
        <v>227</v>
      </c>
      <c r="H53">
        <v>9.6999999999999993</v>
      </c>
      <c r="I53" s="19">
        <v>12585</v>
      </c>
      <c r="N53" s="22">
        <v>50</v>
      </c>
      <c r="O53" s="24" t="s">
        <v>60</v>
      </c>
      <c r="P53" s="25">
        <f>VLOOKUP(O53,KamiBox!$C$2:$F$58,4,0)</f>
        <v>3000</v>
      </c>
      <c r="Q53" s="26">
        <f t="shared" si="3"/>
        <v>5.55</v>
      </c>
      <c r="R53" s="25">
        <f t="shared" si="4"/>
        <v>16650</v>
      </c>
      <c r="T53" s="22">
        <v>50</v>
      </c>
      <c r="U53" s="24" t="s">
        <v>60</v>
      </c>
      <c r="V53" s="25">
        <f>VLOOKUP(U53,KamiBox!$C$2:$F$58,4,0)</f>
        <v>3000</v>
      </c>
      <c r="W53" s="26"/>
      <c r="X53" s="25">
        <f t="shared" si="5"/>
        <v>0</v>
      </c>
    </row>
    <row r="54" spans="1:24" x14ac:dyDescent="0.35">
      <c r="A54" s="13" t="s">
        <v>89</v>
      </c>
      <c r="B54" s="13" t="s">
        <v>53</v>
      </c>
      <c r="C54" s="13">
        <v>1.6</v>
      </c>
      <c r="D54" s="17">
        <v>300</v>
      </c>
      <c r="E54" s="17">
        <v>480</v>
      </c>
      <c r="G54" s="14" t="s">
        <v>121</v>
      </c>
      <c r="H54">
        <v>8.65</v>
      </c>
      <c r="I54" s="19">
        <v>10960</v>
      </c>
      <c r="N54" s="22">
        <v>51</v>
      </c>
      <c r="O54" s="24" t="s">
        <v>61</v>
      </c>
      <c r="P54" s="25">
        <f>VLOOKUP(O54,KamiBox!$C$2:$F$58,4,0)</f>
        <v>4500</v>
      </c>
      <c r="Q54" s="26">
        <f t="shared" si="3"/>
        <v>0.55000000000000004</v>
      </c>
      <c r="R54" s="25">
        <f t="shared" si="4"/>
        <v>2475</v>
      </c>
      <c r="T54" s="22">
        <v>51</v>
      </c>
      <c r="U54" s="24" t="s">
        <v>61</v>
      </c>
      <c r="V54" s="25">
        <f>VLOOKUP(U54,KamiBox!$C$2:$F$58,4,0)</f>
        <v>4500</v>
      </c>
      <c r="W54" s="26"/>
      <c r="X54" s="25">
        <f t="shared" si="5"/>
        <v>0</v>
      </c>
    </row>
    <row r="55" spans="1:24" x14ac:dyDescent="0.35">
      <c r="A55" s="13" t="s">
        <v>89</v>
      </c>
      <c r="B55" s="13" t="s">
        <v>128</v>
      </c>
      <c r="C55" s="13">
        <v>0.95</v>
      </c>
      <c r="D55" s="17">
        <v>3500</v>
      </c>
      <c r="E55" s="17">
        <v>3325</v>
      </c>
      <c r="G55" s="14" t="s">
        <v>294</v>
      </c>
      <c r="H55">
        <v>15.45</v>
      </c>
      <c r="I55" s="19">
        <v>14325</v>
      </c>
      <c r="N55" s="22">
        <v>52</v>
      </c>
      <c r="O55" s="24" t="s">
        <v>62</v>
      </c>
      <c r="P55" s="25">
        <f>VLOOKUP(O55,KamiBox!$C$2:$F$58,4,0)</f>
        <v>20000</v>
      </c>
      <c r="Q55" s="26">
        <f t="shared" si="3"/>
        <v>0</v>
      </c>
      <c r="R55" s="25">
        <f t="shared" si="4"/>
        <v>0</v>
      </c>
      <c r="T55" s="22">
        <v>52</v>
      </c>
      <c r="U55" s="24" t="s">
        <v>62</v>
      </c>
      <c r="V55" s="25">
        <f>VLOOKUP(U55,KamiBox!$C$2:$F$58,4,0)</f>
        <v>20000</v>
      </c>
      <c r="W55" s="26"/>
      <c r="X55" s="25">
        <f t="shared" si="5"/>
        <v>0</v>
      </c>
    </row>
    <row r="56" spans="1:24" x14ac:dyDescent="0.35">
      <c r="A56" s="13" t="s">
        <v>89</v>
      </c>
      <c r="B56" s="13" t="s">
        <v>41</v>
      </c>
      <c r="C56" s="13">
        <v>9.3000000000000007</v>
      </c>
      <c r="D56" s="17">
        <v>1000</v>
      </c>
      <c r="E56" s="17">
        <v>9300</v>
      </c>
      <c r="G56" s="14" t="s">
        <v>122</v>
      </c>
      <c r="H56">
        <v>16.7</v>
      </c>
      <c r="I56" s="19">
        <v>20945</v>
      </c>
      <c r="N56" s="22">
        <v>53</v>
      </c>
      <c r="O56" s="24" t="s">
        <v>63</v>
      </c>
      <c r="P56" s="25">
        <f>VLOOKUP(O56,KamiBox!$C$2:$F$58,4,0)</f>
        <v>1000</v>
      </c>
      <c r="Q56" s="26">
        <f t="shared" si="3"/>
        <v>0</v>
      </c>
      <c r="R56" s="25">
        <f t="shared" si="4"/>
        <v>0</v>
      </c>
      <c r="T56" s="22">
        <v>53</v>
      </c>
      <c r="U56" s="24" t="s">
        <v>63</v>
      </c>
      <c r="V56" s="25">
        <f>VLOOKUP(U56,KamiBox!$C$2:$F$58,4,0)</f>
        <v>1000</v>
      </c>
      <c r="W56" s="26"/>
      <c r="X56" s="25">
        <f t="shared" si="5"/>
        <v>0</v>
      </c>
    </row>
    <row r="57" spans="1:24" x14ac:dyDescent="0.35">
      <c r="A57" s="13" t="s">
        <v>91</v>
      </c>
      <c r="B57" s="13" t="s">
        <v>22</v>
      </c>
      <c r="C57" s="13">
        <v>2</v>
      </c>
      <c r="D57" s="17">
        <v>1600</v>
      </c>
      <c r="E57" s="17">
        <v>3200</v>
      </c>
      <c r="G57" s="14" t="s">
        <v>123</v>
      </c>
      <c r="H57">
        <v>3.7</v>
      </c>
      <c r="I57" s="19">
        <v>3090</v>
      </c>
      <c r="N57" s="22">
        <v>54</v>
      </c>
      <c r="O57" s="24" t="s">
        <v>263</v>
      </c>
      <c r="P57" s="25">
        <f>VLOOKUP(O57,KamiBox!$C$2:$F$58,4,0)</f>
        <v>1200</v>
      </c>
      <c r="Q57" s="26">
        <f t="shared" si="3"/>
        <v>3.8</v>
      </c>
      <c r="R57" s="25">
        <f t="shared" si="4"/>
        <v>4560</v>
      </c>
      <c r="T57" s="22">
        <v>54</v>
      </c>
      <c r="U57" s="24" t="s">
        <v>263</v>
      </c>
      <c r="V57" s="25">
        <f>VLOOKUP(U57,KamiBox!$C$2:$F$58,4,0)</f>
        <v>1200</v>
      </c>
      <c r="W57" s="26"/>
      <c r="X57" s="25">
        <f t="shared" si="5"/>
        <v>0</v>
      </c>
    </row>
    <row r="58" spans="1:24" x14ac:dyDescent="0.35">
      <c r="A58" s="13" t="s">
        <v>91</v>
      </c>
      <c r="B58" s="13" t="s">
        <v>26</v>
      </c>
      <c r="C58" s="13">
        <v>4.8</v>
      </c>
      <c r="D58" s="17">
        <v>1000</v>
      </c>
      <c r="E58" s="17">
        <v>4800</v>
      </c>
      <c r="G58" s="14" t="s">
        <v>297</v>
      </c>
      <c r="H58">
        <v>12.35</v>
      </c>
      <c r="I58" s="19">
        <v>5188</v>
      </c>
      <c r="N58" s="24"/>
      <c r="O58" s="24"/>
      <c r="P58" s="27" t="s">
        <v>135</v>
      </c>
      <c r="Q58" s="27">
        <f>SUM(Q4:Q57)</f>
        <v>647.37999999999965</v>
      </c>
      <c r="R58" s="28">
        <f>SUM(R4:R57)</f>
        <v>899795.99999999988</v>
      </c>
      <c r="T58" s="24"/>
      <c r="U58" s="24"/>
      <c r="V58" s="27" t="s">
        <v>135</v>
      </c>
      <c r="W58" s="27">
        <f>SUM(W4:W57)</f>
        <v>188.4</v>
      </c>
      <c r="X58" s="28">
        <f>SUM(X4:X57)</f>
        <v>367335</v>
      </c>
    </row>
    <row r="59" spans="1:24" x14ac:dyDescent="0.35">
      <c r="A59" s="13" t="s">
        <v>91</v>
      </c>
      <c r="B59" s="13" t="s">
        <v>41</v>
      </c>
      <c r="C59" s="13">
        <v>7.15</v>
      </c>
      <c r="D59" s="17">
        <v>1000</v>
      </c>
      <c r="E59" s="17">
        <v>7150</v>
      </c>
      <c r="G59" s="14" t="s">
        <v>292</v>
      </c>
      <c r="H59">
        <v>2.1</v>
      </c>
      <c r="I59" s="19">
        <v>6305</v>
      </c>
    </row>
    <row r="60" spans="1:24" x14ac:dyDescent="0.35">
      <c r="A60" s="13" t="s">
        <v>93</v>
      </c>
      <c r="B60" s="13" t="s">
        <v>51</v>
      </c>
      <c r="C60" s="13">
        <v>0.35</v>
      </c>
      <c r="D60" s="17">
        <v>500</v>
      </c>
      <c r="E60" s="17">
        <v>175</v>
      </c>
      <c r="G60" s="14" t="s">
        <v>303</v>
      </c>
      <c r="H60">
        <v>63.6</v>
      </c>
      <c r="I60" s="19">
        <v>327280</v>
      </c>
    </row>
    <row r="61" spans="1:24" x14ac:dyDescent="0.35">
      <c r="A61" s="13" t="s">
        <v>93</v>
      </c>
      <c r="B61" s="13" t="s">
        <v>39</v>
      </c>
      <c r="C61" s="13">
        <v>0.2</v>
      </c>
      <c r="D61" s="17">
        <v>1500</v>
      </c>
      <c r="E61" s="17">
        <v>300</v>
      </c>
      <c r="G61" s="14" t="s">
        <v>130</v>
      </c>
      <c r="H61">
        <v>16.600000000000001</v>
      </c>
      <c r="I61" s="19">
        <v>4980</v>
      </c>
    </row>
    <row r="62" spans="1:24" x14ac:dyDescent="0.35">
      <c r="A62" s="13" t="s">
        <v>93</v>
      </c>
      <c r="B62" s="13" t="s">
        <v>18</v>
      </c>
      <c r="C62" s="13">
        <v>0.9</v>
      </c>
      <c r="D62" s="17">
        <v>150</v>
      </c>
      <c r="E62" s="17">
        <v>135</v>
      </c>
      <c r="G62" s="14" t="s">
        <v>306</v>
      </c>
      <c r="H62">
        <v>2.9</v>
      </c>
      <c r="I62" s="19">
        <v>870</v>
      </c>
    </row>
    <row r="63" spans="1:24" x14ac:dyDescent="0.35">
      <c r="A63" s="13" t="s">
        <v>93</v>
      </c>
      <c r="B63" s="13" t="s">
        <v>60</v>
      </c>
      <c r="C63" s="13">
        <v>0.4</v>
      </c>
      <c r="D63" s="17">
        <v>2500</v>
      </c>
      <c r="E63" s="17">
        <v>1000</v>
      </c>
      <c r="G63" s="14" t="s">
        <v>305</v>
      </c>
      <c r="H63">
        <v>1</v>
      </c>
      <c r="I63" s="19">
        <v>300</v>
      </c>
    </row>
    <row r="64" spans="1:24" x14ac:dyDescent="0.35">
      <c r="A64" s="13" t="s">
        <v>93</v>
      </c>
      <c r="B64" s="13" t="s">
        <v>29</v>
      </c>
      <c r="C64" s="13">
        <v>0.7</v>
      </c>
      <c r="D64" s="17">
        <v>1600</v>
      </c>
      <c r="E64" s="17">
        <v>1120</v>
      </c>
      <c r="G64" s="14" t="s">
        <v>124</v>
      </c>
      <c r="H64">
        <v>825.68000000000018</v>
      </c>
      <c r="I64" s="19">
        <v>1336265</v>
      </c>
    </row>
    <row r="65" spans="1:5" x14ac:dyDescent="0.35">
      <c r="A65" s="13" t="s">
        <v>93</v>
      </c>
      <c r="B65" s="13" t="s">
        <v>53</v>
      </c>
      <c r="C65" s="13">
        <v>5.3</v>
      </c>
      <c r="D65" s="17">
        <v>300</v>
      </c>
      <c r="E65" s="17">
        <v>1590</v>
      </c>
    </row>
    <row r="66" spans="1:5" x14ac:dyDescent="0.35">
      <c r="A66" s="13" t="s">
        <v>93</v>
      </c>
      <c r="B66" s="13" t="s">
        <v>94</v>
      </c>
      <c r="C66" s="13">
        <v>2.7</v>
      </c>
      <c r="D66" s="17">
        <v>2800</v>
      </c>
      <c r="E66" s="17">
        <v>7560</v>
      </c>
    </row>
    <row r="67" spans="1:5" x14ac:dyDescent="0.35">
      <c r="A67" s="13" t="s">
        <v>84</v>
      </c>
      <c r="B67" s="13" t="s">
        <v>25</v>
      </c>
      <c r="C67" s="13">
        <v>0.05</v>
      </c>
      <c r="D67" s="17">
        <v>1000</v>
      </c>
      <c r="E67" s="17">
        <v>50</v>
      </c>
    </row>
    <row r="68" spans="1:5" x14ac:dyDescent="0.35">
      <c r="A68" s="13" t="s">
        <v>84</v>
      </c>
      <c r="B68" s="13" t="s">
        <v>29</v>
      </c>
      <c r="C68" s="13">
        <v>0.45</v>
      </c>
      <c r="D68" s="17">
        <v>1600</v>
      </c>
      <c r="E68" s="17">
        <v>720</v>
      </c>
    </row>
    <row r="69" spans="1:5" x14ac:dyDescent="0.35">
      <c r="A69" s="13" t="s">
        <v>84</v>
      </c>
      <c r="B69" s="13" t="s">
        <v>13</v>
      </c>
      <c r="C69" s="13">
        <v>0.35</v>
      </c>
      <c r="D69" s="17">
        <v>500</v>
      </c>
      <c r="E69" s="17">
        <v>175</v>
      </c>
    </row>
    <row r="70" spans="1:5" x14ac:dyDescent="0.35">
      <c r="A70" s="13" t="s">
        <v>84</v>
      </c>
      <c r="B70" s="13" t="s">
        <v>54</v>
      </c>
      <c r="C70" s="13">
        <v>0.45</v>
      </c>
      <c r="D70" s="17">
        <v>800</v>
      </c>
      <c r="E70" s="17">
        <v>360</v>
      </c>
    </row>
    <row r="71" spans="1:5" x14ac:dyDescent="0.35">
      <c r="A71" s="13" t="s">
        <v>84</v>
      </c>
      <c r="B71" s="13" t="s">
        <v>41</v>
      </c>
      <c r="C71" s="13">
        <v>19.5</v>
      </c>
      <c r="D71" s="17">
        <v>1000</v>
      </c>
      <c r="E71" s="17">
        <v>19500</v>
      </c>
    </row>
    <row r="72" spans="1:5" x14ac:dyDescent="0.35">
      <c r="A72" s="13" t="s">
        <v>84</v>
      </c>
      <c r="B72" s="13" t="s">
        <v>15</v>
      </c>
      <c r="C72" s="13">
        <v>1.5</v>
      </c>
      <c r="D72" s="17">
        <v>2500</v>
      </c>
      <c r="E72" s="17">
        <v>3750</v>
      </c>
    </row>
    <row r="73" spans="1:5" x14ac:dyDescent="0.35">
      <c r="A73" s="13" t="s">
        <v>84</v>
      </c>
      <c r="B73" s="13" t="s">
        <v>60</v>
      </c>
      <c r="C73" s="13">
        <v>0.55000000000000004</v>
      </c>
      <c r="D73" s="17">
        <v>2500</v>
      </c>
      <c r="E73" s="17">
        <v>1375</v>
      </c>
    </row>
    <row r="74" spans="1:5" x14ac:dyDescent="0.35">
      <c r="A74" s="13" t="s">
        <v>84</v>
      </c>
      <c r="B74" s="13" t="s">
        <v>61</v>
      </c>
      <c r="C74" s="13">
        <v>0.2</v>
      </c>
      <c r="D74" s="17">
        <v>3500</v>
      </c>
      <c r="E74" s="17">
        <v>700</v>
      </c>
    </row>
    <row r="75" spans="1:5" x14ac:dyDescent="0.35">
      <c r="A75" s="13" t="s">
        <v>84</v>
      </c>
      <c r="B75" s="13" t="s">
        <v>51</v>
      </c>
      <c r="C75" s="13">
        <v>1.25</v>
      </c>
      <c r="D75" s="17">
        <v>500</v>
      </c>
      <c r="E75" s="17">
        <v>625</v>
      </c>
    </row>
    <row r="76" spans="1:5" x14ac:dyDescent="0.35">
      <c r="A76" s="13" t="s">
        <v>84</v>
      </c>
      <c r="B76" s="13" t="s">
        <v>125</v>
      </c>
      <c r="C76" s="13">
        <v>14.55</v>
      </c>
      <c r="D76" s="17">
        <v>800</v>
      </c>
      <c r="E76" s="17">
        <v>11640</v>
      </c>
    </row>
    <row r="77" spans="1:5" x14ac:dyDescent="0.35">
      <c r="A77" s="13" t="s">
        <v>84</v>
      </c>
      <c r="B77" s="13" t="s">
        <v>34</v>
      </c>
      <c r="C77" s="13">
        <v>4.3</v>
      </c>
      <c r="D77" s="17">
        <v>5000</v>
      </c>
      <c r="E77" s="17">
        <v>21500</v>
      </c>
    </row>
    <row r="78" spans="1:5" x14ac:dyDescent="0.35">
      <c r="A78" s="13" t="s">
        <v>84</v>
      </c>
      <c r="B78" s="13" t="s">
        <v>293</v>
      </c>
      <c r="C78" s="13">
        <v>0.6</v>
      </c>
      <c r="D78" s="17">
        <v>1400</v>
      </c>
      <c r="E78" s="17">
        <v>840</v>
      </c>
    </row>
    <row r="79" spans="1:5" x14ac:dyDescent="0.35">
      <c r="A79" s="13" t="s">
        <v>84</v>
      </c>
      <c r="B79" s="13" t="s">
        <v>39</v>
      </c>
      <c r="C79" s="13">
        <v>0.55000000000000004</v>
      </c>
      <c r="D79" s="17">
        <v>1500</v>
      </c>
      <c r="E79" s="17">
        <v>825</v>
      </c>
    </row>
    <row r="80" spans="1:5" x14ac:dyDescent="0.35">
      <c r="A80" s="13" t="s">
        <v>84</v>
      </c>
      <c r="B80" s="13" t="s">
        <v>26</v>
      </c>
      <c r="C80" s="13">
        <v>2.7</v>
      </c>
      <c r="D80" s="17">
        <v>1000</v>
      </c>
      <c r="E80" s="17">
        <v>2700</v>
      </c>
    </row>
    <row r="81" spans="1:5" x14ac:dyDescent="0.35">
      <c r="A81" s="13" t="s">
        <v>84</v>
      </c>
      <c r="B81" s="13" t="s">
        <v>25</v>
      </c>
      <c r="C81" s="13">
        <v>5.7</v>
      </c>
      <c r="D81" s="17">
        <v>1000</v>
      </c>
      <c r="E81" s="17">
        <v>5700</v>
      </c>
    </row>
    <row r="82" spans="1:5" x14ac:dyDescent="0.35">
      <c r="A82" s="13" t="s">
        <v>84</v>
      </c>
      <c r="B82" s="13" t="s">
        <v>53</v>
      </c>
      <c r="C82" s="13">
        <v>1.6</v>
      </c>
      <c r="D82" s="17">
        <v>300</v>
      </c>
      <c r="E82" s="17">
        <v>480</v>
      </c>
    </row>
    <row r="83" spans="1:5" x14ac:dyDescent="0.35">
      <c r="A83" s="13" t="s">
        <v>84</v>
      </c>
      <c r="B83" s="13" t="s">
        <v>94</v>
      </c>
      <c r="C83" s="13">
        <v>5.4</v>
      </c>
      <c r="D83" s="17">
        <v>2800</v>
      </c>
      <c r="E83" s="17">
        <v>15120</v>
      </c>
    </row>
    <row r="84" spans="1:5" x14ac:dyDescent="0.35">
      <c r="A84" s="13" t="s">
        <v>95</v>
      </c>
      <c r="B84" s="13" t="s">
        <v>60</v>
      </c>
      <c r="C84" s="13">
        <v>0.1</v>
      </c>
      <c r="D84" s="17">
        <v>2500</v>
      </c>
      <c r="E84" s="17">
        <v>250</v>
      </c>
    </row>
    <row r="85" spans="1:5" x14ac:dyDescent="0.35">
      <c r="A85" s="13" t="s">
        <v>95</v>
      </c>
      <c r="B85" s="13" t="s">
        <v>53</v>
      </c>
      <c r="C85" s="13">
        <v>0.75</v>
      </c>
      <c r="D85" s="17">
        <v>300</v>
      </c>
      <c r="E85" s="17">
        <v>225</v>
      </c>
    </row>
    <row r="86" spans="1:5" x14ac:dyDescent="0.35">
      <c r="A86" s="13" t="s">
        <v>95</v>
      </c>
      <c r="B86" s="13" t="s">
        <v>39</v>
      </c>
      <c r="C86" s="13">
        <v>0.5</v>
      </c>
      <c r="D86" s="17">
        <v>1500</v>
      </c>
      <c r="E86" s="17">
        <v>750</v>
      </c>
    </row>
    <row r="87" spans="1:5" x14ac:dyDescent="0.35">
      <c r="A87" s="13" t="s">
        <v>95</v>
      </c>
      <c r="B87" s="13" t="s">
        <v>25</v>
      </c>
      <c r="C87" s="13">
        <v>2.2999999999999998</v>
      </c>
      <c r="D87" s="17">
        <v>1000</v>
      </c>
      <c r="E87" s="17">
        <v>2300</v>
      </c>
    </row>
    <row r="88" spans="1:5" x14ac:dyDescent="0.35">
      <c r="A88" s="13" t="s">
        <v>95</v>
      </c>
      <c r="B88" s="13" t="s">
        <v>29</v>
      </c>
      <c r="C88" s="13">
        <v>0.4</v>
      </c>
      <c r="D88" s="17">
        <v>1600</v>
      </c>
      <c r="E88" s="17">
        <v>640</v>
      </c>
    </row>
    <row r="89" spans="1:5" x14ac:dyDescent="0.35">
      <c r="A89" s="13" t="s">
        <v>95</v>
      </c>
      <c r="B89" s="13" t="s">
        <v>94</v>
      </c>
      <c r="C89" s="13">
        <v>0.55000000000000004</v>
      </c>
      <c r="D89" s="17">
        <v>2800</v>
      </c>
      <c r="E89" s="17">
        <v>1540</v>
      </c>
    </row>
    <row r="90" spans="1:5" x14ac:dyDescent="0.35">
      <c r="A90" s="13" t="s">
        <v>95</v>
      </c>
      <c r="B90" s="13" t="s">
        <v>41</v>
      </c>
      <c r="C90" s="13">
        <v>0.9</v>
      </c>
      <c r="D90" s="17">
        <v>1000</v>
      </c>
      <c r="E90" s="17">
        <v>900</v>
      </c>
    </row>
    <row r="91" spans="1:5" x14ac:dyDescent="0.35">
      <c r="A91" s="13" t="s">
        <v>95</v>
      </c>
      <c r="B91" s="13" t="s">
        <v>126</v>
      </c>
      <c r="C91" s="13">
        <v>1.3</v>
      </c>
      <c r="D91" s="17">
        <v>1800</v>
      </c>
      <c r="E91" s="17">
        <v>2340</v>
      </c>
    </row>
    <row r="92" spans="1:5" x14ac:dyDescent="0.35">
      <c r="A92" s="13" t="s">
        <v>179</v>
      </c>
      <c r="B92" s="13" t="s">
        <v>26</v>
      </c>
      <c r="C92" s="13">
        <v>5</v>
      </c>
      <c r="D92" s="17">
        <v>1000</v>
      </c>
      <c r="E92" s="17">
        <v>5000</v>
      </c>
    </row>
    <row r="93" spans="1:5" x14ac:dyDescent="0.35">
      <c r="A93" s="13" t="s">
        <v>179</v>
      </c>
      <c r="B93" s="13" t="s">
        <v>51</v>
      </c>
      <c r="C93" s="13">
        <v>0.85</v>
      </c>
      <c r="D93" s="17">
        <v>500</v>
      </c>
      <c r="E93" s="17">
        <v>425</v>
      </c>
    </row>
    <row r="94" spans="1:5" x14ac:dyDescent="0.35">
      <c r="A94" s="13" t="s">
        <v>179</v>
      </c>
      <c r="B94" s="13" t="s">
        <v>53</v>
      </c>
      <c r="C94" s="13">
        <v>1.45</v>
      </c>
      <c r="D94" s="17">
        <v>300</v>
      </c>
      <c r="E94" s="17">
        <v>435</v>
      </c>
    </row>
    <row r="95" spans="1:5" x14ac:dyDescent="0.35">
      <c r="A95" s="13" t="s">
        <v>179</v>
      </c>
      <c r="B95" s="13" t="s">
        <v>41</v>
      </c>
      <c r="C95" s="13">
        <v>5.3</v>
      </c>
      <c r="D95" s="17">
        <v>1000</v>
      </c>
      <c r="E95" s="17">
        <v>5300</v>
      </c>
    </row>
    <row r="96" spans="1:5" x14ac:dyDescent="0.35">
      <c r="A96" s="13" t="s">
        <v>98</v>
      </c>
      <c r="B96" s="13" t="s">
        <v>25</v>
      </c>
      <c r="C96" s="13">
        <v>0.3</v>
      </c>
      <c r="D96" s="17">
        <v>1000</v>
      </c>
      <c r="E96" s="17">
        <v>300</v>
      </c>
    </row>
    <row r="97" spans="1:5" x14ac:dyDescent="0.35">
      <c r="A97" s="13" t="s">
        <v>98</v>
      </c>
      <c r="B97" s="13" t="s">
        <v>29</v>
      </c>
      <c r="C97" s="13">
        <v>0.05</v>
      </c>
      <c r="D97" s="17">
        <v>1600</v>
      </c>
      <c r="E97" s="17">
        <v>80</v>
      </c>
    </row>
    <row r="98" spans="1:5" x14ac:dyDescent="0.35">
      <c r="A98" s="13" t="s">
        <v>98</v>
      </c>
      <c r="B98" s="13" t="s">
        <v>94</v>
      </c>
      <c r="C98" s="13">
        <v>0.7</v>
      </c>
      <c r="D98" s="17">
        <v>2800</v>
      </c>
      <c r="E98" s="17">
        <v>1960</v>
      </c>
    </row>
    <row r="99" spans="1:5" x14ac:dyDescent="0.35">
      <c r="A99" s="13" t="s">
        <v>98</v>
      </c>
      <c r="B99" s="13" t="s">
        <v>18</v>
      </c>
      <c r="C99" s="13">
        <v>0.65</v>
      </c>
      <c r="D99" s="17">
        <v>150</v>
      </c>
      <c r="E99" s="17">
        <v>98</v>
      </c>
    </row>
    <row r="100" spans="1:5" x14ac:dyDescent="0.35">
      <c r="A100" s="13" t="s">
        <v>98</v>
      </c>
      <c r="B100" s="13" t="s">
        <v>51</v>
      </c>
      <c r="C100" s="13">
        <v>0.2</v>
      </c>
      <c r="D100" s="17">
        <v>500</v>
      </c>
      <c r="E100" s="17">
        <v>100</v>
      </c>
    </row>
    <row r="101" spans="1:5" x14ac:dyDescent="0.35">
      <c r="A101" s="13" t="s">
        <v>98</v>
      </c>
      <c r="B101" s="13" t="s">
        <v>41</v>
      </c>
      <c r="C101" s="13">
        <v>4.75</v>
      </c>
      <c r="D101" s="17">
        <v>1000</v>
      </c>
      <c r="E101" s="17">
        <v>4750</v>
      </c>
    </row>
    <row r="102" spans="1:5" x14ac:dyDescent="0.35">
      <c r="A102" s="13" t="s">
        <v>99</v>
      </c>
      <c r="B102" s="13" t="s">
        <v>18</v>
      </c>
      <c r="C102" s="13">
        <v>1</v>
      </c>
      <c r="D102" s="17">
        <v>150</v>
      </c>
      <c r="E102" s="17">
        <v>150</v>
      </c>
    </row>
    <row r="103" spans="1:5" x14ac:dyDescent="0.35">
      <c r="A103" s="13" t="s">
        <v>99</v>
      </c>
      <c r="B103" s="13" t="s">
        <v>53</v>
      </c>
      <c r="C103" s="13">
        <v>0.35</v>
      </c>
      <c r="D103" s="17">
        <v>300</v>
      </c>
      <c r="E103" s="17">
        <v>105</v>
      </c>
    </row>
    <row r="104" spans="1:5" x14ac:dyDescent="0.35">
      <c r="A104" s="13" t="s">
        <v>99</v>
      </c>
      <c r="B104" s="13" t="s">
        <v>13</v>
      </c>
      <c r="C104" s="13">
        <v>0.15</v>
      </c>
      <c r="D104" s="17">
        <v>500</v>
      </c>
      <c r="E104" s="17">
        <v>75</v>
      </c>
    </row>
    <row r="105" spans="1:5" x14ac:dyDescent="0.35">
      <c r="A105" s="13" t="s">
        <v>99</v>
      </c>
      <c r="B105" s="13" t="s">
        <v>60</v>
      </c>
      <c r="C105" s="13">
        <v>0.1</v>
      </c>
      <c r="D105" s="17">
        <v>2500</v>
      </c>
      <c r="E105" s="17">
        <v>250</v>
      </c>
    </row>
    <row r="106" spans="1:5" x14ac:dyDescent="0.35">
      <c r="A106" s="13" t="s">
        <v>99</v>
      </c>
      <c r="B106" s="13" t="s">
        <v>25</v>
      </c>
      <c r="C106" s="13">
        <v>0.5</v>
      </c>
      <c r="D106" s="17">
        <v>1000</v>
      </c>
      <c r="E106" s="17">
        <v>500</v>
      </c>
    </row>
    <row r="107" spans="1:5" x14ac:dyDescent="0.35">
      <c r="A107" s="13" t="s">
        <v>99</v>
      </c>
      <c r="B107" s="13" t="s">
        <v>22</v>
      </c>
      <c r="C107" s="13">
        <v>0.25</v>
      </c>
      <c r="D107" s="17">
        <v>1600</v>
      </c>
      <c r="E107" s="17">
        <v>400</v>
      </c>
    </row>
    <row r="108" spans="1:5" x14ac:dyDescent="0.35">
      <c r="A108" s="13" t="s">
        <v>99</v>
      </c>
      <c r="B108" s="13" t="s">
        <v>41</v>
      </c>
      <c r="C108" s="13">
        <v>0.75</v>
      </c>
      <c r="D108" s="17">
        <v>1000</v>
      </c>
      <c r="E108" s="17">
        <v>750</v>
      </c>
    </row>
    <row r="109" spans="1:5" x14ac:dyDescent="0.35">
      <c r="A109" s="13" t="s">
        <v>101</v>
      </c>
      <c r="B109" s="13" t="s">
        <v>41</v>
      </c>
      <c r="C109" s="13">
        <v>2.2999999999999998</v>
      </c>
      <c r="D109" s="17">
        <v>1000</v>
      </c>
      <c r="E109" s="17">
        <v>2300</v>
      </c>
    </row>
    <row r="110" spans="1:5" x14ac:dyDescent="0.35">
      <c r="A110" s="13" t="s">
        <v>101</v>
      </c>
      <c r="B110" s="13" t="s">
        <v>26</v>
      </c>
      <c r="C110" s="13">
        <v>0.6</v>
      </c>
      <c r="D110" s="17">
        <v>1000</v>
      </c>
      <c r="E110" s="17">
        <v>600</v>
      </c>
    </row>
    <row r="111" spans="1:5" x14ac:dyDescent="0.35">
      <c r="A111" s="13" t="s">
        <v>101</v>
      </c>
      <c r="B111" s="13" t="s">
        <v>51</v>
      </c>
      <c r="C111" s="13">
        <v>0.05</v>
      </c>
      <c r="D111" s="17">
        <v>500</v>
      </c>
      <c r="E111" s="17">
        <v>25</v>
      </c>
    </row>
    <row r="112" spans="1:5" x14ac:dyDescent="0.35">
      <c r="A112" s="13" t="s">
        <v>101</v>
      </c>
      <c r="B112" s="13" t="s">
        <v>60</v>
      </c>
      <c r="C112" s="13">
        <v>0.25</v>
      </c>
      <c r="D112" s="17">
        <v>2500</v>
      </c>
      <c r="E112" s="17">
        <v>625</v>
      </c>
    </row>
    <row r="113" spans="1:5" x14ac:dyDescent="0.35">
      <c r="A113" s="13" t="s">
        <v>101</v>
      </c>
      <c r="B113" s="13" t="s">
        <v>34</v>
      </c>
      <c r="C113" s="13">
        <v>1.8</v>
      </c>
      <c r="D113" s="17">
        <v>5000</v>
      </c>
      <c r="E113" s="17">
        <v>9000</v>
      </c>
    </row>
    <row r="114" spans="1:5" x14ac:dyDescent="0.35">
      <c r="A114" s="13" t="s">
        <v>101</v>
      </c>
      <c r="B114" s="13" t="s">
        <v>126</v>
      </c>
      <c r="C114" s="13">
        <v>0.3</v>
      </c>
      <c r="D114" s="17">
        <v>1800</v>
      </c>
      <c r="E114" s="17">
        <v>540</v>
      </c>
    </row>
    <row r="115" spans="1:5" x14ac:dyDescent="0.35">
      <c r="A115" s="13" t="s">
        <v>101</v>
      </c>
      <c r="B115" s="13" t="s">
        <v>39</v>
      </c>
      <c r="C115" s="13">
        <v>1.1499999999999999</v>
      </c>
      <c r="D115" s="17">
        <v>1500</v>
      </c>
      <c r="E115" s="17">
        <v>1725</v>
      </c>
    </row>
    <row r="116" spans="1:5" x14ac:dyDescent="0.35">
      <c r="A116" s="13" t="s">
        <v>101</v>
      </c>
      <c r="B116" s="13" t="s">
        <v>13</v>
      </c>
      <c r="C116" s="13">
        <v>0.55000000000000004</v>
      </c>
      <c r="D116" s="17">
        <v>500</v>
      </c>
      <c r="E116" s="17">
        <v>275</v>
      </c>
    </row>
    <row r="117" spans="1:5" x14ac:dyDescent="0.35">
      <c r="A117" s="13" t="s">
        <v>101</v>
      </c>
      <c r="B117" s="13" t="s">
        <v>53</v>
      </c>
      <c r="C117" s="13">
        <v>0.65</v>
      </c>
      <c r="D117" s="17">
        <v>300</v>
      </c>
      <c r="E117" s="17">
        <v>195</v>
      </c>
    </row>
    <row r="118" spans="1:5" x14ac:dyDescent="0.35">
      <c r="A118" s="13" t="s">
        <v>225</v>
      </c>
      <c r="B118" s="13" t="s">
        <v>125</v>
      </c>
      <c r="C118" s="13">
        <v>3.55</v>
      </c>
      <c r="D118" s="17">
        <v>800</v>
      </c>
      <c r="E118" s="17">
        <v>2840</v>
      </c>
    </row>
    <row r="119" spans="1:5" x14ac:dyDescent="0.35">
      <c r="A119" s="13" t="s">
        <v>225</v>
      </c>
      <c r="B119" s="13" t="s">
        <v>25</v>
      </c>
      <c r="C119" s="13">
        <v>0.05</v>
      </c>
      <c r="D119" s="17">
        <v>1000</v>
      </c>
      <c r="E119" s="17">
        <v>50</v>
      </c>
    </row>
    <row r="120" spans="1:5" x14ac:dyDescent="0.35">
      <c r="A120" s="13" t="s">
        <v>225</v>
      </c>
      <c r="B120" s="13" t="s">
        <v>41</v>
      </c>
      <c r="C120" s="13">
        <v>7.2</v>
      </c>
      <c r="D120" s="17">
        <v>1000</v>
      </c>
      <c r="E120" s="17">
        <v>7200</v>
      </c>
    </row>
    <row r="121" spans="1:5" x14ac:dyDescent="0.35">
      <c r="A121" s="13" t="s">
        <v>225</v>
      </c>
      <c r="B121" s="13" t="s">
        <v>34</v>
      </c>
      <c r="C121" s="13">
        <v>2.85</v>
      </c>
      <c r="D121" s="17">
        <v>5000</v>
      </c>
      <c r="E121" s="17">
        <v>14250</v>
      </c>
    </row>
    <row r="122" spans="1:5" x14ac:dyDescent="0.35">
      <c r="A122" s="13" t="s">
        <v>225</v>
      </c>
      <c r="B122" s="13" t="s">
        <v>41</v>
      </c>
      <c r="C122" s="13">
        <v>1.9</v>
      </c>
      <c r="D122" s="17">
        <v>1000</v>
      </c>
      <c r="E122" s="17">
        <v>1900</v>
      </c>
    </row>
    <row r="123" spans="1:5" x14ac:dyDescent="0.35">
      <c r="A123" s="13" t="s">
        <v>225</v>
      </c>
      <c r="B123" s="13" t="s">
        <v>26</v>
      </c>
      <c r="C123" s="13">
        <v>1.45</v>
      </c>
      <c r="D123" s="17">
        <v>1000</v>
      </c>
      <c r="E123" s="17">
        <v>1450</v>
      </c>
    </row>
    <row r="124" spans="1:5" x14ac:dyDescent="0.35">
      <c r="A124" s="13" t="s">
        <v>225</v>
      </c>
      <c r="B124" s="13" t="s">
        <v>18</v>
      </c>
      <c r="C124" s="13">
        <v>0.65</v>
      </c>
      <c r="D124" s="17">
        <v>150</v>
      </c>
      <c r="E124" s="17">
        <v>97</v>
      </c>
    </row>
    <row r="125" spans="1:5" x14ac:dyDescent="0.35">
      <c r="A125" s="13" t="s">
        <v>225</v>
      </c>
      <c r="B125" s="13" t="s">
        <v>51</v>
      </c>
      <c r="C125" s="13">
        <v>2.4500000000000002</v>
      </c>
      <c r="D125" s="17">
        <v>500</v>
      </c>
      <c r="E125" s="17">
        <v>1225</v>
      </c>
    </row>
    <row r="126" spans="1:5" x14ac:dyDescent="0.35">
      <c r="A126" s="13" t="s">
        <v>225</v>
      </c>
      <c r="B126" s="13" t="s">
        <v>125</v>
      </c>
      <c r="C126" s="13">
        <v>11.7</v>
      </c>
      <c r="D126" s="17">
        <v>800</v>
      </c>
      <c r="E126" s="17">
        <v>9360</v>
      </c>
    </row>
    <row r="127" spans="1:5" x14ac:dyDescent="0.35">
      <c r="A127" s="13" t="s">
        <v>225</v>
      </c>
      <c r="B127" s="13" t="s">
        <v>25</v>
      </c>
      <c r="C127" s="13">
        <v>5.4</v>
      </c>
      <c r="D127" s="17">
        <v>1000</v>
      </c>
      <c r="E127" s="17">
        <v>5400</v>
      </c>
    </row>
    <row r="128" spans="1:5" x14ac:dyDescent="0.35">
      <c r="A128" s="13" t="s">
        <v>225</v>
      </c>
      <c r="B128" s="13" t="s">
        <v>29</v>
      </c>
      <c r="C128" s="13">
        <v>0.3</v>
      </c>
      <c r="D128" s="17">
        <v>1600</v>
      </c>
      <c r="E128" s="17">
        <v>480</v>
      </c>
    </row>
    <row r="129" spans="1:5" x14ac:dyDescent="0.35">
      <c r="A129" s="13" t="s">
        <v>225</v>
      </c>
      <c r="B129" s="13" t="s">
        <v>13</v>
      </c>
      <c r="C129" s="13">
        <v>0.9</v>
      </c>
      <c r="D129" s="17">
        <v>500</v>
      </c>
      <c r="E129" s="17">
        <v>450</v>
      </c>
    </row>
    <row r="130" spans="1:5" x14ac:dyDescent="0.35">
      <c r="A130" s="13" t="s">
        <v>225</v>
      </c>
      <c r="B130" s="13" t="s">
        <v>53</v>
      </c>
      <c r="C130" s="13">
        <v>3.4</v>
      </c>
      <c r="D130" s="17">
        <v>300</v>
      </c>
      <c r="E130" s="17">
        <v>1020</v>
      </c>
    </row>
    <row r="131" spans="1:5" x14ac:dyDescent="0.35">
      <c r="A131" s="13" t="s">
        <v>225</v>
      </c>
      <c r="B131" s="13" t="s">
        <v>94</v>
      </c>
      <c r="C131" s="13">
        <v>2.6</v>
      </c>
      <c r="D131" s="17">
        <v>2800</v>
      </c>
      <c r="E131" s="17">
        <v>7280</v>
      </c>
    </row>
    <row r="132" spans="1:5" x14ac:dyDescent="0.35">
      <c r="A132" s="13" t="s">
        <v>102</v>
      </c>
      <c r="B132" s="13" t="s">
        <v>41</v>
      </c>
      <c r="C132" s="13">
        <v>2.85</v>
      </c>
      <c r="D132" s="17">
        <v>1000</v>
      </c>
      <c r="E132" s="17">
        <v>2850</v>
      </c>
    </row>
    <row r="133" spans="1:5" x14ac:dyDescent="0.35">
      <c r="A133" s="13" t="s">
        <v>102</v>
      </c>
      <c r="B133" s="13" t="s">
        <v>94</v>
      </c>
      <c r="C133" s="13">
        <v>0.6</v>
      </c>
      <c r="D133" s="17">
        <v>2800</v>
      </c>
      <c r="E133" s="17">
        <v>1680</v>
      </c>
    </row>
    <row r="134" spans="1:5" x14ac:dyDescent="0.35">
      <c r="A134" s="13" t="s">
        <v>102</v>
      </c>
      <c r="B134" s="13" t="s">
        <v>25</v>
      </c>
      <c r="C134" s="13">
        <v>1.6</v>
      </c>
      <c r="D134" s="17">
        <v>1000</v>
      </c>
      <c r="E134" s="17">
        <v>1600</v>
      </c>
    </row>
    <row r="135" spans="1:5" x14ac:dyDescent="0.35">
      <c r="A135" s="13" t="s">
        <v>195</v>
      </c>
      <c r="B135" s="13" t="s">
        <v>25</v>
      </c>
      <c r="C135" s="13">
        <v>0.25</v>
      </c>
      <c r="D135" s="17">
        <v>1000</v>
      </c>
      <c r="E135" s="17">
        <v>250</v>
      </c>
    </row>
    <row r="136" spans="1:5" x14ac:dyDescent="0.35">
      <c r="A136" s="13" t="s">
        <v>195</v>
      </c>
      <c r="B136" s="13" t="s">
        <v>39</v>
      </c>
      <c r="C136" s="13">
        <v>0.35</v>
      </c>
      <c r="D136" s="17">
        <v>1500</v>
      </c>
      <c r="E136" s="17">
        <v>525</v>
      </c>
    </row>
    <row r="137" spans="1:5" x14ac:dyDescent="0.35">
      <c r="A137" s="13" t="s">
        <v>195</v>
      </c>
      <c r="B137" s="13" t="s">
        <v>53</v>
      </c>
      <c r="C137" s="13">
        <v>0.3</v>
      </c>
      <c r="D137" s="17">
        <v>300</v>
      </c>
      <c r="E137" s="17">
        <v>90</v>
      </c>
    </row>
    <row r="138" spans="1:5" x14ac:dyDescent="0.35">
      <c r="A138" s="13" t="s">
        <v>195</v>
      </c>
      <c r="B138" s="13" t="s">
        <v>94</v>
      </c>
      <c r="C138" s="13">
        <v>0.35</v>
      </c>
      <c r="D138" s="17">
        <v>2800</v>
      </c>
      <c r="E138" s="17">
        <v>980</v>
      </c>
    </row>
    <row r="139" spans="1:5" x14ac:dyDescent="0.35">
      <c r="A139" s="13" t="s">
        <v>195</v>
      </c>
      <c r="B139" s="13" t="s">
        <v>13</v>
      </c>
      <c r="C139" s="13">
        <v>0.25</v>
      </c>
      <c r="D139" s="17">
        <v>500</v>
      </c>
      <c r="E139" s="17">
        <v>125</v>
      </c>
    </row>
    <row r="140" spans="1:5" x14ac:dyDescent="0.35">
      <c r="A140" s="13" t="s">
        <v>204</v>
      </c>
      <c r="B140" s="13" t="s">
        <v>126</v>
      </c>
      <c r="C140" s="13">
        <v>0.45</v>
      </c>
      <c r="D140" s="17">
        <v>1800</v>
      </c>
      <c r="E140" s="17">
        <v>810</v>
      </c>
    </row>
    <row r="141" spans="1:5" x14ac:dyDescent="0.35">
      <c r="A141" s="13" t="s">
        <v>204</v>
      </c>
      <c r="B141" s="13" t="s">
        <v>25</v>
      </c>
      <c r="C141" s="13">
        <v>4.9800000000000004</v>
      </c>
      <c r="D141" s="17">
        <v>1000</v>
      </c>
      <c r="E141" s="17">
        <v>4980</v>
      </c>
    </row>
    <row r="142" spans="1:5" x14ac:dyDescent="0.35">
      <c r="A142" s="13" t="s">
        <v>204</v>
      </c>
      <c r="B142" s="13" t="s">
        <v>263</v>
      </c>
      <c r="C142" s="13">
        <v>3.8</v>
      </c>
      <c r="D142" s="17">
        <v>400</v>
      </c>
      <c r="E142" s="17">
        <v>1520</v>
      </c>
    </row>
    <row r="143" spans="1:5" x14ac:dyDescent="0.35">
      <c r="A143" s="13" t="s">
        <v>204</v>
      </c>
      <c r="B143" s="13" t="s">
        <v>53</v>
      </c>
      <c r="C143" s="13">
        <v>0.2</v>
      </c>
      <c r="D143" s="17">
        <v>300</v>
      </c>
      <c r="E143" s="17">
        <v>60</v>
      </c>
    </row>
    <row r="144" spans="1:5" x14ac:dyDescent="0.35">
      <c r="A144" s="13" t="s">
        <v>204</v>
      </c>
      <c r="B144" s="13" t="s">
        <v>26</v>
      </c>
      <c r="C144" s="13">
        <v>0.85</v>
      </c>
      <c r="D144" s="17">
        <v>1000</v>
      </c>
      <c r="E144" s="17">
        <v>850</v>
      </c>
    </row>
    <row r="145" spans="1:5" x14ac:dyDescent="0.35">
      <c r="A145" s="13" t="s">
        <v>103</v>
      </c>
      <c r="B145" s="13" t="s">
        <v>29</v>
      </c>
      <c r="C145" s="13">
        <v>0.3</v>
      </c>
      <c r="D145" s="17">
        <v>1600</v>
      </c>
      <c r="E145" s="17">
        <v>480</v>
      </c>
    </row>
    <row r="146" spans="1:5" x14ac:dyDescent="0.35">
      <c r="A146" s="13" t="s">
        <v>103</v>
      </c>
      <c r="B146" s="13" t="s">
        <v>25</v>
      </c>
      <c r="C146" s="13">
        <v>0.45</v>
      </c>
      <c r="D146" s="17">
        <v>1000</v>
      </c>
      <c r="E146" s="17">
        <v>450</v>
      </c>
    </row>
    <row r="147" spans="1:5" x14ac:dyDescent="0.35">
      <c r="A147" s="13" t="s">
        <v>103</v>
      </c>
      <c r="B147" s="13" t="s">
        <v>53</v>
      </c>
      <c r="C147" s="13">
        <v>0.45</v>
      </c>
      <c r="D147" s="17">
        <v>300</v>
      </c>
      <c r="E147" s="17">
        <v>135</v>
      </c>
    </row>
    <row r="148" spans="1:5" x14ac:dyDescent="0.35">
      <c r="A148" s="13" t="s">
        <v>103</v>
      </c>
      <c r="B148" s="13" t="s">
        <v>22</v>
      </c>
      <c r="C148" s="13">
        <v>1.55</v>
      </c>
      <c r="D148" s="17">
        <v>1600</v>
      </c>
      <c r="E148" s="17">
        <v>2480</v>
      </c>
    </row>
    <row r="149" spans="1:5" x14ac:dyDescent="0.35">
      <c r="A149" s="13" t="s">
        <v>221</v>
      </c>
      <c r="B149" s="13" t="s">
        <v>51</v>
      </c>
      <c r="C149" s="13">
        <v>0.05</v>
      </c>
      <c r="D149" s="17">
        <v>500</v>
      </c>
      <c r="E149" s="17">
        <v>25</v>
      </c>
    </row>
    <row r="150" spans="1:5" x14ac:dyDescent="0.35">
      <c r="A150" s="13" t="s">
        <v>221</v>
      </c>
      <c r="B150" s="13" t="s">
        <v>13</v>
      </c>
      <c r="C150" s="13">
        <v>0.05</v>
      </c>
      <c r="D150" s="17">
        <v>500</v>
      </c>
      <c r="E150" s="17">
        <v>25</v>
      </c>
    </row>
    <row r="151" spans="1:5" x14ac:dyDescent="0.35">
      <c r="A151" s="13" t="s">
        <v>221</v>
      </c>
      <c r="B151" s="13" t="s">
        <v>53</v>
      </c>
      <c r="C151" s="13">
        <v>0.4</v>
      </c>
      <c r="D151" s="17">
        <v>300</v>
      </c>
      <c r="E151" s="17">
        <v>120</v>
      </c>
    </row>
    <row r="152" spans="1:5" x14ac:dyDescent="0.35">
      <c r="A152" s="13" t="s">
        <v>221</v>
      </c>
      <c r="B152" s="13" t="s">
        <v>26</v>
      </c>
      <c r="C152" s="13">
        <v>0.5</v>
      </c>
      <c r="D152" s="17">
        <v>1000</v>
      </c>
      <c r="E152" s="17">
        <v>500</v>
      </c>
    </row>
    <row r="153" spans="1:5" x14ac:dyDescent="0.35">
      <c r="A153" s="13" t="s">
        <v>221</v>
      </c>
      <c r="B153" s="13" t="s">
        <v>41</v>
      </c>
      <c r="C153" s="13">
        <v>1.1499999999999999</v>
      </c>
      <c r="D153" s="17">
        <v>1000</v>
      </c>
      <c r="E153" s="17">
        <v>1150</v>
      </c>
    </row>
    <row r="154" spans="1:5" x14ac:dyDescent="0.35">
      <c r="A154" s="13" t="s">
        <v>162</v>
      </c>
      <c r="B154" s="13" t="s">
        <v>51</v>
      </c>
      <c r="C154" s="13">
        <v>1.65</v>
      </c>
      <c r="D154" s="17">
        <v>500</v>
      </c>
      <c r="E154" s="17">
        <v>825</v>
      </c>
    </row>
    <row r="155" spans="1:5" x14ac:dyDescent="0.35">
      <c r="A155" s="13" t="s">
        <v>162</v>
      </c>
      <c r="B155" s="13" t="s">
        <v>41</v>
      </c>
      <c r="C155" s="13">
        <v>2.25</v>
      </c>
      <c r="D155" s="17">
        <v>1000</v>
      </c>
      <c r="E155" s="17">
        <v>2250</v>
      </c>
    </row>
    <row r="156" spans="1:5" x14ac:dyDescent="0.35">
      <c r="A156" s="13" t="s">
        <v>162</v>
      </c>
      <c r="B156" s="13" t="s">
        <v>25</v>
      </c>
      <c r="C156" s="13">
        <v>1</v>
      </c>
      <c r="D156" s="17">
        <v>1000</v>
      </c>
      <c r="E156" s="17">
        <v>1000</v>
      </c>
    </row>
    <row r="157" spans="1:5" x14ac:dyDescent="0.35">
      <c r="A157" s="13" t="s">
        <v>162</v>
      </c>
      <c r="B157" s="13" t="s">
        <v>18</v>
      </c>
      <c r="C157" s="13">
        <v>0.2</v>
      </c>
      <c r="D157" s="17">
        <v>150</v>
      </c>
      <c r="E157" s="17">
        <v>30</v>
      </c>
    </row>
    <row r="158" spans="1:5" x14ac:dyDescent="0.35">
      <c r="A158" s="13" t="s">
        <v>162</v>
      </c>
      <c r="B158" s="13" t="s">
        <v>127</v>
      </c>
      <c r="C158" s="13">
        <v>0.05</v>
      </c>
      <c r="D158" s="17">
        <v>8000</v>
      </c>
      <c r="E158" s="17">
        <v>400</v>
      </c>
    </row>
    <row r="159" spans="1:5" x14ac:dyDescent="0.35">
      <c r="A159" s="13" t="s">
        <v>162</v>
      </c>
      <c r="B159" s="13" t="s">
        <v>94</v>
      </c>
      <c r="C159" s="13">
        <v>1.4</v>
      </c>
      <c r="D159" s="17">
        <v>2800</v>
      </c>
      <c r="E159" s="17">
        <v>3920</v>
      </c>
    </row>
    <row r="160" spans="1:5" x14ac:dyDescent="0.35">
      <c r="A160" s="13" t="s">
        <v>162</v>
      </c>
      <c r="B160" s="13" t="s">
        <v>13</v>
      </c>
      <c r="C160" s="13">
        <v>0.5</v>
      </c>
      <c r="D160" s="17">
        <v>500</v>
      </c>
      <c r="E160" s="17">
        <v>250</v>
      </c>
    </row>
    <row r="161" spans="1:5" x14ac:dyDescent="0.35">
      <c r="A161" s="13" t="s">
        <v>162</v>
      </c>
      <c r="B161" s="13" t="s">
        <v>53</v>
      </c>
      <c r="C161" s="13">
        <v>1.3</v>
      </c>
      <c r="D161" s="17">
        <v>300</v>
      </c>
      <c r="E161" s="17">
        <v>390</v>
      </c>
    </row>
    <row r="162" spans="1:5" x14ac:dyDescent="0.35">
      <c r="A162" s="13" t="s">
        <v>162</v>
      </c>
      <c r="B162" s="13" t="s">
        <v>60</v>
      </c>
      <c r="C162" s="13">
        <v>0.3</v>
      </c>
      <c r="D162" s="17">
        <v>2500</v>
      </c>
      <c r="E162" s="17">
        <v>750</v>
      </c>
    </row>
    <row r="163" spans="1:5" x14ac:dyDescent="0.35">
      <c r="A163" s="13" t="s">
        <v>105</v>
      </c>
      <c r="B163" s="13" t="s">
        <v>13</v>
      </c>
      <c r="C163" s="13">
        <v>0.3</v>
      </c>
      <c r="D163" s="17">
        <v>500</v>
      </c>
      <c r="E163" s="17">
        <v>150</v>
      </c>
    </row>
    <row r="164" spans="1:5" x14ac:dyDescent="0.35">
      <c r="A164" s="13" t="s">
        <v>105</v>
      </c>
      <c r="B164" s="13" t="s">
        <v>57</v>
      </c>
      <c r="C164" s="13">
        <v>0.15</v>
      </c>
      <c r="D164" s="17">
        <v>150</v>
      </c>
      <c r="E164" s="17">
        <v>23</v>
      </c>
    </row>
    <row r="165" spans="1:5" x14ac:dyDescent="0.35">
      <c r="A165" s="13" t="s">
        <v>105</v>
      </c>
      <c r="B165" s="13" t="s">
        <v>53</v>
      </c>
      <c r="C165" s="13">
        <v>0.85</v>
      </c>
      <c r="D165" s="17">
        <v>300</v>
      </c>
      <c r="E165" s="17">
        <v>255</v>
      </c>
    </row>
    <row r="166" spans="1:5" x14ac:dyDescent="0.35">
      <c r="A166" s="13" t="s">
        <v>105</v>
      </c>
      <c r="B166" s="13" t="s">
        <v>94</v>
      </c>
      <c r="C166" s="13">
        <v>2.1</v>
      </c>
      <c r="D166" s="17">
        <v>2800</v>
      </c>
      <c r="E166" s="17">
        <v>5880</v>
      </c>
    </row>
    <row r="167" spans="1:5" x14ac:dyDescent="0.35">
      <c r="A167" s="13" t="s">
        <v>105</v>
      </c>
      <c r="B167" s="13" t="s">
        <v>51</v>
      </c>
      <c r="C167" s="13">
        <v>0.8</v>
      </c>
      <c r="D167" s="17">
        <v>500</v>
      </c>
      <c r="E167" s="17">
        <v>400</v>
      </c>
    </row>
    <row r="168" spans="1:5" x14ac:dyDescent="0.35">
      <c r="A168" s="13" t="s">
        <v>106</v>
      </c>
      <c r="B168" s="13" t="s">
        <v>41</v>
      </c>
      <c r="C168" s="13">
        <v>2.65</v>
      </c>
      <c r="D168" s="17">
        <v>1000</v>
      </c>
      <c r="E168" s="17">
        <v>2650</v>
      </c>
    </row>
    <row r="169" spans="1:5" x14ac:dyDescent="0.35">
      <c r="A169" s="13" t="s">
        <v>106</v>
      </c>
      <c r="B169" s="13" t="s">
        <v>13</v>
      </c>
      <c r="C169" s="13">
        <v>0.3</v>
      </c>
      <c r="D169" s="17">
        <v>500</v>
      </c>
      <c r="E169" s="17">
        <v>150</v>
      </c>
    </row>
    <row r="170" spans="1:5" x14ac:dyDescent="0.35">
      <c r="A170" s="13" t="s">
        <v>106</v>
      </c>
      <c r="B170" s="13" t="s">
        <v>60</v>
      </c>
      <c r="C170" s="13">
        <v>0.1</v>
      </c>
      <c r="D170" s="17">
        <v>2500</v>
      </c>
      <c r="E170" s="17">
        <v>250</v>
      </c>
    </row>
    <row r="171" spans="1:5" x14ac:dyDescent="0.35">
      <c r="A171" s="13" t="s">
        <v>106</v>
      </c>
      <c r="B171" s="13" t="s">
        <v>51</v>
      </c>
      <c r="C171" s="13">
        <v>1.1000000000000001</v>
      </c>
      <c r="D171" s="17">
        <v>500</v>
      </c>
      <c r="E171" s="17">
        <v>550</v>
      </c>
    </row>
    <row r="172" spans="1:5" x14ac:dyDescent="0.35">
      <c r="A172" s="13" t="s">
        <v>106</v>
      </c>
      <c r="B172" s="13" t="s">
        <v>266</v>
      </c>
      <c r="C172" s="13">
        <v>0.6</v>
      </c>
      <c r="D172" s="17">
        <v>1000</v>
      </c>
      <c r="E172" s="17">
        <v>600</v>
      </c>
    </row>
    <row r="173" spans="1:5" x14ac:dyDescent="0.35">
      <c r="A173" s="13" t="s">
        <v>106</v>
      </c>
      <c r="B173" s="13" t="s">
        <v>94</v>
      </c>
      <c r="C173" s="13">
        <v>0.45</v>
      </c>
      <c r="D173" s="17">
        <v>2800</v>
      </c>
      <c r="E173" s="17">
        <v>1260</v>
      </c>
    </row>
    <row r="174" spans="1:5" x14ac:dyDescent="0.35">
      <c r="A174" s="13" t="s">
        <v>106</v>
      </c>
      <c r="B174" s="13" t="s">
        <v>25</v>
      </c>
      <c r="C174" s="13">
        <v>1</v>
      </c>
      <c r="D174" s="17">
        <v>1000</v>
      </c>
      <c r="E174" s="17">
        <v>1000</v>
      </c>
    </row>
    <row r="175" spans="1:5" x14ac:dyDescent="0.35">
      <c r="A175" s="13" t="s">
        <v>106</v>
      </c>
      <c r="B175" s="13" t="s">
        <v>53</v>
      </c>
      <c r="C175" s="13">
        <v>1</v>
      </c>
      <c r="D175" s="17">
        <v>300</v>
      </c>
      <c r="E175" s="17">
        <v>300</v>
      </c>
    </row>
    <row r="176" spans="1:5" x14ac:dyDescent="0.35">
      <c r="A176" s="13" t="s">
        <v>106</v>
      </c>
      <c r="B176" s="13" t="s">
        <v>39</v>
      </c>
      <c r="C176" s="13">
        <v>0.7</v>
      </c>
      <c r="D176" s="17">
        <v>1500</v>
      </c>
      <c r="E176" s="17">
        <v>1050</v>
      </c>
    </row>
    <row r="177" spans="1:5" x14ac:dyDescent="0.35">
      <c r="A177" s="13" t="s">
        <v>107</v>
      </c>
      <c r="B177" s="13" t="s">
        <v>51</v>
      </c>
      <c r="C177" s="13">
        <v>0.25</v>
      </c>
      <c r="D177" s="17">
        <v>500</v>
      </c>
      <c r="E177" s="17">
        <v>125</v>
      </c>
    </row>
    <row r="178" spans="1:5" x14ac:dyDescent="0.35">
      <c r="A178" s="13" t="s">
        <v>107</v>
      </c>
      <c r="B178" s="13" t="s">
        <v>60</v>
      </c>
      <c r="C178" s="13">
        <v>0.05</v>
      </c>
      <c r="D178" s="17">
        <v>2500</v>
      </c>
      <c r="E178" s="17">
        <v>125</v>
      </c>
    </row>
    <row r="179" spans="1:5" x14ac:dyDescent="0.35">
      <c r="A179" s="13" t="s">
        <v>107</v>
      </c>
      <c r="B179" s="13" t="s">
        <v>25</v>
      </c>
      <c r="C179" s="13">
        <v>0.35</v>
      </c>
      <c r="D179" s="17">
        <v>1000</v>
      </c>
      <c r="E179" s="17">
        <v>350</v>
      </c>
    </row>
    <row r="180" spans="1:5" x14ac:dyDescent="0.35">
      <c r="A180" s="13" t="s">
        <v>107</v>
      </c>
      <c r="B180" s="13" t="s">
        <v>13</v>
      </c>
      <c r="C180" s="13">
        <v>0.1</v>
      </c>
      <c r="D180" s="17">
        <v>500</v>
      </c>
      <c r="E180" s="17">
        <v>50</v>
      </c>
    </row>
    <row r="181" spans="1:5" x14ac:dyDescent="0.35">
      <c r="A181" s="13" t="s">
        <v>107</v>
      </c>
      <c r="B181" s="13" t="s">
        <v>53</v>
      </c>
      <c r="C181" s="13">
        <v>0.2</v>
      </c>
      <c r="D181" s="17">
        <v>300</v>
      </c>
      <c r="E181" s="17">
        <v>60</v>
      </c>
    </row>
    <row r="182" spans="1:5" x14ac:dyDescent="0.35">
      <c r="A182" s="13" t="s">
        <v>107</v>
      </c>
      <c r="B182" s="13" t="s">
        <v>41</v>
      </c>
      <c r="C182" s="13">
        <v>1.1000000000000001</v>
      </c>
      <c r="D182" s="17">
        <v>1000</v>
      </c>
      <c r="E182" s="17">
        <v>1100</v>
      </c>
    </row>
    <row r="183" spans="1:5" x14ac:dyDescent="0.35">
      <c r="A183" s="13" t="s">
        <v>107</v>
      </c>
      <c r="B183" s="13" t="s">
        <v>94</v>
      </c>
      <c r="C183" s="13">
        <v>0.9</v>
      </c>
      <c r="D183" s="17">
        <v>2800</v>
      </c>
      <c r="E183" s="17">
        <v>2520</v>
      </c>
    </row>
    <row r="184" spans="1:5" x14ac:dyDescent="0.35">
      <c r="A184" s="13" t="s">
        <v>206</v>
      </c>
      <c r="B184" s="13" t="s">
        <v>18</v>
      </c>
      <c r="C184" s="13">
        <v>0.3</v>
      </c>
      <c r="D184" s="17">
        <v>150</v>
      </c>
      <c r="E184" s="17">
        <v>45</v>
      </c>
    </row>
    <row r="185" spans="1:5" x14ac:dyDescent="0.35">
      <c r="A185" s="13" t="s">
        <v>206</v>
      </c>
      <c r="B185" s="13" t="s">
        <v>39</v>
      </c>
      <c r="C185" s="13">
        <v>0.2</v>
      </c>
      <c r="D185" s="17">
        <v>1500</v>
      </c>
      <c r="E185" s="17">
        <v>300</v>
      </c>
    </row>
    <row r="186" spans="1:5" x14ac:dyDescent="0.35">
      <c r="A186" s="13" t="s">
        <v>206</v>
      </c>
      <c r="B186" s="13" t="s">
        <v>51</v>
      </c>
      <c r="C186" s="13">
        <v>0.55000000000000004</v>
      </c>
      <c r="D186" s="17">
        <v>500</v>
      </c>
      <c r="E186" s="17">
        <v>275</v>
      </c>
    </row>
    <row r="187" spans="1:5" x14ac:dyDescent="0.35">
      <c r="A187" s="13" t="s">
        <v>206</v>
      </c>
      <c r="B187" s="13" t="s">
        <v>53</v>
      </c>
      <c r="C187" s="13">
        <v>0.15</v>
      </c>
      <c r="D187" s="17">
        <v>300</v>
      </c>
      <c r="E187" s="17">
        <v>45</v>
      </c>
    </row>
    <row r="188" spans="1:5" x14ac:dyDescent="0.35">
      <c r="A188" s="13" t="s">
        <v>206</v>
      </c>
      <c r="B188" s="13" t="s">
        <v>25</v>
      </c>
      <c r="C188" s="13">
        <v>1.2</v>
      </c>
      <c r="D188" s="17">
        <v>1000</v>
      </c>
      <c r="E188" s="17">
        <v>1200</v>
      </c>
    </row>
    <row r="189" spans="1:5" x14ac:dyDescent="0.35">
      <c r="A189" s="13" t="s">
        <v>206</v>
      </c>
      <c r="B189" s="13" t="s">
        <v>54</v>
      </c>
      <c r="C189" s="13">
        <v>0.1</v>
      </c>
      <c r="D189" s="17">
        <v>800</v>
      </c>
      <c r="E189" s="17">
        <v>80</v>
      </c>
    </row>
    <row r="190" spans="1:5" x14ac:dyDescent="0.35">
      <c r="A190" s="13" t="s">
        <v>206</v>
      </c>
      <c r="B190" s="13" t="s">
        <v>41</v>
      </c>
      <c r="C190" s="13">
        <v>2.95</v>
      </c>
      <c r="D190" s="17">
        <v>1000</v>
      </c>
      <c r="E190" s="17">
        <v>2950</v>
      </c>
    </row>
    <row r="191" spans="1:5" x14ac:dyDescent="0.35">
      <c r="A191" s="13" t="s">
        <v>206</v>
      </c>
      <c r="B191" s="13" t="s">
        <v>94</v>
      </c>
      <c r="C191" s="13">
        <v>0.9</v>
      </c>
      <c r="D191" s="17">
        <v>2800</v>
      </c>
      <c r="E191" s="17">
        <v>2520</v>
      </c>
    </row>
    <row r="192" spans="1:5" x14ac:dyDescent="0.35">
      <c r="A192" s="13" t="s">
        <v>196</v>
      </c>
      <c r="B192" s="13" t="s">
        <v>25</v>
      </c>
      <c r="C192" s="13">
        <v>0.5</v>
      </c>
      <c r="D192" s="17">
        <v>1000</v>
      </c>
      <c r="E192" s="17">
        <v>500</v>
      </c>
    </row>
    <row r="193" spans="1:5" x14ac:dyDescent="0.35">
      <c r="A193" s="13" t="s">
        <v>196</v>
      </c>
      <c r="B193" s="13" t="s">
        <v>39</v>
      </c>
      <c r="C193" s="13">
        <v>0.75</v>
      </c>
      <c r="D193" s="17">
        <v>1500</v>
      </c>
      <c r="E193" s="17">
        <v>1125</v>
      </c>
    </row>
    <row r="194" spans="1:5" x14ac:dyDescent="0.35">
      <c r="A194" s="13" t="s">
        <v>196</v>
      </c>
      <c r="B194" s="13" t="s">
        <v>53</v>
      </c>
      <c r="C194" s="13">
        <v>0.75</v>
      </c>
      <c r="D194" s="17">
        <v>300</v>
      </c>
      <c r="E194" s="17">
        <v>225</v>
      </c>
    </row>
    <row r="195" spans="1:5" x14ac:dyDescent="0.35">
      <c r="A195" s="13" t="s">
        <v>196</v>
      </c>
      <c r="B195" s="13" t="s">
        <v>13</v>
      </c>
      <c r="C195" s="13">
        <v>0.45</v>
      </c>
      <c r="D195" s="17">
        <v>500</v>
      </c>
      <c r="E195" s="17">
        <v>225</v>
      </c>
    </row>
    <row r="196" spans="1:5" x14ac:dyDescent="0.35">
      <c r="A196" s="13" t="s">
        <v>109</v>
      </c>
      <c r="B196" s="13" t="s">
        <v>13</v>
      </c>
      <c r="C196" s="13">
        <v>0.55000000000000004</v>
      </c>
      <c r="D196" s="17">
        <v>500</v>
      </c>
      <c r="E196" s="17">
        <v>275</v>
      </c>
    </row>
    <row r="197" spans="1:5" x14ac:dyDescent="0.35">
      <c r="A197" s="13" t="s">
        <v>109</v>
      </c>
      <c r="B197" s="13" t="s">
        <v>53</v>
      </c>
      <c r="C197" s="13">
        <v>0.35</v>
      </c>
      <c r="D197" s="17">
        <v>300</v>
      </c>
      <c r="E197" s="17">
        <v>105</v>
      </c>
    </row>
    <row r="198" spans="1:5" x14ac:dyDescent="0.35">
      <c r="A198" s="13" t="s">
        <v>109</v>
      </c>
      <c r="B198" s="13" t="s">
        <v>51</v>
      </c>
      <c r="C198" s="13">
        <v>0.35</v>
      </c>
      <c r="D198" s="17">
        <v>500</v>
      </c>
      <c r="E198" s="17">
        <v>175</v>
      </c>
    </row>
    <row r="199" spans="1:5" x14ac:dyDescent="0.35">
      <c r="A199" s="13" t="s">
        <v>109</v>
      </c>
      <c r="B199" s="13" t="s">
        <v>39</v>
      </c>
      <c r="C199" s="13">
        <v>0.4</v>
      </c>
      <c r="D199" s="17">
        <v>1500</v>
      </c>
      <c r="E199" s="17">
        <v>600</v>
      </c>
    </row>
    <row r="200" spans="1:5" x14ac:dyDescent="0.35">
      <c r="A200" s="13" t="s">
        <v>109</v>
      </c>
      <c r="B200" s="13" t="s">
        <v>94</v>
      </c>
      <c r="C200" s="13">
        <v>0.4</v>
      </c>
      <c r="D200" s="17">
        <v>2800</v>
      </c>
      <c r="E200" s="17">
        <v>1120</v>
      </c>
    </row>
    <row r="201" spans="1:5" x14ac:dyDescent="0.35">
      <c r="A201" s="13" t="s">
        <v>109</v>
      </c>
      <c r="B201" s="13" t="s">
        <v>29</v>
      </c>
      <c r="C201" s="13">
        <v>0.4</v>
      </c>
      <c r="D201" s="17">
        <v>1600</v>
      </c>
      <c r="E201" s="17">
        <v>640</v>
      </c>
    </row>
    <row r="202" spans="1:5" x14ac:dyDescent="0.35">
      <c r="A202" s="13" t="s">
        <v>109</v>
      </c>
      <c r="B202" s="13" t="s">
        <v>25</v>
      </c>
      <c r="C202" s="13">
        <v>0.5</v>
      </c>
      <c r="D202" s="17">
        <v>1000</v>
      </c>
      <c r="E202" s="17">
        <v>500</v>
      </c>
    </row>
    <row r="203" spans="1:5" x14ac:dyDescent="0.35">
      <c r="A203" s="13" t="s">
        <v>109</v>
      </c>
      <c r="B203" s="13" t="s">
        <v>18</v>
      </c>
      <c r="C203" s="13">
        <v>1.6</v>
      </c>
      <c r="D203" s="17">
        <v>150</v>
      </c>
      <c r="E203" s="17">
        <v>240</v>
      </c>
    </row>
    <row r="204" spans="1:5" x14ac:dyDescent="0.35">
      <c r="A204" s="13" t="s">
        <v>109</v>
      </c>
      <c r="B204" s="13" t="s">
        <v>125</v>
      </c>
      <c r="C204" s="13">
        <v>1.45</v>
      </c>
      <c r="D204" s="17">
        <v>800</v>
      </c>
      <c r="E204" s="17">
        <v>1160</v>
      </c>
    </row>
    <row r="205" spans="1:5" x14ac:dyDescent="0.35">
      <c r="A205" s="13" t="s">
        <v>109</v>
      </c>
      <c r="B205" s="13" t="s">
        <v>41</v>
      </c>
      <c r="C205" s="13">
        <v>1.75</v>
      </c>
      <c r="D205" s="17">
        <v>1000</v>
      </c>
      <c r="E205" s="17">
        <v>1750</v>
      </c>
    </row>
    <row r="206" spans="1:5" x14ac:dyDescent="0.35">
      <c r="A206" s="13" t="s">
        <v>110</v>
      </c>
      <c r="B206" s="13" t="s">
        <v>51</v>
      </c>
      <c r="C206" s="13">
        <v>0.6</v>
      </c>
      <c r="D206" s="17">
        <v>500</v>
      </c>
      <c r="E206" s="17">
        <v>300</v>
      </c>
    </row>
    <row r="207" spans="1:5" x14ac:dyDescent="0.35">
      <c r="A207" s="13" t="s">
        <v>110</v>
      </c>
      <c r="B207" s="13" t="s">
        <v>41</v>
      </c>
      <c r="C207" s="13">
        <v>1.75</v>
      </c>
      <c r="D207" s="17">
        <v>1000</v>
      </c>
      <c r="E207" s="17">
        <v>1750</v>
      </c>
    </row>
    <row r="208" spans="1:5" x14ac:dyDescent="0.35">
      <c r="A208" s="13" t="s">
        <v>110</v>
      </c>
      <c r="B208" s="13" t="s">
        <v>125</v>
      </c>
      <c r="C208" s="13">
        <v>2.65</v>
      </c>
      <c r="D208" s="17">
        <v>800</v>
      </c>
      <c r="E208" s="17">
        <v>2120</v>
      </c>
    </row>
    <row r="209" spans="1:5" x14ac:dyDescent="0.35">
      <c r="A209" s="13" t="s">
        <v>110</v>
      </c>
      <c r="B209" s="13" t="s">
        <v>126</v>
      </c>
      <c r="C209" s="13">
        <v>0.25</v>
      </c>
      <c r="D209" s="17">
        <v>1800</v>
      </c>
      <c r="E209" s="17">
        <v>450</v>
      </c>
    </row>
    <row r="210" spans="1:5" x14ac:dyDescent="0.35">
      <c r="A210" s="13" t="s">
        <v>110</v>
      </c>
      <c r="B210" s="13" t="s">
        <v>25</v>
      </c>
      <c r="C210" s="13">
        <v>0.15</v>
      </c>
      <c r="D210" s="17">
        <v>1000</v>
      </c>
      <c r="E210" s="17">
        <v>150</v>
      </c>
    </row>
    <row r="211" spans="1:5" x14ac:dyDescent="0.35">
      <c r="A211" s="13" t="s">
        <v>110</v>
      </c>
      <c r="B211" s="13" t="s">
        <v>53</v>
      </c>
      <c r="C211" s="13">
        <v>0.25</v>
      </c>
      <c r="D211" s="17">
        <v>300</v>
      </c>
      <c r="E211" s="17">
        <v>75</v>
      </c>
    </row>
    <row r="212" spans="1:5" x14ac:dyDescent="0.35">
      <c r="A212" s="13" t="s">
        <v>110</v>
      </c>
      <c r="B212" s="13" t="s">
        <v>94</v>
      </c>
      <c r="C212" s="13">
        <v>0.5</v>
      </c>
      <c r="D212" s="17">
        <v>2800</v>
      </c>
      <c r="E212" s="17">
        <v>1400</v>
      </c>
    </row>
    <row r="213" spans="1:5" x14ac:dyDescent="0.35">
      <c r="A213" s="13" t="s">
        <v>110</v>
      </c>
      <c r="B213" s="13" t="s">
        <v>61</v>
      </c>
      <c r="C213" s="13">
        <v>0.1</v>
      </c>
      <c r="D213" s="17">
        <v>3500</v>
      </c>
      <c r="E213" s="17">
        <v>350</v>
      </c>
    </row>
    <row r="214" spans="1:5" x14ac:dyDescent="0.35">
      <c r="A214" s="13" t="s">
        <v>110</v>
      </c>
      <c r="B214" s="13" t="s">
        <v>13</v>
      </c>
      <c r="C214" s="13">
        <v>0.2</v>
      </c>
      <c r="D214" s="17">
        <v>500</v>
      </c>
      <c r="E214" s="17">
        <v>100</v>
      </c>
    </row>
    <row r="215" spans="1:5" x14ac:dyDescent="0.35">
      <c r="A215" s="13" t="s">
        <v>208</v>
      </c>
      <c r="B215" s="13" t="s">
        <v>41</v>
      </c>
      <c r="C215" s="13">
        <v>4.45</v>
      </c>
      <c r="D215" s="17">
        <v>1000</v>
      </c>
      <c r="E215" s="17">
        <v>4450</v>
      </c>
    </row>
    <row r="216" spans="1:5" x14ac:dyDescent="0.35">
      <c r="A216" s="13" t="s">
        <v>208</v>
      </c>
      <c r="B216" s="13" t="s">
        <v>25</v>
      </c>
      <c r="C216" s="13">
        <v>0.6</v>
      </c>
      <c r="D216" s="17">
        <v>1000</v>
      </c>
      <c r="E216" s="17">
        <v>600</v>
      </c>
    </row>
    <row r="217" spans="1:5" x14ac:dyDescent="0.35">
      <c r="A217" s="13" t="s">
        <v>208</v>
      </c>
      <c r="B217" s="13" t="s">
        <v>39</v>
      </c>
      <c r="C217" s="13">
        <v>0.5</v>
      </c>
      <c r="D217" s="17">
        <v>1500</v>
      </c>
      <c r="E217" s="17">
        <v>750</v>
      </c>
    </row>
    <row r="218" spans="1:5" x14ac:dyDescent="0.35">
      <c r="A218" s="13" t="s">
        <v>208</v>
      </c>
      <c r="B218" s="13" t="s">
        <v>34</v>
      </c>
      <c r="C218" s="13">
        <v>3.7</v>
      </c>
      <c r="D218" s="17">
        <v>5000</v>
      </c>
      <c r="E218" s="17">
        <v>18500</v>
      </c>
    </row>
    <row r="219" spans="1:5" x14ac:dyDescent="0.35">
      <c r="A219" s="13" t="s">
        <v>208</v>
      </c>
      <c r="B219" s="13" t="s">
        <v>94</v>
      </c>
      <c r="C219" s="13">
        <v>1.65</v>
      </c>
      <c r="D219" s="17">
        <v>2800</v>
      </c>
      <c r="E219" s="17">
        <v>4620</v>
      </c>
    </row>
    <row r="220" spans="1:5" x14ac:dyDescent="0.35">
      <c r="A220" s="13" t="s">
        <v>208</v>
      </c>
      <c r="B220" s="13" t="s">
        <v>60</v>
      </c>
      <c r="C220" s="13">
        <v>0.3</v>
      </c>
      <c r="D220" s="17">
        <v>2500</v>
      </c>
      <c r="E220" s="17">
        <v>750</v>
      </c>
    </row>
    <row r="221" spans="1:5" x14ac:dyDescent="0.35">
      <c r="A221" s="13" t="s">
        <v>208</v>
      </c>
      <c r="B221" s="13" t="s">
        <v>128</v>
      </c>
      <c r="C221" s="13">
        <v>0.1</v>
      </c>
      <c r="D221" s="17">
        <v>3500</v>
      </c>
      <c r="E221" s="17">
        <v>350</v>
      </c>
    </row>
    <row r="222" spans="1:5" x14ac:dyDescent="0.35">
      <c r="A222" s="13" t="s">
        <v>112</v>
      </c>
      <c r="B222" s="13" t="s">
        <v>293</v>
      </c>
      <c r="C222" s="13">
        <v>1.65</v>
      </c>
      <c r="D222" s="17">
        <v>1400</v>
      </c>
      <c r="E222" s="17">
        <v>2310</v>
      </c>
    </row>
    <row r="223" spans="1:5" x14ac:dyDescent="0.35">
      <c r="A223" s="13" t="s">
        <v>112</v>
      </c>
      <c r="B223" s="13" t="s">
        <v>13</v>
      </c>
      <c r="C223" s="13">
        <v>0.15</v>
      </c>
      <c r="D223" s="17">
        <v>500</v>
      </c>
      <c r="E223" s="17">
        <v>75</v>
      </c>
    </row>
    <row r="224" spans="1:5" x14ac:dyDescent="0.35">
      <c r="A224" s="13" t="s">
        <v>112</v>
      </c>
      <c r="B224" s="13" t="s">
        <v>53</v>
      </c>
      <c r="C224" s="13">
        <v>0.2</v>
      </c>
      <c r="D224" s="17">
        <v>300</v>
      </c>
      <c r="E224" s="17">
        <v>60</v>
      </c>
    </row>
    <row r="225" spans="1:5" x14ac:dyDescent="0.35">
      <c r="A225" s="13" t="s">
        <v>112</v>
      </c>
      <c r="B225" s="13" t="s">
        <v>39</v>
      </c>
      <c r="C225" s="13">
        <v>0.45</v>
      </c>
      <c r="D225" s="17">
        <v>1500</v>
      </c>
      <c r="E225" s="17">
        <v>675</v>
      </c>
    </row>
    <row r="226" spans="1:5" x14ac:dyDescent="0.35">
      <c r="A226" s="13" t="s">
        <v>112</v>
      </c>
      <c r="B226" s="13" t="s">
        <v>18</v>
      </c>
      <c r="C226" s="13">
        <v>0.7</v>
      </c>
      <c r="D226" s="17">
        <v>150</v>
      </c>
      <c r="E226" s="17">
        <v>105</v>
      </c>
    </row>
    <row r="227" spans="1:5" x14ac:dyDescent="0.35">
      <c r="A227" s="13" t="s">
        <v>112</v>
      </c>
      <c r="B227" s="13" t="s">
        <v>94</v>
      </c>
      <c r="C227" s="13">
        <v>0.35</v>
      </c>
      <c r="D227" s="17">
        <v>2800</v>
      </c>
      <c r="E227" s="17">
        <v>980</v>
      </c>
    </row>
    <row r="228" spans="1:5" x14ac:dyDescent="0.35">
      <c r="A228" s="13" t="s">
        <v>112</v>
      </c>
      <c r="B228" s="13" t="s">
        <v>22</v>
      </c>
      <c r="C228" s="13">
        <v>0.25</v>
      </c>
      <c r="D228" s="17">
        <v>1600</v>
      </c>
      <c r="E228" s="17">
        <v>400</v>
      </c>
    </row>
    <row r="229" spans="1:5" x14ac:dyDescent="0.35">
      <c r="A229" s="13" t="s">
        <v>112</v>
      </c>
      <c r="B229" s="13" t="s">
        <v>51</v>
      </c>
      <c r="C229" s="13">
        <v>1.1499999999999999</v>
      </c>
      <c r="D229" s="17">
        <v>500</v>
      </c>
      <c r="E229" s="17">
        <v>575</v>
      </c>
    </row>
    <row r="230" spans="1:5" x14ac:dyDescent="0.35">
      <c r="A230" s="13" t="s">
        <v>112</v>
      </c>
      <c r="B230" s="13" t="s">
        <v>25</v>
      </c>
      <c r="C230" s="13">
        <v>5.9</v>
      </c>
      <c r="D230" s="17">
        <v>1000</v>
      </c>
      <c r="E230" s="17">
        <v>5900</v>
      </c>
    </row>
    <row r="231" spans="1:5" x14ac:dyDescent="0.35">
      <c r="A231" s="13" t="s">
        <v>112</v>
      </c>
      <c r="B231" s="13" t="s">
        <v>41</v>
      </c>
      <c r="C231" s="13">
        <v>2.8</v>
      </c>
      <c r="D231" s="17">
        <v>1000</v>
      </c>
      <c r="E231" s="17">
        <v>2800</v>
      </c>
    </row>
    <row r="232" spans="1:5" x14ac:dyDescent="0.35">
      <c r="A232" s="13" t="s">
        <v>113</v>
      </c>
      <c r="B232" s="13" t="s">
        <v>41</v>
      </c>
      <c r="C232" s="13">
        <v>2.85</v>
      </c>
      <c r="D232" s="17">
        <v>1000</v>
      </c>
      <c r="E232" s="17">
        <v>2850</v>
      </c>
    </row>
    <row r="233" spans="1:5" x14ac:dyDescent="0.35">
      <c r="A233" s="13" t="s">
        <v>113</v>
      </c>
      <c r="B233" s="13" t="s">
        <v>51</v>
      </c>
      <c r="C233" s="13">
        <v>1.55</v>
      </c>
      <c r="D233" s="17">
        <v>500</v>
      </c>
      <c r="E233" s="17">
        <v>775</v>
      </c>
    </row>
    <row r="234" spans="1:5" x14ac:dyDescent="0.35">
      <c r="A234" s="13" t="s">
        <v>113</v>
      </c>
      <c r="B234" s="13" t="s">
        <v>18</v>
      </c>
      <c r="C234" s="13">
        <v>0.3</v>
      </c>
      <c r="D234" s="17">
        <v>150</v>
      </c>
      <c r="E234" s="17">
        <v>45</v>
      </c>
    </row>
    <row r="235" spans="1:5" x14ac:dyDescent="0.35">
      <c r="A235" s="13" t="s">
        <v>113</v>
      </c>
      <c r="B235" s="13" t="s">
        <v>25</v>
      </c>
      <c r="C235" s="13">
        <v>0.6</v>
      </c>
      <c r="D235" s="17">
        <v>1000</v>
      </c>
      <c r="E235" s="17">
        <v>600</v>
      </c>
    </row>
    <row r="236" spans="1:5" x14ac:dyDescent="0.35">
      <c r="A236" s="13" t="s">
        <v>113</v>
      </c>
      <c r="B236" s="13" t="s">
        <v>39</v>
      </c>
      <c r="C236" s="13">
        <v>0.45</v>
      </c>
      <c r="D236" s="17">
        <v>1500</v>
      </c>
      <c r="E236" s="17">
        <v>675</v>
      </c>
    </row>
    <row r="237" spans="1:5" x14ac:dyDescent="0.35">
      <c r="A237" s="13" t="s">
        <v>113</v>
      </c>
      <c r="B237" s="13" t="s">
        <v>13</v>
      </c>
      <c r="C237" s="13">
        <v>0.95</v>
      </c>
      <c r="D237" s="17">
        <v>500</v>
      </c>
      <c r="E237" s="17">
        <v>475</v>
      </c>
    </row>
    <row r="238" spans="1:5" x14ac:dyDescent="0.35">
      <c r="A238" s="13" t="s">
        <v>113</v>
      </c>
      <c r="B238" s="13" t="s">
        <v>53</v>
      </c>
      <c r="C238" s="13">
        <v>1.1000000000000001</v>
      </c>
      <c r="D238" s="17">
        <v>300</v>
      </c>
      <c r="E238" s="17">
        <v>330</v>
      </c>
    </row>
    <row r="239" spans="1:5" x14ac:dyDescent="0.35">
      <c r="A239" s="13" t="s">
        <v>113</v>
      </c>
      <c r="B239" s="13" t="s">
        <v>94</v>
      </c>
      <c r="C239" s="13">
        <v>1.05</v>
      </c>
      <c r="D239" s="17">
        <v>2800</v>
      </c>
      <c r="E239" s="17">
        <v>2940</v>
      </c>
    </row>
    <row r="240" spans="1:5" x14ac:dyDescent="0.35">
      <c r="A240" s="13" t="s">
        <v>168</v>
      </c>
      <c r="B240" s="13" t="s">
        <v>60</v>
      </c>
      <c r="C240" s="13">
        <v>0.1</v>
      </c>
      <c r="D240" s="17">
        <v>2500</v>
      </c>
      <c r="E240" s="17">
        <v>250</v>
      </c>
    </row>
    <row r="241" spans="1:5" x14ac:dyDescent="0.35">
      <c r="A241" s="13" t="s">
        <v>168</v>
      </c>
      <c r="B241" s="13" t="s">
        <v>39</v>
      </c>
      <c r="C241" s="13">
        <v>0.25</v>
      </c>
      <c r="D241" s="17">
        <v>1500</v>
      </c>
      <c r="E241" s="17">
        <v>375</v>
      </c>
    </row>
    <row r="242" spans="1:5" x14ac:dyDescent="0.35">
      <c r="A242" s="13" t="s">
        <v>168</v>
      </c>
      <c r="B242" s="13" t="s">
        <v>54</v>
      </c>
      <c r="C242" s="13">
        <v>0.65</v>
      </c>
      <c r="D242" s="17">
        <v>800</v>
      </c>
      <c r="E242" s="17">
        <v>520</v>
      </c>
    </row>
    <row r="243" spans="1:5" x14ac:dyDescent="0.35">
      <c r="A243" s="13" t="s">
        <v>168</v>
      </c>
      <c r="B243" s="13" t="s">
        <v>18</v>
      </c>
      <c r="C243" s="13">
        <v>1.7</v>
      </c>
      <c r="D243" s="17">
        <v>150</v>
      </c>
      <c r="E243" s="17">
        <v>255</v>
      </c>
    </row>
    <row r="244" spans="1:5" x14ac:dyDescent="0.35">
      <c r="A244" s="13" t="s">
        <v>168</v>
      </c>
      <c r="B244" s="13" t="s">
        <v>94</v>
      </c>
      <c r="C244" s="13">
        <v>0.7</v>
      </c>
      <c r="D244" s="17">
        <v>2800</v>
      </c>
      <c r="E244" s="17">
        <v>1960</v>
      </c>
    </row>
    <row r="245" spans="1:5" x14ac:dyDescent="0.35">
      <c r="A245" s="13" t="s">
        <v>168</v>
      </c>
      <c r="B245" s="13" t="s">
        <v>25</v>
      </c>
      <c r="C245" s="13">
        <v>5.35</v>
      </c>
      <c r="D245" s="17">
        <v>1000</v>
      </c>
      <c r="E245" s="17">
        <v>5350</v>
      </c>
    </row>
    <row r="246" spans="1:5" x14ac:dyDescent="0.35">
      <c r="A246" s="13" t="s">
        <v>168</v>
      </c>
      <c r="B246" s="13" t="s">
        <v>53</v>
      </c>
      <c r="C246" s="13">
        <v>1.8</v>
      </c>
      <c r="D246" s="17">
        <v>300</v>
      </c>
      <c r="E246" s="17">
        <v>540</v>
      </c>
    </row>
    <row r="247" spans="1:5" x14ac:dyDescent="0.35">
      <c r="A247" s="13" t="s">
        <v>168</v>
      </c>
      <c r="B247" s="13" t="s">
        <v>13</v>
      </c>
      <c r="C247" s="13">
        <v>1.3</v>
      </c>
      <c r="D247" s="17">
        <v>500</v>
      </c>
      <c r="E247" s="17">
        <v>650</v>
      </c>
    </row>
    <row r="248" spans="1:5" x14ac:dyDescent="0.35">
      <c r="A248" s="13" t="s">
        <v>168</v>
      </c>
      <c r="B248" s="13" t="s">
        <v>51</v>
      </c>
      <c r="C248" s="13">
        <v>3.8</v>
      </c>
      <c r="D248" s="17">
        <v>500</v>
      </c>
      <c r="E248" s="17">
        <v>1900</v>
      </c>
    </row>
    <row r="249" spans="1:5" x14ac:dyDescent="0.35">
      <c r="A249" s="13" t="s">
        <v>168</v>
      </c>
      <c r="B249" s="13" t="s">
        <v>41</v>
      </c>
      <c r="C249" s="13">
        <v>9</v>
      </c>
      <c r="D249" s="17">
        <v>1000</v>
      </c>
      <c r="E249" s="17">
        <v>9000</v>
      </c>
    </row>
    <row r="250" spans="1:5" x14ac:dyDescent="0.35">
      <c r="A250" s="13" t="s">
        <v>114</v>
      </c>
      <c r="B250" s="13" t="s">
        <v>26</v>
      </c>
      <c r="C250" s="13">
        <v>0.15</v>
      </c>
      <c r="D250" s="17">
        <v>1000</v>
      </c>
      <c r="E250" s="17">
        <v>150</v>
      </c>
    </row>
    <row r="251" spans="1:5" x14ac:dyDescent="0.35">
      <c r="A251" s="13" t="s">
        <v>114</v>
      </c>
      <c r="B251" s="13" t="s">
        <v>53</v>
      </c>
      <c r="C251" s="13">
        <v>0.7</v>
      </c>
      <c r="D251" s="17">
        <v>300</v>
      </c>
      <c r="E251" s="17">
        <v>210</v>
      </c>
    </row>
    <row r="252" spans="1:5" x14ac:dyDescent="0.35">
      <c r="A252" s="13" t="s">
        <v>114</v>
      </c>
      <c r="B252" s="13" t="s">
        <v>125</v>
      </c>
      <c r="C252" s="13">
        <v>7.95</v>
      </c>
      <c r="D252" s="17">
        <v>800</v>
      </c>
      <c r="E252" s="17">
        <v>6360</v>
      </c>
    </row>
    <row r="253" spans="1:5" x14ac:dyDescent="0.35">
      <c r="A253" s="13" t="s">
        <v>213</v>
      </c>
      <c r="B253" s="13" t="s">
        <v>94</v>
      </c>
      <c r="C253" s="13">
        <v>0.55000000000000004</v>
      </c>
      <c r="D253" s="17">
        <v>2800</v>
      </c>
      <c r="E253" s="17">
        <v>1540</v>
      </c>
    </row>
    <row r="254" spans="1:5" x14ac:dyDescent="0.35">
      <c r="A254" s="13" t="s">
        <v>213</v>
      </c>
      <c r="B254" s="13" t="s">
        <v>128</v>
      </c>
      <c r="C254" s="13">
        <v>0.4</v>
      </c>
      <c r="D254" s="17">
        <v>3500</v>
      </c>
      <c r="E254" s="17">
        <v>1400</v>
      </c>
    </row>
    <row r="255" spans="1:5" x14ac:dyDescent="0.35">
      <c r="A255" s="13" t="s">
        <v>213</v>
      </c>
      <c r="B255" s="13" t="s">
        <v>51</v>
      </c>
      <c r="C255" s="13">
        <v>0.3</v>
      </c>
      <c r="D255" s="17">
        <v>500</v>
      </c>
      <c r="E255" s="17">
        <v>150</v>
      </c>
    </row>
    <row r="256" spans="1:5" x14ac:dyDescent="0.35">
      <c r="A256" s="13" t="s">
        <v>213</v>
      </c>
      <c r="B256" s="13" t="s">
        <v>53</v>
      </c>
      <c r="C256" s="13">
        <v>1.3</v>
      </c>
      <c r="D256" s="17">
        <v>300</v>
      </c>
      <c r="E256" s="17">
        <v>390</v>
      </c>
    </row>
    <row r="257" spans="1:5" x14ac:dyDescent="0.35">
      <c r="A257" s="13" t="s">
        <v>213</v>
      </c>
      <c r="B257" s="13" t="s">
        <v>54</v>
      </c>
      <c r="C257" s="13">
        <v>0.6</v>
      </c>
      <c r="D257" s="17">
        <v>800</v>
      </c>
      <c r="E257" s="17">
        <v>480</v>
      </c>
    </row>
    <row r="258" spans="1:5" x14ac:dyDescent="0.35">
      <c r="A258" s="13" t="s">
        <v>213</v>
      </c>
      <c r="B258" s="13" t="s">
        <v>41</v>
      </c>
      <c r="C258" s="13">
        <v>4.55</v>
      </c>
      <c r="D258" s="17">
        <v>1000</v>
      </c>
      <c r="E258" s="17">
        <v>4550</v>
      </c>
    </row>
    <row r="259" spans="1:5" x14ac:dyDescent="0.35">
      <c r="A259" s="13" t="s">
        <v>116</v>
      </c>
      <c r="B259" s="13" t="s">
        <v>94</v>
      </c>
      <c r="C259" s="13">
        <v>3.3</v>
      </c>
      <c r="D259" s="17">
        <v>2800</v>
      </c>
      <c r="E259" s="17">
        <v>9240</v>
      </c>
    </row>
    <row r="260" spans="1:5" x14ac:dyDescent="0.35">
      <c r="A260" s="13" t="s">
        <v>116</v>
      </c>
      <c r="B260" s="13" t="s">
        <v>18</v>
      </c>
      <c r="C260" s="13">
        <v>1.1499999999999999</v>
      </c>
      <c r="D260" s="17">
        <v>150</v>
      </c>
      <c r="E260" s="17">
        <v>173</v>
      </c>
    </row>
    <row r="261" spans="1:5" x14ac:dyDescent="0.35">
      <c r="A261" s="13" t="s">
        <v>116</v>
      </c>
      <c r="B261" s="13" t="s">
        <v>34</v>
      </c>
      <c r="C261" s="13">
        <v>20.100000000000001</v>
      </c>
      <c r="D261" s="17">
        <v>5000</v>
      </c>
      <c r="E261" s="17">
        <v>100500</v>
      </c>
    </row>
    <row r="262" spans="1:5" x14ac:dyDescent="0.35">
      <c r="A262" s="13" t="s">
        <v>116</v>
      </c>
      <c r="B262" s="13" t="s">
        <v>41</v>
      </c>
      <c r="C262" s="13">
        <v>2.5499999999999998</v>
      </c>
      <c r="D262" s="17">
        <v>1000</v>
      </c>
      <c r="E262" s="17">
        <v>2550</v>
      </c>
    </row>
    <row r="263" spans="1:5" x14ac:dyDescent="0.35">
      <c r="A263" s="13" t="s">
        <v>116</v>
      </c>
      <c r="B263" s="13" t="s">
        <v>29</v>
      </c>
      <c r="C263" s="13">
        <v>0.35</v>
      </c>
      <c r="D263" s="17">
        <v>1600</v>
      </c>
      <c r="E263" s="17">
        <v>560</v>
      </c>
    </row>
    <row r="264" spans="1:5" x14ac:dyDescent="0.35">
      <c r="A264" s="13" t="s">
        <v>116</v>
      </c>
      <c r="B264" s="13" t="s">
        <v>51</v>
      </c>
      <c r="C264" s="13">
        <v>0.65</v>
      </c>
      <c r="D264" s="17">
        <v>500</v>
      </c>
      <c r="E264" s="17">
        <v>325</v>
      </c>
    </row>
    <row r="265" spans="1:5" x14ac:dyDescent="0.35">
      <c r="A265" s="13" t="s">
        <v>116</v>
      </c>
      <c r="B265" s="13" t="s">
        <v>25</v>
      </c>
      <c r="C265" s="13">
        <v>0.6</v>
      </c>
      <c r="D265" s="17">
        <v>1000</v>
      </c>
      <c r="E265" s="17">
        <v>600</v>
      </c>
    </row>
    <row r="266" spans="1:5" x14ac:dyDescent="0.35">
      <c r="A266" s="13" t="s">
        <v>116</v>
      </c>
      <c r="B266" s="13" t="s">
        <v>53</v>
      </c>
      <c r="C266" s="13">
        <v>0.75</v>
      </c>
      <c r="D266" s="17">
        <v>300</v>
      </c>
      <c r="E266" s="17">
        <v>225</v>
      </c>
    </row>
    <row r="267" spans="1:5" x14ac:dyDescent="0.35">
      <c r="A267" s="13" t="s">
        <v>116</v>
      </c>
      <c r="B267" s="13" t="s">
        <v>60</v>
      </c>
      <c r="C267" s="13">
        <v>0.2</v>
      </c>
      <c r="D267" s="17">
        <v>2500</v>
      </c>
      <c r="E267" s="17">
        <v>500</v>
      </c>
    </row>
    <row r="268" spans="1:5" x14ac:dyDescent="0.35">
      <c r="A268" s="13" t="s">
        <v>116</v>
      </c>
      <c r="B268" s="13" t="s">
        <v>94</v>
      </c>
      <c r="C268" s="13">
        <v>2.75</v>
      </c>
      <c r="D268" s="17">
        <v>2800</v>
      </c>
      <c r="E268" s="17">
        <v>7700</v>
      </c>
    </row>
    <row r="269" spans="1:5" x14ac:dyDescent="0.35">
      <c r="A269" s="13" t="s">
        <v>214</v>
      </c>
      <c r="B269" s="13" t="s">
        <v>41</v>
      </c>
      <c r="C269" s="13">
        <v>4.05</v>
      </c>
      <c r="D269" s="17">
        <v>1000</v>
      </c>
      <c r="E269" s="17">
        <v>4050</v>
      </c>
    </row>
    <row r="270" spans="1:5" x14ac:dyDescent="0.35">
      <c r="A270" s="13" t="s">
        <v>214</v>
      </c>
      <c r="B270" s="13" t="s">
        <v>51</v>
      </c>
      <c r="C270" s="13">
        <v>4.8499999999999996</v>
      </c>
      <c r="D270" s="17">
        <v>500</v>
      </c>
      <c r="E270" s="17">
        <v>2425</v>
      </c>
    </row>
    <row r="271" spans="1:5" x14ac:dyDescent="0.35">
      <c r="A271" s="13" t="s">
        <v>214</v>
      </c>
      <c r="B271" s="13" t="s">
        <v>25</v>
      </c>
      <c r="C271" s="13">
        <v>3.65</v>
      </c>
      <c r="D271" s="17">
        <v>1000</v>
      </c>
      <c r="E271" s="17">
        <v>3650</v>
      </c>
    </row>
    <row r="272" spans="1:5" x14ac:dyDescent="0.35">
      <c r="A272" s="13" t="s">
        <v>214</v>
      </c>
      <c r="B272" s="13" t="s">
        <v>39</v>
      </c>
      <c r="C272" s="13">
        <v>0.9</v>
      </c>
      <c r="D272" s="17">
        <v>1500</v>
      </c>
      <c r="E272" s="17">
        <v>1350</v>
      </c>
    </row>
    <row r="273" spans="1:5" x14ac:dyDescent="0.35">
      <c r="A273" s="13" t="s">
        <v>214</v>
      </c>
      <c r="B273" s="13" t="s">
        <v>57</v>
      </c>
      <c r="C273" s="13">
        <v>0.1</v>
      </c>
      <c r="D273" s="17">
        <v>150</v>
      </c>
      <c r="E273" s="17">
        <v>15</v>
      </c>
    </row>
    <row r="274" spans="1:5" x14ac:dyDescent="0.35">
      <c r="A274" s="13" t="s">
        <v>214</v>
      </c>
      <c r="B274" s="13" t="s">
        <v>53</v>
      </c>
      <c r="C274" s="13">
        <v>1.3</v>
      </c>
      <c r="D274" s="17">
        <v>300</v>
      </c>
      <c r="E274" s="17">
        <v>390</v>
      </c>
    </row>
    <row r="275" spans="1:5" x14ac:dyDescent="0.35">
      <c r="A275" s="13" t="s">
        <v>214</v>
      </c>
      <c r="B275" s="13" t="s">
        <v>94</v>
      </c>
      <c r="C275" s="13">
        <v>1.1499999999999999</v>
      </c>
      <c r="D275" s="17">
        <v>2800</v>
      </c>
      <c r="E275" s="17">
        <v>3220</v>
      </c>
    </row>
    <row r="276" spans="1:5" x14ac:dyDescent="0.35">
      <c r="A276" s="13" t="s">
        <v>214</v>
      </c>
      <c r="B276" s="13" t="s">
        <v>46</v>
      </c>
      <c r="C276" s="13">
        <v>0.3</v>
      </c>
      <c r="D276" s="17">
        <v>2700</v>
      </c>
      <c r="E276" s="17">
        <v>810</v>
      </c>
    </row>
    <row r="277" spans="1:5" x14ac:dyDescent="0.35">
      <c r="A277" s="13" t="s">
        <v>214</v>
      </c>
      <c r="B277" s="13" t="s">
        <v>53</v>
      </c>
      <c r="C277" s="13">
        <v>0.2</v>
      </c>
      <c r="D277" s="17">
        <v>300</v>
      </c>
      <c r="E277" s="17">
        <v>60</v>
      </c>
    </row>
    <row r="278" spans="1:5" x14ac:dyDescent="0.35">
      <c r="A278" s="13" t="s">
        <v>214</v>
      </c>
      <c r="B278" s="13" t="s">
        <v>13</v>
      </c>
      <c r="C278" s="13">
        <v>0.45</v>
      </c>
      <c r="D278" s="17">
        <v>500</v>
      </c>
      <c r="E278" s="17">
        <v>225</v>
      </c>
    </row>
    <row r="279" spans="1:5" x14ac:dyDescent="0.35">
      <c r="A279" s="13" t="s">
        <v>214</v>
      </c>
      <c r="B279" s="13" t="s">
        <v>54</v>
      </c>
      <c r="C279" s="13">
        <v>0.3</v>
      </c>
      <c r="D279" s="17">
        <v>800</v>
      </c>
      <c r="E279" s="17">
        <v>240</v>
      </c>
    </row>
    <row r="280" spans="1:5" x14ac:dyDescent="0.35">
      <c r="A280" s="13" t="s">
        <v>214</v>
      </c>
      <c r="B280" s="13" t="s">
        <v>128</v>
      </c>
      <c r="C280" s="13">
        <v>0.2</v>
      </c>
      <c r="D280" s="17">
        <v>3500</v>
      </c>
      <c r="E280" s="17">
        <v>700</v>
      </c>
    </row>
    <row r="281" spans="1:5" x14ac:dyDescent="0.35">
      <c r="A281" s="13" t="s">
        <v>250</v>
      </c>
      <c r="B281" s="13" t="s">
        <v>13</v>
      </c>
      <c r="C281" s="13">
        <v>0.15</v>
      </c>
      <c r="D281" s="17">
        <v>500</v>
      </c>
      <c r="E281" s="17">
        <v>75</v>
      </c>
    </row>
    <row r="282" spans="1:5" x14ac:dyDescent="0.35">
      <c r="A282" s="13" t="s">
        <v>250</v>
      </c>
      <c r="B282" s="13" t="s">
        <v>94</v>
      </c>
      <c r="C282" s="13">
        <v>4.6500000000000004</v>
      </c>
      <c r="D282" s="17">
        <v>2800</v>
      </c>
      <c r="E282" s="17">
        <v>13020</v>
      </c>
    </row>
    <row r="283" spans="1:5" x14ac:dyDescent="0.35">
      <c r="A283" s="13" t="s">
        <v>250</v>
      </c>
      <c r="B283" s="13" t="s">
        <v>41</v>
      </c>
      <c r="C283" s="13">
        <v>20.65</v>
      </c>
      <c r="D283" s="17">
        <v>1000</v>
      </c>
      <c r="E283" s="17">
        <v>20650</v>
      </c>
    </row>
    <row r="284" spans="1:5" x14ac:dyDescent="0.35">
      <c r="A284" s="13" t="s">
        <v>250</v>
      </c>
      <c r="B284" s="13" t="s">
        <v>25</v>
      </c>
      <c r="C284" s="13">
        <v>5.4</v>
      </c>
      <c r="D284" s="17">
        <v>1000</v>
      </c>
      <c r="E284" s="17">
        <v>5400</v>
      </c>
    </row>
    <row r="285" spans="1:5" x14ac:dyDescent="0.35">
      <c r="A285" s="13" t="s">
        <v>291</v>
      </c>
      <c r="B285" s="13" t="s">
        <v>53</v>
      </c>
      <c r="C285" s="13">
        <v>1.45</v>
      </c>
      <c r="D285" s="17">
        <v>300</v>
      </c>
      <c r="E285" s="17">
        <v>435</v>
      </c>
    </row>
    <row r="286" spans="1:5" x14ac:dyDescent="0.35">
      <c r="A286" s="13" t="s">
        <v>118</v>
      </c>
      <c r="B286" s="13" t="s">
        <v>60</v>
      </c>
      <c r="C286" s="13">
        <v>0.9</v>
      </c>
      <c r="D286" s="17">
        <v>2500</v>
      </c>
      <c r="E286" s="17">
        <v>2250</v>
      </c>
    </row>
    <row r="287" spans="1:5" x14ac:dyDescent="0.35">
      <c r="A287" s="13" t="s">
        <v>118</v>
      </c>
      <c r="B287" s="13" t="s">
        <v>128</v>
      </c>
      <c r="C287" s="13">
        <v>0.5</v>
      </c>
      <c r="D287" s="17">
        <v>3500</v>
      </c>
      <c r="E287" s="17">
        <v>1750</v>
      </c>
    </row>
    <row r="288" spans="1:5" x14ac:dyDescent="0.35">
      <c r="A288" s="13" t="s">
        <v>118</v>
      </c>
      <c r="B288" s="13" t="s">
        <v>41</v>
      </c>
      <c r="C288" s="13">
        <v>1.7</v>
      </c>
      <c r="D288" s="17">
        <v>1000</v>
      </c>
      <c r="E288" s="17">
        <v>1700</v>
      </c>
    </row>
    <row r="289" spans="1:5" x14ac:dyDescent="0.35">
      <c r="A289" s="13" t="s">
        <v>118</v>
      </c>
      <c r="B289" s="13" t="s">
        <v>94</v>
      </c>
      <c r="C289" s="13">
        <v>0.85</v>
      </c>
      <c r="D289" s="17">
        <v>2800</v>
      </c>
      <c r="E289" s="17">
        <v>2380</v>
      </c>
    </row>
    <row r="290" spans="1:5" x14ac:dyDescent="0.35">
      <c r="A290" s="13" t="s">
        <v>118</v>
      </c>
      <c r="B290" s="13" t="s">
        <v>25</v>
      </c>
      <c r="C290" s="13">
        <v>0.65</v>
      </c>
      <c r="D290" s="17">
        <v>1000</v>
      </c>
      <c r="E290" s="17">
        <v>650</v>
      </c>
    </row>
    <row r="291" spans="1:5" x14ac:dyDescent="0.35">
      <c r="A291" s="13" t="s">
        <v>118</v>
      </c>
      <c r="B291" s="13" t="s">
        <v>53</v>
      </c>
      <c r="C291" s="13">
        <v>1.2</v>
      </c>
      <c r="D291" s="17">
        <v>300</v>
      </c>
      <c r="E291" s="17">
        <v>360</v>
      </c>
    </row>
    <row r="292" spans="1:5" x14ac:dyDescent="0.35">
      <c r="A292" s="13" t="s">
        <v>118</v>
      </c>
      <c r="B292" s="13" t="s">
        <v>51</v>
      </c>
      <c r="C292" s="13">
        <v>1.1000000000000001</v>
      </c>
      <c r="D292" s="17">
        <v>500</v>
      </c>
      <c r="E292" s="17">
        <v>550</v>
      </c>
    </row>
    <row r="293" spans="1:5" x14ac:dyDescent="0.35">
      <c r="A293" s="13" t="s">
        <v>306</v>
      </c>
      <c r="B293" s="13" t="s">
        <v>53</v>
      </c>
      <c r="C293" s="13">
        <v>2.9</v>
      </c>
      <c r="D293" s="17">
        <v>300</v>
      </c>
      <c r="E293" s="17">
        <v>870</v>
      </c>
    </row>
    <row r="294" spans="1:5" x14ac:dyDescent="0.35">
      <c r="A294" s="13" t="s">
        <v>232</v>
      </c>
      <c r="B294" s="13" t="s">
        <v>51</v>
      </c>
      <c r="C294" s="13">
        <v>0.4</v>
      </c>
      <c r="D294" s="17">
        <v>500</v>
      </c>
      <c r="E294" s="17">
        <v>200</v>
      </c>
    </row>
    <row r="295" spans="1:5" x14ac:dyDescent="0.35">
      <c r="A295" s="13" t="s">
        <v>232</v>
      </c>
      <c r="B295" s="13" t="s">
        <v>25</v>
      </c>
      <c r="C295" s="13">
        <v>0.15</v>
      </c>
      <c r="D295" s="17">
        <v>1000</v>
      </c>
      <c r="E295" s="17">
        <v>150</v>
      </c>
    </row>
    <row r="296" spans="1:5" x14ac:dyDescent="0.35">
      <c r="A296" s="13" t="s">
        <v>232</v>
      </c>
      <c r="B296" s="13" t="s">
        <v>125</v>
      </c>
      <c r="C296" s="13">
        <v>9.5500000000000007</v>
      </c>
      <c r="D296" s="17">
        <v>800</v>
      </c>
      <c r="E296" s="17">
        <v>7640</v>
      </c>
    </row>
    <row r="297" spans="1:5" x14ac:dyDescent="0.35">
      <c r="A297" s="13" t="s">
        <v>262</v>
      </c>
      <c r="B297" s="13" t="s">
        <v>26</v>
      </c>
      <c r="C297" s="13">
        <v>13.2</v>
      </c>
      <c r="D297" s="17">
        <v>1000</v>
      </c>
      <c r="E297" s="17">
        <v>13200</v>
      </c>
    </row>
    <row r="298" spans="1:5" x14ac:dyDescent="0.35">
      <c r="A298" s="13" t="s">
        <v>131</v>
      </c>
      <c r="B298" s="13" t="s">
        <v>26</v>
      </c>
      <c r="C298" s="13">
        <v>0.75</v>
      </c>
      <c r="D298" s="17">
        <v>1000</v>
      </c>
      <c r="E298" s="17">
        <v>750</v>
      </c>
    </row>
    <row r="299" spans="1:5" x14ac:dyDescent="0.35">
      <c r="A299" s="13" t="s">
        <v>131</v>
      </c>
      <c r="B299" s="13" t="s">
        <v>94</v>
      </c>
      <c r="C299" s="13">
        <v>0.55000000000000004</v>
      </c>
      <c r="D299" s="17">
        <v>2800</v>
      </c>
      <c r="E299" s="17">
        <v>1540</v>
      </c>
    </row>
    <row r="300" spans="1:5" x14ac:dyDescent="0.35">
      <c r="A300" s="13" t="s">
        <v>131</v>
      </c>
      <c r="B300" s="13" t="s">
        <v>60</v>
      </c>
      <c r="C300" s="13">
        <v>0.35</v>
      </c>
      <c r="D300" s="17">
        <v>2500</v>
      </c>
      <c r="E300" s="17">
        <v>875</v>
      </c>
    </row>
    <row r="301" spans="1:5" x14ac:dyDescent="0.35">
      <c r="A301" s="13" t="s">
        <v>131</v>
      </c>
      <c r="B301" s="13" t="s">
        <v>25</v>
      </c>
      <c r="C301" s="13">
        <v>1</v>
      </c>
      <c r="D301" s="17">
        <v>1000</v>
      </c>
      <c r="E301" s="17">
        <v>1000</v>
      </c>
    </row>
    <row r="302" spans="1:5" x14ac:dyDescent="0.35">
      <c r="A302" s="13" t="s">
        <v>131</v>
      </c>
      <c r="B302" s="13" t="s">
        <v>126</v>
      </c>
      <c r="C302" s="13">
        <v>0.35</v>
      </c>
      <c r="D302" s="17">
        <v>1800</v>
      </c>
      <c r="E302" s="17">
        <v>630</v>
      </c>
    </row>
    <row r="303" spans="1:5" x14ac:dyDescent="0.35">
      <c r="A303" s="13" t="s">
        <v>131</v>
      </c>
      <c r="B303" s="13" t="s">
        <v>53</v>
      </c>
      <c r="C303" s="13">
        <v>0.5</v>
      </c>
      <c r="D303" s="17">
        <v>300</v>
      </c>
      <c r="E303" s="17">
        <v>150</v>
      </c>
    </row>
    <row r="304" spans="1:5" x14ac:dyDescent="0.35">
      <c r="A304" s="13" t="s">
        <v>131</v>
      </c>
      <c r="B304" s="13" t="s">
        <v>125</v>
      </c>
      <c r="C304" s="13">
        <v>43.3</v>
      </c>
      <c r="D304" s="17">
        <v>800</v>
      </c>
      <c r="E304" s="17">
        <v>34640</v>
      </c>
    </row>
    <row r="305" spans="1:5" x14ac:dyDescent="0.35">
      <c r="A305" s="13" t="s">
        <v>243</v>
      </c>
      <c r="B305" s="13" t="s">
        <v>44</v>
      </c>
      <c r="C305" s="13">
        <v>1.4</v>
      </c>
      <c r="D305" s="17">
        <v>500</v>
      </c>
      <c r="E305" s="17">
        <v>700</v>
      </c>
    </row>
    <row r="306" spans="1:5" x14ac:dyDescent="0.35">
      <c r="A306" s="13" t="s">
        <v>243</v>
      </c>
      <c r="B306" s="13" t="s">
        <v>25</v>
      </c>
      <c r="C306" s="13">
        <v>3.65</v>
      </c>
      <c r="D306" s="17">
        <v>1000</v>
      </c>
      <c r="E306" s="17">
        <v>3650</v>
      </c>
    </row>
    <row r="307" spans="1:5" x14ac:dyDescent="0.35">
      <c r="A307" s="13" t="s">
        <v>243</v>
      </c>
      <c r="B307" s="13" t="s">
        <v>41</v>
      </c>
      <c r="C307" s="13">
        <v>6.45</v>
      </c>
      <c r="D307" s="17">
        <v>1000</v>
      </c>
      <c r="E307" s="17">
        <v>6450</v>
      </c>
    </row>
    <row r="308" spans="1:5" x14ac:dyDescent="0.35">
      <c r="A308" s="13" t="s">
        <v>245</v>
      </c>
      <c r="B308" s="13" t="s">
        <v>46</v>
      </c>
      <c r="C308" s="13">
        <v>1.45</v>
      </c>
      <c r="D308" s="17">
        <v>2700</v>
      </c>
      <c r="E308" s="17">
        <v>3915</v>
      </c>
    </row>
    <row r="309" spans="1:5" x14ac:dyDescent="0.35">
      <c r="A309" s="13" t="s">
        <v>119</v>
      </c>
      <c r="B309" s="13" t="s">
        <v>53</v>
      </c>
      <c r="C309" s="13">
        <v>1.75</v>
      </c>
      <c r="D309" s="17">
        <v>300</v>
      </c>
      <c r="E309" s="17">
        <v>525</v>
      </c>
    </row>
    <row r="310" spans="1:5" x14ac:dyDescent="0.35">
      <c r="A310" s="13" t="s">
        <v>119</v>
      </c>
      <c r="B310" s="13" t="s">
        <v>26</v>
      </c>
      <c r="C310" s="13">
        <v>2.2000000000000002</v>
      </c>
      <c r="D310" s="17">
        <v>1000</v>
      </c>
      <c r="E310" s="17">
        <v>2200</v>
      </c>
    </row>
    <row r="311" spans="1:5" x14ac:dyDescent="0.35">
      <c r="A311" s="13" t="s">
        <v>166</v>
      </c>
      <c r="B311" s="13" t="s">
        <v>41</v>
      </c>
      <c r="C311" s="13">
        <v>1.1000000000000001</v>
      </c>
      <c r="D311" s="17">
        <v>1000</v>
      </c>
      <c r="E311" s="17">
        <v>1100</v>
      </c>
    </row>
    <row r="312" spans="1:5" x14ac:dyDescent="0.35">
      <c r="A312" s="13" t="s">
        <v>166</v>
      </c>
      <c r="B312" s="13" t="s">
        <v>51</v>
      </c>
      <c r="C312" s="13">
        <v>1.05</v>
      </c>
      <c r="D312" s="17">
        <v>500</v>
      </c>
      <c r="E312" s="17">
        <v>525</v>
      </c>
    </row>
    <row r="313" spans="1:5" x14ac:dyDescent="0.35">
      <c r="A313" s="13" t="s">
        <v>166</v>
      </c>
      <c r="B313" s="13" t="s">
        <v>26</v>
      </c>
      <c r="C313" s="13">
        <v>1.6</v>
      </c>
      <c r="D313" s="17">
        <v>1000</v>
      </c>
      <c r="E313" s="17">
        <v>1600</v>
      </c>
    </row>
    <row r="314" spans="1:5" x14ac:dyDescent="0.35">
      <c r="A314" s="13" t="s">
        <v>166</v>
      </c>
      <c r="B314" s="13" t="s">
        <v>13</v>
      </c>
      <c r="C314" s="13">
        <v>0.85</v>
      </c>
      <c r="D314" s="17">
        <v>500</v>
      </c>
      <c r="E314" s="17">
        <v>425</v>
      </c>
    </row>
    <row r="315" spans="1:5" x14ac:dyDescent="0.35">
      <c r="A315" s="13" t="s">
        <v>166</v>
      </c>
      <c r="B315" s="13" t="s">
        <v>53</v>
      </c>
      <c r="C315" s="13">
        <v>5</v>
      </c>
      <c r="D315" s="17">
        <v>300</v>
      </c>
      <c r="E315" s="17">
        <v>1500</v>
      </c>
    </row>
    <row r="316" spans="1:5" x14ac:dyDescent="0.35">
      <c r="A316" s="13" t="s">
        <v>217</v>
      </c>
      <c r="B316" s="13" t="s">
        <v>25</v>
      </c>
      <c r="C316" s="13">
        <v>6</v>
      </c>
      <c r="D316" s="17">
        <v>1000</v>
      </c>
      <c r="E316" s="17">
        <v>6000</v>
      </c>
    </row>
    <row r="317" spans="1:5" x14ac:dyDescent="0.35">
      <c r="A317" s="13" t="s">
        <v>217</v>
      </c>
      <c r="B317" s="13" t="s">
        <v>18</v>
      </c>
      <c r="C317" s="13">
        <v>1.75</v>
      </c>
      <c r="D317" s="17">
        <v>150</v>
      </c>
      <c r="E317" s="17">
        <v>263</v>
      </c>
    </row>
    <row r="318" spans="1:5" x14ac:dyDescent="0.35">
      <c r="A318" s="13" t="s">
        <v>217</v>
      </c>
      <c r="B318" s="13" t="s">
        <v>51</v>
      </c>
      <c r="C318" s="13">
        <v>1.35</v>
      </c>
      <c r="D318" s="17">
        <v>500</v>
      </c>
      <c r="E318" s="17">
        <v>675</v>
      </c>
    </row>
    <row r="319" spans="1:5" x14ac:dyDescent="0.35">
      <c r="A319" s="13" t="s">
        <v>217</v>
      </c>
      <c r="B319" s="13" t="s">
        <v>29</v>
      </c>
      <c r="C319" s="13">
        <v>0.7</v>
      </c>
      <c r="D319" s="17">
        <v>1600</v>
      </c>
      <c r="E319" s="17">
        <v>1120</v>
      </c>
    </row>
    <row r="320" spans="1:5" x14ac:dyDescent="0.35">
      <c r="A320" s="13" t="s">
        <v>217</v>
      </c>
      <c r="B320" s="13" t="s">
        <v>126</v>
      </c>
      <c r="C320" s="13">
        <v>0.35</v>
      </c>
      <c r="D320" s="17">
        <v>1800</v>
      </c>
      <c r="E320" s="17">
        <v>630</v>
      </c>
    </row>
    <row r="321" spans="1:5" x14ac:dyDescent="0.35">
      <c r="A321" s="13" t="s">
        <v>217</v>
      </c>
      <c r="B321" s="13" t="s">
        <v>15</v>
      </c>
      <c r="C321" s="13">
        <v>2.35</v>
      </c>
      <c r="D321" s="17">
        <v>2500</v>
      </c>
      <c r="E321" s="17">
        <v>5875</v>
      </c>
    </row>
    <row r="322" spans="1:5" x14ac:dyDescent="0.35">
      <c r="A322" s="13" t="s">
        <v>217</v>
      </c>
      <c r="B322" s="13" t="s">
        <v>25</v>
      </c>
      <c r="C322" s="13">
        <v>3.7</v>
      </c>
      <c r="D322" s="17">
        <v>1000</v>
      </c>
      <c r="E322" s="17">
        <v>3700</v>
      </c>
    </row>
    <row r="323" spans="1:5" x14ac:dyDescent="0.35">
      <c r="A323" s="13" t="s">
        <v>217</v>
      </c>
      <c r="B323" s="13" t="s">
        <v>39</v>
      </c>
      <c r="C323" s="13">
        <v>2.25</v>
      </c>
      <c r="D323" s="17">
        <v>1500</v>
      </c>
      <c r="E323" s="17">
        <v>3375</v>
      </c>
    </row>
    <row r="324" spans="1:5" x14ac:dyDescent="0.35">
      <c r="A324" s="13" t="s">
        <v>217</v>
      </c>
      <c r="B324" s="13" t="s">
        <v>41</v>
      </c>
      <c r="C324" s="13">
        <v>2.15</v>
      </c>
      <c r="D324" s="17">
        <v>1000</v>
      </c>
      <c r="E324" s="17">
        <v>2150</v>
      </c>
    </row>
    <row r="325" spans="1:5" x14ac:dyDescent="0.35">
      <c r="A325" s="13" t="s">
        <v>217</v>
      </c>
      <c r="B325" s="13" t="s">
        <v>61</v>
      </c>
      <c r="C325" s="13">
        <v>0.15</v>
      </c>
      <c r="D325" s="17">
        <v>3500</v>
      </c>
      <c r="E325" s="17">
        <v>525</v>
      </c>
    </row>
    <row r="326" spans="1:5" x14ac:dyDescent="0.35">
      <c r="A326" s="13" t="s">
        <v>217</v>
      </c>
      <c r="B326" s="13" t="s">
        <v>60</v>
      </c>
      <c r="C326" s="13">
        <v>0.45</v>
      </c>
      <c r="D326" s="17">
        <v>2500</v>
      </c>
      <c r="E326" s="17">
        <v>1125</v>
      </c>
    </row>
    <row r="327" spans="1:5" x14ac:dyDescent="0.35">
      <c r="A327" s="13" t="s">
        <v>217</v>
      </c>
      <c r="B327" s="13" t="s">
        <v>94</v>
      </c>
      <c r="C327" s="13">
        <v>4.4000000000000004</v>
      </c>
      <c r="D327" s="17">
        <v>2800</v>
      </c>
      <c r="E327" s="17">
        <v>12320</v>
      </c>
    </row>
    <row r="328" spans="1:5" x14ac:dyDescent="0.35">
      <c r="A328" s="13" t="s">
        <v>217</v>
      </c>
      <c r="B328" s="13" t="s">
        <v>53</v>
      </c>
      <c r="C328" s="13">
        <v>1.65</v>
      </c>
      <c r="D328" s="17">
        <v>300</v>
      </c>
      <c r="E328" s="17">
        <v>495</v>
      </c>
    </row>
    <row r="329" spans="1:5" x14ac:dyDescent="0.35">
      <c r="A329" s="13" t="s">
        <v>217</v>
      </c>
      <c r="B329" s="13" t="s">
        <v>13</v>
      </c>
      <c r="C329" s="13">
        <v>0.9</v>
      </c>
      <c r="D329" s="17">
        <v>500</v>
      </c>
      <c r="E329" s="17">
        <v>450</v>
      </c>
    </row>
    <row r="330" spans="1:5" x14ac:dyDescent="0.35">
      <c r="A330" s="13" t="s">
        <v>217</v>
      </c>
      <c r="B330" s="13" t="s">
        <v>266</v>
      </c>
      <c r="C330" s="13">
        <v>10.35</v>
      </c>
      <c r="D330" s="17">
        <v>1000</v>
      </c>
      <c r="E330" s="17">
        <v>10350</v>
      </c>
    </row>
    <row r="331" spans="1:5" x14ac:dyDescent="0.35">
      <c r="A331" s="13" t="s">
        <v>186</v>
      </c>
      <c r="B331" s="13" t="s">
        <v>18</v>
      </c>
      <c r="C331" s="13">
        <v>3.85</v>
      </c>
      <c r="D331" s="17">
        <v>150</v>
      </c>
      <c r="E331" s="17">
        <v>578</v>
      </c>
    </row>
    <row r="332" spans="1:5" x14ac:dyDescent="0.35">
      <c r="A332" s="13" t="s">
        <v>186</v>
      </c>
      <c r="B332" s="13" t="s">
        <v>15</v>
      </c>
      <c r="C332" s="13">
        <v>15.35</v>
      </c>
      <c r="D332" s="17">
        <v>2500</v>
      </c>
      <c r="E332" s="17">
        <v>38375</v>
      </c>
    </row>
    <row r="333" spans="1:5" x14ac:dyDescent="0.35">
      <c r="A333" s="13" t="s">
        <v>186</v>
      </c>
      <c r="B333" s="13" t="s">
        <v>126</v>
      </c>
      <c r="C333" s="13">
        <v>8.1</v>
      </c>
      <c r="D333" s="17">
        <v>1800</v>
      </c>
      <c r="E333" s="17">
        <v>14580</v>
      </c>
    </row>
    <row r="334" spans="1:5" x14ac:dyDescent="0.35">
      <c r="A334" s="13" t="s">
        <v>186</v>
      </c>
      <c r="B334" s="13" t="s">
        <v>41</v>
      </c>
      <c r="C334" s="13">
        <v>0.45</v>
      </c>
      <c r="D334" s="17">
        <v>1000</v>
      </c>
      <c r="E334" s="17">
        <v>450</v>
      </c>
    </row>
    <row r="335" spans="1:5" x14ac:dyDescent="0.35">
      <c r="A335" s="13" t="s">
        <v>186</v>
      </c>
      <c r="B335" s="13" t="s">
        <v>25</v>
      </c>
      <c r="C335" s="13">
        <v>11.8</v>
      </c>
      <c r="D335" s="17">
        <v>1000</v>
      </c>
      <c r="E335" s="17">
        <v>11800</v>
      </c>
    </row>
    <row r="336" spans="1:5" x14ac:dyDescent="0.35">
      <c r="A336" s="13" t="s">
        <v>228</v>
      </c>
      <c r="B336" s="13" t="s">
        <v>25</v>
      </c>
      <c r="C336" s="13">
        <v>2.85</v>
      </c>
      <c r="D336" s="17">
        <v>1000</v>
      </c>
      <c r="E336" s="17">
        <v>2850</v>
      </c>
    </row>
    <row r="337" spans="1:5" x14ac:dyDescent="0.35">
      <c r="A337" s="13" t="s">
        <v>228</v>
      </c>
      <c r="B337" s="13" t="s">
        <v>94</v>
      </c>
      <c r="C337" s="13">
        <v>2.85</v>
      </c>
      <c r="D337" s="17">
        <v>2800</v>
      </c>
      <c r="E337" s="17">
        <v>7980</v>
      </c>
    </row>
    <row r="338" spans="1:5" x14ac:dyDescent="0.35">
      <c r="A338" s="13" t="s">
        <v>228</v>
      </c>
      <c r="B338" s="13" t="s">
        <v>60</v>
      </c>
      <c r="C338" s="13">
        <v>0.5</v>
      </c>
      <c r="D338" s="17">
        <v>2500</v>
      </c>
      <c r="E338" s="17">
        <v>1250</v>
      </c>
    </row>
    <row r="339" spans="1:5" x14ac:dyDescent="0.35">
      <c r="A339" s="13" t="s">
        <v>228</v>
      </c>
      <c r="B339" s="13" t="s">
        <v>53</v>
      </c>
      <c r="C339" s="13">
        <v>1.2</v>
      </c>
      <c r="D339" s="17">
        <v>300</v>
      </c>
      <c r="E339" s="17">
        <v>360</v>
      </c>
    </row>
    <row r="340" spans="1:5" x14ac:dyDescent="0.35">
      <c r="A340" s="13" t="s">
        <v>228</v>
      </c>
      <c r="B340" s="13" t="s">
        <v>13</v>
      </c>
      <c r="C340" s="13">
        <v>0.55000000000000004</v>
      </c>
      <c r="D340" s="17">
        <v>500</v>
      </c>
      <c r="E340" s="17">
        <v>275</v>
      </c>
    </row>
    <row r="341" spans="1:5" x14ac:dyDescent="0.35">
      <c r="A341" s="13" t="s">
        <v>228</v>
      </c>
      <c r="B341" s="13" t="s">
        <v>100</v>
      </c>
      <c r="C341" s="13">
        <v>1.8</v>
      </c>
      <c r="D341" s="17">
        <v>1400</v>
      </c>
      <c r="E341" s="17">
        <v>2520</v>
      </c>
    </row>
    <row r="342" spans="1:5" x14ac:dyDescent="0.35">
      <c r="A342" s="13" t="s">
        <v>228</v>
      </c>
      <c r="B342" s="13" t="s">
        <v>51</v>
      </c>
      <c r="C342" s="13">
        <v>1.4</v>
      </c>
      <c r="D342" s="17">
        <v>500</v>
      </c>
      <c r="E342" s="17">
        <v>700</v>
      </c>
    </row>
    <row r="343" spans="1:5" x14ac:dyDescent="0.35">
      <c r="A343" s="13" t="s">
        <v>305</v>
      </c>
      <c r="B343" s="13" t="s">
        <v>53</v>
      </c>
      <c r="C343" s="13">
        <v>1</v>
      </c>
      <c r="D343" s="17">
        <v>300</v>
      </c>
      <c r="E343" s="17">
        <v>300</v>
      </c>
    </row>
    <row r="344" spans="1:5" x14ac:dyDescent="0.35">
      <c r="A344" s="13" t="s">
        <v>227</v>
      </c>
      <c r="B344" s="13" t="s">
        <v>13</v>
      </c>
      <c r="C344" s="13">
        <v>0.2</v>
      </c>
      <c r="D344" s="17">
        <v>500</v>
      </c>
      <c r="E344" s="17">
        <v>100</v>
      </c>
    </row>
    <row r="345" spans="1:5" x14ac:dyDescent="0.35">
      <c r="A345" s="13" t="s">
        <v>227</v>
      </c>
      <c r="B345" s="13" t="s">
        <v>60</v>
      </c>
      <c r="C345" s="13">
        <v>0.3</v>
      </c>
      <c r="D345" s="17">
        <v>2500</v>
      </c>
      <c r="E345" s="17">
        <v>750</v>
      </c>
    </row>
    <row r="346" spans="1:5" x14ac:dyDescent="0.35">
      <c r="A346" s="13" t="s">
        <v>227</v>
      </c>
      <c r="B346" s="13" t="s">
        <v>18</v>
      </c>
      <c r="C346" s="13">
        <v>1</v>
      </c>
      <c r="D346" s="17">
        <v>150</v>
      </c>
      <c r="E346" s="17">
        <v>150</v>
      </c>
    </row>
    <row r="347" spans="1:5" x14ac:dyDescent="0.35">
      <c r="A347" s="13" t="s">
        <v>227</v>
      </c>
      <c r="B347" s="13" t="s">
        <v>94</v>
      </c>
      <c r="C347" s="13">
        <v>1.7</v>
      </c>
      <c r="D347" s="17">
        <v>2800</v>
      </c>
      <c r="E347" s="17">
        <v>4760</v>
      </c>
    </row>
    <row r="348" spans="1:5" x14ac:dyDescent="0.35">
      <c r="A348" s="13" t="s">
        <v>227</v>
      </c>
      <c r="B348" s="13" t="s">
        <v>39</v>
      </c>
      <c r="C348" s="13">
        <v>0.65</v>
      </c>
      <c r="D348" s="17">
        <v>1500</v>
      </c>
      <c r="E348" s="17">
        <v>975</v>
      </c>
    </row>
    <row r="349" spans="1:5" x14ac:dyDescent="0.35">
      <c r="A349" s="13" t="s">
        <v>227</v>
      </c>
      <c r="B349" s="13" t="s">
        <v>25</v>
      </c>
      <c r="C349" s="13">
        <v>3.75</v>
      </c>
      <c r="D349" s="17">
        <v>1000</v>
      </c>
      <c r="E349" s="17">
        <v>3750</v>
      </c>
    </row>
    <row r="350" spans="1:5" x14ac:dyDescent="0.35">
      <c r="A350" s="13" t="s">
        <v>227</v>
      </c>
      <c r="B350" s="13" t="s">
        <v>41</v>
      </c>
      <c r="C350" s="13">
        <v>2.1</v>
      </c>
      <c r="D350" s="17">
        <v>1000</v>
      </c>
      <c r="E350" s="17">
        <v>2100</v>
      </c>
    </row>
    <row r="351" spans="1:5" x14ac:dyDescent="0.35">
      <c r="A351" s="13" t="s">
        <v>121</v>
      </c>
      <c r="B351" s="13" t="s">
        <v>25</v>
      </c>
      <c r="C351" s="13">
        <v>0.15</v>
      </c>
      <c r="D351" s="17">
        <v>1000</v>
      </c>
      <c r="E351" s="17">
        <v>150</v>
      </c>
    </row>
    <row r="352" spans="1:5" x14ac:dyDescent="0.35">
      <c r="A352" s="13" t="s">
        <v>121</v>
      </c>
      <c r="B352" s="13" t="s">
        <v>39</v>
      </c>
      <c r="C352" s="13">
        <v>0.3</v>
      </c>
      <c r="D352" s="17">
        <v>1500</v>
      </c>
      <c r="E352" s="17">
        <v>450</v>
      </c>
    </row>
    <row r="353" spans="1:5" x14ac:dyDescent="0.35">
      <c r="A353" s="13" t="s">
        <v>121</v>
      </c>
      <c r="B353" s="13" t="s">
        <v>94</v>
      </c>
      <c r="C353" s="13">
        <v>1.2</v>
      </c>
      <c r="D353" s="17">
        <v>2800</v>
      </c>
      <c r="E353" s="17">
        <v>3360</v>
      </c>
    </row>
    <row r="354" spans="1:5" x14ac:dyDescent="0.35">
      <c r="A354" s="13" t="s">
        <v>121</v>
      </c>
      <c r="B354" s="13" t="s">
        <v>41</v>
      </c>
      <c r="C354" s="13">
        <v>7</v>
      </c>
      <c r="D354" s="17">
        <v>1000</v>
      </c>
      <c r="E354" s="17">
        <v>7000</v>
      </c>
    </row>
    <row r="355" spans="1:5" x14ac:dyDescent="0.35">
      <c r="A355" s="13" t="s">
        <v>294</v>
      </c>
      <c r="B355" s="13" t="s">
        <v>18</v>
      </c>
      <c r="C355" s="13">
        <v>0.3</v>
      </c>
      <c r="D355" s="17">
        <v>150</v>
      </c>
      <c r="E355" s="17">
        <v>45</v>
      </c>
    </row>
    <row r="356" spans="1:5" x14ac:dyDescent="0.35">
      <c r="A356" s="13" t="s">
        <v>294</v>
      </c>
      <c r="B356" s="13" t="s">
        <v>60</v>
      </c>
      <c r="C356" s="13">
        <v>0.1</v>
      </c>
      <c r="D356" s="17">
        <v>2500</v>
      </c>
      <c r="E356" s="17">
        <v>250</v>
      </c>
    </row>
    <row r="357" spans="1:5" x14ac:dyDescent="0.35">
      <c r="A357" s="13" t="s">
        <v>294</v>
      </c>
      <c r="B357" s="13" t="s">
        <v>26</v>
      </c>
      <c r="C357" s="13">
        <v>0.3</v>
      </c>
      <c r="D357" s="17">
        <v>1000</v>
      </c>
      <c r="E357" s="17">
        <v>300</v>
      </c>
    </row>
    <row r="358" spans="1:5" x14ac:dyDescent="0.35">
      <c r="A358" s="13" t="s">
        <v>294</v>
      </c>
      <c r="B358" s="13" t="s">
        <v>94</v>
      </c>
      <c r="C358" s="13">
        <v>0.55000000000000004</v>
      </c>
      <c r="D358" s="17">
        <v>2800</v>
      </c>
      <c r="E358" s="17">
        <v>1540</v>
      </c>
    </row>
    <row r="359" spans="1:5" x14ac:dyDescent="0.35">
      <c r="A359" s="13" t="s">
        <v>294</v>
      </c>
      <c r="B359" s="13" t="s">
        <v>25</v>
      </c>
      <c r="C359" s="13">
        <v>2.0499999999999998</v>
      </c>
      <c r="D359" s="17">
        <v>1000</v>
      </c>
      <c r="E359" s="17">
        <v>2050</v>
      </c>
    </row>
    <row r="360" spans="1:5" x14ac:dyDescent="0.35">
      <c r="A360" s="13" t="s">
        <v>294</v>
      </c>
      <c r="B360" s="13" t="s">
        <v>53</v>
      </c>
      <c r="C360" s="13">
        <v>0.8</v>
      </c>
      <c r="D360" s="17">
        <v>300</v>
      </c>
      <c r="E360" s="17">
        <v>240</v>
      </c>
    </row>
    <row r="361" spans="1:5" x14ac:dyDescent="0.35">
      <c r="A361" s="13" t="s">
        <v>294</v>
      </c>
      <c r="B361" s="13" t="s">
        <v>51</v>
      </c>
      <c r="C361" s="13">
        <v>2.9</v>
      </c>
      <c r="D361" s="17">
        <v>500</v>
      </c>
      <c r="E361" s="17">
        <v>1450</v>
      </c>
    </row>
    <row r="362" spans="1:5" x14ac:dyDescent="0.35">
      <c r="A362" s="13" t="s">
        <v>294</v>
      </c>
      <c r="B362" s="13" t="s">
        <v>41</v>
      </c>
      <c r="C362" s="13">
        <v>8.4499999999999993</v>
      </c>
      <c r="D362" s="17">
        <v>1000</v>
      </c>
      <c r="E362" s="17">
        <v>8450</v>
      </c>
    </row>
    <row r="363" spans="1:5" x14ac:dyDescent="0.35">
      <c r="A363" s="13" t="s">
        <v>122</v>
      </c>
      <c r="B363" s="13" t="s">
        <v>60</v>
      </c>
      <c r="C363" s="13">
        <v>0.2</v>
      </c>
      <c r="D363" s="17">
        <v>2500</v>
      </c>
      <c r="E363" s="17">
        <v>500</v>
      </c>
    </row>
    <row r="364" spans="1:5" x14ac:dyDescent="0.35">
      <c r="A364" s="13" t="s">
        <v>122</v>
      </c>
      <c r="B364" s="13" t="s">
        <v>41</v>
      </c>
      <c r="C364" s="13">
        <v>0.65</v>
      </c>
      <c r="D364" s="17">
        <v>1000</v>
      </c>
      <c r="E364" s="17">
        <v>650</v>
      </c>
    </row>
    <row r="365" spans="1:5" x14ac:dyDescent="0.35">
      <c r="A365" s="13" t="s">
        <v>122</v>
      </c>
      <c r="B365" s="13" t="s">
        <v>51</v>
      </c>
      <c r="C365" s="13">
        <v>3.65</v>
      </c>
      <c r="D365" s="17">
        <v>500</v>
      </c>
      <c r="E365" s="17">
        <v>1825</v>
      </c>
    </row>
    <row r="366" spans="1:5" x14ac:dyDescent="0.35">
      <c r="A366" s="13" t="s">
        <v>122</v>
      </c>
      <c r="B366" s="13" t="s">
        <v>25</v>
      </c>
      <c r="C366" s="13">
        <v>2.5</v>
      </c>
      <c r="D366" s="17">
        <v>1000</v>
      </c>
      <c r="E366" s="17">
        <v>2500</v>
      </c>
    </row>
    <row r="367" spans="1:5" x14ac:dyDescent="0.35">
      <c r="A367" s="13" t="s">
        <v>122</v>
      </c>
      <c r="B367" s="13" t="s">
        <v>39</v>
      </c>
      <c r="C367" s="13">
        <v>0.05</v>
      </c>
      <c r="D367" s="17">
        <v>1500</v>
      </c>
      <c r="E367" s="17">
        <v>75</v>
      </c>
    </row>
    <row r="368" spans="1:5" x14ac:dyDescent="0.35">
      <c r="A368" s="13" t="s">
        <v>122</v>
      </c>
      <c r="B368" s="13" t="s">
        <v>128</v>
      </c>
      <c r="C368" s="13">
        <v>0.1</v>
      </c>
      <c r="D368" s="17">
        <v>3500</v>
      </c>
      <c r="E368" s="17">
        <v>350</v>
      </c>
    </row>
    <row r="369" spans="1:5" x14ac:dyDescent="0.35">
      <c r="A369" s="13" t="s">
        <v>122</v>
      </c>
      <c r="B369" s="13" t="s">
        <v>53</v>
      </c>
      <c r="C369" s="13">
        <v>2.2000000000000002</v>
      </c>
      <c r="D369" s="17">
        <v>300</v>
      </c>
      <c r="E369" s="17">
        <v>660</v>
      </c>
    </row>
    <row r="370" spans="1:5" x14ac:dyDescent="0.35">
      <c r="A370" s="13" t="s">
        <v>122</v>
      </c>
      <c r="B370" s="13" t="s">
        <v>13</v>
      </c>
      <c r="C370" s="13">
        <v>0.85</v>
      </c>
      <c r="D370" s="17">
        <v>500</v>
      </c>
      <c r="E370" s="17">
        <v>425</v>
      </c>
    </row>
    <row r="371" spans="1:5" x14ac:dyDescent="0.35">
      <c r="A371" s="13" t="s">
        <v>122</v>
      </c>
      <c r="B371" s="13" t="s">
        <v>94</v>
      </c>
      <c r="C371" s="13">
        <v>2.0499999999999998</v>
      </c>
      <c r="D371" s="17">
        <v>2800</v>
      </c>
      <c r="E371" s="17">
        <v>5740</v>
      </c>
    </row>
    <row r="372" spans="1:5" x14ac:dyDescent="0.35">
      <c r="A372" s="13" t="s">
        <v>122</v>
      </c>
      <c r="B372" s="13" t="s">
        <v>126</v>
      </c>
      <c r="C372" s="13">
        <v>4.1500000000000004</v>
      </c>
      <c r="D372" s="17">
        <v>1800</v>
      </c>
      <c r="E372" s="17">
        <v>7470</v>
      </c>
    </row>
    <row r="373" spans="1:5" x14ac:dyDescent="0.35">
      <c r="A373" s="13" t="s">
        <v>122</v>
      </c>
      <c r="B373" s="13" t="s">
        <v>15</v>
      </c>
      <c r="C373" s="13">
        <v>0.3</v>
      </c>
      <c r="D373" s="17">
        <v>2500</v>
      </c>
      <c r="E373" s="17">
        <v>750</v>
      </c>
    </row>
    <row r="374" spans="1:5" x14ac:dyDescent="0.35">
      <c r="A374" s="13" t="s">
        <v>123</v>
      </c>
      <c r="B374" s="13" t="s">
        <v>13</v>
      </c>
      <c r="C374" s="13">
        <v>0.2</v>
      </c>
      <c r="D374" s="17">
        <v>500</v>
      </c>
      <c r="E374" s="17">
        <v>100</v>
      </c>
    </row>
    <row r="375" spans="1:5" x14ac:dyDescent="0.35">
      <c r="A375" s="13" t="s">
        <v>123</v>
      </c>
      <c r="B375" s="13" t="s">
        <v>25</v>
      </c>
      <c r="C375" s="13">
        <v>1.05</v>
      </c>
      <c r="D375" s="17">
        <v>1000</v>
      </c>
      <c r="E375" s="17">
        <v>1050</v>
      </c>
    </row>
    <row r="376" spans="1:5" x14ac:dyDescent="0.35">
      <c r="A376" s="13" t="s">
        <v>123</v>
      </c>
      <c r="B376" s="13" t="s">
        <v>51</v>
      </c>
      <c r="C376" s="13">
        <v>0.3</v>
      </c>
      <c r="D376" s="17">
        <v>500</v>
      </c>
      <c r="E376" s="17">
        <v>150</v>
      </c>
    </row>
    <row r="377" spans="1:5" x14ac:dyDescent="0.35">
      <c r="A377" s="13" t="s">
        <v>123</v>
      </c>
      <c r="B377" s="13" t="s">
        <v>39</v>
      </c>
      <c r="C377" s="13">
        <v>0.65</v>
      </c>
      <c r="D377" s="17">
        <v>1500</v>
      </c>
      <c r="E377" s="17">
        <v>975</v>
      </c>
    </row>
    <row r="378" spans="1:5" x14ac:dyDescent="0.35">
      <c r="A378" s="13" t="s">
        <v>123</v>
      </c>
      <c r="B378" s="13" t="s">
        <v>18</v>
      </c>
      <c r="C378" s="13">
        <v>0.9</v>
      </c>
      <c r="D378" s="17">
        <v>150</v>
      </c>
      <c r="E378" s="17">
        <v>135</v>
      </c>
    </row>
    <row r="379" spans="1:5" x14ac:dyDescent="0.35">
      <c r="A379" s="13" t="s">
        <v>123</v>
      </c>
      <c r="B379" s="13" t="s">
        <v>94</v>
      </c>
      <c r="C379" s="13">
        <v>0.2</v>
      </c>
      <c r="D379" s="17">
        <v>2800</v>
      </c>
      <c r="E379" s="17">
        <v>560</v>
      </c>
    </row>
    <row r="380" spans="1:5" x14ac:dyDescent="0.35">
      <c r="A380" s="13" t="s">
        <v>123</v>
      </c>
      <c r="B380" s="13" t="s">
        <v>53</v>
      </c>
      <c r="C380" s="13">
        <v>0.4</v>
      </c>
      <c r="D380" s="17">
        <v>300</v>
      </c>
      <c r="E380" s="17">
        <v>120</v>
      </c>
    </row>
    <row r="381" spans="1:5" x14ac:dyDescent="0.35">
      <c r="A381" s="13" t="s">
        <v>303</v>
      </c>
      <c r="B381" s="13" t="s">
        <v>53</v>
      </c>
      <c r="C381" s="13">
        <v>16</v>
      </c>
      <c r="D381" s="17">
        <v>300</v>
      </c>
      <c r="E381" s="17">
        <f>C381*D381</f>
        <v>4800</v>
      </c>
    </row>
    <row r="382" spans="1:5" x14ac:dyDescent="0.35">
      <c r="A382" s="13" t="s">
        <v>303</v>
      </c>
      <c r="B382" s="13" t="s">
        <v>13</v>
      </c>
      <c r="C382" s="13">
        <v>1.6</v>
      </c>
      <c r="D382" s="17">
        <v>300</v>
      </c>
      <c r="E382" s="17">
        <f>C382*D382</f>
        <v>480</v>
      </c>
    </row>
    <row r="383" spans="1:5" x14ac:dyDescent="0.35">
      <c r="A383" s="13" t="s">
        <v>303</v>
      </c>
      <c r="B383" s="13" t="s">
        <v>34</v>
      </c>
      <c r="C383" s="13">
        <v>46</v>
      </c>
      <c r="D383" s="17">
        <v>7000</v>
      </c>
      <c r="E383" s="17">
        <f>C383*D383</f>
        <v>322000</v>
      </c>
    </row>
    <row r="384" spans="1:5" x14ac:dyDescent="0.35">
      <c r="A384" s="14" t="s">
        <v>130</v>
      </c>
      <c r="B384" s="13" t="s">
        <v>53</v>
      </c>
      <c r="C384" s="13">
        <v>16.600000000000001</v>
      </c>
      <c r="D384" s="17">
        <v>300</v>
      </c>
      <c r="E384" s="17">
        <f>C384*D384</f>
        <v>4980</v>
      </c>
    </row>
    <row r="385" spans="1:5" x14ac:dyDescent="0.35">
      <c r="A385" s="13" t="s">
        <v>297</v>
      </c>
      <c r="B385" s="13" t="s">
        <v>18</v>
      </c>
      <c r="C385" s="13">
        <v>1.45</v>
      </c>
      <c r="D385" s="17">
        <v>150</v>
      </c>
      <c r="E385" s="17">
        <v>218</v>
      </c>
    </row>
    <row r="386" spans="1:5" x14ac:dyDescent="0.35">
      <c r="A386" s="13" t="s">
        <v>297</v>
      </c>
      <c r="B386" s="13" t="s">
        <v>20</v>
      </c>
      <c r="C386" s="13">
        <v>0.8</v>
      </c>
      <c r="D386" s="17">
        <v>600</v>
      </c>
      <c r="E386" s="17">
        <v>480</v>
      </c>
    </row>
    <row r="387" spans="1:5" x14ac:dyDescent="0.35">
      <c r="A387" s="13" t="s">
        <v>297</v>
      </c>
      <c r="B387" s="13" t="s">
        <v>17</v>
      </c>
      <c r="C387" s="13">
        <v>5.7</v>
      </c>
      <c r="D387" s="17">
        <v>80</v>
      </c>
      <c r="E387" s="17">
        <v>456</v>
      </c>
    </row>
    <row r="388" spans="1:5" x14ac:dyDescent="0.35">
      <c r="A388" s="13" t="s">
        <v>297</v>
      </c>
      <c r="B388" s="13" t="s">
        <v>25</v>
      </c>
      <c r="C388" s="13">
        <v>0.25</v>
      </c>
      <c r="D388" s="17">
        <v>1000</v>
      </c>
      <c r="E388" s="17">
        <v>250</v>
      </c>
    </row>
    <row r="389" spans="1:5" x14ac:dyDescent="0.35">
      <c r="A389" s="13" t="s">
        <v>297</v>
      </c>
      <c r="B389" s="13" t="s">
        <v>17</v>
      </c>
      <c r="C389" s="13">
        <v>2.2999999999999998</v>
      </c>
      <c r="D389" s="17">
        <v>80</v>
      </c>
      <c r="E389" s="17">
        <v>184</v>
      </c>
    </row>
    <row r="390" spans="1:5" x14ac:dyDescent="0.35">
      <c r="A390" s="13" t="s">
        <v>297</v>
      </c>
      <c r="B390" s="13" t="s">
        <v>25</v>
      </c>
      <c r="C390" s="13">
        <v>0.5</v>
      </c>
      <c r="D390" s="17">
        <v>1000</v>
      </c>
      <c r="E390" s="17">
        <v>500</v>
      </c>
    </row>
    <row r="391" spans="1:5" x14ac:dyDescent="0.35">
      <c r="A391" s="13" t="s">
        <v>297</v>
      </c>
      <c r="B391" s="13" t="s">
        <v>127</v>
      </c>
      <c r="C391" s="13">
        <v>0.25</v>
      </c>
      <c r="D391" s="17">
        <v>8000</v>
      </c>
      <c r="E391" s="17">
        <v>2000</v>
      </c>
    </row>
    <row r="392" spans="1:5" x14ac:dyDescent="0.35">
      <c r="A392" s="13" t="s">
        <v>297</v>
      </c>
      <c r="B392" s="13" t="s">
        <v>26</v>
      </c>
      <c r="C392" s="13">
        <v>1.1000000000000001</v>
      </c>
      <c r="D392" s="17">
        <v>1000</v>
      </c>
      <c r="E392" s="17">
        <v>1100</v>
      </c>
    </row>
    <row r="393" spans="1:5" x14ac:dyDescent="0.35">
      <c r="A393" s="13" t="s">
        <v>292</v>
      </c>
      <c r="B393" s="13" t="s">
        <v>22</v>
      </c>
      <c r="C393" s="13">
        <v>0.55000000000000004</v>
      </c>
      <c r="D393" s="17">
        <v>1600</v>
      </c>
      <c r="E393" s="17">
        <v>880</v>
      </c>
    </row>
    <row r="394" spans="1:5" x14ac:dyDescent="0.35">
      <c r="A394" s="13" t="s">
        <v>292</v>
      </c>
      <c r="B394" s="13" t="s">
        <v>128</v>
      </c>
      <c r="C394" s="13">
        <v>1.55</v>
      </c>
      <c r="D394" s="17">
        <v>3500</v>
      </c>
      <c r="E394" s="17">
        <v>5425</v>
      </c>
    </row>
    <row r="395" spans="1:5" x14ac:dyDescent="0.35">
      <c r="A395" s="60"/>
      <c r="C395" s="57">
        <f>SUM(C3:C394)</f>
        <v>825.68000000000006</v>
      </c>
      <c r="E395" s="11">
        <f>SUM(E3:E394)</f>
        <v>1336265</v>
      </c>
    </row>
  </sheetData>
  <autoFilter ref="A2:E2" xr:uid="{BD10EEE3-6183-4551-A97E-6A7AF3E143D8}">
    <sortState xmlns:xlrd2="http://schemas.microsoft.com/office/spreadsheetml/2017/richdata2" ref="A3:E390">
      <sortCondition ref="A2"/>
    </sortState>
  </autoFilter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1470-EA7A-40F7-86E0-6703903ACB22}">
  <dimension ref="A2:Z383"/>
  <sheetViews>
    <sheetView topLeftCell="H44" zoomScale="70" zoomScaleNormal="70" workbookViewId="0">
      <selection activeCell="B10" sqref="B10"/>
    </sheetView>
  </sheetViews>
  <sheetFormatPr defaultRowHeight="14.5" x14ac:dyDescent="0.35"/>
  <cols>
    <col min="1" max="1" width="8.7265625" style="30"/>
    <col min="2" max="2" width="21.36328125" bestFit="1" customWidth="1"/>
    <col min="3" max="3" width="8.7265625" style="1"/>
    <col min="4" max="4" width="25" bestFit="1" customWidth="1"/>
    <col min="5" max="5" width="9.54296875" bestFit="1" customWidth="1"/>
    <col min="7" max="7" width="17.453125" bestFit="1" customWidth="1"/>
    <col min="9" max="9" width="18.1796875" bestFit="1" customWidth="1"/>
    <col min="10" max="10" width="17.6328125" bestFit="1" customWidth="1"/>
    <col min="12" max="12" width="25" bestFit="1" customWidth="1"/>
    <col min="13" max="13" width="12.1796875" bestFit="1" customWidth="1"/>
    <col min="14" max="14" width="17.6328125" bestFit="1" customWidth="1"/>
    <col min="17" max="17" width="26.7265625" bestFit="1" customWidth="1"/>
    <col min="20" max="20" width="11.81640625" bestFit="1" customWidth="1"/>
    <col min="23" max="23" width="26.7265625" bestFit="1" customWidth="1"/>
    <col min="26" max="26" width="11.81640625" bestFit="1" customWidth="1"/>
  </cols>
  <sheetData>
    <row r="2" spans="1:26" x14ac:dyDescent="0.35">
      <c r="A2" s="21" t="s">
        <v>0</v>
      </c>
      <c r="B2" s="21" t="s">
        <v>139</v>
      </c>
      <c r="C2" s="21" t="s">
        <v>261</v>
      </c>
      <c r="D2" s="22" t="s">
        <v>64</v>
      </c>
      <c r="E2" s="23" t="s">
        <v>133</v>
      </c>
      <c r="F2" s="22" t="s">
        <v>65</v>
      </c>
      <c r="G2" s="23" t="s">
        <v>134</v>
      </c>
      <c r="I2" s="15" t="s">
        <v>85</v>
      </c>
      <c r="J2" t="s">
        <v>275</v>
      </c>
      <c r="L2" s="15" t="s">
        <v>85</v>
      </c>
      <c r="M2" t="s">
        <v>137</v>
      </c>
      <c r="N2" t="s">
        <v>275</v>
      </c>
      <c r="P2" s="20" t="s">
        <v>132</v>
      </c>
      <c r="S2" t="s">
        <v>277</v>
      </c>
      <c r="V2" s="20" t="s">
        <v>132</v>
      </c>
      <c r="Y2" t="s">
        <v>277</v>
      </c>
    </row>
    <row r="3" spans="1:26" x14ac:dyDescent="0.35">
      <c r="A3" s="30">
        <v>1</v>
      </c>
      <c r="B3" t="s">
        <v>205</v>
      </c>
      <c r="C3" s="30">
        <v>4</v>
      </c>
      <c r="D3" s="45" t="s">
        <v>41</v>
      </c>
      <c r="E3" s="17">
        <v>1000</v>
      </c>
      <c r="F3" s="22">
        <v>0.95</v>
      </c>
      <c r="G3" s="44">
        <f t="shared" ref="G3:G66" si="0">E3*F3</f>
        <v>950</v>
      </c>
      <c r="I3" s="14" t="s">
        <v>176</v>
      </c>
      <c r="J3" s="19">
        <v>8467.5</v>
      </c>
      <c r="L3" s="14" t="s">
        <v>13</v>
      </c>
      <c r="M3">
        <v>20.900000000000002</v>
      </c>
      <c r="N3" s="19">
        <v>4180</v>
      </c>
      <c r="P3" s="21" t="s">
        <v>0</v>
      </c>
      <c r="Q3" s="22" t="s">
        <v>64</v>
      </c>
      <c r="R3" s="23" t="s">
        <v>133</v>
      </c>
      <c r="S3" s="22" t="s">
        <v>65</v>
      </c>
      <c r="T3" s="23" t="s">
        <v>134</v>
      </c>
      <c r="V3" s="21" t="s">
        <v>0</v>
      </c>
      <c r="W3" s="22" t="s">
        <v>64</v>
      </c>
      <c r="X3" s="23" t="s">
        <v>133</v>
      </c>
      <c r="Y3" s="22" t="s">
        <v>65</v>
      </c>
      <c r="Z3" s="23" t="s">
        <v>134</v>
      </c>
    </row>
    <row r="4" spans="1:26" x14ac:dyDescent="0.35">
      <c r="A4" s="30">
        <v>1</v>
      </c>
      <c r="B4" t="s">
        <v>205</v>
      </c>
      <c r="C4" s="30"/>
      <c r="D4" s="13" t="s">
        <v>53</v>
      </c>
      <c r="E4" s="17">
        <v>300</v>
      </c>
      <c r="F4" s="22">
        <v>1.85</v>
      </c>
      <c r="G4" s="44">
        <f t="shared" si="0"/>
        <v>555</v>
      </c>
      <c r="I4" s="14" t="s">
        <v>86</v>
      </c>
      <c r="J4" s="19">
        <v>13817.5</v>
      </c>
      <c r="L4" s="14" t="s">
        <v>15</v>
      </c>
      <c r="M4">
        <v>16</v>
      </c>
      <c r="N4" s="19">
        <v>40000</v>
      </c>
      <c r="P4" s="22">
        <v>1</v>
      </c>
      <c r="Q4" s="24" t="s">
        <v>7</v>
      </c>
      <c r="R4" s="25">
        <f>VLOOKUP(Q4,KamiBox!$C$2:$F$58,4,0)</f>
        <v>200000</v>
      </c>
      <c r="S4" s="26">
        <f>SUMIF($D$3:$D$382,Q4,$F$3:$F$382)</f>
        <v>0</v>
      </c>
      <c r="T4" s="25">
        <f>R4*S4</f>
        <v>0</v>
      </c>
      <c r="V4" s="22">
        <v>1</v>
      </c>
      <c r="W4" s="24" t="s">
        <v>7</v>
      </c>
      <c r="X4" s="25">
        <f>VLOOKUP(W4,KamiBox!$C$2:$F$58,4,0)</f>
        <v>200000</v>
      </c>
      <c r="Y4" s="26"/>
      <c r="Z4" s="25">
        <f>X4*Y4</f>
        <v>0</v>
      </c>
    </row>
    <row r="5" spans="1:26" x14ac:dyDescent="0.35">
      <c r="A5" s="30">
        <v>1</v>
      </c>
      <c r="B5" t="s">
        <v>205</v>
      </c>
      <c r="C5" s="30"/>
      <c r="D5" s="13" t="s">
        <v>94</v>
      </c>
      <c r="E5" s="17">
        <v>2800</v>
      </c>
      <c r="F5" s="22">
        <v>0.2</v>
      </c>
      <c r="G5" s="44">
        <f t="shared" si="0"/>
        <v>560</v>
      </c>
      <c r="I5" s="14" t="s">
        <v>87</v>
      </c>
      <c r="J5" s="19">
        <v>3515</v>
      </c>
      <c r="L5" s="14" t="s">
        <v>18</v>
      </c>
      <c r="M5">
        <v>40.949999999999989</v>
      </c>
      <c r="N5" s="19">
        <v>6142.5</v>
      </c>
      <c r="P5" s="22">
        <v>2</v>
      </c>
      <c r="Q5" s="24" t="s">
        <v>9</v>
      </c>
      <c r="R5" s="25">
        <f>VLOOKUP(Q5,KamiBox!$C$2:$F$58,4,0)</f>
        <v>9000</v>
      </c>
      <c r="S5" s="26">
        <f>SUMIF($D$3:$D$382,Q5,$F$3:$F$382)</f>
        <v>0</v>
      </c>
      <c r="T5" s="25">
        <f t="shared" ref="T5:T47" si="1">R5*S5</f>
        <v>0</v>
      </c>
      <c r="V5" s="22">
        <v>2</v>
      </c>
      <c r="W5" s="24" t="s">
        <v>9</v>
      </c>
      <c r="X5" s="25">
        <f>VLOOKUP(W5,KamiBox!$C$2:$F$58,4,0)</f>
        <v>9000</v>
      </c>
      <c r="Y5" s="26"/>
      <c r="Z5" s="25">
        <f t="shared" ref="Z5:Z47" si="2">X5*Y5</f>
        <v>0</v>
      </c>
    </row>
    <row r="6" spans="1:26" x14ac:dyDescent="0.35">
      <c r="A6" s="30">
        <v>1</v>
      </c>
      <c r="B6" t="s">
        <v>205</v>
      </c>
      <c r="C6" s="30"/>
      <c r="D6" s="13" t="s">
        <v>18</v>
      </c>
      <c r="E6" s="17">
        <v>150</v>
      </c>
      <c r="F6" s="22">
        <v>0.55000000000000004</v>
      </c>
      <c r="G6" s="44">
        <f t="shared" si="0"/>
        <v>82.5</v>
      </c>
      <c r="I6" s="14" t="s">
        <v>88</v>
      </c>
      <c r="J6" s="19">
        <v>24055</v>
      </c>
      <c r="L6" s="14" t="s">
        <v>94</v>
      </c>
      <c r="M6">
        <v>78.499999999999986</v>
      </c>
      <c r="N6" s="19">
        <v>219800</v>
      </c>
      <c r="P6" s="22">
        <v>3</v>
      </c>
      <c r="Q6" t="s">
        <v>10</v>
      </c>
      <c r="R6" s="25">
        <f>VLOOKUP(Q6,KamiBox!$C$2:$F$58,4,0)</f>
        <v>4000</v>
      </c>
      <c r="S6" s="26">
        <f>SUMIF($D$3:$D$382,Q6,$F$3:$F$382)</f>
        <v>0</v>
      </c>
      <c r="T6" s="25">
        <f t="shared" si="1"/>
        <v>0</v>
      </c>
      <c r="V6" s="22">
        <v>3</v>
      </c>
      <c r="W6" t="s">
        <v>10</v>
      </c>
      <c r="X6" s="25">
        <f>VLOOKUP(W6,KamiBox!$C$2:$F$58,4,0)</f>
        <v>4000</v>
      </c>
      <c r="Y6" s="26"/>
      <c r="Z6" s="25">
        <f t="shared" si="2"/>
        <v>0</v>
      </c>
    </row>
    <row r="7" spans="1:26" x14ac:dyDescent="0.35">
      <c r="A7" s="30">
        <v>1</v>
      </c>
      <c r="B7" t="s">
        <v>205</v>
      </c>
      <c r="C7" s="30"/>
      <c r="D7" s="13" t="s">
        <v>25</v>
      </c>
      <c r="E7" s="17">
        <v>1000</v>
      </c>
      <c r="F7" s="22">
        <f>1.3+1.35</f>
        <v>2.6500000000000004</v>
      </c>
      <c r="G7" s="44">
        <f t="shared" si="0"/>
        <v>2650.0000000000005</v>
      </c>
      <c r="I7" s="14" t="s">
        <v>89</v>
      </c>
      <c r="J7" s="19">
        <v>14960</v>
      </c>
      <c r="L7" s="14" t="s">
        <v>22</v>
      </c>
      <c r="M7">
        <v>10.050000000000002</v>
      </c>
      <c r="N7" s="19">
        <v>16080</v>
      </c>
      <c r="P7" s="22">
        <v>4</v>
      </c>
      <c r="Q7" s="24" t="s">
        <v>11</v>
      </c>
      <c r="R7" s="25">
        <f>VLOOKUP(Q7,KamiBox!$C$2:$F$58,4,0)</f>
        <v>10000</v>
      </c>
      <c r="S7" s="26">
        <f>SUMIF($D$3:$D$382,Q7,$F$3:$F$382)</f>
        <v>0.9</v>
      </c>
      <c r="T7" s="25">
        <f t="shared" si="1"/>
        <v>9000</v>
      </c>
      <c r="V7" s="22">
        <v>4</v>
      </c>
      <c r="W7" s="24" t="s">
        <v>11</v>
      </c>
      <c r="X7" s="25">
        <f>VLOOKUP(W7,KamiBox!$C$2:$F$58,4,0)</f>
        <v>10000</v>
      </c>
      <c r="Y7" s="26"/>
      <c r="Z7" s="25">
        <f t="shared" si="2"/>
        <v>0</v>
      </c>
    </row>
    <row r="8" spans="1:26" x14ac:dyDescent="0.35">
      <c r="A8" s="30">
        <v>1</v>
      </c>
      <c r="B8" t="s">
        <v>205</v>
      </c>
      <c r="C8" s="30"/>
      <c r="D8" s="13" t="s">
        <v>54</v>
      </c>
      <c r="E8" s="17">
        <v>800</v>
      </c>
      <c r="F8" s="22">
        <v>0.15</v>
      </c>
      <c r="G8" s="44">
        <f t="shared" si="0"/>
        <v>120</v>
      </c>
      <c r="I8" s="14" t="s">
        <v>90</v>
      </c>
      <c r="J8" s="19">
        <v>9270</v>
      </c>
      <c r="L8" s="14" t="s">
        <v>125</v>
      </c>
      <c r="M8">
        <v>22.15</v>
      </c>
      <c r="N8" s="19">
        <v>17720</v>
      </c>
      <c r="P8" s="22">
        <v>5</v>
      </c>
      <c r="Q8" s="24" t="s">
        <v>12</v>
      </c>
      <c r="R8" s="25">
        <f>VLOOKUP(Q8,KamiBox!$C$2:$F$58,4,0)</f>
        <v>1000</v>
      </c>
      <c r="S8" s="26">
        <f>SUMIF($D$3:$D$382,Q8,$F$3:$F$382)</f>
        <v>0</v>
      </c>
      <c r="T8" s="25">
        <f t="shared" si="1"/>
        <v>0</v>
      </c>
      <c r="V8" s="22">
        <v>5</v>
      </c>
      <c r="W8" s="24" t="s">
        <v>12</v>
      </c>
      <c r="X8" s="25">
        <f>VLOOKUP(W8,KamiBox!$C$2:$F$58,4,0)</f>
        <v>1000</v>
      </c>
      <c r="Y8" s="26"/>
      <c r="Z8" s="25">
        <f t="shared" si="2"/>
        <v>0</v>
      </c>
    </row>
    <row r="9" spans="1:26" x14ac:dyDescent="0.35">
      <c r="A9" s="30">
        <v>1</v>
      </c>
      <c r="B9" t="s">
        <v>205</v>
      </c>
      <c r="C9" s="30"/>
      <c r="D9" s="13" t="s">
        <v>13</v>
      </c>
      <c r="E9" s="17">
        <v>200</v>
      </c>
      <c r="F9" s="22">
        <v>0.65</v>
      </c>
      <c r="G9" s="44">
        <f t="shared" si="0"/>
        <v>130</v>
      </c>
      <c r="I9" s="14" t="s">
        <v>91</v>
      </c>
      <c r="J9" s="19">
        <v>32012.5</v>
      </c>
      <c r="L9" s="14" t="s">
        <v>25</v>
      </c>
      <c r="M9">
        <v>75.2</v>
      </c>
      <c r="N9" s="19">
        <v>75200</v>
      </c>
      <c r="P9" s="22">
        <v>6</v>
      </c>
      <c r="Q9" s="24" t="s">
        <v>13</v>
      </c>
      <c r="R9" s="25">
        <f>VLOOKUP(Q9,KamiBox!$C$2:$F$58,4,0)</f>
        <v>1500</v>
      </c>
      <c r="S9" s="26">
        <v>0</v>
      </c>
      <c r="T9" s="25">
        <f t="shared" si="1"/>
        <v>0</v>
      </c>
      <c r="V9" s="22">
        <v>6</v>
      </c>
      <c r="W9" s="24" t="s">
        <v>13</v>
      </c>
      <c r="X9" s="25">
        <f>VLOOKUP(W9,KamiBox!$C$2:$F$58,4,0)</f>
        <v>1500</v>
      </c>
      <c r="Y9" s="26">
        <v>17.399999999999999</v>
      </c>
      <c r="Z9" s="25">
        <f t="shared" si="2"/>
        <v>26099.999999999996</v>
      </c>
    </row>
    <row r="10" spans="1:26" x14ac:dyDescent="0.35">
      <c r="A10" s="30">
        <v>1</v>
      </c>
      <c r="B10" t="s">
        <v>205</v>
      </c>
      <c r="C10" s="30"/>
      <c r="D10" s="13" t="s">
        <v>15</v>
      </c>
      <c r="E10" s="17">
        <v>2500</v>
      </c>
      <c r="F10" s="22">
        <f>0.45+0.7</f>
        <v>1.1499999999999999</v>
      </c>
      <c r="G10" s="44">
        <f t="shared" si="0"/>
        <v>2875</v>
      </c>
      <c r="I10" s="14" t="s">
        <v>84</v>
      </c>
      <c r="J10" s="19">
        <v>23027.5</v>
      </c>
      <c r="L10" s="14" t="s">
        <v>26</v>
      </c>
      <c r="M10">
        <v>53.599999999999994</v>
      </c>
      <c r="N10" s="19">
        <v>53600</v>
      </c>
      <c r="P10" s="22">
        <v>7</v>
      </c>
      <c r="Q10" s="24" t="s">
        <v>15</v>
      </c>
      <c r="R10" s="25">
        <f>VLOOKUP(Q10,KamiBox!$C$2:$F$58,4,0)</f>
        <v>4000</v>
      </c>
      <c r="S10" s="26">
        <v>0</v>
      </c>
      <c r="T10" s="25">
        <f t="shared" si="1"/>
        <v>0</v>
      </c>
      <c r="V10" s="22">
        <v>7</v>
      </c>
      <c r="W10" s="24" t="s">
        <v>15</v>
      </c>
      <c r="X10" s="25">
        <f>VLOOKUP(W10,KamiBox!$C$2:$F$58,4,0)</f>
        <v>4000</v>
      </c>
      <c r="Y10" s="26">
        <f>SUMIF($D$3:$D$382,W10,$F$3:$F$382)</f>
        <v>16</v>
      </c>
      <c r="Z10" s="25">
        <v>65000</v>
      </c>
    </row>
    <row r="11" spans="1:26" x14ac:dyDescent="0.35">
      <c r="A11" s="30">
        <v>1</v>
      </c>
      <c r="B11" t="s">
        <v>205</v>
      </c>
      <c r="C11" s="30"/>
      <c r="D11" s="13" t="s">
        <v>26</v>
      </c>
      <c r="E11" s="17">
        <v>1000</v>
      </c>
      <c r="F11" s="22">
        <v>0.3</v>
      </c>
      <c r="G11" s="44">
        <f t="shared" si="0"/>
        <v>300</v>
      </c>
      <c r="I11" s="14" t="s">
        <v>95</v>
      </c>
      <c r="J11" s="19">
        <v>12870</v>
      </c>
      <c r="L11" s="14" t="s">
        <v>27</v>
      </c>
      <c r="M11">
        <v>1.4</v>
      </c>
      <c r="N11" s="19">
        <v>3500</v>
      </c>
      <c r="P11" s="22">
        <v>8</v>
      </c>
      <c r="Q11" s="24" t="s">
        <v>16</v>
      </c>
      <c r="R11" s="25">
        <f>VLOOKUP(Q11,KamiBox!$C$2:$F$58,4,0)</f>
        <v>400</v>
      </c>
      <c r="S11" s="26">
        <f>SUMIF($D$3:$D$382,Q11,$F$3:$F$382)</f>
        <v>0</v>
      </c>
      <c r="T11" s="25">
        <f t="shared" si="1"/>
        <v>0</v>
      </c>
      <c r="V11" s="22">
        <v>8</v>
      </c>
      <c r="W11" s="24" t="s">
        <v>16</v>
      </c>
      <c r="X11" s="25">
        <f>VLOOKUP(W11,KamiBox!$C$2:$F$58,4,0)</f>
        <v>400</v>
      </c>
      <c r="Y11" s="26"/>
      <c r="Z11" s="25">
        <f t="shared" si="2"/>
        <v>0</v>
      </c>
    </row>
    <row r="12" spans="1:26" x14ac:dyDescent="0.35">
      <c r="A12" s="30">
        <v>2</v>
      </c>
      <c r="B12" s="48" t="s">
        <v>91</v>
      </c>
      <c r="C12" s="1">
        <v>3</v>
      </c>
      <c r="D12" s="13" t="s">
        <v>25</v>
      </c>
      <c r="E12" s="17">
        <v>1000</v>
      </c>
      <c r="F12" s="43">
        <v>4.1500000000000004</v>
      </c>
      <c r="G12" s="39">
        <f t="shared" si="0"/>
        <v>4150</v>
      </c>
      <c r="H12" s="39"/>
      <c r="I12" s="14" t="s">
        <v>99</v>
      </c>
      <c r="J12" s="19">
        <v>1285</v>
      </c>
      <c r="L12" s="14" t="s">
        <v>29</v>
      </c>
      <c r="M12">
        <v>2.0500000000000003</v>
      </c>
      <c r="N12" s="19">
        <v>2640</v>
      </c>
      <c r="P12" s="22">
        <v>9</v>
      </c>
      <c r="Q12" s="24" t="s">
        <v>17</v>
      </c>
      <c r="R12" s="25">
        <f>VLOOKUP(Q12,KamiBox!$C$2:$F$58,4,0)</f>
        <v>100</v>
      </c>
      <c r="S12" s="26">
        <f>SUMIF($D$3:$D$382,Q12,$F$3:$F$382)</f>
        <v>0</v>
      </c>
      <c r="T12" s="25">
        <f t="shared" si="1"/>
        <v>0</v>
      </c>
      <c r="V12" s="22">
        <v>9</v>
      </c>
      <c r="W12" s="24" t="s">
        <v>17</v>
      </c>
      <c r="X12" s="25">
        <f>VLOOKUP(W12,KamiBox!$C$2:$F$58,4,0)</f>
        <v>100</v>
      </c>
      <c r="Y12" s="26"/>
      <c r="Z12" s="25">
        <f t="shared" si="2"/>
        <v>0</v>
      </c>
    </row>
    <row r="13" spans="1:26" x14ac:dyDescent="0.35">
      <c r="A13" s="30">
        <v>2</v>
      </c>
      <c r="B13" s="48" t="s">
        <v>91</v>
      </c>
      <c r="D13" s="13" t="s">
        <v>57</v>
      </c>
      <c r="E13" s="17">
        <v>150</v>
      </c>
      <c r="F13" s="43">
        <v>1.35</v>
      </c>
      <c r="G13" s="39">
        <f t="shared" si="0"/>
        <v>202.5</v>
      </c>
      <c r="I13" s="14" t="s">
        <v>225</v>
      </c>
      <c r="J13" s="19">
        <v>52985</v>
      </c>
      <c r="L13" s="14" t="s">
        <v>30</v>
      </c>
      <c r="M13">
        <v>1</v>
      </c>
      <c r="N13" s="19">
        <v>1800</v>
      </c>
      <c r="P13" s="22">
        <v>10</v>
      </c>
      <c r="Q13" s="24" t="s">
        <v>18</v>
      </c>
      <c r="R13" s="25">
        <f>VLOOKUP(Q13,KamiBox!$C$2:$F$58,4,0)</f>
        <v>200</v>
      </c>
      <c r="S13" s="26">
        <f>SUMIF($D$3:$D$382,Q13,$F$3:$F$382)</f>
        <v>40.949999999999989</v>
      </c>
      <c r="T13" s="25">
        <f t="shared" si="1"/>
        <v>8189.9999999999982</v>
      </c>
      <c r="V13" s="22">
        <v>10</v>
      </c>
      <c r="W13" s="24" t="s">
        <v>18</v>
      </c>
      <c r="X13" s="25">
        <f>VLOOKUP(W13,KamiBox!$C$2:$F$58,4,0)</f>
        <v>200</v>
      </c>
      <c r="Y13" s="26"/>
      <c r="Z13" s="25">
        <f t="shared" si="2"/>
        <v>0</v>
      </c>
    </row>
    <row r="14" spans="1:26" x14ac:dyDescent="0.35">
      <c r="A14" s="30">
        <v>2</v>
      </c>
      <c r="B14" s="48" t="s">
        <v>91</v>
      </c>
      <c r="D14" s="13" t="s">
        <v>41</v>
      </c>
      <c r="E14" s="17">
        <v>1000</v>
      </c>
      <c r="F14" s="43">
        <v>15.3</v>
      </c>
      <c r="G14" s="39">
        <f t="shared" si="0"/>
        <v>15300</v>
      </c>
      <c r="I14" s="14" t="s">
        <v>195</v>
      </c>
      <c r="J14" s="19">
        <v>8155</v>
      </c>
      <c r="L14" s="14" t="s">
        <v>100</v>
      </c>
      <c r="M14">
        <v>34.15</v>
      </c>
      <c r="N14" s="19">
        <v>47810</v>
      </c>
      <c r="P14" s="22">
        <v>11</v>
      </c>
      <c r="Q14" s="24" t="s">
        <v>19</v>
      </c>
      <c r="R14" s="25">
        <f>VLOOKUP(Q14,KamiBox!$C$2:$F$58,4,0)</f>
        <v>100</v>
      </c>
      <c r="S14" s="26">
        <f>SUMIF($D$3:$D$382,Q14,$F$3:$F$382)</f>
        <v>0</v>
      </c>
      <c r="T14" s="25">
        <f t="shared" si="1"/>
        <v>0</v>
      </c>
      <c r="V14" s="22">
        <v>11</v>
      </c>
      <c r="W14" s="24" t="s">
        <v>19</v>
      </c>
      <c r="X14" s="25">
        <f>VLOOKUP(W14,KamiBox!$C$2:$F$58,4,0)</f>
        <v>100</v>
      </c>
      <c r="Y14" s="26"/>
      <c r="Z14" s="25">
        <f t="shared" si="2"/>
        <v>0</v>
      </c>
    </row>
    <row r="15" spans="1:26" x14ac:dyDescent="0.35">
      <c r="A15" s="30">
        <v>2</v>
      </c>
      <c r="B15" s="48" t="s">
        <v>91</v>
      </c>
      <c r="D15" s="13" t="s">
        <v>125</v>
      </c>
      <c r="E15" s="17">
        <v>800</v>
      </c>
      <c r="F15" s="43">
        <v>5.15</v>
      </c>
      <c r="G15" s="39">
        <f t="shared" si="0"/>
        <v>4120</v>
      </c>
      <c r="I15" s="14" t="s">
        <v>253</v>
      </c>
      <c r="J15" s="19">
        <v>81762.5</v>
      </c>
      <c r="L15" s="14" t="s">
        <v>34</v>
      </c>
      <c r="M15">
        <v>19.149999999999999</v>
      </c>
      <c r="N15" s="19">
        <v>69600</v>
      </c>
      <c r="P15" s="22">
        <v>12</v>
      </c>
      <c r="Q15" s="24" t="s">
        <v>20</v>
      </c>
      <c r="R15" s="25">
        <f>VLOOKUP(Q15,KamiBox!$C$2:$F$58,4,0)</f>
        <v>800</v>
      </c>
      <c r="S15" s="26">
        <f>SUMIF($D$3:$D$382,Q15,$F$3:$F$382)</f>
        <v>0</v>
      </c>
      <c r="T15" s="25">
        <f t="shared" si="1"/>
        <v>0</v>
      </c>
      <c r="V15" s="22">
        <v>12</v>
      </c>
      <c r="W15" s="24" t="s">
        <v>20</v>
      </c>
      <c r="X15" s="25">
        <f>VLOOKUP(W15,KamiBox!$C$2:$F$58,4,0)</f>
        <v>800</v>
      </c>
      <c r="Y15" s="26"/>
      <c r="Z15" s="25">
        <f t="shared" si="2"/>
        <v>0</v>
      </c>
    </row>
    <row r="16" spans="1:26" x14ac:dyDescent="0.35">
      <c r="A16" s="30">
        <v>2</v>
      </c>
      <c r="B16" s="48" t="s">
        <v>91</v>
      </c>
      <c r="D16" s="13" t="s">
        <v>22</v>
      </c>
      <c r="E16" s="17">
        <v>1600</v>
      </c>
      <c r="F16" s="43">
        <v>4.6500000000000004</v>
      </c>
      <c r="G16" s="39">
        <f t="shared" si="0"/>
        <v>7440.0000000000009</v>
      </c>
      <c r="I16" s="14" t="s">
        <v>205</v>
      </c>
      <c r="J16" s="19">
        <v>8222.5</v>
      </c>
      <c r="L16" s="14" t="s">
        <v>39</v>
      </c>
      <c r="M16">
        <v>15.65</v>
      </c>
      <c r="N16" s="19">
        <v>21225</v>
      </c>
      <c r="P16" s="22">
        <v>13</v>
      </c>
      <c r="Q16" s="24" t="s">
        <v>94</v>
      </c>
      <c r="R16" s="25">
        <f>VLOOKUP(Q16,KamiBox!$C$2:$F$58,4,0)</f>
        <v>5000</v>
      </c>
      <c r="S16" s="26">
        <f>SUMIF($D$3:$D$382,Q16,$F$3:$F$382)+5</f>
        <v>83.499999999999986</v>
      </c>
      <c r="T16" s="25">
        <f t="shared" si="1"/>
        <v>417499.99999999994</v>
      </c>
      <c r="V16" s="22">
        <v>13</v>
      </c>
      <c r="W16" s="24" t="s">
        <v>94</v>
      </c>
      <c r="X16" s="25">
        <f>VLOOKUP(W16,KamiBox!$C$2:$F$58,4,0)</f>
        <v>5000</v>
      </c>
      <c r="Y16" s="26"/>
      <c r="Z16" s="25">
        <f t="shared" si="2"/>
        <v>0</v>
      </c>
    </row>
    <row r="17" spans="1:26" x14ac:dyDescent="0.35">
      <c r="A17" s="30">
        <v>2</v>
      </c>
      <c r="B17" s="48" t="s">
        <v>91</v>
      </c>
      <c r="D17" s="13" t="s">
        <v>26</v>
      </c>
      <c r="E17" s="17">
        <v>1000</v>
      </c>
      <c r="F17" s="43">
        <v>0.8</v>
      </c>
      <c r="G17" s="39">
        <f t="shared" si="0"/>
        <v>800</v>
      </c>
      <c r="I17" s="14" t="s">
        <v>103</v>
      </c>
      <c r="J17" s="19">
        <v>5575</v>
      </c>
      <c r="L17" s="14" t="s">
        <v>41</v>
      </c>
      <c r="M17">
        <v>184.54999999999998</v>
      </c>
      <c r="N17" s="19">
        <v>179550</v>
      </c>
      <c r="P17" s="22">
        <v>14</v>
      </c>
      <c r="Q17" s="24" t="s">
        <v>22</v>
      </c>
      <c r="R17" s="25">
        <f>VLOOKUP(Q17,KamiBox!$C$2:$F$58,4,0)</f>
        <v>2500</v>
      </c>
      <c r="S17" s="26">
        <f>SUMIF($D$3:$D$382,Q17,$F$3:$F$382)-5</f>
        <v>5.0500000000000025</v>
      </c>
      <c r="T17" s="25">
        <f t="shared" si="1"/>
        <v>12625.000000000005</v>
      </c>
      <c r="V17" s="22">
        <v>14</v>
      </c>
      <c r="W17" s="24" t="s">
        <v>22</v>
      </c>
      <c r="X17" s="25">
        <f>VLOOKUP(W17,KamiBox!$C$2:$F$58,4,0)</f>
        <v>2500</v>
      </c>
      <c r="Y17" s="26"/>
      <c r="Z17" s="25">
        <f t="shared" si="2"/>
        <v>0</v>
      </c>
    </row>
    <row r="18" spans="1:26" x14ac:dyDescent="0.35">
      <c r="A18" s="30">
        <v>3</v>
      </c>
      <c r="B18" s="14" t="s">
        <v>130</v>
      </c>
      <c r="C18" s="30" t="s">
        <v>248</v>
      </c>
      <c r="D18" s="13" t="s">
        <v>53</v>
      </c>
      <c r="E18" s="17">
        <v>300</v>
      </c>
      <c r="F18" s="43">
        <f>4.6+2.15+11.35</f>
        <v>18.100000000000001</v>
      </c>
      <c r="G18" s="39">
        <f t="shared" si="0"/>
        <v>5430</v>
      </c>
      <c r="I18" s="14" t="s">
        <v>221</v>
      </c>
      <c r="J18" s="19">
        <v>16287.5</v>
      </c>
      <c r="L18" s="14" t="s">
        <v>263</v>
      </c>
      <c r="M18">
        <v>0.1</v>
      </c>
      <c r="N18" s="19">
        <v>40</v>
      </c>
      <c r="P18" s="22">
        <v>15</v>
      </c>
      <c r="Q18" s="24" t="s">
        <v>23</v>
      </c>
      <c r="R18" s="25">
        <f>VLOOKUP(Q18,KamiBox!$C$2:$F$58,4,0)</f>
        <v>1000</v>
      </c>
      <c r="S18" s="26">
        <f>SUMIF($D$3:$D$382,Q18,$F$3:$F$382)</f>
        <v>0</v>
      </c>
      <c r="T18" s="25">
        <f t="shared" si="1"/>
        <v>0</v>
      </c>
      <c r="V18" s="22">
        <v>15</v>
      </c>
      <c r="W18" s="24" t="s">
        <v>23</v>
      </c>
      <c r="X18" s="25">
        <f>VLOOKUP(W18,KamiBox!$C$2:$F$58,4,0)</f>
        <v>1000</v>
      </c>
      <c r="Y18" s="26"/>
      <c r="Z18" s="25">
        <f t="shared" si="2"/>
        <v>0</v>
      </c>
    </row>
    <row r="19" spans="1:26" x14ac:dyDescent="0.35">
      <c r="A19" s="30">
        <v>4</v>
      </c>
      <c r="B19" t="s">
        <v>112</v>
      </c>
      <c r="C19" s="30">
        <v>4</v>
      </c>
      <c r="D19" s="13" t="s">
        <v>94</v>
      </c>
      <c r="E19" s="17">
        <v>2800</v>
      </c>
      <c r="F19" s="43">
        <f>0.3+0.55</f>
        <v>0.85000000000000009</v>
      </c>
      <c r="G19" s="39">
        <f t="shared" si="0"/>
        <v>2380.0000000000005</v>
      </c>
      <c r="I19" s="14" t="s">
        <v>105</v>
      </c>
      <c r="J19" s="19">
        <v>1615</v>
      </c>
      <c r="L19" s="14" t="s">
        <v>46</v>
      </c>
      <c r="M19">
        <v>0.25</v>
      </c>
      <c r="N19" s="19">
        <v>675</v>
      </c>
      <c r="P19" s="22">
        <v>16</v>
      </c>
      <c r="Q19" s="24" t="s">
        <v>125</v>
      </c>
      <c r="R19" s="25">
        <f>VLOOKUP(Q19,KamiBox!$C$2:$F$58,4,0)</f>
        <v>1000</v>
      </c>
      <c r="S19" s="26">
        <f>SUMIF($D$3:$D$382,Q19,$F$3:$F$382)</f>
        <v>22.15</v>
      </c>
      <c r="T19" s="25">
        <f t="shared" si="1"/>
        <v>22150</v>
      </c>
      <c r="V19" s="22">
        <v>16</v>
      </c>
      <c r="W19" s="24" t="s">
        <v>125</v>
      </c>
      <c r="X19" s="25">
        <f>VLOOKUP(W19,KamiBox!$C$2:$F$58,4,0)</f>
        <v>1000</v>
      </c>
      <c r="Y19" s="26"/>
      <c r="Z19" s="25">
        <f t="shared" si="2"/>
        <v>0</v>
      </c>
    </row>
    <row r="20" spans="1:26" x14ac:dyDescent="0.35">
      <c r="A20" s="30">
        <v>4</v>
      </c>
      <c r="B20" t="s">
        <v>112</v>
      </c>
      <c r="C20" s="30"/>
      <c r="D20" s="13" t="s">
        <v>13</v>
      </c>
      <c r="E20" s="17">
        <v>200</v>
      </c>
      <c r="F20" s="43">
        <v>0.75</v>
      </c>
      <c r="G20" s="39">
        <f t="shared" si="0"/>
        <v>150</v>
      </c>
      <c r="I20" s="14" t="s">
        <v>106</v>
      </c>
      <c r="J20" s="19">
        <v>5510</v>
      </c>
      <c r="L20" s="14" t="s">
        <v>51</v>
      </c>
      <c r="M20">
        <v>30.849999999999998</v>
      </c>
      <c r="N20" s="19">
        <v>14825</v>
      </c>
      <c r="P20" s="22">
        <v>17</v>
      </c>
      <c r="Q20" s="24" t="s">
        <v>25</v>
      </c>
      <c r="R20" s="25">
        <f>VLOOKUP(Q20,KamiBox!$C$2:$F$58,4,0)</f>
        <v>1200</v>
      </c>
      <c r="S20" s="26">
        <f>SUMIF($D$3:$D$382,Q20,$F$3:$F$382)</f>
        <v>75.2</v>
      </c>
      <c r="T20" s="25">
        <f t="shared" si="1"/>
        <v>90240</v>
      </c>
      <c r="V20" s="22">
        <v>17</v>
      </c>
      <c r="W20" s="24" t="s">
        <v>25</v>
      </c>
      <c r="X20" s="25">
        <f>VLOOKUP(W20,KamiBox!$C$2:$F$58,4,0)</f>
        <v>1200</v>
      </c>
      <c r="Y20" s="26"/>
      <c r="Z20" s="25">
        <f t="shared" si="2"/>
        <v>0</v>
      </c>
    </row>
    <row r="21" spans="1:26" x14ac:dyDescent="0.35">
      <c r="A21" s="30">
        <v>4</v>
      </c>
      <c r="B21" t="s">
        <v>112</v>
      </c>
      <c r="C21" s="30"/>
      <c r="D21" s="13" t="s">
        <v>60</v>
      </c>
      <c r="E21" s="17">
        <v>2500</v>
      </c>
      <c r="F21" s="43">
        <v>0.15</v>
      </c>
      <c r="G21" s="39">
        <f t="shared" si="0"/>
        <v>375</v>
      </c>
      <c r="I21" s="14" t="s">
        <v>107</v>
      </c>
      <c r="J21" s="19">
        <v>7910</v>
      </c>
      <c r="L21" s="14" t="s">
        <v>53</v>
      </c>
      <c r="M21">
        <v>71.949999999999989</v>
      </c>
      <c r="N21" s="19">
        <v>21270</v>
      </c>
      <c r="P21" s="22">
        <v>18</v>
      </c>
      <c r="Q21" s="24" t="s">
        <v>26</v>
      </c>
      <c r="R21" s="25">
        <f>VLOOKUP(Q21,KamiBox!$C$2:$F$58,4,0)</f>
        <v>1000</v>
      </c>
      <c r="S21" s="26">
        <f>SUMIF($D$3:$D$382,Q21,$F$3:$F$382)</f>
        <v>53.599999999999994</v>
      </c>
      <c r="T21" s="25">
        <f t="shared" si="1"/>
        <v>53599.999999999993</v>
      </c>
      <c r="V21" s="22">
        <v>18</v>
      </c>
      <c r="W21" s="24" t="s">
        <v>26</v>
      </c>
      <c r="X21" s="25">
        <f>VLOOKUP(W21,KamiBox!$C$2:$F$58,4,0)</f>
        <v>1000</v>
      </c>
      <c r="Y21" s="26"/>
      <c r="Z21" s="25">
        <f t="shared" si="2"/>
        <v>0</v>
      </c>
    </row>
    <row r="22" spans="1:26" x14ac:dyDescent="0.35">
      <c r="A22" s="30">
        <v>4</v>
      </c>
      <c r="B22" t="s">
        <v>112</v>
      </c>
      <c r="C22" s="30"/>
      <c r="D22" s="13" t="s">
        <v>25</v>
      </c>
      <c r="E22" s="17">
        <v>1000</v>
      </c>
      <c r="F22" s="43">
        <f>0.85+0.1+0.05</f>
        <v>1</v>
      </c>
      <c r="G22" s="39">
        <f t="shared" si="0"/>
        <v>1000</v>
      </c>
      <c r="I22" s="14" t="s">
        <v>108</v>
      </c>
      <c r="J22" s="19">
        <v>11885</v>
      </c>
      <c r="L22" s="14" t="s">
        <v>54</v>
      </c>
      <c r="M22">
        <v>4</v>
      </c>
      <c r="N22" s="19">
        <v>3200</v>
      </c>
      <c r="P22" s="22">
        <v>19</v>
      </c>
      <c r="Q22" s="24" t="s">
        <v>27</v>
      </c>
      <c r="R22" s="25">
        <f>VLOOKUP(Q22,KamiBox!$C$2:$F$58,4,0)</f>
        <v>3000</v>
      </c>
      <c r="S22" s="26">
        <f>SUMIF($D$3:$D$382,Q22,$F$3:$F$382)</f>
        <v>1.4</v>
      </c>
      <c r="T22" s="25">
        <f t="shared" si="1"/>
        <v>4200</v>
      </c>
      <c r="V22" s="22">
        <v>19</v>
      </c>
      <c r="W22" s="24" t="s">
        <v>27</v>
      </c>
      <c r="X22" s="25">
        <f>VLOOKUP(W22,KamiBox!$C$2:$F$58,4,0)</f>
        <v>3000</v>
      </c>
      <c r="Y22" s="26"/>
      <c r="Z22" s="25">
        <f t="shared" si="2"/>
        <v>0</v>
      </c>
    </row>
    <row r="23" spans="1:26" x14ac:dyDescent="0.35">
      <c r="A23" s="30">
        <v>4</v>
      </c>
      <c r="B23" t="s">
        <v>112</v>
      </c>
      <c r="C23" s="30"/>
      <c r="D23" s="13" t="s">
        <v>46</v>
      </c>
      <c r="E23" s="17">
        <v>2700</v>
      </c>
      <c r="F23" s="43">
        <v>0.1</v>
      </c>
      <c r="G23" s="39">
        <f t="shared" si="0"/>
        <v>270</v>
      </c>
      <c r="I23" s="14" t="s">
        <v>206</v>
      </c>
      <c r="J23" s="19">
        <v>11777.5</v>
      </c>
      <c r="L23" s="14" t="s">
        <v>266</v>
      </c>
      <c r="M23">
        <v>0.6</v>
      </c>
      <c r="N23" s="19">
        <v>600</v>
      </c>
      <c r="P23" s="22">
        <v>20</v>
      </c>
      <c r="Q23" s="24" t="s">
        <v>28</v>
      </c>
      <c r="R23" s="25">
        <f>VLOOKUP(Q23,KamiBox!$C$2:$F$58,4,0)</f>
        <v>4000</v>
      </c>
      <c r="S23" s="26">
        <f>SUMIF($D$3:$D$382,Q23,$F$3:$F$382)+1</f>
        <v>5</v>
      </c>
      <c r="T23" s="25">
        <f t="shared" si="1"/>
        <v>20000</v>
      </c>
      <c r="V23" s="22">
        <v>20</v>
      </c>
      <c r="W23" s="24" t="s">
        <v>28</v>
      </c>
      <c r="X23" s="25">
        <f>VLOOKUP(W23,KamiBox!$C$2:$F$58,4,0)</f>
        <v>4000</v>
      </c>
      <c r="Y23" s="26"/>
      <c r="Z23" s="25">
        <f t="shared" si="2"/>
        <v>0</v>
      </c>
    </row>
    <row r="24" spans="1:26" x14ac:dyDescent="0.35">
      <c r="A24" s="30">
        <v>4</v>
      </c>
      <c r="B24" t="s">
        <v>112</v>
      </c>
      <c r="C24" s="30"/>
      <c r="D24" s="13" t="s">
        <v>39</v>
      </c>
      <c r="E24" s="17">
        <v>1500</v>
      </c>
      <c r="F24" s="43">
        <v>0.3</v>
      </c>
      <c r="G24" s="39">
        <f t="shared" si="0"/>
        <v>450</v>
      </c>
      <c r="I24" s="14" t="s">
        <v>196</v>
      </c>
      <c r="J24" s="19">
        <v>24905</v>
      </c>
      <c r="L24" s="14" t="s">
        <v>56</v>
      </c>
      <c r="M24">
        <v>1.6</v>
      </c>
      <c r="N24" s="19">
        <v>800</v>
      </c>
      <c r="P24" s="22">
        <v>21</v>
      </c>
      <c r="Q24" s="24" t="s">
        <v>29</v>
      </c>
      <c r="R24" s="25">
        <f>VLOOKUP(Q24,KamiBox!$C$2:$F$58,4,0)</f>
        <v>2000</v>
      </c>
      <c r="S24" s="26">
        <f>SUMIF($D$3:$D$382,Q24,$F$3:$F$382)-1</f>
        <v>1.0500000000000003</v>
      </c>
      <c r="T24" s="25">
        <f t="shared" si="1"/>
        <v>2100.0000000000005</v>
      </c>
      <c r="V24" s="22">
        <v>21</v>
      </c>
      <c r="W24" s="24" t="s">
        <v>29</v>
      </c>
      <c r="X24" s="25">
        <f>VLOOKUP(W24,KamiBox!$C$2:$F$58,4,0)</f>
        <v>2000</v>
      </c>
      <c r="Y24" s="26"/>
      <c r="Z24" s="25">
        <f t="shared" si="2"/>
        <v>0</v>
      </c>
    </row>
    <row r="25" spans="1:26" x14ac:dyDescent="0.35">
      <c r="A25" s="30">
        <v>4</v>
      </c>
      <c r="B25" t="s">
        <v>112</v>
      </c>
      <c r="C25" s="30"/>
      <c r="D25" s="13" t="s">
        <v>53</v>
      </c>
      <c r="E25" s="17">
        <v>300</v>
      </c>
      <c r="F25" s="43">
        <v>0.15</v>
      </c>
      <c r="G25" s="39">
        <f t="shared" si="0"/>
        <v>45</v>
      </c>
      <c r="I25" s="14" t="s">
        <v>109</v>
      </c>
      <c r="J25" s="19">
        <v>12725</v>
      </c>
      <c r="L25" s="14" t="s">
        <v>126</v>
      </c>
      <c r="M25">
        <v>14.75</v>
      </c>
      <c r="N25" s="19">
        <v>26550</v>
      </c>
      <c r="P25" s="22">
        <v>22</v>
      </c>
      <c r="Q25" s="24" t="s">
        <v>30</v>
      </c>
      <c r="R25" s="25">
        <f>VLOOKUP(Q25,KamiBox!$C$2:$F$58,4,0)</f>
        <v>5000</v>
      </c>
      <c r="S25" s="26">
        <f>SUMIF($D$3:$D$382,Q25,$F$3:$F$382)</f>
        <v>1</v>
      </c>
      <c r="T25" s="25">
        <f t="shared" si="1"/>
        <v>5000</v>
      </c>
      <c r="V25" s="22">
        <v>22</v>
      </c>
      <c r="W25" s="24" t="s">
        <v>30</v>
      </c>
      <c r="X25" s="25">
        <f>VLOOKUP(W25,KamiBox!$C$2:$F$58,4,0)</f>
        <v>5000</v>
      </c>
      <c r="Y25" s="26"/>
      <c r="Z25" s="25">
        <f t="shared" si="2"/>
        <v>0</v>
      </c>
    </row>
    <row r="26" spans="1:26" x14ac:dyDescent="0.35">
      <c r="A26" s="30">
        <v>4</v>
      </c>
      <c r="B26" t="s">
        <v>112</v>
      </c>
      <c r="C26" s="30"/>
      <c r="D26" s="13" t="s">
        <v>18</v>
      </c>
      <c r="E26" s="17">
        <v>150</v>
      </c>
      <c r="F26" s="43">
        <v>0.6</v>
      </c>
      <c r="G26" s="39">
        <f t="shared" si="0"/>
        <v>90</v>
      </c>
      <c r="I26" s="14" t="s">
        <v>110</v>
      </c>
      <c r="J26" s="19">
        <v>3750</v>
      </c>
      <c r="L26" s="14" t="s">
        <v>57</v>
      </c>
      <c r="M26">
        <v>1.4000000000000001</v>
      </c>
      <c r="N26" s="19">
        <v>210</v>
      </c>
      <c r="P26" s="22">
        <v>23</v>
      </c>
      <c r="Q26" s="24" t="s">
        <v>100</v>
      </c>
      <c r="R26" s="25">
        <f>VLOOKUP(Q26,KamiBox!$C$2:$F$58,4,0)</f>
        <v>2000</v>
      </c>
      <c r="S26" s="26">
        <f>SUMIF($D$3:$D$382,Q26,$F$3:$F$382)</f>
        <v>34.15</v>
      </c>
      <c r="T26" s="25">
        <f t="shared" si="1"/>
        <v>68300</v>
      </c>
      <c r="V26" s="22">
        <v>23</v>
      </c>
      <c r="W26" s="24" t="s">
        <v>100</v>
      </c>
      <c r="X26" s="25">
        <f>VLOOKUP(W26,KamiBox!$C$2:$F$58,4,0)</f>
        <v>2000</v>
      </c>
      <c r="Y26" s="26"/>
      <c r="Z26" s="25">
        <f t="shared" si="2"/>
        <v>0</v>
      </c>
    </row>
    <row r="27" spans="1:26" x14ac:dyDescent="0.35">
      <c r="A27" s="30">
        <v>4</v>
      </c>
      <c r="B27" t="s">
        <v>112</v>
      </c>
      <c r="C27" s="30"/>
      <c r="D27" s="13" t="s">
        <v>41</v>
      </c>
      <c r="E27" s="17">
        <v>1000</v>
      </c>
      <c r="F27" s="43">
        <v>5.5</v>
      </c>
      <c r="G27" s="39">
        <f t="shared" si="0"/>
        <v>5500</v>
      </c>
      <c r="I27" s="14" t="s">
        <v>209</v>
      </c>
      <c r="J27" s="19">
        <v>9245</v>
      </c>
      <c r="L27" s="14" t="s">
        <v>60</v>
      </c>
      <c r="M27">
        <v>6.25</v>
      </c>
      <c r="N27" s="19">
        <v>15625</v>
      </c>
      <c r="P27" s="22">
        <v>24</v>
      </c>
      <c r="Q27" s="24" t="s">
        <v>33</v>
      </c>
      <c r="R27" s="25">
        <f>VLOOKUP(Q27,KamiBox!$C$2:$F$58,4,0)</f>
        <v>700</v>
      </c>
      <c r="S27" s="26">
        <f>SUMIF($D$3:$D$382,Q27,$F$3:$F$382)</f>
        <v>0</v>
      </c>
      <c r="T27" s="25">
        <f t="shared" si="1"/>
        <v>0</v>
      </c>
      <c r="V27" s="22">
        <v>24</v>
      </c>
      <c r="W27" s="24" t="s">
        <v>33</v>
      </c>
      <c r="X27" s="25">
        <f>VLOOKUP(W27,KamiBox!$C$2:$F$58,4,0)</f>
        <v>700</v>
      </c>
      <c r="Y27" s="26"/>
      <c r="Z27" s="25">
        <f t="shared" si="2"/>
        <v>0</v>
      </c>
    </row>
    <row r="28" spans="1:26" x14ac:dyDescent="0.35">
      <c r="A28" s="30">
        <v>4</v>
      </c>
      <c r="B28" t="s">
        <v>112</v>
      </c>
      <c r="C28" s="30"/>
      <c r="D28" s="13" t="s">
        <v>126</v>
      </c>
      <c r="E28" s="17">
        <v>1800</v>
      </c>
      <c r="F28" s="43">
        <v>1.2</v>
      </c>
      <c r="G28" s="39">
        <f t="shared" si="0"/>
        <v>2160</v>
      </c>
      <c r="I28" s="14" t="s">
        <v>112</v>
      </c>
      <c r="J28" s="19">
        <v>12420</v>
      </c>
      <c r="L28" s="14" t="s">
        <v>61</v>
      </c>
      <c r="M28">
        <v>0.6</v>
      </c>
      <c r="N28" s="19">
        <v>2100</v>
      </c>
      <c r="P28" s="22">
        <v>25</v>
      </c>
      <c r="Q28" s="24" t="s">
        <v>34</v>
      </c>
      <c r="R28" s="25">
        <f>VLOOKUP(Q28,KamiBox!$C$2:$F$58,4,0)</f>
        <v>7000</v>
      </c>
      <c r="S28" s="26">
        <f>SUMIF($D$3:$D$382,Q28,$F$3:$F$382)</f>
        <v>19.149999999999999</v>
      </c>
      <c r="T28" s="25">
        <f t="shared" si="1"/>
        <v>134050</v>
      </c>
      <c r="V28" s="22">
        <v>25</v>
      </c>
      <c r="W28" s="24" t="s">
        <v>34</v>
      </c>
      <c r="X28" s="25">
        <f>VLOOKUP(W28,KamiBox!$C$2:$F$58,4,0)</f>
        <v>7000</v>
      </c>
      <c r="Y28" s="26"/>
      <c r="Z28" s="25">
        <f t="shared" si="2"/>
        <v>0</v>
      </c>
    </row>
    <row r="29" spans="1:26" x14ac:dyDescent="0.35">
      <c r="A29" s="30">
        <v>5</v>
      </c>
      <c r="B29" t="s">
        <v>228</v>
      </c>
      <c r="C29" s="30">
        <v>5</v>
      </c>
      <c r="D29" s="13" t="s">
        <v>53</v>
      </c>
      <c r="E29" s="17">
        <v>300</v>
      </c>
      <c r="F29" s="43">
        <f>1.35+0.75+0.7+0.25</f>
        <v>3.05</v>
      </c>
      <c r="G29" s="39">
        <f t="shared" si="0"/>
        <v>915</v>
      </c>
      <c r="I29" s="14" t="s">
        <v>130</v>
      </c>
      <c r="J29" s="19">
        <v>5430</v>
      </c>
      <c r="L29" s="14" t="s">
        <v>276</v>
      </c>
      <c r="M29">
        <v>0.9</v>
      </c>
      <c r="N29" s="19">
        <v>7200</v>
      </c>
      <c r="P29" s="22">
        <v>26</v>
      </c>
      <c r="Q29" s="24" t="s">
        <v>35</v>
      </c>
      <c r="R29" s="25">
        <f>VLOOKUP(Q29,KamiBox!$C$2:$F$58,4,0)</f>
        <v>1500</v>
      </c>
      <c r="S29" s="26">
        <f>SUMIF($D$3:$D$382,Q29,$F$3:$F$382)</f>
        <v>0</v>
      </c>
      <c r="T29" s="25">
        <f t="shared" si="1"/>
        <v>0</v>
      </c>
      <c r="V29" s="22">
        <v>26</v>
      </c>
      <c r="W29" s="24" t="s">
        <v>35</v>
      </c>
      <c r="X29" s="25">
        <f>VLOOKUP(W29,KamiBox!$C$2:$F$58,4,0)</f>
        <v>1500</v>
      </c>
      <c r="Y29" s="26"/>
      <c r="Z29" s="25">
        <f t="shared" si="2"/>
        <v>0</v>
      </c>
    </row>
    <row r="30" spans="1:26" x14ac:dyDescent="0.35">
      <c r="A30" s="30">
        <v>5</v>
      </c>
      <c r="B30" t="s">
        <v>228</v>
      </c>
      <c r="C30" s="30"/>
      <c r="D30" s="13" t="s">
        <v>13</v>
      </c>
      <c r="E30" s="17">
        <v>200</v>
      </c>
      <c r="F30" s="43">
        <f>0.25+0.8</f>
        <v>1.05</v>
      </c>
      <c r="G30" s="39">
        <f t="shared" si="0"/>
        <v>210</v>
      </c>
      <c r="I30" s="14" t="s">
        <v>211</v>
      </c>
      <c r="J30" s="19">
        <v>1280</v>
      </c>
      <c r="L30" s="14" t="s">
        <v>28</v>
      </c>
      <c r="M30">
        <v>3.9999999999999996</v>
      </c>
      <c r="N30" s="19">
        <v>14000</v>
      </c>
      <c r="P30" s="22">
        <v>27</v>
      </c>
      <c r="Q30" s="24" t="s">
        <v>37</v>
      </c>
      <c r="R30" s="25">
        <f>VLOOKUP(Q30,KamiBox!$C$2:$F$58,4,0)</f>
        <v>2000</v>
      </c>
      <c r="S30" s="26">
        <v>14.75</v>
      </c>
      <c r="T30" s="25">
        <f t="shared" si="1"/>
        <v>29500</v>
      </c>
      <c r="V30" s="22">
        <v>27</v>
      </c>
      <c r="W30" s="24" t="s">
        <v>37</v>
      </c>
      <c r="X30" s="25">
        <f>VLOOKUP(W30,KamiBox!$C$2:$F$58,4,0)</f>
        <v>2000</v>
      </c>
      <c r="Y30" s="26"/>
      <c r="Z30" s="25">
        <f t="shared" si="2"/>
        <v>0</v>
      </c>
    </row>
    <row r="31" spans="1:26" x14ac:dyDescent="0.35">
      <c r="A31" s="30">
        <v>5</v>
      </c>
      <c r="B31" t="s">
        <v>228</v>
      </c>
      <c r="C31" s="30"/>
      <c r="D31" s="13" t="s">
        <v>54</v>
      </c>
      <c r="E31" s="17">
        <v>800</v>
      </c>
      <c r="F31" s="43">
        <v>0.35</v>
      </c>
      <c r="G31" s="39">
        <f t="shared" si="0"/>
        <v>280</v>
      </c>
      <c r="I31" s="14" t="s">
        <v>210</v>
      </c>
      <c r="J31" s="19">
        <v>6820</v>
      </c>
      <c r="L31" s="14" t="s">
        <v>124</v>
      </c>
      <c r="M31">
        <v>712.55000000000007</v>
      </c>
      <c r="N31" s="19">
        <v>865942.5</v>
      </c>
      <c r="P31" s="22">
        <v>28</v>
      </c>
      <c r="Q31" s="24" t="s">
        <v>38</v>
      </c>
      <c r="R31" s="25">
        <f>VLOOKUP(Q31,KamiBox!$C$2:$F$58,4,0)</f>
        <v>100</v>
      </c>
      <c r="S31" s="26">
        <f t="shared" ref="S31:S45" si="3">SUMIF($D$3:$D$382,Q31,$F$3:$F$382)</f>
        <v>0</v>
      </c>
      <c r="T31" s="25">
        <f t="shared" si="1"/>
        <v>0</v>
      </c>
      <c r="V31" s="22">
        <v>28</v>
      </c>
      <c r="W31" s="24" t="s">
        <v>38</v>
      </c>
      <c r="X31" s="25">
        <f>VLOOKUP(W31,KamiBox!$C$2:$F$58,4,0)</f>
        <v>100</v>
      </c>
      <c r="Y31" s="26"/>
      <c r="Z31" s="25">
        <f t="shared" si="2"/>
        <v>0</v>
      </c>
    </row>
    <row r="32" spans="1:26" x14ac:dyDescent="0.35">
      <c r="A32" s="30">
        <v>5</v>
      </c>
      <c r="B32" t="s">
        <v>228</v>
      </c>
      <c r="C32" s="30"/>
      <c r="D32" s="13" t="s">
        <v>51</v>
      </c>
      <c r="E32" s="17">
        <v>500</v>
      </c>
      <c r="F32" s="43">
        <v>3.35</v>
      </c>
      <c r="G32" s="39">
        <f t="shared" si="0"/>
        <v>1675</v>
      </c>
      <c r="I32" s="14" t="s">
        <v>113</v>
      </c>
      <c r="J32" s="19">
        <v>8545</v>
      </c>
      <c r="P32" s="22">
        <v>29</v>
      </c>
      <c r="Q32" s="24" t="s">
        <v>39</v>
      </c>
      <c r="R32" s="25">
        <f>VLOOKUP(Q32,KamiBox!$C$2:$F$58,4,0)</f>
        <v>2000</v>
      </c>
      <c r="S32" s="26">
        <f t="shared" si="3"/>
        <v>15.65</v>
      </c>
      <c r="T32" s="25">
        <f t="shared" si="1"/>
        <v>31300</v>
      </c>
      <c r="V32" s="22">
        <v>29</v>
      </c>
      <c r="W32" s="24" t="s">
        <v>39</v>
      </c>
      <c r="X32" s="25">
        <f>VLOOKUP(W32,KamiBox!$C$2:$F$58,4,0)</f>
        <v>2000</v>
      </c>
      <c r="Y32" s="26"/>
      <c r="Z32" s="25">
        <f t="shared" si="2"/>
        <v>0</v>
      </c>
    </row>
    <row r="33" spans="1:26" x14ac:dyDescent="0.35">
      <c r="A33" s="30">
        <v>5</v>
      </c>
      <c r="B33" t="s">
        <v>228</v>
      </c>
      <c r="C33" s="30"/>
      <c r="D33" s="13" t="s">
        <v>25</v>
      </c>
      <c r="E33" s="17">
        <v>1000</v>
      </c>
      <c r="F33" s="43">
        <f>3.55+0.45+3.5+5.25+1.7</f>
        <v>14.45</v>
      </c>
      <c r="G33" s="39">
        <f t="shared" si="0"/>
        <v>14450</v>
      </c>
      <c r="I33" s="14" t="s">
        <v>213</v>
      </c>
      <c r="J33" s="19">
        <v>15005</v>
      </c>
      <c r="P33" s="22">
        <v>30</v>
      </c>
      <c r="Q33" s="24" t="s">
        <v>40</v>
      </c>
      <c r="R33" s="25">
        <f>VLOOKUP(Q33,KamiBox!$C$2:$F$58,4,0)</f>
        <v>1800</v>
      </c>
      <c r="S33" s="26">
        <f t="shared" si="3"/>
        <v>0</v>
      </c>
      <c r="T33" s="25">
        <f t="shared" si="1"/>
        <v>0</v>
      </c>
      <c r="V33" s="22">
        <v>30</v>
      </c>
      <c r="W33" s="24" t="s">
        <v>40</v>
      </c>
      <c r="X33" s="25">
        <f>VLOOKUP(W33,KamiBox!$C$2:$F$58,4,0)</f>
        <v>1800</v>
      </c>
      <c r="Y33" s="26"/>
      <c r="Z33" s="25">
        <f t="shared" si="2"/>
        <v>0</v>
      </c>
    </row>
    <row r="34" spans="1:26" x14ac:dyDescent="0.35">
      <c r="A34" s="30">
        <v>5</v>
      </c>
      <c r="B34" t="s">
        <v>228</v>
      </c>
      <c r="C34" s="30"/>
      <c r="D34" s="13" t="s">
        <v>41</v>
      </c>
      <c r="E34" s="17">
        <v>1000</v>
      </c>
      <c r="F34" s="43">
        <v>12.2</v>
      </c>
      <c r="G34" s="39">
        <f t="shared" si="0"/>
        <v>12200</v>
      </c>
      <c r="I34" s="14" t="s">
        <v>170</v>
      </c>
      <c r="J34" s="19">
        <v>12257.5</v>
      </c>
      <c r="P34" s="22">
        <v>31</v>
      </c>
      <c r="Q34" s="24" t="s">
        <v>41</v>
      </c>
      <c r="R34" s="25">
        <f>VLOOKUP(Q34,KamiBox!$C$2:$F$58,4,0)</f>
        <v>1800</v>
      </c>
      <c r="S34" s="26">
        <f t="shared" si="3"/>
        <v>184.54999999999998</v>
      </c>
      <c r="T34" s="25">
        <f t="shared" si="1"/>
        <v>332189.99999999994</v>
      </c>
      <c r="V34" s="22">
        <v>31</v>
      </c>
      <c r="W34" s="24" t="s">
        <v>41</v>
      </c>
      <c r="X34" s="25">
        <f>VLOOKUP(W34,KamiBox!$C$2:$F$58,4,0)</f>
        <v>1800</v>
      </c>
      <c r="Y34" s="26"/>
      <c r="Z34" s="25">
        <f t="shared" si="2"/>
        <v>0</v>
      </c>
    </row>
    <row r="35" spans="1:26" x14ac:dyDescent="0.35">
      <c r="A35" s="30">
        <v>5</v>
      </c>
      <c r="B35" t="s">
        <v>228</v>
      </c>
      <c r="C35" s="30"/>
      <c r="D35" s="13" t="s">
        <v>39</v>
      </c>
      <c r="E35" s="17">
        <v>1500</v>
      </c>
      <c r="F35" s="43">
        <f>0.45+0.65</f>
        <v>1.1000000000000001</v>
      </c>
      <c r="G35" s="39">
        <f t="shared" si="0"/>
        <v>1650.0000000000002</v>
      </c>
      <c r="I35" s="14" t="s">
        <v>163</v>
      </c>
      <c r="J35" s="19">
        <v>30042.5</v>
      </c>
      <c r="P35" s="22">
        <v>32</v>
      </c>
      <c r="Q35" s="24" t="s">
        <v>42</v>
      </c>
      <c r="R35" s="25">
        <f>VLOOKUP(Q35,KamiBox!$C$2:$F$58,4,0)</f>
        <v>4000</v>
      </c>
      <c r="S35" s="26">
        <f t="shared" si="3"/>
        <v>0</v>
      </c>
      <c r="T35" s="25">
        <f t="shared" si="1"/>
        <v>0</v>
      </c>
      <c r="V35" s="22">
        <v>32</v>
      </c>
      <c r="W35" s="24" t="s">
        <v>42</v>
      </c>
      <c r="X35" s="25">
        <f>VLOOKUP(W35,KamiBox!$C$2:$F$58,4,0)</f>
        <v>4000</v>
      </c>
      <c r="Y35" s="26"/>
      <c r="Z35" s="25">
        <f t="shared" si="2"/>
        <v>0</v>
      </c>
    </row>
    <row r="36" spans="1:26" x14ac:dyDescent="0.35">
      <c r="A36" s="30">
        <v>5</v>
      </c>
      <c r="B36" t="s">
        <v>228</v>
      </c>
      <c r="C36" s="30"/>
      <c r="D36" s="13" t="s">
        <v>18</v>
      </c>
      <c r="E36" s="17">
        <v>150</v>
      </c>
      <c r="F36" s="43">
        <v>3.85</v>
      </c>
      <c r="G36" s="39">
        <f t="shared" si="0"/>
        <v>577.5</v>
      </c>
      <c r="I36" s="14" t="s">
        <v>264</v>
      </c>
      <c r="J36" s="19">
        <v>4345</v>
      </c>
      <c r="P36" s="22">
        <v>33</v>
      </c>
      <c r="Q36" s="24" t="s">
        <v>43</v>
      </c>
      <c r="R36" s="25">
        <f>VLOOKUP(Q36,KamiBox!$C$2:$F$58,4,0)</f>
        <v>60000</v>
      </c>
      <c r="S36" s="26">
        <f t="shared" si="3"/>
        <v>0</v>
      </c>
      <c r="T36" s="25">
        <f t="shared" si="1"/>
        <v>0</v>
      </c>
      <c r="V36" s="22">
        <v>33</v>
      </c>
      <c r="W36" s="24" t="s">
        <v>43</v>
      </c>
      <c r="X36" s="25">
        <f>VLOOKUP(W36,KamiBox!$C$2:$F$58,4,0)</f>
        <v>60000</v>
      </c>
      <c r="Y36" s="26"/>
      <c r="Z36" s="25">
        <f t="shared" si="2"/>
        <v>0</v>
      </c>
    </row>
    <row r="37" spans="1:26" x14ac:dyDescent="0.35">
      <c r="A37" s="30">
        <v>5</v>
      </c>
      <c r="B37" t="s">
        <v>228</v>
      </c>
      <c r="C37" s="30"/>
      <c r="D37" s="13" t="s">
        <v>100</v>
      </c>
      <c r="E37" s="17">
        <v>1400</v>
      </c>
      <c r="F37" s="43">
        <v>5.5</v>
      </c>
      <c r="G37" s="39">
        <f t="shared" si="0"/>
        <v>7700</v>
      </c>
      <c r="I37" s="14" t="s">
        <v>117</v>
      </c>
      <c r="J37" s="19">
        <v>40557.5</v>
      </c>
      <c r="P37" s="22">
        <v>34</v>
      </c>
      <c r="Q37" s="24" t="s">
        <v>44</v>
      </c>
      <c r="R37" s="25">
        <f>VLOOKUP(Q37,KamiBox!$C$2:$F$58,4,0)</f>
        <v>700</v>
      </c>
      <c r="S37" s="26">
        <f t="shared" si="3"/>
        <v>0</v>
      </c>
      <c r="T37" s="25">
        <f t="shared" si="1"/>
        <v>0</v>
      </c>
      <c r="V37" s="22">
        <v>34</v>
      </c>
      <c r="W37" s="24" t="s">
        <v>44</v>
      </c>
      <c r="X37" s="25">
        <f>VLOOKUP(W37,KamiBox!$C$2:$F$58,4,0)</f>
        <v>700</v>
      </c>
      <c r="Y37" s="26"/>
      <c r="Z37" s="25">
        <f t="shared" si="2"/>
        <v>0</v>
      </c>
    </row>
    <row r="38" spans="1:26" x14ac:dyDescent="0.35">
      <c r="A38" s="30">
        <v>5</v>
      </c>
      <c r="B38" t="s">
        <v>228</v>
      </c>
      <c r="C38" s="30"/>
      <c r="D38" s="13" t="s">
        <v>125</v>
      </c>
      <c r="E38" s="17">
        <v>800</v>
      </c>
      <c r="F38" s="43">
        <v>3.95</v>
      </c>
      <c r="G38" s="39">
        <f t="shared" si="0"/>
        <v>3160</v>
      </c>
      <c r="I38" s="14" t="s">
        <v>254</v>
      </c>
      <c r="J38" s="19">
        <v>2437.5</v>
      </c>
      <c r="P38" s="22">
        <v>35</v>
      </c>
      <c r="Q38" s="24" t="s">
        <v>46</v>
      </c>
      <c r="R38" s="25">
        <f>VLOOKUP(Q38,KamiBox!$C$2:$F$58,4,0)</f>
        <v>4000</v>
      </c>
      <c r="S38" s="26">
        <f t="shared" si="3"/>
        <v>0.25</v>
      </c>
      <c r="T38" s="25">
        <f t="shared" si="1"/>
        <v>1000</v>
      </c>
      <c r="V38" s="22">
        <v>35</v>
      </c>
      <c r="W38" s="24" t="s">
        <v>46</v>
      </c>
      <c r="X38" s="25">
        <f>VLOOKUP(W38,KamiBox!$C$2:$F$58,4,0)</f>
        <v>4000</v>
      </c>
      <c r="Y38" s="26"/>
      <c r="Z38" s="25">
        <f t="shared" si="2"/>
        <v>0</v>
      </c>
    </row>
    <row r="39" spans="1:26" x14ac:dyDescent="0.35">
      <c r="A39" s="30">
        <v>5</v>
      </c>
      <c r="B39" t="s">
        <v>228</v>
      </c>
      <c r="C39" s="30"/>
      <c r="D39" s="13" t="s">
        <v>94</v>
      </c>
      <c r="E39" s="17">
        <v>2800</v>
      </c>
      <c r="F39" s="43">
        <v>3.45</v>
      </c>
      <c r="G39" s="39">
        <f t="shared" si="0"/>
        <v>9660</v>
      </c>
      <c r="I39" s="14" t="s">
        <v>185</v>
      </c>
      <c r="J39" s="19">
        <v>20365</v>
      </c>
      <c r="P39" s="22">
        <v>36</v>
      </c>
      <c r="Q39" s="24" t="s">
        <v>47</v>
      </c>
      <c r="R39" s="25">
        <f>VLOOKUP(Q39,KamiBox!$C$2:$F$58,4,0)</f>
        <v>50000</v>
      </c>
      <c r="S39" s="26">
        <f t="shared" si="3"/>
        <v>0</v>
      </c>
      <c r="T39" s="25">
        <f t="shared" si="1"/>
        <v>0</v>
      </c>
      <c r="V39" s="22">
        <v>36</v>
      </c>
      <c r="W39" s="24" t="s">
        <v>47</v>
      </c>
      <c r="X39" s="25">
        <f>VLOOKUP(W39,KamiBox!$C$2:$F$58,4,0)</f>
        <v>50000</v>
      </c>
      <c r="Y39" s="26"/>
      <c r="Z39" s="25">
        <f t="shared" si="2"/>
        <v>0</v>
      </c>
    </row>
    <row r="40" spans="1:26" x14ac:dyDescent="0.35">
      <c r="A40" s="30">
        <v>6</v>
      </c>
      <c r="B40" s="13" t="s">
        <v>89</v>
      </c>
      <c r="C40" s="1">
        <v>5</v>
      </c>
      <c r="D40" s="13" t="s">
        <v>26</v>
      </c>
      <c r="E40" s="17">
        <v>1000</v>
      </c>
      <c r="F40" s="43">
        <v>0.1</v>
      </c>
      <c r="G40" s="39">
        <f t="shared" si="0"/>
        <v>100</v>
      </c>
      <c r="I40" s="14" t="s">
        <v>116</v>
      </c>
      <c r="J40" s="19">
        <v>21080</v>
      </c>
      <c r="P40" s="22">
        <v>37</v>
      </c>
      <c r="Q40" s="24" t="s">
        <v>48</v>
      </c>
      <c r="R40" s="25">
        <f>VLOOKUP(Q40,KamiBox!$C$2:$F$58,4,0)</f>
        <v>35000</v>
      </c>
      <c r="S40" s="26">
        <f t="shared" si="3"/>
        <v>0</v>
      </c>
      <c r="T40" s="25">
        <f t="shared" si="1"/>
        <v>0</v>
      </c>
      <c r="V40" s="22">
        <v>37</v>
      </c>
      <c r="W40" s="24" t="s">
        <v>48</v>
      </c>
      <c r="X40" s="25">
        <f>VLOOKUP(W40,KamiBox!$C$2:$F$58,4,0)</f>
        <v>35000</v>
      </c>
      <c r="Y40" s="26"/>
      <c r="Z40" s="25">
        <f t="shared" si="2"/>
        <v>0</v>
      </c>
    </row>
    <row r="41" spans="1:26" x14ac:dyDescent="0.35">
      <c r="A41" s="30">
        <v>6</v>
      </c>
      <c r="B41" s="13" t="s">
        <v>89</v>
      </c>
      <c r="D41" s="13" t="s">
        <v>94</v>
      </c>
      <c r="E41" s="17">
        <v>2800</v>
      </c>
      <c r="F41" s="43">
        <v>0.1</v>
      </c>
      <c r="G41" s="39">
        <f t="shared" si="0"/>
        <v>280</v>
      </c>
      <c r="I41" s="14" t="s">
        <v>250</v>
      </c>
      <c r="J41" s="19">
        <v>32357.5</v>
      </c>
      <c r="P41" s="22">
        <v>38</v>
      </c>
      <c r="Q41" s="24" t="s">
        <v>49</v>
      </c>
      <c r="R41" s="25">
        <f>VLOOKUP(Q41,KamiBox!$C$2:$F$58,4,0)</f>
        <v>50000</v>
      </c>
      <c r="S41" s="26">
        <f t="shared" si="3"/>
        <v>0</v>
      </c>
      <c r="T41" s="25">
        <f t="shared" si="1"/>
        <v>0</v>
      </c>
      <c r="V41" s="22">
        <v>38</v>
      </c>
      <c r="W41" s="24" t="s">
        <v>49</v>
      </c>
      <c r="X41" s="25">
        <f>VLOOKUP(W41,KamiBox!$C$2:$F$58,4,0)</f>
        <v>50000</v>
      </c>
      <c r="Y41" s="26"/>
      <c r="Z41" s="25">
        <f t="shared" si="2"/>
        <v>0</v>
      </c>
    </row>
    <row r="42" spans="1:26" x14ac:dyDescent="0.35">
      <c r="A42" s="30">
        <v>6</v>
      </c>
      <c r="B42" s="13" t="s">
        <v>89</v>
      </c>
      <c r="D42" s="13" t="s">
        <v>60</v>
      </c>
      <c r="E42" s="17">
        <v>2500</v>
      </c>
      <c r="F42" s="43">
        <v>0.2</v>
      </c>
      <c r="G42" s="39">
        <f t="shared" si="0"/>
        <v>500</v>
      </c>
      <c r="I42" s="14" t="s">
        <v>118</v>
      </c>
      <c r="J42" s="19">
        <v>7610</v>
      </c>
      <c r="P42" s="22">
        <v>39</v>
      </c>
      <c r="Q42" s="24" t="s">
        <v>50</v>
      </c>
      <c r="R42" s="25"/>
      <c r="S42" s="26">
        <f t="shared" si="3"/>
        <v>0</v>
      </c>
      <c r="T42" s="25">
        <f t="shared" si="1"/>
        <v>0</v>
      </c>
      <c r="V42" s="22">
        <v>39</v>
      </c>
      <c r="W42" s="24" t="s">
        <v>50</v>
      </c>
      <c r="X42" s="25"/>
      <c r="Y42" s="26"/>
      <c r="Z42" s="25">
        <f t="shared" si="2"/>
        <v>0</v>
      </c>
    </row>
    <row r="43" spans="1:26" x14ac:dyDescent="0.35">
      <c r="A43" s="30">
        <v>6</v>
      </c>
      <c r="B43" s="13" t="s">
        <v>89</v>
      </c>
      <c r="D43" s="13" t="s">
        <v>28</v>
      </c>
      <c r="E43" s="17">
        <v>3500</v>
      </c>
      <c r="F43" s="43">
        <v>0.7</v>
      </c>
      <c r="G43" s="39">
        <f t="shared" si="0"/>
        <v>2450</v>
      </c>
      <c r="I43" s="14" t="s">
        <v>215</v>
      </c>
      <c r="J43" s="19">
        <v>4475</v>
      </c>
      <c r="P43" s="22">
        <v>40</v>
      </c>
      <c r="Q43" s="24" t="s">
        <v>51</v>
      </c>
      <c r="R43" s="25">
        <f>VLOOKUP(Q43,KamiBox!$C$2:$F$58,4,0)</f>
        <v>700</v>
      </c>
      <c r="S43" s="26">
        <f t="shared" si="3"/>
        <v>30.849999999999998</v>
      </c>
      <c r="T43" s="25">
        <f t="shared" si="1"/>
        <v>21595</v>
      </c>
      <c r="V43" s="22">
        <v>40</v>
      </c>
      <c r="W43" s="24" t="s">
        <v>51</v>
      </c>
      <c r="X43" s="25">
        <f>VLOOKUP(W43,KamiBox!$C$2:$F$58,4,0)</f>
        <v>700</v>
      </c>
      <c r="Y43" s="26"/>
      <c r="Z43" s="25">
        <f t="shared" si="2"/>
        <v>0</v>
      </c>
    </row>
    <row r="44" spans="1:26" x14ac:dyDescent="0.35">
      <c r="A44" s="30">
        <v>6</v>
      </c>
      <c r="B44" s="13" t="s">
        <v>89</v>
      </c>
      <c r="D44" s="13" t="s">
        <v>53</v>
      </c>
      <c r="E44" s="17">
        <v>300</v>
      </c>
      <c r="F44" s="43">
        <v>1.1000000000000001</v>
      </c>
      <c r="G44" s="39">
        <f t="shared" si="0"/>
        <v>330</v>
      </c>
      <c r="I44" s="14" t="s">
        <v>274</v>
      </c>
      <c r="J44" s="19">
        <v>0</v>
      </c>
      <c r="P44" s="22">
        <v>41</v>
      </c>
      <c r="Q44" s="24" t="s">
        <v>52</v>
      </c>
      <c r="R44" s="25"/>
      <c r="S44" s="26">
        <f t="shared" si="3"/>
        <v>0</v>
      </c>
      <c r="T44" s="25">
        <f t="shared" si="1"/>
        <v>0</v>
      </c>
      <c r="V44" s="22">
        <v>41</v>
      </c>
      <c r="W44" s="24" t="s">
        <v>52</v>
      </c>
      <c r="X44" s="25"/>
      <c r="Y44" s="26"/>
      <c r="Z44" s="25">
        <f t="shared" si="2"/>
        <v>0</v>
      </c>
    </row>
    <row r="45" spans="1:26" x14ac:dyDescent="0.35">
      <c r="A45" s="30">
        <v>6</v>
      </c>
      <c r="B45" s="13" t="s">
        <v>89</v>
      </c>
      <c r="D45" s="13" t="s">
        <v>94</v>
      </c>
      <c r="E45" s="17">
        <v>2800</v>
      </c>
      <c r="F45" s="43">
        <v>0.75</v>
      </c>
      <c r="G45" s="39">
        <f t="shared" si="0"/>
        <v>2100</v>
      </c>
      <c r="I45" s="14" t="s">
        <v>232</v>
      </c>
      <c r="J45" s="19">
        <v>7500</v>
      </c>
      <c r="P45" s="22">
        <v>42</v>
      </c>
      <c r="Q45" s="24" t="s">
        <v>53</v>
      </c>
      <c r="R45" s="25">
        <f>VLOOKUP(Q45,KamiBox!$C$2:$F$58,4,0)</f>
        <v>500</v>
      </c>
      <c r="S45" s="26">
        <f t="shared" si="3"/>
        <v>71.949999999999989</v>
      </c>
      <c r="T45" s="25">
        <f t="shared" si="1"/>
        <v>35974.999999999993</v>
      </c>
      <c r="V45" s="22">
        <v>42</v>
      </c>
      <c r="W45" s="24" t="s">
        <v>53</v>
      </c>
      <c r="X45" s="25">
        <f>VLOOKUP(W45,KamiBox!$C$2:$F$58,4,0)</f>
        <v>500</v>
      </c>
      <c r="Y45" s="26"/>
      <c r="Z45" s="25">
        <f t="shared" si="2"/>
        <v>0</v>
      </c>
    </row>
    <row r="46" spans="1:26" x14ac:dyDescent="0.35">
      <c r="A46" s="30">
        <v>6</v>
      </c>
      <c r="B46" s="13" t="s">
        <v>89</v>
      </c>
      <c r="D46" s="13" t="s">
        <v>41</v>
      </c>
      <c r="E46" s="17">
        <v>1000</v>
      </c>
      <c r="F46" s="43">
        <v>9.1999999999999993</v>
      </c>
      <c r="G46" s="39">
        <f t="shared" si="0"/>
        <v>9200</v>
      </c>
      <c r="I46" s="14" t="s">
        <v>265</v>
      </c>
      <c r="J46" s="19">
        <v>81705</v>
      </c>
      <c r="P46" s="22">
        <v>43</v>
      </c>
      <c r="Q46" s="24" t="s">
        <v>54</v>
      </c>
      <c r="R46" s="25">
        <f>VLOOKUP(Q46,KamiBox!$C$2:$F$58,4,0)</f>
        <v>1700</v>
      </c>
      <c r="S46" s="26">
        <v>0</v>
      </c>
      <c r="T46" s="25">
        <f t="shared" si="1"/>
        <v>0</v>
      </c>
      <c r="V46" s="22">
        <v>43</v>
      </c>
      <c r="W46" s="24" t="s">
        <v>54</v>
      </c>
      <c r="X46" s="25">
        <f>VLOOKUP(W46,KamiBox!$C$2:$F$58,4,0)</f>
        <v>1700</v>
      </c>
      <c r="Y46" s="26">
        <v>5.85</v>
      </c>
      <c r="Z46" s="25">
        <f t="shared" si="2"/>
        <v>9945</v>
      </c>
    </row>
    <row r="47" spans="1:26" x14ac:dyDescent="0.35">
      <c r="A47" s="30">
        <v>7</v>
      </c>
      <c r="B47" s="13" t="s">
        <v>250</v>
      </c>
      <c r="C47" s="1" t="s">
        <v>251</v>
      </c>
      <c r="D47" s="13" t="s">
        <v>34</v>
      </c>
      <c r="E47" s="17">
        <v>4000</v>
      </c>
      <c r="F47" s="43">
        <v>1.55</v>
      </c>
      <c r="G47" s="39">
        <f t="shared" si="0"/>
        <v>6200</v>
      </c>
      <c r="I47" s="14" t="s">
        <v>119</v>
      </c>
      <c r="J47" s="19">
        <v>6307.5</v>
      </c>
      <c r="P47" s="22">
        <v>44</v>
      </c>
      <c r="Q47" s="24" t="s">
        <v>266</v>
      </c>
      <c r="R47" s="25">
        <f>VLOOKUP(Q47,KamiBox!$C$2:$F$58,4,0)</f>
        <v>1700</v>
      </c>
      <c r="S47" s="26">
        <v>0</v>
      </c>
      <c r="T47" s="25">
        <f t="shared" si="1"/>
        <v>0</v>
      </c>
      <c r="V47" s="22">
        <v>44</v>
      </c>
      <c r="W47" s="24" t="s">
        <v>266</v>
      </c>
      <c r="X47" s="25">
        <f>VLOOKUP(W47,KamiBox!$C$2:$F$58,4,0)</f>
        <v>1700</v>
      </c>
      <c r="Y47" s="26">
        <v>0.75</v>
      </c>
      <c r="Z47" s="25">
        <f t="shared" si="2"/>
        <v>1275</v>
      </c>
    </row>
    <row r="48" spans="1:26" x14ac:dyDescent="0.35">
      <c r="A48" s="30">
        <v>7</v>
      </c>
      <c r="B48" s="13" t="s">
        <v>250</v>
      </c>
      <c r="D48" s="13" t="s">
        <v>18</v>
      </c>
      <c r="E48" s="17">
        <v>150</v>
      </c>
      <c r="F48" s="43">
        <v>0.45</v>
      </c>
      <c r="G48" s="39">
        <f t="shared" si="0"/>
        <v>67.5</v>
      </c>
      <c r="I48" s="14" t="s">
        <v>186</v>
      </c>
      <c r="J48" s="19">
        <v>8285</v>
      </c>
      <c r="P48" s="22">
        <v>45</v>
      </c>
      <c r="Q48" s="24" t="s">
        <v>55</v>
      </c>
      <c r="R48" s="25">
        <f>VLOOKUP(Q48,KamiBox!$C$2:$F$58,4,0)</f>
        <v>900</v>
      </c>
      <c r="S48" s="26">
        <f t="shared" ref="S48:S57" si="4">SUMIF($D$3:$D$382,Q48,$F$3:$F$382)</f>
        <v>0</v>
      </c>
      <c r="T48" s="25">
        <f t="shared" ref="T48:T57" si="5">R48*S48</f>
        <v>0</v>
      </c>
      <c r="V48" s="22">
        <v>45</v>
      </c>
      <c r="W48" s="24" t="s">
        <v>55</v>
      </c>
      <c r="X48" s="25">
        <f>VLOOKUP(W48,KamiBox!$C$2:$F$58,4,0)</f>
        <v>900</v>
      </c>
      <c r="Y48" s="26"/>
      <c r="Z48" s="25">
        <f t="shared" ref="Z48:Z57" si="6">X48*Y48</f>
        <v>0</v>
      </c>
    </row>
    <row r="49" spans="1:26" x14ac:dyDescent="0.35">
      <c r="A49" s="30">
        <v>7</v>
      </c>
      <c r="B49" s="13" t="s">
        <v>250</v>
      </c>
      <c r="D49" s="13" t="s">
        <v>39</v>
      </c>
      <c r="E49" s="17">
        <v>1500</v>
      </c>
      <c r="F49" s="43">
        <v>0.3</v>
      </c>
      <c r="G49" s="39">
        <f t="shared" si="0"/>
        <v>450</v>
      </c>
      <c r="I49" s="14" t="s">
        <v>231</v>
      </c>
      <c r="J49" s="19">
        <v>10600</v>
      </c>
      <c r="P49" s="22">
        <v>46</v>
      </c>
      <c r="Q49" s="24" t="s">
        <v>56</v>
      </c>
      <c r="R49" s="25">
        <f>VLOOKUP(Q49,KamiBox!$C$2:$F$58,4,0)</f>
        <v>700</v>
      </c>
      <c r="S49" s="26">
        <f t="shared" si="4"/>
        <v>1.6</v>
      </c>
      <c r="T49" s="25">
        <f t="shared" si="5"/>
        <v>1120</v>
      </c>
      <c r="V49" s="22">
        <v>46</v>
      </c>
      <c r="W49" s="24" t="s">
        <v>56</v>
      </c>
      <c r="X49" s="25">
        <f>VLOOKUP(W49,KamiBox!$C$2:$F$58,4,0)</f>
        <v>700</v>
      </c>
      <c r="Y49" s="26"/>
      <c r="Z49" s="25">
        <f t="shared" si="6"/>
        <v>0</v>
      </c>
    </row>
    <row r="50" spans="1:26" x14ac:dyDescent="0.35">
      <c r="A50" s="30">
        <v>7</v>
      </c>
      <c r="B50" s="13" t="s">
        <v>250</v>
      </c>
      <c r="D50" s="13" t="s">
        <v>51</v>
      </c>
      <c r="E50" s="17">
        <v>500</v>
      </c>
      <c r="F50" s="43">
        <v>0.85</v>
      </c>
      <c r="G50" s="39">
        <f t="shared" si="0"/>
        <v>425</v>
      </c>
      <c r="I50" s="14" t="s">
        <v>190</v>
      </c>
      <c r="J50" s="19">
        <v>17615</v>
      </c>
      <c r="P50" s="22">
        <v>47</v>
      </c>
      <c r="Q50" s="24" t="s">
        <v>57</v>
      </c>
      <c r="R50" s="25">
        <f>VLOOKUP(Q50,KamiBox!$C$2:$F$58,4,0)</f>
        <v>400</v>
      </c>
      <c r="S50" s="26">
        <f t="shared" si="4"/>
        <v>1.4000000000000001</v>
      </c>
      <c r="T50" s="25">
        <f t="shared" si="5"/>
        <v>560</v>
      </c>
      <c r="V50" s="22">
        <v>47</v>
      </c>
      <c r="W50" s="24" t="s">
        <v>57</v>
      </c>
      <c r="X50" s="25">
        <f>VLOOKUP(W50,KamiBox!$C$2:$F$58,4,0)</f>
        <v>400</v>
      </c>
      <c r="Y50" s="26"/>
      <c r="Z50" s="25">
        <f t="shared" si="6"/>
        <v>0</v>
      </c>
    </row>
    <row r="51" spans="1:26" x14ac:dyDescent="0.35">
      <c r="A51" s="30">
        <v>7</v>
      </c>
      <c r="B51" s="13" t="s">
        <v>250</v>
      </c>
      <c r="D51" s="13" t="s">
        <v>94</v>
      </c>
      <c r="E51" s="17">
        <v>2800</v>
      </c>
      <c r="F51" s="43">
        <v>3.65</v>
      </c>
      <c r="G51" s="39">
        <f t="shared" si="0"/>
        <v>10220</v>
      </c>
      <c r="I51" s="14" t="s">
        <v>228</v>
      </c>
      <c r="J51" s="19">
        <v>52477.5</v>
      </c>
      <c r="P51" s="22">
        <v>48</v>
      </c>
      <c r="Q51" s="24" t="s">
        <v>58</v>
      </c>
      <c r="R51" s="25">
        <f>VLOOKUP(Q51,KamiBox!$C$2:$F$58,4,0)</f>
        <v>60000</v>
      </c>
      <c r="S51" s="26">
        <f t="shared" si="4"/>
        <v>0</v>
      </c>
      <c r="T51" s="25">
        <f t="shared" si="5"/>
        <v>0</v>
      </c>
      <c r="V51" s="22">
        <v>48</v>
      </c>
      <c r="W51" s="24" t="s">
        <v>58</v>
      </c>
      <c r="X51" s="25">
        <f>VLOOKUP(W51,KamiBox!$C$2:$F$58,4,0)</f>
        <v>60000</v>
      </c>
      <c r="Y51" s="26"/>
      <c r="Z51" s="25">
        <f t="shared" si="6"/>
        <v>0</v>
      </c>
    </row>
    <row r="52" spans="1:26" x14ac:dyDescent="0.35">
      <c r="A52" s="30">
        <v>7</v>
      </c>
      <c r="B52" s="13" t="s">
        <v>250</v>
      </c>
      <c r="D52" s="13" t="s">
        <v>29</v>
      </c>
      <c r="E52" s="17">
        <v>1600</v>
      </c>
      <c r="F52" s="43">
        <v>0.7</v>
      </c>
      <c r="G52" s="39">
        <f t="shared" si="0"/>
        <v>1120</v>
      </c>
      <c r="I52" s="14" t="s">
        <v>270</v>
      </c>
      <c r="J52" s="19">
        <v>300</v>
      </c>
      <c r="P52" s="22">
        <v>49</v>
      </c>
      <c r="Q52" s="24" t="s">
        <v>59</v>
      </c>
      <c r="R52" s="25">
        <f>VLOOKUP(Q52,KamiBox!$C$2:$F$58,4,0)</f>
        <v>150</v>
      </c>
      <c r="S52" s="26">
        <f t="shared" si="4"/>
        <v>0</v>
      </c>
      <c r="T52" s="25">
        <f t="shared" si="5"/>
        <v>0</v>
      </c>
      <c r="V52" s="22">
        <v>49</v>
      </c>
      <c r="W52" s="24" t="s">
        <v>59</v>
      </c>
      <c r="X52" s="25">
        <f>VLOOKUP(W52,KamiBox!$C$2:$F$58,4,0)</f>
        <v>150</v>
      </c>
      <c r="Y52" s="26"/>
      <c r="Z52" s="25">
        <f t="shared" si="6"/>
        <v>0</v>
      </c>
    </row>
    <row r="53" spans="1:26" x14ac:dyDescent="0.35">
      <c r="A53" s="30">
        <v>7</v>
      </c>
      <c r="B53" s="13" t="s">
        <v>250</v>
      </c>
      <c r="D53" s="13" t="s">
        <v>53</v>
      </c>
      <c r="E53" s="17">
        <v>300</v>
      </c>
      <c r="F53" s="43">
        <v>0.95</v>
      </c>
      <c r="G53" s="39">
        <f t="shared" si="0"/>
        <v>285</v>
      </c>
      <c r="I53" s="14" t="s">
        <v>269</v>
      </c>
      <c r="J53" s="19">
        <v>885</v>
      </c>
      <c r="P53" s="22">
        <v>50</v>
      </c>
      <c r="Q53" s="24" t="s">
        <v>60</v>
      </c>
      <c r="R53" s="25">
        <f>VLOOKUP(Q53,KamiBox!$C$2:$F$58,4,0)</f>
        <v>3000</v>
      </c>
      <c r="S53" s="26">
        <f t="shared" si="4"/>
        <v>6.25</v>
      </c>
      <c r="T53" s="25">
        <f t="shared" si="5"/>
        <v>18750</v>
      </c>
      <c r="V53" s="22">
        <v>50</v>
      </c>
      <c r="W53" s="24" t="s">
        <v>60</v>
      </c>
      <c r="X53" s="25">
        <f>VLOOKUP(W53,KamiBox!$C$2:$F$58,4,0)</f>
        <v>3000</v>
      </c>
      <c r="Y53" s="26"/>
      <c r="Z53" s="25">
        <f t="shared" si="6"/>
        <v>0</v>
      </c>
    </row>
    <row r="54" spans="1:26" x14ac:dyDescent="0.35">
      <c r="A54" s="30">
        <v>7</v>
      </c>
      <c r="B54" s="13" t="s">
        <v>250</v>
      </c>
      <c r="D54" s="13" t="s">
        <v>25</v>
      </c>
      <c r="E54" s="17">
        <v>1000</v>
      </c>
      <c r="F54" s="43">
        <f>4.7+0.1</f>
        <v>4.8</v>
      </c>
      <c r="G54" s="39">
        <f t="shared" si="0"/>
        <v>4800</v>
      </c>
      <c r="I54" s="14" t="s">
        <v>120</v>
      </c>
      <c r="J54" s="19">
        <v>7520</v>
      </c>
      <c r="P54" s="22">
        <v>51</v>
      </c>
      <c r="Q54" s="24" t="s">
        <v>61</v>
      </c>
      <c r="R54" s="25">
        <f>VLOOKUP(Q54,KamiBox!$C$2:$F$58,4,0)</f>
        <v>4500</v>
      </c>
      <c r="S54" s="26">
        <f t="shared" si="4"/>
        <v>0.6</v>
      </c>
      <c r="T54" s="25">
        <f t="shared" si="5"/>
        <v>2700</v>
      </c>
      <c r="V54" s="22">
        <v>51</v>
      </c>
      <c r="W54" s="24" t="s">
        <v>61</v>
      </c>
      <c r="X54" s="25">
        <f>VLOOKUP(W54,KamiBox!$C$2:$F$58,4,0)</f>
        <v>4500</v>
      </c>
      <c r="Y54" s="26"/>
      <c r="Z54" s="25">
        <f t="shared" si="6"/>
        <v>0</v>
      </c>
    </row>
    <row r="55" spans="1:26" x14ac:dyDescent="0.35">
      <c r="A55" s="30">
        <v>7</v>
      </c>
      <c r="B55" s="13" t="s">
        <v>250</v>
      </c>
      <c r="D55" s="13" t="s">
        <v>54</v>
      </c>
      <c r="E55" s="17">
        <v>800</v>
      </c>
      <c r="F55" s="43">
        <v>0.3</v>
      </c>
      <c r="G55" s="39">
        <f t="shared" si="0"/>
        <v>240</v>
      </c>
      <c r="I55" s="14" t="s">
        <v>121</v>
      </c>
      <c r="J55" s="19">
        <v>23055</v>
      </c>
      <c r="P55" s="22">
        <v>52</v>
      </c>
      <c r="Q55" s="24" t="s">
        <v>62</v>
      </c>
      <c r="R55" s="25">
        <f>VLOOKUP(Q55,KamiBox!$C$2:$F$58,4,0)</f>
        <v>20000</v>
      </c>
      <c r="S55" s="26">
        <f t="shared" si="4"/>
        <v>0</v>
      </c>
      <c r="T55" s="25">
        <f t="shared" si="5"/>
        <v>0</v>
      </c>
      <c r="V55" s="22">
        <v>52</v>
      </c>
      <c r="W55" s="24" t="s">
        <v>62</v>
      </c>
      <c r="X55" s="25">
        <f>VLOOKUP(W55,KamiBox!$C$2:$F$58,4,0)</f>
        <v>20000</v>
      </c>
      <c r="Y55" s="26"/>
      <c r="Z55" s="25">
        <f t="shared" si="6"/>
        <v>0</v>
      </c>
    </row>
    <row r="56" spans="1:26" x14ac:dyDescent="0.35">
      <c r="A56" s="30">
        <v>7</v>
      </c>
      <c r="B56" s="13" t="s">
        <v>250</v>
      </c>
      <c r="D56" s="13" t="s">
        <v>41</v>
      </c>
      <c r="E56" s="17">
        <v>1000</v>
      </c>
      <c r="F56" s="43">
        <v>8.5500000000000007</v>
      </c>
      <c r="G56" s="39">
        <f t="shared" si="0"/>
        <v>8550</v>
      </c>
      <c r="I56" s="14" t="s">
        <v>272</v>
      </c>
      <c r="J56" s="19">
        <v>495</v>
      </c>
      <c r="P56" s="22">
        <v>53</v>
      </c>
      <c r="Q56" s="24" t="s">
        <v>63</v>
      </c>
      <c r="R56" s="25">
        <f>VLOOKUP(Q56,KamiBox!$C$2:$F$58,4,0)</f>
        <v>1000</v>
      </c>
      <c r="S56" s="26">
        <f t="shared" si="4"/>
        <v>0</v>
      </c>
      <c r="T56" s="25">
        <f t="shared" si="5"/>
        <v>0</v>
      </c>
      <c r="V56" s="22">
        <v>53</v>
      </c>
      <c r="W56" s="24" t="s">
        <v>63</v>
      </c>
      <c r="X56" s="25">
        <f>VLOOKUP(W56,KamiBox!$C$2:$F$58,4,0)</f>
        <v>1000</v>
      </c>
      <c r="Y56" s="26"/>
      <c r="Z56" s="25">
        <f t="shared" si="6"/>
        <v>0</v>
      </c>
    </row>
    <row r="57" spans="1:26" x14ac:dyDescent="0.35">
      <c r="A57" s="30">
        <v>8</v>
      </c>
      <c r="B57" s="13" t="s">
        <v>253</v>
      </c>
      <c r="C57" s="1">
        <v>5</v>
      </c>
      <c r="D57" t="s">
        <v>11</v>
      </c>
      <c r="E57" s="17">
        <v>8000</v>
      </c>
      <c r="F57" s="43">
        <v>0.15</v>
      </c>
      <c r="G57" s="39">
        <f t="shared" si="0"/>
        <v>1200</v>
      </c>
      <c r="I57" s="14" t="s">
        <v>273</v>
      </c>
      <c r="J57" s="19">
        <v>3700</v>
      </c>
      <c r="P57" s="47">
        <v>54</v>
      </c>
      <c r="Q57" s="24" t="s">
        <v>263</v>
      </c>
      <c r="R57" s="25">
        <f>VLOOKUP(Q57,KamiBox!$C$2:$F$58,4,0)</f>
        <v>1200</v>
      </c>
      <c r="S57" s="26">
        <f t="shared" si="4"/>
        <v>0.1</v>
      </c>
      <c r="T57" s="25">
        <f t="shared" si="5"/>
        <v>120</v>
      </c>
      <c r="V57" s="47">
        <v>54</v>
      </c>
      <c r="W57" s="24" t="s">
        <v>263</v>
      </c>
      <c r="X57" s="25">
        <f>VLOOKUP(W57,KamiBox!$C$2:$F$58,4,0)</f>
        <v>1200</v>
      </c>
      <c r="Y57" s="26"/>
      <c r="Z57" s="25">
        <f t="shared" si="6"/>
        <v>0</v>
      </c>
    </row>
    <row r="58" spans="1:26" x14ac:dyDescent="0.35">
      <c r="A58" s="30">
        <v>8</v>
      </c>
      <c r="B58" s="13" t="s">
        <v>253</v>
      </c>
      <c r="D58" s="13" t="s">
        <v>100</v>
      </c>
      <c r="E58" s="17">
        <v>1400</v>
      </c>
      <c r="F58" s="43">
        <v>19.8</v>
      </c>
      <c r="G58" s="39">
        <f t="shared" si="0"/>
        <v>27720</v>
      </c>
      <c r="I58" s="14" t="s">
        <v>271</v>
      </c>
      <c r="J58" s="19">
        <v>4800</v>
      </c>
      <c r="P58" s="24"/>
      <c r="Q58" s="24"/>
      <c r="R58" s="27" t="s">
        <v>135</v>
      </c>
      <c r="S58" s="27">
        <f>SUM(S4:S57)</f>
        <v>671.05</v>
      </c>
      <c r="T58" s="28">
        <f>SUM(T4:T57)</f>
        <v>1321765</v>
      </c>
      <c r="V58" s="24"/>
      <c r="W58" s="24"/>
      <c r="X58" s="27" t="s">
        <v>135</v>
      </c>
      <c r="Y58" s="27">
        <f>SUM(Y4:Y57)</f>
        <v>40</v>
      </c>
      <c r="Z58" s="28">
        <f>SUM(Z4:Z57)</f>
        <v>102320</v>
      </c>
    </row>
    <row r="59" spans="1:26" x14ac:dyDescent="0.35">
      <c r="A59" s="30">
        <v>8</v>
      </c>
      <c r="B59" s="13" t="s">
        <v>253</v>
      </c>
      <c r="D59" s="13" t="s">
        <v>13</v>
      </c>
      <c r="E59" s="17">
        <v>200</v>
      </c>
      <c r="F59" s="43">
        <v>0.35</v>
      </c>
      <c r="G59" s="39">
        <f t="shared" si="0"/>
        <v>70</v>
      </c>
      <c r="I59" s="14" t="s">
        <v>245</v>
      </c>
      <c r="J59" s="19">
        <v>10080</v>
      </c>
    </row>
    <row r="60" spans="1:26" x14ac:dyDescent="0.35">
      <c r="A60" s="30">
        <v>8</v>
      </c>
      <c r="B60" s="13" t="s">
        <v>253</v>
      </c>
      <c r="D60" s="13" t="s">
        <v>53</v>
      </c>
      <c r="E60" s="17">
        <v>300</v>
      </c>
      <c r="F60" s="43">
        <v>0.3</v>
      </c>
      <c r="G60" s="39">
        <f t="shared" si="0"/>
        <v>90</v>
      </c>
      <c r="I60" s="14" t="s">
        <v>124</v>
      </c>
      <c r="J60" s="19">
        <v>865942.5</v>
      </c>
    </row>
    <row r="61" spans="1:26" x14ac:dyDescent="0.35">
      <c r="A61" s="30">
        <v>8</v>
      </c>
      <c r="B61" s="13" t="s">
        <v>253</v>
      </c>
      <c r="D61" s="13" t="s">
        <v>94</v>
      </c>
      <c r="E61" s="17">
        <v>2800</v>
      </c>
      <c r="F61" s="43">
        <v>2.85</v>
      </c>
      <c r="G61" s="39">
        <f t="shared" si="0"/>
        <v>7980</v>
      </c>
    </row>
    <row r="62" spans="1:26" x14ac:dyDescent="0.35">
      <c r="A62" s="30">
        <v>8</v>
      </c>
      <c r="B62" s="13" t="s">
        <v>253</v>
      </c>
      <c r="D62" s="13" t="s">
        <v>60</v>
      </c>
      <c r="E62" s="17">
        <v>2500</v>
      </c>
      <c r="F62" s="43">
        <v>0.25</v>
      </c>
      <c r="G62" s="39">
        <f t="shared" si="0"/>
        <v>625</v>
      </c>
    </row>
    <row r="63" spans="1:26" x14ac:dyDescent="0.35">
      <c r="A63" s="30">
        <v>8</v>
      </c>
      <c r="B63" s="13" t="s">
        <v>253</v>
      </c>
      <c r="D63" s="13" t="s">
        <v>26</v>
      </c>
      <c r="E63" s="17">
        <v>1000</v>
      </c>
      <c r="F63" s="43">
        <v>1.1499999999999999</v>
      </c>
      <c r="G63" s="39">
        <f t="shared" si="0"/>
        <v>1150</v>
      </c>
    </row>
    <row r="64" spans="1:26" x14ac:dyDescent="0.35">
      <c r="A64" s="30">
        <v>8</v>
      </c>
      <c r="B64" s="13" t="s">
        <v>253</v>
      </c>
      <c r="D64" s="13" t="s">
        <v>51</v>
      </c>
      <c r="E64" s="17">
        <v>500</v>
      </c>
      <c r="F64" s="43">
        <v>2.4</v>
      </c>
      <c r="G64" s="39">
        <f t="shared" si="0"/>
        <v>1200</v>
      </c>
    </row>
    <row r="65" spans="1:9" x14ac:dyDescent="0.35">
      <c r="A65" s="30">
        <v>8</v>
      </c>
      <c r="B65" s="13" t="s">
        <v>253</v>
      </c>
      <c r="D65" s="13" t="s">
        <v>126</v>
      </c>
      <c r="E65" s="17">
        <v>1800</v>
      </c>
      <c r="F65" s="43">
        <v>5.2</v>
      </c>
      <c r="G65" s="39">
        <f t="shared" si="0"/>
        <v>9360</v>
      </c>
      <c r="I65" s="14" t="s">
        <v>73</v>
      </c>
    </row>
    <row r="66" spans="1:9" x14ac:dyDescent="0.35">
      <c r="A66" s="30">
        <v>8</v>
      </c>
      <c r="B66" s="13" t="s">
        <v>253</v>
      </c>
      <c r="D66" s="13" t="s">
        <v>39</v>
      </c>
      <c r="E66" s="17">
        <v>1500</v>
      </c>
      <c r="F66" s="43">
        <v>0.85</v>
      </c>
      <c r="G66" s="39">
        <f t="shared" si="0"/>
        <v>1275</v>
      </c>
      <c r="I66" s="5">
        <f>(T58+Z58)-GETPIVOTDATA("Total Harga",$I$2)</f>
        <v>558142.5</v>
      </c>
    </row>
    <row r="67" spans="1:9" x14ac:dyDescent="0.35">
      <c r="A67" s="30">
        <v>8</v>
      </c>
      <c r="B67" s="13" t="s">
        <v>253</v>
      </c>
      <c r="D67" s="13" t="s">
        <v>18</v>
      </c>
      <c r="E67" s="17">
        <v>150</v>
      </c>
      <c r="F67" s="43">
        <v>5.95</v>
      </c>
      <c r="G67" s="39">
        <f t="shared" ref="G67:G130" si="7">E67*F67</f>
        <v>892.5</v>
      </c>
    </row>
    <row r="68" spans="1:9" x14ac:dyDescent="0.35">
      <c r="A68" s="30">
        <v>8</v>
      </c>
      <c r="B68" s="13" t="s">
        <v>253</v>
      </c>
      <c r="D68" s="13" t="s">
        <v>25</v>
      </c>
      <c r="E68" s="17">
        <v>1000</v>
      </c>
      <c r="F68" s="43">
        <v>17.05</v>
      </c>
      <c r="G68" s="39">
        <f t="shared" si="7"/>
        <v>17050</v>
      </c>
    </row>
    <row r="69" spans="1:9" x14ac:dyDescent="0.35">
      <c r="A69" s="30">
        <v>8</v>
      </c>
      <c r="B69" s="13" t="s">
        <v>253</v>
      </c>
      <c r="D69" s="13" t="s">
        <v>41</v>
      </c>
      <c r="E69" s="17">
        <v>1000</v>
      </c>
      <c r="F69" s="43">
        <v>13.15</v>
      </c>
      <c r="G69" s="39">
        <f t="shared" si="7"/>
        <v>13150</v>
      </c>
    </row>
    <row r="70" spans="1:9" x14ac:dyDescent="0.35">
      <c r="A70" s="30">
        <v>9</v>
      </c>
      <c r="B70" s="13" t="s">
        <v>117</v>
      </c>
      <c r="D70" s="13" t="s">
        <v>15</v>
      </c>
      <c r="E70" s="17">
        <v>2500</v>
      </c>
      <c r="F70" s="43">
        <v>8.15</v>
      </c>
      <c r="G70" s="39">
        <f t="shared" si="7"/>
        <v>20375</v>
      </c>
    </row>
    <row r="71" spans="1:9" x14ac:dyDescent="0.35">
      <c r="A71" s="30">
        <v>9</v>
      </c>
      <c r="B71" s="13" t="s">
        <v>117</v>
      </c>
      <c r="D71" s="13" t="s">
        <v>29</v>
      </c>
      <c r="E71" s="17">
        <v>1600</v>
      </c>
      <c r="F71" s="43">
        <v>0.1</v>
      </c>
      <c r="G71" s="39">
        <f t="shared" si="7"/>
        <v>160</v>
      </c>
    </row>
    <row r="72" spans="1:9" x14ac:dyDescent="0.35">
      <c r="A72" s="30">
        <v>9</v>
      </c>
      <c r="B72" s="13" t="s">
        <v>117</v>
      </c>
      <c r="D72" s="13" t="s">
        <v>18</v>
      </c>
      <c r="E72" s="17">
        <v>150</v>
      </c>
      <c r="F72" s="43">
        <v>1.35</v>
      </c>
      <c r="G72" s="39">
        <f t="shared" si="7"/>
        <v>202.5</v>
      </c>
    </row>
    <row r="73" spans="1:9" x14ac:dyDescent="0.35">
      <c r="A73" s="30">
        <v>9</v>
      </c>
      <c r="B73" s="13" t="s">
        <v>117</v>
      </c>
      <c r="D73" s="13" t="s">
        <v>126</v>
      </c>
      <c r="E73" s="17">
        <v>1800</v>
      </c>
      <c r="F73" s="43">
        <v>1.1000000000000001</v>
      </c>
      <c r="G73" s="39">
        <f t="shared" si="7"/>
        <v>1980.0000000000002</v>
      </c>
    </row>
    <row r="74" spans="1:9" x14ac:dyDescent="0.35">
      <c r="A74" s="30">
        <v>9</v>
      </c>
      <c r="B74" s="13" t="s">
        <v>117</v>
      </c>
      <c r="D74" s="13" t="s">
        <v>27</v>
      </c>
      <c r="E74" s="17">
        <v>2500</v>
      </c>
      <c r="F74" s="43">
        <v>0.7</v>
      </c>
      <c r="G74" s="39">
        <f t="shared" si="7"/>
        <v>1750</v>
      </c>
    </row>
    <row r="75" spans="1:9" x14ac:dyDescent="0.35">
      <c r="A75" s="30">
        <v>9</v>
      </c>
      <c r="B75" s="13" t="s">
        <v>117</v>
      </c>
      <c r="D75" s="13" t="s">
        <v>60</v>
      </c>
      <c r="E75" s="17">
        <v>2500</v>
      </c>
      <c r="F75" s="43">
        <v>0.35</v>
      </c>
      <c r="G75" s="39">
        <f t="shared" si="7"/>
        <v>875</v>
      </c>
    </row>
    <row r="76" spans="1:9" x14ac:dyDescent="0.35">
      <c r="A76" s="30">
        <v>9</v>
      </c>
      <c r="B76" s="13" t="s">
        <v>117</v>
      </c>
      <c r="D76" s="13" t="s">
        <v>25</v>
      </c>
      <c r="E76" s="17">
        <v>1000</v>
      </c>
      <c r="F76" s="43">
        <v>1.8</v>
      </c>
      <c r="G76" s="39">
        <f t="shared" si="7"/>
        <v>1800</v>
      </c>
    </row>
    <row r="77" spans="1:9" x14ac:dyDescent="0.35">
      <c r="A77" s="30">
        <v>9</v>
      </c>
      <c r="B77" s="13" t="s">
        <v>117</v>
      </c>
      <c r="D77" s="13" t="s">
        <v>13</v>
      </c>
      <c r="E77" s="17">
        <v>200</v>
      </c>
      <c r="F77" s="43">
        <v>0.6</v>
      </c>
      <c r="G77" s="39">
        <f t="shared" si="7"/>
        <v>120</v>
      </c>
    </row>
    <row r="78" spans="1:9" x14ac:dyDescent="0.35">
      <c r="A78" s="30">
        <v>9</v>
      </c>
      <c r="B78" s="13" t="s">
        <v>117</v>
      </c>
      <c r="D78" s="13" t="s">
        <v>53</v>
      </c>
      <c r="E78" s="17">
        <v>300</v>
      </c>
      <c r="F78" s="43">
        <v>0.55000000000000004</v>
      </c>
      <c r="G78" s="39">
        <f t="shared" si="7"/>
        <v>165</v>
      </c>
    </row>
    <row r="79" spans="1:9" x14ac:dyDescent="0.35">
      <c r="A79" s="30">
        <v>9</v>
      </c>
      <c r="B79" s="13" t="s">
        <v>117</v>
      </c>
      <c r="D79" s="13" t="s">
        <v>94</v>
      </c>
      <c r="E79" s="17">
        <v>2800</v>
      </c>
      <c r="F79" s="43">
        <v>1.85</v>
      </c>
      <c r="G79" s="39">
        <f t="shared" si="7"/>
        <v>5180</v>
      </c>
    </row>
    <row r="80" spans="1:9" x14ac:dyDescent="0.35">
      <c r="A80" s="30">
        <v>9</v>
      </c>
      <c r="B80" s="13" t="s">
        <v>117</v>
      </c>
      <c r="D80" s="13" t="s">
        <v>41</v>
      </c>
      <c r="E80" s="17">
        <v>1000</v>
      </c>
      <c r="F80" s="43">
        <v>7.95</v>
      </c>
      <c r="G80" s="39">
        <f t="shared" si="7"/>
        <v>7950</v>
      </c>
    </row>
    <row r="81" spans="1:7" x14ac:dyDescent="0.35">
      <c r="A81" s="30">
        <v>10</v>
      </c>
      <c r="B81" s="13" t="s">
        <v>108</v>
      </c>
      <c r="D81" s="13" t="s">
        <v>53</v>
      </c>
      <c r="E81" s="17">
        <v>300</v>
      </c>
      <c r="F81" s="43">
        <v>0.2</v>
      </c>
      <c r="G81" s="39">
        <f t="shared" si="7"/>
        <v>60</v>
      </c>
    </row>
    <row r="82" spans="1:7" x14ac:dyDescent="0.35">
      <c r="A82" s="30">
        <v>10</v>
      </c>
      <c r="B82" s="13" t="s">
        <v>108</v>
      </c>
      <c r="D82" s="13" t="s">
        <v>34</v>
      </c>
      <c r="E82" s="17">
        <v>4000</v>
      </c>
      <c r="F82" s="43">
        <v>1.1000000000000001</v>
      </c>
      <c r="G82" s="39">
        <f t="shared" si="7"/>
        <v>4400</v>
      </c>
    </row>
    <row r="83" spans="1:7" x14ac:dyDescent="0.35">
      <c r="A83" s="30">
        <v>10</v>
      </c>
      <c r="B83" s="13" t="s">
        <v>108</v>
      </c>
      <c r="D83" s="13" t="s">
        <v>18</v>
      </c>
      <c r="E83" s="17">
        <v>150</v>
      </c>
      <c r="F83" s="43">
        <v>0.4</v>
      </c>
      <c r="G83" s="39">
        <f t="shared" si="7"/>
        <v>60</v>
      </c>
    </row>
    <row r="84" spans="1:7" x14ac:dyDescent="0.35">
      <c r="A84" s="30">
        <v>10</v>
      </c>
      <c r="B84" s="13" t="s">
        <v>108</v>
      </c>
      <c r="D84" s="13" t="s">
        <v>39</v>
      </c>
      <c r="E84" s="17">
        <v>1500</v>
      </c>
      <c r="F84" s="43">
        <v>0.15</v>
      </c>
      <c r="G84" s="39">
        <f t="shared" si="7"/>
        <v>225</v>
      </c>
    </row>
    <row r="85" spans="1:7" x14ac:dyDescent="0.35">
      <c r="A85" s="30">
        <v>10</v>
      </c>
      <c r="B85" s="13" t="s">
        <v>108</v>
      </c>
      <c r="D85" s="13" t="s">
        <v>25</v>
      </c>
      <c r="E85" s="17">
        <v>1000</v>
      </c>
      <c r="F85" s="43">
        <v>0.2</v>
      </c>
      <c r="G85" s="39">
        <f t="shared" si="7"/>
        <v>200</v>
      </c>
    </row>
    <row r="86" spans="1:7" x14ac:dyDescent="0.35">
      <c r="A86" s="30">
        <v>10</v>
      </c>
      <c r="B86" s="13" t="s">
        <v>108</v>
      </c>
      <c r="D86" s="13" t="s">
        <v>22</v>
      </c>
      <c r="E86" s="17">
        <v>1600</v>
      </c>
      <c r="F86" s="43">
        <v>0.05</v>
      </c>
      <c r="G86" s="39">
        <f t="shared" si="7"/>
        <v>80</v>
      </c>
    </row>
    <row r="87" spans="1:7" x14ac:dyDescent="0.35">
      <c r="A87" s="30">
        <v>10</v>
      </c>
      <c r="B87" s="13" t="s">
        <v>108</v>
      </c>
      <c r="D87" s="13" t="s">
        <v>94</v>
      </c>
      <c r="E87" s="17">
        <v>2800</v>
      </c>
      <c r="F87" s="43">
        <v>2.4500000000000002</v>
      </c>
      <c r="G87" s="39">
        <f t="shared" si="7"/>
        <v>6860.0000000000009</v>
      </c>
    </row>
    <row r="88" spans="1:7" x14ac:dyDescent="0.35">
      <c r="A88" s="30">
        <v>10</v>
      </c>
      <c r="B88" s="13" t="s">
        <v>116</v>
      </c>
      <c r="D88" s="13" t="s">
        <v>51</v>
      </c>
      <c r="E88" s="17">
        <v>500</v>
      </c>
      <c r="F88" s="43">
        <v>1.3</v>
      </c>
      <c r="G88" s="39">
        <f t="shared" si="7"/>
        <v>650</v>
      </c>
    </row>
    <row r="89" spans="1:7" x14ac:dyDescent="0.35">
      <c r="A89" s="30">
        <v>10</v>
      </c>
      <c r="B89" s="13" t="s">
        <v>116</v>
      </c>
      <c r="D89" s="13" t="s">
        <v>60</v>
      </c>
      <c r="E89" s="17">
        <v>2500</v>
      </c>
      <c r="F89" s="43">
        <v>0.3</v>
      </c>
      <c r="G89" s="39">
        <f t="shared" si="7"/>
        <v>750</v>
      </c>
    </row>
    <row r="90" spans="1:7" x14ac:dyDescent="0.35">
      <c r="A90" s="30">
        <v>10</v>
      </c>
      <c r="B90" s="13" t="s">
        <v>116</v>
      </c>
      <c r="D90" s="13" t="s">
        <v>25</v>
      </c>
      <c r="E90" s="17">
        <v>1000</v>
      </c>
      <c r="F90" s="43">
        <v>0.35</v>
      </c>
      <c r="G90" s="39">
        <f t="shared" si="7"/>
        <v>350</v>
      </c>
    </row>
    <row r="91" spans="1:7" x14ac:dyDescent="0.35">
      <c r="A91" s="30">
        <v>10</v>
      </c>
      <c r="B91" s="13" t="s">
        <v>116</v>
      </c>
      <c r="D91" s="13" t="s">
        <v>18</v>
      </c>
      <c r="E91" s="17">
        <v>150</v>
      </c>
      <c r="F91" s="43">
        <v>2.2000000000000002</v>
      </c>
      <c r="G91" s="39">
        <f t="shared" si="7"/>
        <v>330</v>
      </c>
    </row>
    <row r="92" spans="1:7" x14ac:dyDescent="0.35">
      <c r="A92" s="30">
        <v>10</v>
      </c>
      <c r="B92" s="13" t="s">
        <v>116</v>
      </c>
      <c r="D92" s="13" t="s">
        <v>28</v>
      </c>
      <c r="E92" s="17">
        <v>3500</v>
      </c>
      <c r="F92" s="43">
        <v>0.15</v>
      </c>
      <c r="G92" s="39">
        <f t="shared" si="7"/>
        <v>525</v>
      </c>
    </row>
    <row r="93" spans="1:7" x14ac:dyDescent="0.35">
      <c r="A93" s="30">
        <v>10</v>
      </c>
      <c r="B93" s="13" t="s">
        <v>116</v>
      </c>
      <c r="D93" s="13" t="s">
        <v>13</v>
      </c>
      <c r="E93" s="17">
        <v>200</v>
      </c>
      <c r="F93" s="43">
        <v>0.35</v>
      </c>
      <c r="G93" s="39">
        <f t="shared" si="7"/>
        <v>70</v>
      </c>
    </row>
    <row r="94" spans="1:7" x14ac:dyDescent="0.35">
      <c r="A94" s="30">
        <v>10</v>
      </c>
      <c r="B94" s="13" t="s">
        <v>116</v>
      </c>
      <c r="D94" s="13" t="s">
        <v>53</v>
      </c>
      <c r="E94" s="17">
        <v>300</v>
      </c>
      <c r="F94" s="43">
        <v>0.75</v>
      </c>
      <c r="G94" s="39">
        <f t="shared" si="7"/>
        <v>225</v>
      </c>
    </row>
    <row r="95" spans="1:7" x14ac:dyDescent="0.35">
      <c r="A95" s="30">
        <v>10</v>
      </c>
      <c r="B95" s="13" t="s">
        <v>116</v>
      </c>
      <c r="D95" s="13" t="s">
        <v>26</v>
      </c>
      <c r="E95" s="17">
        <v>1000</v>
      </c>
      <c r="F95" s="43">
        <v>0.95</v>
      </c>
      <c r="G95" s="39">
        <f t="shared" si="7"/>
        <v>950</v>
      </c>
    </row>
    <row r="96" spans="1:7" x14ac:dyDescent="0.35">
      <c r="A96" s="30">
        <v>10</v>
      </c>
      <c r="B96" s="13" t="s">
        <v>116</v>
      </c>
      <c r="D96" s="13" t="s">
        <v>39</v>
      </c>
      <c r="E96" s="17">
        <v>1500</v>
      </c>
      <c r="F96" s="43">
        <v>0.4</v>
      </c>
      <c r="G96" s="39">
        <f t="shared" si="7"/>
        <v>600</v>
      </c>
    </row>
    <row r="97" spans="1:7" x14ac:dyDescent="0.35">
      <c r="A97" s="30">
        <v>10</v>
      </c>
      <c r="B97" s="13" t="s">
        <v>116</v>
      </c>
      <c r="D97" s="13" t="s">
        <v>94</v>
      </c>
      <c r="E97" s="17">
        <v>2800</v>
      </c>
      <c r="F97" s="43">
        <v>1.35</v>
      </c>
      <c r="G97" s="39">
        <f t="shared" si="7"/>
        <v>3780.0000000000005</v>
      </c>
    </row>
    <row r="98" spans="1:7" x14ac:dyDescent="0.35">
      <c r="A98" s="30">
        <v>10</v>
      </c>
      <c r="B98" s="13" t="s">
        <v>116</v>
      </c>
      <c r="D98" s="13" t="s">
        <v>41</v>
      </c>
      <c r="E98" s="17">
        <v>1000</v>
      </c>
      <c r="F98" s="43">
        <v>12.85</v>
      </c>
      <c r="G98" s="39">
        <f t="shared" si="7"/>
        <v>12850</v>
      </c>
    </row>
    <row r="99" spans="1:7" x14ac:dyDescent="0.35">
      <c r="A99" s="30">
        <v>12</v>
      </c>
      <c r="B99" s="13" t="s">
        <v>119</v>
      </c>
      <c r="D99" s="13" t="s">
        <v>18</v>
      </c>
      <c r="E99" s="17">
        <v>150</v>
      </c>
      <c r="F99" s="43">
        <v>0.75</v>
      </c>
      <c r="G99" s="39">
        <f t="shared" si="7"/>
        <v>112.5</v>
      </c>
    </row>
    <row r="100" spans="1:7" x14ac:dyDescent="0.35">
      <c r="A100" s="30">
        <v>12</v>
      </c>
      <c r="B100" s="13" t="s">
        <v>119</v>
      </c>
      <c r="D100" s="13" t="s">
        <v>53</v>
      </c>
      <c r="E100" s="17">
        <v>300</v>
      </c>
      <c r="F100" s="43">
        <v>1.65</v>
      </c>
      <c r="G100" s="39">
        <f t="shared" si="7"/>
        <v>495</v>
      </c>
    </row>
    <row r="101" spans="1:7" x14ac:dyDescent="0.35">
      <c r="A101" s="30">
        <v>12</v>
      </c>
      <c r="B101" s="13" t="s">
        <v>119</v>
      </c>
      <c r="D101" s="13" t="s">
        <v>26</v>
      </c>
      <c r="E101" s="17">
        <v>1000</v>
      </c>
      <c r="F101" s="43">
        <v>1.4</v>
      </c>
      <c r="G101" s="39">
        <f t="shared" si="7"/>
        <v>1400</v>
      </c>
    </row>
    <row r="102" spans="1:7" x14ac:dyDescent="0.35">
      <c r="A102" s="30">
        <v>12</v>
      </c>
      <c r="B102" s="13" t="s">
        <v>119</v>
      </c>
      <c r="D102" s="13" t="s">
        <v>41</v>
      </c>
      <c r="E102" s="17">
        <v>1000</v>
      </c>
      <c r="F102" s="43">
        <v>4.3</v>
      </c>
      <c r="G102" s="39">
        <f t="shared" si="7"/>
        <v>4300</v>
      </c>
    </row>
    <row r="103" spans="1:7" x14ac:dyDescent="0.35">
      <c r="A103" s="30">
        <v>13</v>
      </c>
      <c r="B103" s="13" t="s">
        <v>176</v>
      </c>
      <c r="D103" s="13" t="s">
        <v>126</v>
      </c>
      <c r="E103" s="17">
        <v>1800</v>
      </c>
      <c r="F103" s="43">
        <v>0.4</v>
      </c>
      <c r="G103" s="39">
        <f t="shared" si="7"/>
        <v>720</v>
      </c>
    </row>
    <row r="104" spans="1:7" x14ac:dyDescent="0.35">
      <c r="A104" s="30">
        <v>13</v>
      </c>
      <c r="B104" s="13" t="s">
        <v>176</v>
      </c>
      <c r="D104" s="13" t="s">
        <v>18</v>
      </c>
      <c r="E104" s="17">
        <v>150</v>
      </c>
      <c r="F104" s="43">
        <v>1.25</v>
      </c>
      <c r="G104" s="39">
        <f t="shared" si="7"/>
        <v>187.5</v>
      </c>
    </row>
    <row r="105" spans="1:7" x14ac:dyDescent="0.35">
      <c r="A105" s="30">
        <v>13</v>
      </c>
      <c r="B105" s="13" t="s">
        <v>176</v>
      </c>
      <c r="D105" s="13" t="s">
        <v>61</v>
      </c>
      <c r="E105" s="17">
        <v>3500</v>
      </c>
      <c r="F105" s="43">
        <v>0.1</v>
      </c>
      <c r="G105" s="39">
        <f t="shared" si="7"/>
        <v>350</v>
      </c>
    </row>
    <row r="106" spans="1:7" x14ac:dyDescent="0.35">
      <c r="A106" s="30">
        <v>13</v>
      </c>
      <c r="B106" s="13" t="s">
        <v>176</v>
      </c>
      <c r="D106" s="13" t="s">
        <v>60</v>
      </c>
      <c r="E106" s="17">
        <v>2500</v>
      </c>
      <c r="F106" s="43">
        <v>0.15</v>
      </c>
      <c r="G106" s="39">
        <f t="shared" si="7"/>
        <v>375</v>
      </c>
    </row>
    <row r="107" spans="1:7" x14ac:dyDescent="0.35">
      <c r="A107" s="30">
        <v>13</v>
      </c>
      <c r="B107" s="13" t="s">
        <v>176</v>
      </c>
      <c r="D107" s="13" t="s">
        <v>53</v>
      </c>
      <c r="E107" s="17">
        <v>300</v>
      </c>
      <c r="F107" s="43">
        <v>0.95</v>
      </c>
      <c r="G107" s="39">
        <f t="shared" si="7"/>
        <v>285</v>
      </c>
    </row>
    <row r="108" spans="1:7" x14ac:dyDescent="0.35">
      <c r="A108" s="30">
        <v>13</v>
      </c>
      <c r="B108" s="13" t="s">
        <v>176</v>
      </c>
      <c r="D108" s="13" t="s">
        <v>26</v>
      </c>
      <c r="E108" s="17">
        <v>1000</v>
      </c>
      <c r="F108" s="43">
        <v>2</v>
      </c>
      <c r="G108" s="39">
        <f t="shared" si="7"/>
        <v>2000</v>
      </c>
    </row>
    <row r="109" spans="1:7" x14ac:dyDescent="0.35">
      <c r="A109" s="30">
        <v>13</v>
      </c>
      <c r="B109" s="13" t="s">
        <v>176</v>
      </c>
      <c r="D109" s="13" t="s">
        <v>41</v>
      </c>
      <c r="E109" s="17">
        <v>1000</v>
      </c>
      <c r="F109" s="43">
        <v>0.4</v>
      </c>
      <c r="G109" s="39">
        <f t="shared" si="7"/>
        <v>400</v>
      </c>
    </row>
    <row r="110" spans="1:7" x14ac:dyDescent="0.35">
      <c r="A110" s="30">
        <v>13</v>
      </c>
      <c r="B110" s="13" t="s">
        <v>176</v>
      </c>
      <c r="D110" s="13" t="s">
        <v>51</v>
      </c>
      <c r="E110" s="17">
        <v>500</v>
      </c>
      <c r="F110" s="43">
        <v>1.2</v>
      </c>
      <c r="G110" s="39">
        <f t="shared" si="7"/>
        <v>600</v>
      </c>
    </row>
    <row r="111" spans="1:7" x14ac:dyDescent="0.35">
      <c r="A111" s="30">
        <v>13</v>
      </c>
      <c r="B111" s="13" t="s">
        <v>176</v>
      </c>
      <c r="D111" s="13" t="s">
        <v>94</v>
      </c>
      <c r="E111" s="17">
        <v>2800</v>
      </c>
      <c r="F111" s="43">
        <v>1</v>
      </c>
      <c r="G111" s="39">
        <f t="shared" si="7"/>
        <v>2800</v>
      </c>
    </row>
    <row r="112" spans="1:7" x14ac:dyDescent="0.35">
      <c r="A112" s="30">
        <v>13</v>
      </c>
      <c r="B112" s="13" t="s">
        <v>176</v>
      </c>
      <c r="D112" s="13" t="s">
        <v>25</v>
      </c>
      <c r="E112" s="17">
        <v>1000</v>
      </c>
      <c r="F112" s="43">
        <v>0.75</v>
      </c>
      <c r="G112" s="39">
        <f t="shared" si="7"/>
        <v>750</v>
      </c>
    </row>
    <row r="113" spans="1:7" x14ac:dyDescent="0.35">
      <c r="A113" s="30">
        <v>14</v>
      </c>
      <c r="B113" s="13" t="s">
        <v>107</v>
      </c>
      <c r="D113" s="13" t="s">
        <v>30</v>
      </c>
      <c r="E113" s="17">
        <v>1800</v>
      </c>
      <c r="F113" s="43">
        <v>1</v>
      </c>
      <c r="G113" s="39">
        <f t="shared" si="7"/>
        <v>1800</v>
      </c>
    </row>
    <row r="114" spans="1:7" x14ac:dyDescent="0.35">
      <c r="A114" s="30">
        <v>14</v>
      </c>
      <c r="B114" s="13" t="s">
        <v>107</v>
      </c>
      <c r="D114" s="13" t="s">
        <v>26</v>
      </c>
      <c r="E114" s="17">
        <v>1000</v>
      </c>
      <c r="F114" s="43">
        <v>1.6</v>
      </c>
      <c r="G114" s="39">
        <f t="shared" si="7"/>
        <v>1600</v>
      </c>
    </row>
    <row r="115" spans="1:7" x14ac:dyDescent="0.35">
      <c r="A115" s="30">
        <v>14</v>
      </c>
      <c r="B115" s="13" t="s">
        <v>107</v>
      </c>
      <c r="D115" s="13" t="s">
        <v>60</v>
      </c>
      <c r="E115" s="17">
        <v>2500</v>
      </c>
      <c r="F115" s="43">
        <v>0.15</v>
      </c>
      <c r="G115" s="39">
        <f t="shared" si="7"/>
        <v>375</v>
      </c>
    </row>
    <row r="116" spans="1:7" x14ac:dyDescent="0.35">
      <c r="A116" s="30">
        <v>14</v>
      </c>
      <c r="B116" s="13" t="s">
        <v>107</v>
      </c>
      <c r="D116" s="13" t="s">
        <v>53</v>
      </c>
      <c r="E116" s="17">
        <v>300</v>
      </c>
      <c r="F116" s="43">
        <v>0.2</v>
      </c>
      <c r="G116" s="39">
        <f t="shared" si="7"/>
        <v>60</v>
      </c>
    </row>
    <row r="117" spans="1:7" x14ac:dyDescent="0.35">
      <c r="A117" s="30">
        <v>14</v>
      </c>
      <c r="B117" s="13" t="s">
        <v>107</v>
      </c>
      <c r="D117" s="13" t="s">
        <v>41</v>
      </c>
      <c r="E117" s="17">
        <v>1000</v>
      </c>
      <c r="F117" s="43">
        <v>0.6</v>
      </c>
      <c r="G117" s="39">
        <f t="shared" si="7"/>
        <v>600</v>
      </c>
    </row>
    <row r="118" spans="1:7" x14ac:dyDescent="0.35">
      <c r="A118" s="30">
        <v>14</v>
      </c>
      <c r="B118" s="13" t="s">
        <v>107</v>
      </c>
      <c r="D118" s="13" t="s">
        <v>51</v>
      </c>
      <c r="E118" s="17">
        <v>500</v>
      </c>
      <c r="F118" s="43">
        <v>0.55000000000000004</v>
      </c>
      <c r="G118" s="39">
        <f t="shared" si="7"/>
        <v>275</v>
      </c>
    </row>
    <row r="119" spans="1:7" x14ac:dyDescent="0.35">
      <c r="A119" s="30">
        <v>14</v>
      </c>
      <c r="B119" s="13" t="s">
        <v>107</v>
      </c>
      <c r="D119" s="13" t="s">
        <v>125</v>
      </c>
      <c r="E119" s="17">
        <v>800</v>
      </c>
      <c r="F119" s="43">
        <v>4</v>
      </c>
      <c r="G119" s="39">
        <f t="shared" si="7"/>
        <v>3200</v>
      </c>
    </row>
    <row r="120" spans="1:7" x14ac:dyDescent="0.35">
      <c r="A120" s="30">
        <v>15</v>
      </c>
      <c r="B120" s="13" t="s">
        <v>121</v>
      </c>
      <c r="D120" s="13" t="s">
        <v>94</v>
      </c>
      <c r="E120" s="17">
        <v>2800</v>
      </c>
      <c r="F120" s="43">
        <v>2.1</v>
      </c>
      <c r="G120" s="39">
        <f t="shared" si="7"/>
        <v>5880</v>
      </c>
    </row>
    <row r="121" spans="1:7" x14ac:dyDescent="0.35">
      <c r="A121" s="30">
        <v>15</v>
      </c>
      <c r="B121" s="13" t="s">
        <v>121</v>
      </c>
      <c r="D121" s="13" t="s">
        <v>54</v>
      </c>
      <c r="E121" s="17">
        <v>800</v>
      </c>
      <c r="F121" s="43">
        <v>0.2</v>
      </c>
      <c r="G121" s="39">
        <f t="shared" si="7"/>
        <v>160</v>
      </c>
    </row>
    <row r="122" spans="1:7" x14ac:dyDescent="0.35">
      <c r="A122" s="30">
        <v>15</v>
      </c>
      <c r="B122" s="13" t="s">
        <v>121</v>
      </c>
      <c r="D122" s="13" t="s">
        <v>25</v>
      </c>
      <c r="E122" s="17">
        <v>1000</v>
      </c>
      <c r="F122" s="43">
        <v>0.45</v>
      </c>
      <c r="G122" s="39">
        <f t="shared" si="7"/>
        <v>450</v>
      </c>
    </row>
    <row r="123" spans="1:7" x14ac:dyDescent="0.35">
      <c r="A123" s="30">
        <v>15</v>
      </c>
      <c r="B123" s="13" t="s">
        <v>121</v>
      </c>
      <c r="D123" s="13" t="s">
        <v>41</v>
      </c>
      <c r="E123" s="17">
        <v>1000</v>
      </c>
      <c r="F123" s="43">
        <v>5.0999999999999996</v>
      </c>
      <c r="G123" s="39">
        <f t="shared" si="7"/>
        <v>5100</v>
      </c>
    </row>
    <row r="124" spans="1:7" x14ac:dyDescent="0.35">
      <c r="A124" s="30">
        <v>15</v>
      </c>
      <c r="B124" s="13" t="s">
        <v>121</v>
      </c>
      <c r="D124" s="13" t="s">
        <v>100</v>
      </c>
      <c r="E124" s="17">
        <v>1400</v>
      </c>
      <c r="F124" s="43">
        <v>6.1</v>
      </c>
      <c r="G124" s="39">
        <f t="shared" si="7"/>
        <v>8540</v>
      </c>
    </row>
    <row r="125" spans="1:7" x14ac:dyDescent="0.35">
      <c r="A125" s="30">
        <v>15</v>
      </c>
      <c r="B125" s="13" t="s">
        <v>121</v>
      </c>
      <c r="D125" s="13" t="s">
        <v>51</v>
      </c>
      <c r="E125" s="17">
        <v>500</v>
      </c>
      <c r="F125" s="43">
        <v>0.85</v>
      </c>
      <c r="G125" s="39">
        <f t="shared" si="7"/>
        <v>425</v>
      </c>
    </row>
    <row r="126" spans="1:7" x14ac:dyDescent="0.35">
      <c r="A126" s="30">
        <v>15</v>
      </c>
      <c r="B126" s="13" t="s">
        <v>121</v>
      </c>
      <c r="D126" s="13" t="s">
        <v>60</v>
      </c>
      <c r="E126" s="17">
        <v>2500</v>
      </c>
      <c r="F126" s="43">
        <v>1</v>
      </c>
      <c r="G126" s="39">
        <f t="shared" si="7"/>
        <v>2500</v>
      </c>
    </row>
    <row r="127" spans="1:7" x14ac:dyDescent="0.35">
      <c r="A127" s="30">
        <v>16</v>
      </c>
      <c r="B127" s="13" t="s">
        <v>90</v>
      </c>
      <c r="D127" s="13" t="s">
        <v>26</v>
      </c>
      <c r="E127" s="17">
        <v>1000</v>
      </c>
      <c r="F127" s="43">
        <v>2.1</v>
      </c>
      <c r="G127" s="39">
        <f t="shared" si="7"/>
        <v>2100</v>
      </c>
    </row>
    <row r="128" spans="1:7" x14ac:dyDescent="0.35">
      <c r="A128" s="30">
        <v>16</v>
      </c>
      <c r="B128" s="13" t="s">
        <v>90</v>
      </c>
      <c r="D128" s="13" t="s">
        <v>27</v>
      </c>
      <c r="E128" s="17">
        <v>2500</v>
      </c>
      <c r="F128" s="43">
        <v>0.7</v>
      </c>
      <c r="G128" s="39">
        <f t="shared" si="7"/>
        <v>1750</v>
      </c>
    </row>
    <row r="129" spans="1:7" x14ac:dyDescent="0.35">
      <c r="A129" s="30">
        <v>16</v>
      </c>
      <c r="B129" s="13" t="s">
        <v>90</v>
      </c>
      <c r="D129" s="13" t="s">
        <v>41</v>
      </c>
      <c r="E129" s="17">
        <v>1000</v>
      </c>
      <c r="F129" s="43">
        <v>2.2000000000000002</v>
      </c>
      <c r="G129" s="39">
        <f t="shared" si="7"/>
        <v>2200</v>
      </c>
    </row>
    <row r="130" spans="1:7" x14ac:dyDescent="0.35">
      <c r="A130" s="30">
        <v>16</v>
      </c>
      <c r="B130" s="13" t="s">
        <v>90</v>
      </c>
      <c r="D130" s="13" t="s">
        <v>94</v>
      </c>
      <c r="E130" s="17">
        <v>2800</v>
      </c>
      <c r="F130" s="43">
        <v>1.1499999999999999</v>
      </c>
      <c r="G130" s="39">
        <f t="shared" si="7"/>
        <v>3219.9999999999995</v>
      </c>
    </row>
    <row r="131" spans="1:7" x14ac:dyDescent="0.35">
      <c r="A131" s="30">
        <v>17</v>
      </c>
      <c r="B131" s="13" t="s">
        <v>110</v>
      </c>
      <c r="D131" s="13" t="s">
        <v>94</v>
      </c>
      <c r="E131" s="17">
        <v>2800</v>
      </c>
      <c r="F131" s="43">
        <v>0.6</v>
      </c>
      <c r="G131" s="39">
        <f t="shared" ref="G131:G194" si="8">E131*F131</f>
        <v>1680</v>
      </c>
    </row>
    <row r="132" spans="1:7" x14ac:dyDescent="0.35">
      <c r="A132" s="30">
        <v>17</v>
      </c>
      <c r="B132" s="13" t="s">
        <v>110</v>
      </c>
      <c r="D132" s="13" t="s">
        <v>41</v>
      </c>
      <c r="E132" s="17">
        <v>1000</v>
      </c>
      <c r="F132" s="43">
        <v>1.2</v>
      </c>
      <c r="G132" s="39">
        <f t="shared" si="8"/>
        <v>1200</v>
      </c>
    </row>
    <row r="133" spans="1:7" x14ac:dyDescent="0.35">
      <c r="A133" s="30">
        <v>17</v>
      </c>
      <c r="B133" s="13" t="s">
        <v>110</v>
      </c>
      <c r="D133" s="13" t="s">
        <v>25</v>
      </c>
      <c r="E133" s="17">
        <v>1000</v>
      </c>
      <c r="F133" s="43">
        <v>0.7</v>
      </c>
      <c r="G133" s="39">
        <f t="shared" si="8"/>
        <v>700</v>
      </c>
    </row>
    <row r="134" spans="1:7" x14ac:dyDescent="0.35">
      <c r="A134" s="30">
        <v>17</v>
      </c>
      <c r="B134" s="13" t="s">
        <v>110</v>
      </c>
      <c r="D134" s="13" t="s">
        <v>51</v>
      </c>
      <c r="E134" s="17">
        <v>500</v>
      </c>
      <c r="F134" s="43">
        <v>0.1</v>
      </c>
      <c r="G134" s="39">
        <f t="shared" si="8"/>
        <v>50</v>
      </c>
    </row>
    <row r="135" spans="1:7" x14ac:dyDescent="0.35">
      <c r="A135" s="30">
        <v>17</v>
      </c>
      <c r="B135" s="13" t="s">
        <v>110</v>
      </c>
      <c r="D135" s="13" t="s">
        <v>53</v>
      </c>
      <c r="E135" s="17">
        <v>300</v>
      </c>
      <c r="F135" s="43">
        <v>0.4</v>
      </c>
      <c r="G135" s="39">
        <f t="shared" si="8"/>
        <v>120</v>
      </c>
    </row>
    <row r="136" spans="1:7" x14ac:dyDescent="0.35">
      <c r="A136" s="30">
        <v>18</v>
      </c>
      <c r="B136" s="13" t="s">
        <v>105</v>
      </c>
      <c r="D136" s="13" t="s">
        <v>39</v>
      </c>
      <c r="E136" s="17">
        <v>1500</v>
      </c>
      <c r="F136" s="43">
        <v>0.25</v>
      </c>
      <c r="G136" s="39">
        <f t="shared" si="8"/>
        <v>375</v>
      </c>
    </row>
    <row r="137" spans="1:7" x14ac:dyDescent="0.35">
      <c r="A137" s="30">
        <v>18</v>
      </c>
      <c r="B137" s="13" t="s">
        <v>105</v>
      </c>
      <c r="D137" s="13" t="s">
        <v>18</v>
      </c>
      <c r="E137" s="17">
        <v>150</v>
      </c>
      <c r="F137" s="43">
        <v>1.2</v>
      </c>
      <c r="G137" s="39">
        <f t="shared" si="8"/>
        <v>180</v>
      </c>
    </row>
    <row r="138" spans="1:7" x14ac:dyDescent="0.35">
      <c r="A138" s="30">
        <v>18</v>
      </c>
      <c r="B138" s="13" t="s">
        <v>105</v>
      </c>
      <c r="D138" s="13" t="s">
        <v>39</v>
      </c>
      <c r="E138" s="17">
        <v>1500</v>
      </c>
      <c r="F138" s="43">
        <v>0.35</v>
      </c>
      <c r="G138" s="39">
        <f t="shared" si="8"/>
        <v>525</v>
      </c>
    </row>
    <row r="139" spans="1:7" x14ac:dyDescent="0.35">
      <c r="A139" s="30">
        <v>18</v>
      </c>
      <c r="B139" s="13" t="s">
        <v>105</v>
      </c>
      <c r="D139" s="13" t="s">
        <v>51</v>
      </c>
      <c r="E139" s="17">
        <v>500</v>
      </c>
      <c r="F139" s="43">
        <v>0.2</v>
      </c>
      <c r="G139" s="39">
        <f t="shared" si="8"/>
        <v>100</v>
      </c>
    </row>
    <row r="140" spans="1:7" x14ac:dyDescent="0.35">
      <c r="A140" s="30">
        <v>18</v>
      </c>
      <c r="B140" s="13" t="s">
        <v>105</v>
      </c>
      <c r="D140" s="13" t="s">
        <v>53</v>
      </c>
      <c r="E140" s="17">
        <v>300</v>
      </c>
      <c r="F140" s="43">
        <v>1.45</v>
      </c>
      <c r="G140" s="39">
        <f t="shared" si="8"/>
        <v>435</v>
      </c>
    </row>
    <row r="141" spans="1:7" x14ac:dyDescent="0.35">
      <c r="A141" s="30">
        <v>19</v>
      </c>
      <c r="B141" s="13" t="s">
        <v>109</v>
      </c>
      <c r="D141" s="13" t="s">
        <v>126</v>
      </c>
      <c r="E141" s="17">
        <v>1800</v>
      </c>
      <c r="F141" s="43">
        <v>0.55000000000000004</v>
      </c>
      <c r="G141" s="39">
        <f t="shared" si="8"/>
        <v>990.00000000000011</v>
      </c>
    </row>
    <row r="142" spans="1:7" x14ac:dyDescent="0.35">
      <c r="A142" s="30">
        <v>19</v>
      </c>
      <c r="B142" s="13" t="s">
        <v>109</v>
      </c>
      <c r="D142" s="13" t="s">
        <v>25</v>
      </c>
      <c r="E142" s="17">
        <v>1000</v>
      </c>
      <c r="F142" s="43">
        <v>0.45</v>
      </c>
      <c r="G142" s="39">
        <f t="shared" si="8"/>
        <v>450</v>
      </c>
    </row>
    <row r="143" spans="1:7" x14ac:dyDescent="0.35">
      <c r="A143" s="30">
        <v>19</v>
      </c>
      <c r="B143" s="13" t="s">
        <v>109</v>
      </c>
      <c r="D143" s="13" t="s">
        <v>94</v>
      </c>
      <c r="E143" s="17">
        <v>2800</v>
      </c>
      <c r="F143" s="43">
        <v>1.3</v>
      </c>
      <c r="G143" s="39">
        <f t="shared" si="8"/>
        <v>3640</v>
      </c>
    </row>
    <row r="144" spans="1:7" x14ac:dyDescent="0.35">
      <c r="A144" s="30">
        <v>19</v>
      </c>
      <c r="B144" s="13" t="s">
        <v>109</v>
      </c>
      <c r="D144" s="13" t="s">
        <v>26</v>
      </c>
      <c r="E144" s="17">
        <v>1000</v>
      </c>
      <c r="F144" s="43">
        <v>1.55</v>
      </c>
      <c r="G144" s="39">
        <f t="shared" si="8"/>
        <v>1550</v>
      </c>
    </row>
    <row r="145" spans="1:7" x14ac:dyDescent="0.35">
      <c r="A145" s="30">
        <v>19</v>
      </c>
      <c r="B145" s="13" t="s">
        <v>109</v>
      </c>
      <c r="D145" s="13" t="s">
        <v>39</v>
      </c>
      <c r="E145" s="17">
        <v>1500</v>
      </c>
      <c r="F145" s="43">
        <v>0.35</v>
      </c>
      <c r="G145" s="39">
        <f t="shared" si="8"/>
        <v>525</v>
      </c>
    </row>
    <row r="146" spans="1:7" x14ac:dyDescent="0.35">
      <c r="A146" s="30">
        <v>19</v>
      </c>
      <c r="B146" s="13" t="s">
        <v>109</v>
      </c>
      <c r="D146" s="13" t="s">
        <v>53</v>
      </c>
      <c r="E146" s="17">
        <v>300</v>
      </c>
      <c r="F146" s="43">
        <v>0.35</v>
      </c>
      <c r="G146" s="39">
        <f t="shared" si="8"/>
        <v>105</v>
      </c>
    </row>
    <row r="147" spans="1:7" x14ac:dyDescent="0.35">
      <c r="A147" s="30">
        <v>19</v>
      </c>
      <c r="B147" s="13" t="s">
        <v>109</v>
      </c>
      <c r="D147" s="13" t="s">
        <v>51</v>
      </c>
      <c r="E147" s="17">
        <v>500</v>
      </c>
      <c r="F147" s="43">
        <v>0.3</v>
      </c>
      <c r="G147" s="39">
        <f t="shared" si="8"/>
        <v>150</v>
      </c>
    </row>
    <row r="148" spans="1:7" x14ac:dyDescent="0.35">
      <c r="A148" s="30">
        <v>19</v>
      </c>
      <c r="B148" s="13" t="s">
        <v>109</v>
      </c>
      <c r="D148" s="13" t="s">
        <v>13</v>
      </c>
      <c r="E148" s="17">
        <v>200</v>
      </c>
      <c r="F148" s="43">
        <v>0.6</v>
      </c>
      <c r="G148" s="39">
        <f t="shared" si="8"/>
        <v>120</v>
      </c>
    </row>
    <row r="149" spans="1:7" x14ac:dyDescent="0.35">
      <c r="A149" s="30">
        <v>19</v>
      </c>
      <c r="B149" s="13" t="s">
        <v>109</v>
      </c>
      <c r="D149" s="13" t="s">
        <v>28</v>
      </c>
      <c r="E149" s="17">
        <v>3500</v>
      </c>
      <c r="F149" s="43">
        <v>0.7</v>
      </c>
      <c r="G149" s="39">
        <f t="shared" si="8"/>
        <v>2450</v>
      </c>
    </row>
    <row r="150" spans="1:7" x14ac:dyDescent="0.35">
      <c r="A150" s="30">
        <v>19</v>
      </c>
      <c r="B150" s="13" t="s">
        <v>109</v>
      </c>
      <c r="D150" s="13" t="s">
        <v>41</v>
      </c>
      <c r="E150" s="17">
        <v>1000</v>
      </c>
      <c r="F150" s="43">
        <v>1.8</v>
      </c>
      <c r="G150" s="39">
        <f t="shared" si="8"/>
        <v>1800</v>
      </c>
    </row>
    <row r="151" spans="1:7" x14ac:dyDescent="0.35">
      <c r="A151" s="30">
        <v>19</v>
      </c>
      <c r="B151" s="13" t="s">
        <v>109</v>
      </c>
      <c r="D151" s="13" t="s">
        <v>18</v>
      </c>
      <c r="E151" s="17">
        <v>150</v>
      </c>
      <c r="F151" s="43">
        <v>6.3</v>
      </c>
      <c r="G151" s="39">
        <f t="shared" si="8"/>
        <v>945</v>
      </c>
    </row>
    <row r="152" spans="1:7" x14ac:dyDescent="0.35">
      <c r="A152" s="30">
        <v>20</v>
      </c>
      <c r="B152" s="13" t="s">
        <v>196</v>
      </c>
      <c r="D152" s="13" t="s">
        <v>28</v>
      </c>
      <c r="E152" s="17">
        <v>3500</v>
      </c>
      <c r="F152" s="43">
        <v>2.0499999999999998</v>
      </c>
      <c r="G152" s="39">
        <f t="shared" si="8"/>
        <v>7174.9999999999991</v>
      </c>
    </row>
    <row r="153" spans="1:7" x14ac:dyDescent="0.35">
      <c r="A153" s="30">
        <v>20</v>
      </c>
      <c r="B153" s="13" t="s">
        <v>196</v>
      </c>
      <c r="D153" s="13" t="s">
        <v>126</v>
      </c>
      <c r="E153" s="17">
        <v>1800</v>
      </c>
      <c r="F153" s="43">
        <v>0.55000000000000004</v>
      </c>
      <c r="G153" s="39">
        <f t="shared" si="8"/>
        <v>990.00000000000011</v>
      </c>
    </row>
    <row r="154" spans="1:7" x14ac:dyDescent="0.35">
      <c r="A154" s="30">
        <v>20</v>
      </c>
      <c r="B154" s="13" t="s">
        <v>196</v>
      </c>
      <c r="D154" s="13" t="s">
        <v>39</v>
      </c>
      <c r="E154" s="17">
        <v>1500</v>
      </c>
      <c r="F154" s="43">
        <v>0.15</v>
      </c>
      <c r="G154" s="39">
        <f t="shared" si="8"/>
        <v>225</v>
      </c>
    </row>
    <row r="155" spans="1:7" x14ac:dyDescent="0.35">
      <c r="A155" s="30">
        <v>20</v>
      </c>
      <c r="B155" s="13" t="s">
        <v>196</v>
      </c>
      <c r="D155" s="13" t="s">
        <v>41</v>
      </c>
      <c r="E155" s="17">
        <v>1000</v>
      </c>
      <c r="F155" s="43">
        <v>5.25</v>
      </c>
      <c r="G155" s="39">
        <f t="shared" si="8"/>
        <v>5250</v>
      </c>
    </row>
    <row r="156" spans="1:7" x14ac:dyDescent="0.35">
      <c r="A156" s="30">
        <v>20</v>
      </c>
      <c r="B156" s="13" t="s">
        <v>196</v>
      </c>
      <c r="D156" s="13" t="s">
        <v>53</v>
      </c>
      <c r="E156" s="17">
        <v>300</v>
      </c>
      <c r="F156" s="43">
        <v>1.1499999999999999</v>
      </c>
      <c r="G156" s="39">
        <f t="shared" si="8"/>
        <v>345</v>
      </c>
    </row>
    <row r="157" spans="1:7" x14ac:dyDescent="0.35">
      <c r="A157" s="30">
        <v>20</v>
      </c>
      <c r="B157" s="13" t="s">
        <v>196</v>
      </c>
      <c r="D157" s="13" t="s">
        <v>13</v>
      </c>
      <c r="E157" s="17">
        <v>200</v>
      </c>
      <c r="F157" s="43">
        <v>0.65</v>
      </c>
      <c r="G157" s="39">
        <f t="shared" si="8"/>
        <v>130</v>
      </c>
    </row>
    <row r="158" spans="1:7" x14ac:dyDescent="0.35">
      <c r="A158" s="30">
        <v>20</v>
      </c>
      <c r="B158" s="13" t="s">
        <v>196</v>
      </c>
      <c r="D158" s="13" t="s">
        <v>26</v>
      </c>
      <c r="E158" s="17">
        <v>1000</v>
      </c>
      <c r="F158" s="43">
        <v>1.05</v>
      </c>
      <c r="G158" s="39">
        <f t="shared" si="8"/>
        <v>1050</v>
      </c>
    </row>
    <row r="159" spans="1:7" x14ac:dyDescent="0.35">
      <c r="A159" s="30">
        <v>20</v>
      </c>
      <c r="B159" s="13" t="s">
        <v>196</v>
      </c>
      <c r="D159" s="13" t="s">
        <v>94</v>
      </c>
      <c r="E159" s="17">
        <v>2800</v>
      </c>
      <c r="F159" s="43">
        <v>2.95</v>
      </c>
      <c r="G159" s="39">
        <f t="shared" si="8"/>
        <v>8260</v>
      </c>
    </row>
    <row r="160" spans="1:7" x14ac:dyDescent="0.35">
      <c r="A160" s="30">
        <v>20</v>
      </c>
      <c r="B160" s="13" t="s">
        <v>196</v>
      </c>
      <c r="D160" s="13" t="s">
        <v>54</v>
      </c>
      <c r="E160" s="17">
        <v>800</v>
      </c>
      <c r="F160" s="43">
        <v>1.85</v>
      </c>
      <c r="G160" s="39">
        <f t="shared" si="8"/>
        <v>1480</v>
      </c>
    </row>
    <row r="161" spans="1:7" x14ac:dyDescent="0.35">
      <c r="A161" s="30">
        <v>21</v>
      </c>
      <c r="B161" s="13" t="s">
        <v>215</v>
      </c>
      <c r="C161" s="1">
        <v>4</v>
      </c>
      <c r="D161" s="13" t="s">
        <v>26</v>
      </c>
      <c r="E161" s="17">
        <v>1000</v>
      </c>
      <c r="F161" s="43">
        <v>1.55</v>
      </c>
      <c r="G161" s="39">
        <f t="shared" si="8"/>
        <v>1550</v>
      </c>
    </row>
    <row r="162" spans="1:7" x14ac:dyDescent="0.35">
      <c r="A162" s="30">
        <v>21</v>
      </c>
      <c r="B162" s="13" t="s">
        <v>215</v>
      </c>
      <c r="C162" s="1">
        <v>4</v>
      </c>
      <c r="D162" s="13" t="s">
        <v>39</v>
      </c>
      <c r="E162" s="17">
        <v>1500</v>
      </c>
      <c r="F162" s="43">
        <v>1.5</v>
      </c>
      <c r="G162" s="39">
        <f t="shared" si="8"/>
        <v>2250</v>
      </c>
    </row>
    <row r="163" spans="1:7" x14ac:dyDescent="0.35">
      <c r="A163" s="30">
        <v>21</v>
      </c>
      <c r="B163" s="13" t="s">
        <v>215</v>
      </c>
      <c r="C163" s="1">
        <v>4</v>
      </c>
      <c r="D163" s="13" t="s">
        <v>53</v>
      </c>
      <c r="E163" s="17">
        <v>300</v>
      </c>
      <c r="F163" s="43">
        <v>1.75</v>
      </c>
      <c r="G163" s="39">
        <f t="shared" si="8"/>
        <v>525</v>
      </c>
    </row>
    <row r="164" spans="1:7" x14ac:dyDescent="0.35">
      <c r="A164" s="30">
        <v>21</v>
      </c>
      <c r="B164" s="13" t="s">
        <v>215</v>
      </c>
      <c r="C164" s="1">
        <v>4</v>
      </c>
      <c r="D164" s="13" t="s">
        <v>51</v>
      </c>
      <c r="E164" s="17">
        <v>500</v>
      </c>
      <c r="F164" s="43">
        <v>0.3</v>
      </c>
      <c r="G164" s="39">
        <f t="shared" si="8"/>
        <v>150</v>
      </c>
    </row>
    <row r="165" spans="1:7" x14ac:dyDescent="0.35">
      <c r="A165" s="30">
        <v>22</v>
      </c>
      <c r="B165" s="13" t="s">
        <v>213</v>
      </c>
      <c r="D165" s="13" t="s">
        <v>13</v>
      </c>
      <c r="E165" s="17">
        <v>200</v>
      </c>
      <c r="F165" s="43">
        <v>0.35</v>
      </c>
      <c r="G165" s="39">
        <f t="shared" si="8"/>
        <v>70</v>
      </c>
    </row>
    <row r="166" spans="1:7" x14ac:dyDescent="0.35">
      <c r="A166" s="30">
        <v>22</v>
      </c>
      <c r="B166" s="13" t="s">
        <v>213</v>
      </c>
      <c r="D166" s="13" t="s">
        <v>54</v>
      </c>
      <c r="E166" s="17">
        <v>800</v>
      </c>
      <c r="F166" s="43">
        <v>0.5</v>
      </c>
      <c r="G166" s="39">
        <f t="shared" si="8"/>
        <v>400</v>
      </c>
    </row>
    <row r="167" spans="1:7" x14ac:dyDescent="0.35">
      <c r="A167" s="30">
        <v>22</v>
      </c>
      <c r="B167" s="13" t="s">
        <v>213</v>
      </c>
      <c r="D167" s="13" t="s">
        <v>18</v>
      </c>
      <c r="E167" s="17">
        <v>150</v>
      </c>
      <c r="F167" s="43">
        <v>0.3</v>
      </c>
      <c r="G167" s="39">
        <f t="shared" si="8"/>
        <v>45</v>
      </c>
    </row>
    <row r="168" spans="1:7" x14ac:dyDescent="0.35">
      <c r="A168" s="30">
        <v>22</v>
      </c>
      <c r="B168" s="13" t="s">
        <v>213</v>
      </c>
      <c r="D168" s="13" t="s">
        <v>15</v>
      </c>
      <c r="E168" s="17">
        <v>2500</v>
      </c>
      <c r="F168" s="43">
        <v>1.6</v>
      </c>
      <c r="G168" s="39">
        <f t="shared" si="8"/>
        <v>4000</v>
      </c>
    </row>
    <row r="169" spans="1:7" x14ac:dyDescent="0.35">
      <c r="A169" s="30">
        <v>22</v>
      </c>
      <c r="B169" s="13" t="s">
        <v>213</v>
      </c>
      <c r="D169" s="13" t="s">
        <v>60</v>
      </c>
      <c r="E169" s="17">
        <v>2500</v>
      </c>
      <c r="F169" s="43">
        <v>0.2</v>
      </c>
      <c r="G169" s="39">
        <f t="shared" si="8"/>
        <v>500</v>
      </c>
    </row>
    <row r="170" spans="1:7" x14ac:dyDescent="0.35">
      <c r="A170" s="30">
        <v>22</v>
      </c>
      <c r="B170" s="13" t="s">
        <v>213</v>
      </c>
      <c r="D170" s="13" t="s">
        <v>29</v>
      </c>
      <c r="E170" s="17">
        <v>1600</v>
      </c>
      <c r="F170" s="43">
        <v>0.15</v>
      </c>
      <c r="G170" s="39">
        <f t="shared" si="8"/>
        <v>240</v>
      </c>
    </row>
    <row r="171" spans="1:7" x14ac:dyDescent="0.35">
      <c r="A171" s="30">
        <v>22</v>
      </c>
      <c r="B171" s="13" t="s">
        <v>213</v>
      </c>
      <c r="D171" s="13" t="s">
        <v>51</v>
      </c>
      <c r="E171" s="17">
        <v>500</v>
      </c>
      <c r="F171" s="43">
        <v>1.05</v>
      </c>
      <c r="G171" s="39">
        <f t="shared" si="8"/>
        <v>525</v>
      </c>
    </row>
    <row r="172" spans="1:7" x14ac:dyDescent="0.35">
      <c r="A172" s="30">
        <v>22</v>
      </c>
      <c r="B172" s="13" t="s">
        <v>213</v>
      </c>
      <c r="D172" s="13" t="s">
        <v>41</v>
      </c>
      <c r="E172" s="17">
        <v>1000</v>
      </c>
      <c r="F172" s="43">
        <v>2.6</v>
      </c>
      <c r="G172" s="39">
        <f t="shared" si="8"/>
        <v>2600</v>
      </c>
    </row>
    <row r="173" spans="1:7" x14ac:dyDescent="0.35">
      <c r="A173" s="30">
        <v>22</v>
      </c>
      <c r="B173" s="13" t="s">
        <v>213</v>
      </c>
      <c r="D173" s="13" t="s">
        <v>53</v>
      </c>
      <c r="E173" s="17">
        <v>300</v>
      </c>
      <c r="F173" s="43">
        <v>2.25</v>
      </c>
      <c r="G173" s="39">
        <f t="shared" si="8"/>
        <v>675</v>
      </c>
    </row>
    <row r="174" spans="1:7" x14ac:dyDescent="0.35">
      <c r="A174" s="30">
        <v>22</v>
      </c>
      <c r="B174" s="13" t="s">
        <v>213</v>
      </c>
      <c r="D174" s="13" t="s">
        <v>25</v>
      </c>
      <c r="E174" s="17">
        <v>1000</v>
      </c>
      <c r="F174" s="43">
        <v>2.4500000000000002</v>
      </c>
      <c r="G174" s="39">
        <f t="shared" si="8"/>
        <v>2450</v>
      </c>
    </row>
    <row r="175" spans="1:7" x14ac:dyDescent="0.35">
      <c r="A175" s="30">
        <v>22</v>
      </c>
      <c r="B175" s="13" t="s">
        <v>213</v>
      </c>
      <c r="D175" s="13" t="s">
        <v>94</v>
      </c>
      <c r="E175" s="17">
        <v>2800</v>
      </c>
      <c r="F175" s="43">
        <v>1.25</v>
      </c>
      <c r="G175" s="39">
        <f t="shared" si="8"/>
        <v>3500</v>
      </c>
    </row>
    <row r="176" spans="1:7" x14ac:dyDescent="0.35">
      <c r="A176" s="30">
        <v>23</v>
      </c>
      <c r="B176" s="13" t="s">
        <v>206</v>
      </c>
      <c r="D176" s="13" t="s">
        <v>26</v>
      </c>
      <c r="E176" s="17">
        <v>1000</v>
      </c>
      <c r="F176" s="43">
        <v>0.45</v>
      </c>
      <c r="G176" s="39">
        <f t="shared" si="8"/>
        <v>450</v>
      </c>
    </row>
    <row r="177" spans="1:7" x14ac:dyDescent="0.35">
      <c r="A177" s="30">
        <v>23</v>
      </c>
      <c r="B177" s="13" t="s">
        <v>206</v>
      </c>
      <c r="D177" s="13" t="s">
        <v>41</v>
      </c>
      <c r="E177" s="17">
        <v>1000</v>
      </c>
      <c r="F177" s="43">
        <v>0.1</v>
      </c>
      <c r="G177" s="39">
        <f t="shared" si="8"/>
        <v>100</v>
      </c>
    </row>
    <row r="178" spans="1:7" x14ac:dyDescent="0.35">
      <c r="A178" s="30">
        <v>23</v>
      </c>
      <c r="B178" s="13" t="s">
        <v>206</v>
      </c>
      <c r="D178" s="13" t="s">
        <v>18</v>
      </c>
      <c r="E178" s="17">
        <v>150</v>
      </c>
      <c r="F178" s="43">
        <v>0.55000000000000004</v>
      </c>
      <c r="G178" s="39">
        <f t="shared" si="8"/>
        <v>82.5</v>
      </c>
    </row>
    <row r="179" spans="1:7" x14ac:dyDescent="0.35">
      <c r="A179" s="30">
        <v>23</v>
      </c>
      <c r="B179" s="13" t="s">
        <v>206</v>
      </c>
      <c r="D179" s="13" t="s">
        <v>39</v>
      </c>
      <c r="E179" s="17">
        <v>1500</v>
      </c>
      <c r="F179" s="43">
        <v>0.7</v>
      </c>
      <c r="G179" s="39">
        <f t="shared" si="8"/>
        <v>1050</v>
      </c>
    </row>
    <row r="180" spans="1:7" x14ac:dyDescent="0.35">
      <c r="A180" s="30">
        <v>23</v>
      </c>
      <c r="B180" s="13" t="s">
        <v>206</v>
      </c>
      <c r="D180" s="13" t="s">
        <v>25</v>
      </c>
      <c r="E180" s="17">
        <v>1000</v>
      </c>
      <c r="F180" s="43">
        <v>0.75</v>
      </c>
      <c r="G180" s="39">
        <f t="shared" si="8"/>
        <v>750</v>
      </c>
    </row>
    <row r="181" spans="1:7" x14ac:dyDescent="0.35">
      <c r="A181" s="30">
        <v>23</v>
      </c>
      <c r="B181" s="13" t="s">
        <v>206</v>
      </c>
      <c r="D181" t="s">
        <v>11</v>
      </c>
      <c r="E181" s="17">
        <v>8000</v>
      </c>
      <c r="F181" s="43">
        <v>0.05</v>
      </c>
      <c r="G181" s="39">
        <f t="shared" si="8"/>
        <v>400</v>
      </c>
    </row>
    <row r="182" spans="1:7" x14ac:dyDescent="0.35">
      <c r="A182" s="30">
        <v>23</v>
      </c>
      <c r="B182" s="13" t="s">
        <v>206</v>
      </c>
      <c r="D182" s="13" t="s">
        <v>51</v>
      </c>
      <c r="E182" s="17">
        <v>500</v>
      </c>
      <c r="F182" s="43">
        <v>1.4</v>
      </c>
      <c r="G182" s="39">
        <f t="shared" si="8"/>
        <v>700</v>
      </c>
    </row>
    <row r="183" spans="1:7" x14ac:dyDescent="0.35">
      <c r="A183" s="30">
        <v>23</v>
      </c>
      <c r="B183" s="13" t="s">
        <v>206</v>
      </c>
      <c r="D183" s="13" t="s">
        <v>53</v>
      </c>
      <c r="E183" s="17">
        <v>300</v>
      </c>
      <c r="F183" s="43">
        <v>0.3</v>
      </c>
      <c r="G183" s="39">
        <f t="shared" si="8"/>
        <v>90</v>
      </c>
    </row>
    <row r="184" spans="1:7" x14ac:dyDescent="0.35">
      <c r="A184" s="30">
        <v>23</v>
      </c>
      <c r="B184" s="13" t="s">
        <v>206</v>
      </c>
      <c r="D184" s="13" t="s">
        <v>54</v>
      </c>
      <c r="E184" s="17">
        <v>800</v>
      </c>
      <c r="F184" s="43">
        <v>0.1</v>
      </c>
      <c r="G184" s="39">
        <f t="shared" si="8"/>
        <v>80</v>
      </c>
    </row>
    <row r="185" spans="1:7" x14ac:dyDescent="0.35">
      <c r="A185" s="30">
        <v>23</v>
      </c>
      <c r="B185" s="13" t="s">
        <v>206</v>
      </c>
      <c r="D185" s="13" t="s">
        <v>60</v>
      </c>
      <c r="E185" s="17">
        <v>2500</v>
      </c>
      <c r="F185" s="43">
        <v>0.15</v>
      </c>
      <c r="G185" s="39">
        <f t="shared" si="8"/>
        <v>375</v>
      </c>
    </row>
    <row r="186" spans="1:7" x14ac:dyDescent="0.35">
      <c r="A186" s="30">
        <v>23</v>
      </c>
      <c r="B186" s="13" t="s">
        <v>206</v>
      </c>
      <c r="D186" s="13" t="s">
        <v>94</v>
      </c>
      <c r="E186" s="17">
        <v>2800</v>
      </c>
      <c r="F186" s="43">
        <v>2.75</v>
      </c>
      <c r="G186" s="39">
        <f t="shared" si="8"/>
        <v>7700</v>
      </c>
    </row>
    <row r="187" spans="1:7" x14ac:dyDescent="0.35">
      <c r="A187" s="30">
        <v>24</v>
      </c>
      <c r="B187" s="13" t="s">
        <v>106</v>
      </c>
      <c r="D187" s="13" t="s">
        <v>41</v>
      </c>
      <c r="E187" s="17">
        <v>1000</v>
      </c>
      <c r="F187" s="43">
        <v>1.9</v>
      </c>
      <c r="G187" s="39">
        <f t="shared" si="8"/>
        <v>1900</v>
      </c>
    </row>
    <row r="188" spans="1:7" x14ac:dyDescent="0.35">
      <c r="A188" s="30">
        <v>24</v>
      </c>
      <c r="B188" s="13" t="s">
        <v>106</v>
      </c>
      <c r="D188" s="13" t="s">
        <v>54</v>
      </c>
      <c r="E188" s="17">
        <v>800</v>
      </c>
      <c r="F188" s="43">
        <v>0.45</v>
      </c>
      <c r="G188" s="39">
        <f t="shared" si="8"/>
        <v>360</v>
      </c>
    </row>
    <row r="189" spans="1:7" x14ac:dyDescent="0.35">
      <c r="A189" s="30">
        <v>24</v>
      </c>
      <c r="B189" s="13" t="s">
        <v>106</v>
      </c>
      <c r="D189" s="13" t="s">
        <v>39</v>
      </c>
      <c r="E189" s="17">
        <v>1500</v>
      </c>
      <c r="F189" s="43">
        <v>0.05</v>
      </c>
      <c r="G189" s="39">
        <f t="shared" si="8"/>
        <v>75</v>
      </c>
    </row>
    <row r="190" spans="1:7" x14ac:dyDescent="0.35">
      <c r="A190" s="30">
        <v>24</v>
      </c>
      <c r="B190" s="13" t="s">
        <v>106</v>
      </c>
      <c r="D190" s="13" t="s">
        <v>25</v>
      </c>
      <c r="E190" s="17">
        <v>1000</v>
      </c>
      <c r="F190" s="43">
        <v>0.05</v>
      </c>
      <c r="G190" s="39">
        <f t="shared" si="8"/>
        <v>50</v>
      </c>
    </row>
    <row r="191" spans="1:7" x14ac:dyDescent="0.35">
      <c r="A191" s="30">
        <v>24</v>
      </c>
      <c r="B191" s="13" t="s">
        <v>106</v>
      </c>
      <c r="D191" s="13" t="s">
        <v>94</v>
      </c>
      <c r="E191" s="17">
        <v>2800</v>
      </c>
      <c r="F191" s="43">
        <v>0.65</v>
      </c>
      <c r="G191" s="39">
        <f t="shared" si="8"/>
        <v>1820</v>
      </c>
    </row>
    <row r="192" spans="1:7" x14ac:dyDescent="0.35">
      <c r="A192" s="30">
        <v>24</v>
      </c>
      <c r="B192" s="13" t="s">
        <v>106</v>
      </c>
      <c r="D192" s="13" t="s">
        <v>26</v>
      </c>
      <c r="E192" s="17">
        <v>1000</v>
      </c>
      <c r="F192" s="43">
        <v>0.25</v>
      </c>
      <c r="G192" s="39">
        <f t="shared" si="8"/>
        <v>250</v>
      </c>
    </row>
    <row r="193" spans="1:7" x14ac:dyDescent="0.35">
      <c r="A193" s="30">
        <v>24</v>
      </c>
      <c r="B193" s="13" t="s">
        <v>106</v>
      </c>
      <c r="D193" s="13" t="s">
        <v>53</v>
      </c>
      <c r="E193" s="17">
        <v>300</v>
      </c>
      <c r="F193" s="43">
        <v>1.1000000000000001</v>
      </c>
      <c r="G193" s="39">
        <f t="shared" si="8"/>
        <v>330</v>
      </c>
    </row>
    <row r="194" spans="1:7" x14ac:dyDescent="0.35">
      <c r="A194" s="30">
        <v>24</v>
      </c>
      <c r="B194" s="13" t="s">
        <v>106</v>
      </c>
      <c r="D194" s="13" t="s">
        <v>51</v>
      </c>
      <c r="E194" s="17">
        <v>500</v>
      </c>
      <c r="F194" s="43">
        <v>1.45</v>
      </c>
      <c r="G194" s="39">
        <f t="shared" si="8"/>
        <v>725</v>
      </c>
    </row>
    <row r="195" spans="1:7" x14ac:dyDescent="0.35">
      <c r="A195" s="30">
        <v>25</v>
      </c>
      <c r="B195" s="13" t="s">
        <v>185</v>
      </c>
      <c r="D195" s="13" t="s">
        <v>25</v>
      </c>
      <c r="E195" s="17">
        <v>1000</v>
      </c>
      <c r="F195" s="43">
        <v>0.65</v>
      </c>
      <c r="G195" s="39">
        <f t="shared" ref="G195:G218" si="9">E195*F195</f>
        <v>650</v>
      </c>
    </row>
    <row r="196" spans="1:7" x14ac:dyDescent="0.35">
      <c r="A196" s="30">
        <v>25</v>
      </c>
      <c r="B196" s="13" t="s">
        <v>185</v>
      </c>
      <c r="D196" s="13" t="s">
        <v>41</v>
      </c>
      <c r="E196" s="17">
        <v>1000</v>
      </c>
      <c r="F196" s="43">
        <v>9.4</v>
      </c>
      <c r="G196" s="39">
        <f t="shared" si="9"/>
        <v>9400</v>
      </c>
    </row>
    <row r="197" spans="1:7" x14ac:dyDescent="0.35">
      <c r="A197" s="30">
        <v>25</v>
      </c>
      <c r="B197" s="13" t="s">
        <v>185</v>
      </c>
      <c r="D197" s="13" t="s">
        <v>94</v>
      </c>
      <c r="E197" s="17">
        <v>2800</v>
      </c>
      <c r="F197" s="43">
        <v>0.3</v>
      </c>
      <c r="G197" s="39">
        <f t="shared" si="9"/>
        <v>840</v>
      </c>
    </row>
    <row r="198" spans="1:7" x14ac:dyDescent="0.35">
      <c r="A198" s="30">
        <v>25</v>
      </c>
      <c r="B198" s="13" t="s">
        <v>185</v>
      </c>
      <c r="D198" s="13" t="s">
        <v>25</v>
      </c>
      <c r="E198" s="17">
        <v>1000</v>
      </c>
      <c r="F198" s="43">
        <v>0.35</v>
      </c>
      <c r="G198" s="39">
        <f t="shared" si="9"/>
        <v>350</v>
      </c>
    </row>
    <row r="199" spans="1:7" x14ac:dyDescent="0.35">
      <c r="A199" s="30">
        <v>25</v>
      </c>
      <c r="B199" s="13" t="s">
        <v>185</v>
      </c>
      <c r="D199" s="13" t="s">
        <v>25</v>
      </c>
      <c r="E199" s="17">
        <v>1000</v>
      </c>
      <c r="F199" s="43">
        <v>0.85</v>
      </c>
      <c r="G199" s="39">
        <f t="shared" si="9"/>
        <v>850</v>
      </c>
    </row>
    <row r="200" spans="1:7" x14ac:dyDescent="0.35">
      <c r="A200" s="30">
        <v>25</v>
      </c>
      <c r="B200" s="13" t="s">
        <v>185</v>
      </c>
      <c r="D200" s="13" t="s">
        <v>60</v>
      </c>
      <c r="E200" s="17">
        <v>2500</v>
      </c>
      <c r="F200" s="43">
        <v>0.35</v>
      </c>
      <c r="G200" s="39">
        <f t="shared" si="9"/>
        <v>875</v>
      </c>
    </row>
    <row r="201" spans="1:7" x14ac:dyDescent="0.35">
      <c r="A201" s="30">
        <v>25</v>
      </c>
      <c r="B201" s="13" t="s">
        <v>185</v>
      </c>
      <c r="D201" s="13" t="s">
        <v>39</v>
      </c>
      <c r="E201" s="17">
        <v>1500</v>
      </c>
      <c r="F201" s="43">
        <v>0.35</v>
      </c>
      <c r="G201" s="39">
        <f t="shared" si="9"/>
        <v>525</v>
      </c>
    </row>
    <row r="202" spans="1:7" x14ac:dyDescent="0.35">
      <c r="A202" s="30">
        <v>25</v>
      </c>
      <c r="B202" s="13" t="s">
        <v>185</v>
      </c>
      <c r="D202" s="13" t="s">
        <v>18</v>
      </c>
      <c r="E202" s="17">
        <v>150</v>
      </c>
      <c r="F202" s="43">
        <v>1</v>
      </c>
      <c r="G202" s="39">
        <f t="shared" si="9"/>
        <v>150</v>
      </c>
    </row>
    <row r="203" spans="1:7" x14ac:dyDescent="0.35">
      <c r="A203" s="30">
        <v>25</v>
      </c>
      <c r="B203" s="13" t="s">
        <v>185</v>
      </c>
      <c r="D203" s="13" t="s">
        <v>26</v>
      </c>
      <c r="E203" s="17">
        <v>1000</v>
      </c>
      <c r="F203" s="43">
        <v>0.45</v>
      </c>
      <c r="G203" s="39">
        <f t="shared" si="9"/>
        <v>450</v>
      </c>
    </row>
    <row r="204" spans="1:7" x14ac:dyDescent="0.35">
      <c r="A204" s="30">
        <v>25</v>
      </c>
      <c r="B204" s="13" t="s">
        <v>185</v>
      </c>
      <c r="D204" s="13" t="s">
        <v>266</v>
      </c>
      <c r="E204" s="17">
        <v>1000</v>
      </c>
      <c r="F204" s="43">
        <v>0.6</v>
      </c>
      <c r="G204" s="39">
        <f t="shared" si="9"/>
        <v>600</v>
      </c>
    </row>
    <row r="205" spans="1:7" x14ac:dyDescent="0.35">
      <c r="A205" s="30">
        <v>25</v>
      </c>
      <c r="B205" s="13" t="s">
        <v>185</v>
      </c>
      <c r="D205" s="13" t="s">
        <v>53</v>
      </c>
      <c r="E205" s="17">
        <v>300</v>
      </c>
      <c r="F205" s="43">
        <v>0.25</v>
      </c>
      <c r="G205" s="39">
        <f t="shared" si="9"/>
        <v>75</v>
      </c>
    </row>
    <row r="206" spans="1:7" x14ac:dyDescent="0.35">
      <c r="A206" s="30">
        <v>25</v>
      </c>
      <c r="B206" s="13" t="s">
        <v>185</v>
      </c>
      <c r="D206" s="13" t="s">
        <v>94</v>
      </c>
      <c r="E206" s="17">
        <v>2800</v>
      </c>
      <c r="F206" s="43">
        <v>2</v>
      </c>
      <c r="G206" s="39">
        <f t="shared" si="9"/>
        <v>5600</v>
      </c>
    </row>
    <row r="207" spans="1:7" x14ac:dyDescent="0.35">
      <c r="A207" s="30">
        <v>26</v>
      </c>
      <c r="B207" s="13" t="s">
        <v>264</v>
      </c>
      <c r="D207" s="13" t="s">
        <v>53</v>
      </c>
      <c r="E207" s="17">
        <v>300</v>
      </c>
      <c r="F207" s="43">
        <f>4.7+4.55</f>
        <v>9.25</v>
      </c>
      <c r="G207" s="39">
        <f t="shared" si="9"/>
        <v>2775</v>
      </c>
    </row>
    <row r="208" spans="1:7" x14ac:dyDescent="0.35">
      <c r="A208" s="30">
        <v>26</v>
      </c>
      <c r="B208" s="13" t="s">
        <v>264</v>
      </c>
      <c r="D208" s="13" t="s">
        <v>13</v>
      </c>
      <c r="E208" s="17">
        <v>200</v>
      </c>
      <c r="F208" s="43">
        <f>4.15+3.5+0.2</f>
        <v>7.8500000000000005</v>
      </c>
      <c r="G208" s="39">
        <f t="shared" si="9"/>
        <v>1570</v>
      </c>
    </row>
    <row r="209" spans="1:7" x14ac:dyDescent="0.35">
      <c r="A209" s="30">
        <v>27</v>
      </c>
      <c r="B209" s="13" t="s">
        <v>265</v>
      </c>
      <c r="C209" s="1">
        <v>5</v>
      </c>
      <c r="D209" s="13" t="s">
        <v>41</v>
      </c>
      <c r="E209" s="17">
        <v>1000</v>
      </c>
      <c r="F209" s="43">
        <f>8.9+7.3+2.45+0.25</f>
        <v>18.899999999999999</v>
      </c>
      <c r="G209" s="39">
        <f t="shared" si="9"/>
        <v>18900</v>
      </c>
    </row>
    <row r="210" spans="1:7" x14ac:dyDescent="0.35">
      <c r="A210" s="30">
        <v>27</v>
      </c>
      <c r="B210" s="13" t="s">
        <v>265</v>
      </c>
      <c r="D210" s="13" t="s">
        <v>28</v>
      </c>
      <c r="E210" s="17">
        <v>3500</v>
      </c>
      <c r="F210" s="43">
        <v>0.05</v>
      </c>
      <c r="G210" s="39">
        <f t="shared" si="9"/>
        <v>175</v>
      </c>
    </row>
    <row r="211" spans="1:7" x14ac:dyDescent="0.35">
      <c r="A211" s="30">
        <v>27</v>
      </c>
      <c r="B211" s="13" t="s">
        <v>265</v>
      </c>
      <c r="D211" s="13" t="s">
        <v>94</v>
      </c>
      <c r="E211" s="17">
        <v>2800</v>
      </c>
      <c r="F211" s="43">
        <f>0.6+1.65+2.05+1.8+2.25+2+1.35+1.8+2.05+2.1+1.7</f>
        <v>19.350000000000001</v>
      </c>
      <c r="G211" s="39">
        <f t="shared" si="9"/>
        <v>54180.000000000007</v>
      </c>
    </row>
    <row r="212" spans="1:7" x14ac:dyDescent="0.35">
      <c r="A212" s="30">
        <v>27</v>
      </c>
      <c r="B212" s="13" t="s">
        <v>265</v>
      </c>
      <c r="D212" s="13" t="s">
        <v>28</v>
      </c>
      <c r="E212" s="17">
        <v>3500</v>
      </c>
      <c r="F212" s="43">
        <v>0.1</v>
      </c>
      <c r="G212" s="39">
        <f t="shared" si="9"/>
        <v>350</v>
      </c>
    </row>
    <row r="213" spans="1:7" x14ac:dyDescent="0.35">
      <c r="A213" s="30">
        <v>27</v>
      </c>
      <c r="B213" s="13" t="s">
        <v>265</v>
      </c>
      <c r="D213" s="13" t="s">
        <v>60</v>
      </c>
      <c r="E213" s="17">
        <v>2500</v>
      </c>
      <c r="F213" s="43">
        <v>1.7</v>
      </c>
      <c r="G213" s="39">
        <f t="shared" si="9"/>
        <v>4250</v>
      </c>
    </row>
    <row r="214" spans="1:7" x14ac:dyDescent="0.35">
      <c r="A214" s="30">
        <v>27</v>
      </c>
      <c r="B214" s="13" t="s">
        <v>265</v>
      </c>
      <c r="D214" s="13" t="s">
        <v>100</v>
      </c>
      <c r="E214" s="17">
        <v>1400</v>
      </c>
      <c r="F214" s="43">
        <v>2.75</v>
      </c>
      <c r="G214" s="39">
        <f t="shared" si="9"/>
        <v>3850</v>
      </c>
    </row>
    <row r="215" spans="1:7" x14ac:dyDescent="0.35">
      <c r="A215" s="30">
        <v>28</v>
      </c>
      <c r="B215" t="s">
        <v>186</v>
      </c>
      <c r="C215" s="30">
        <v>2</v>
      </c>
      <c r="D215" s="13" t="s">
        <v>94</v>
      </c>
      <c r="E215" s="17">
        <v>2800</v>
      </c>
      <c r="F215" s="43">
        <v>1.25</v>
      </c>
      <c r="G215" s="39">
        <f t="shared" si="9"/>
        <v>3500</v>
      </c>
    </row>
    <row r="216" spans="1:7" x14ac:dyDescent="0.35">
      <c r="A216" s="30">
        <v>28</v>
      </c>
      <c r="B216" t="s">
        <v>186</v>
      </c>
      <c r="D216" s="13" t="s">
        <v>25</v>
      </c>
      <c r="E216" s="17">
        <v>1000</v>
      </c>
      <c r="F216" s="43">
        <v>4.3499999999999996</v>
      </c>
      <c r="G216" s="39">
        <f t="shared" si="9"/>
        <v>4350</v>
      </c>
    </row>
    <row r="217" spans="1:7" x14ac:dyDescent="0.35">
      <c r="A217" s="30">
        <v>28</v>
      </c>
      <c r="B217" t="s">
        <v>186</v>
      </c>
      <c r="D217" s="13" t="s">
        <v>60</v>
      </c>
      <c r="E217" s="17">
        <v>2500</v>
      </c>
      <c r="F217" s="43">
        <v>0.15</v>
      </c>
      <c r="G217" s="39">
        <f t="shared" si="9"/>
        <v>375</v>
      </c>
    </row>
    <row r="218" spans="1:7" x14ac:dyDescent="0.35">
      <c r="A218" s="30">
        <v>28</v>
      </c>
      <c r="B218" t="s">
        <v>186</v>
      </c>
      <c r="D218" s="13" t="s">
        <v>18</v>
      </c>
      <c r="E218" s="17">
        <v>150</v>
      </c>
      <c r="F218" s="43">
        <v>0.4</v>
      </c>
      <c r="G218" s="39">
        <f t="shared" si="9"/>
        <v>60</v>
      </c>
    </row>
    <row r="219" spans="1:7" x14ac:dyDescent="0.35">
      <c r="A219" s="30">
        <v>28</v>
      </c>
      <c r="B219" t="s">
        <v>186</v>
      </c>
      <c r="D219" s="13" t="s">
        <v>53</v>
      </c>
      <c r="E219" s="17">
        <v>300</v>
      </c>
      <c r="F219" s="43">
        <f>0.85+0.2</f>
        <v>1.05</v>
      </c>
      <c r="G219" s="39"/>
    </row>
    <row r="220" spans="1:7" x14ac:dyDescent="0.35">
      <c r="A220" s="30">
        <v>28</v>
      </c>
      <c r="B220" t="s">
        <v>186</v>
      </c>
      <c r="D220" s="13" t="s">
        <v>29</v>
      </c>
      <c r="E220" s="17">
        <v>1600</v>
      </c>
      <c r="F220" s="43">
        <v>0.4</v>
      </c>
      <c r="G220" s="39"/>
    </row>
    <row r="221" spans="1:7" x14ac:dyDescent="0.35">
      <c r="A221" s="30">
        <v>28</v>
      </c>
      <c r="B221" t="s">
        <v>186</v>
      </c>
      <c r="D221" s="13" t="s">
        <v>41</v>
      </c>
      <c r="E221" s="17">
        <v>1000</v>
      </c>
      <c r="F221" s="43">
        <f>4.75+0.25</f>
        <v>5</v>
      </c>
      <c r="G221" s="39"/>
    </row>
    <row r="222" spans="1:7" x14ac:dyDescent="0.35">
      <c r="A222" s="30">
        <v>28</v>
      </c>
      <c r="B222" t="s">
        <v>186</v>
      </c>
      <c r="D222" s="13" t="s">
        <v>34</v>
      </c>
      <c r="E222" s="17">
        <v>4000</v>
      </c>
      <c r="F222" s="43">
        <v>1.75</v>
      </c>
      <c r="G222" s="39"/>
    </row>
    <row r="223" spans="1:7" x14ac:dyDescent="0.35">
      <c r="A223" s="30">
        <v>28</v>
      </c>
      <c r="B223" t="s">
        <v>186</v>
      </c>
      <c r="D223" s="13" t="s">
        <v>39</v>
      </c>
      <c r="E223" s="17">
        <v>1500</v>
      </c>
      <c r="F223" s="43">
        <v>1.5</v>
      </c>
      <c r="G223" s="39"/>
    </row>
    <row r="224" spans="1:7" x14ac:dyDescent="0.35">
      <c r="A224" s="30">
        <v>28</v>
      </c>
      <c r="B224" t="s">
        <v>186</v>
      </c>
      <c r="D224" s="13" t="s">
        <v>51</v>
      </c>
      <c r="E224" s="17">
        <v>500</v>
      </c>
      <c r="F224" s="43">
        <v>1.2</v>
      </c>
      <c r="G224" s="39"/>
    </row>
    <row r="225" spans="1:7" x14ac:dyDescent="0.35">
      <c r="A225" s="30">
        <v>29</v>
      </c>
      <c r="B225" s="13" t="s">
        <v>225</v>
      </c>
      <c r="D225" s="13" t="s">
        <v>34</v>
      </c>
      <c r="E225" s="17">
        <v>4000</v>
      </c>
      <c r="F225" s="43">
        <v>4.9000000000000004</v>
      </c>
      <c r="G225" s="39">
        <f t="shared" ref="G225:G256" si="10">E225*F225</f>
        <v>19600</v>
      </c>
    </row>
    <row r="226" spans="1:7" x14ac:dyDescent="0.35">
      <c r="A226" s="30">
        <v>29</v>
      </c>
      <c r="B226" s="13" t="s">
        <v>225</v>
      </c>
      <c r="D226" s="13" t="s">
        <v>51</v>
      </c>
      <c r="E226" s="17">
        <v>500</v>
      </c>
      <c r="F226" s="43">
        <v>2.1</v>
      </c>
      <c r="G226" s="39">
        <f t="shared" si="10"/>
        <v>1050</v>
      </c>
    </row>
    <row r="227" spans="1:7" x14ac:dyDescent="0.35">
      <c r="A227" s="30">
        <v>29</v>
      </c>
      <c r="B227" s="13" t="s">
        <v>225</v>
      </c>
      <c r="D227" s="13" t="s">
        <v>18</v>
      </c>
      <c r="E227" s="17">
        <v>150</v>
      </c>
      <c r="F227" s="43">
        <v>1.4</v>
      </c>
      <c r="G227" s="39">
        <f t="shared" si="10"/>
        <v>210</v>
      </c>
    </row>
    <row r="228" spans="1:7" x14ac:dyDescent="0.35">
      <c r="A228" s="30">
        <v>29</v>
      </c>
      <c r="B228" s="13" t="s">
        <v>225</v>
      </c>
      <c r="D228" s="13" t="s">
        <v>28</v>
      </c>
      <c r="E228" s="17">
        <v>3500</v>
      </c>
      <c r="F228" s="43">
        <v>0.25</v>
      </c>
      <c r="G228" s="39">
        <f t="shared" si="10"/>
        <v>875</v>
      </c>
    </row>
    <row r="229" spans="1:7" x14ac:dyDescent="0.35">
      <c r="A229" s="30">
        <v>29</v>
      </c>
      <c r="B229" s="13" t="s">
        <v>225</v>
      </c>
      <c r="D229" s="13" t="s">
        <v>53</v>
      </c>
      <c r="E229" s="17">
        <v>300</v>
      </c>
      <c r="F229" s="43">
        <f>0.35+0.25+0.55</f>
        <v>1.1499999999999999</v>
      </c>
      <c r="G229" s="39">
        <f t="shared" si="10"/>
        <v>345</v>
      </c>
    </row>
    <row r="230" spans="1:7" x14ac:dyDescent="0.35">
      <c r="A230" s="30">
        <v>29</v>
      </c>
      <c r="B230" s="13" t="s">
        <v>225</v>
      </c>
      <c r="D230" s="13" t="s">
        <v>41</v>
      </c>
      <c r="E230" s="17">
        <v>1000</v>
      </c>
      <c r="F230" s="43">
        <f>4.1+1.65</f>
        <v>5.75</v>
      </c>
      <c r="G230" s="39">
        <f t="shared" si="10"/>
        <v>5750</v>
      </c>
    </row>
    <row r="231" spans="1:7" x14ac:dyDescent="0.35">
      <c r="A231" s="30">
        <v>29</v>
      </c>
      <c r="B231" s="13" t="s">
        <v>225</v>
      </c>
      <c r="D231" s="13" t="s">
        <v>39</v>
      </c>
      <c r="E231" s="17">
        <v>1500</v>
      </c>
      <c r="F231" s="43">
        <f>1.55+0.05+0.25</f>
        <v>1.85</v>
      </c>
      <c r="G231" s="39">
        <f t="shared" si="10"/>
        <v>2775</v>
      </c>
    </row>
    <row r="232" spans="1:7" x14ac:dyDescent="0.35">
      <c r="A232" s="30">
        <v>29</v>
      </c>
      <c r="B232" s="13" t="s">
        <v>225</v>
      </c>
      <c r="D232" s="13" t="s">
        <v>22</v>
      </c>
      <c r="E232" s="17">
        <v>1600</v>
      </c>
      <c r="F232" s="43">
        <v>1.55</v>
      </c>
      <c r="G232" s="39">
        <f t="shared" si="10"/>
        <v>2480</v>
      </c>
    </row>
    <row r="233" spans="1:7" x14ac:dyDescent="0.35">
      <c r="A233" s="30">
        <v>29</v>
      </c>
      <c r="B233" s="13" t="s">
        <v>225</v>
      </c>
      <c r="D233" s="13" t="s">
        <v>13</v>
      </c>
      <c r="E233" s="17">
        <v>200</v>
      </c>
      <c r="F233" s="43">
        <v>2.35</v>
      </c>
      <c r="G233" s="39">
        <f t="shared" si="10"/>
        <v>470</v>
      </c>
    </row>
    <row r="234" spans="1:7" x14ac:dyDescent="0.35">
      <c r="A234" s="30">
        <v>29</v>
      </c>
      <c r="B234" s="13" t="s">
        <v>225</v>
      </c>
      <c r="D234" s="13" t="s">
        <v>26</v>
      </c>
      <c r="E234" s="17">
        <v>1000</v>
      </c>
      <c r="F234" s="43">
        <f>3.05+5.15+1.7+1.35+0.4+0.9+0.3</f>
        <v>12.85</v>
      </c>
      <c r="G234" s="39">
        <f t="shared" si="10"/>
        <v>12850</v>
      </c>
    </row>
    <row r="235" spans="1:7" x14ac:dyDescent="0.35">
      <c r="A235" s="30">
        <v>29</v>
      </c>
      <c r="B235" s="13" t="s">
        <v>225</v>
      </c>
      <c r="D235" s="13" t="s">
        <v>94</v>
      </c>
      <c r="E235" s="17">
        <v>2800</v>
      </c>
      <c r="F235" s="43">
        <f>0.8+1.55</f>
        <v>2.35</v>
      </c>
      <c r="G235" s="39">
        <f t="shared" si="10"/>
        <v>6580</v>
      </c>
    </row>
    <row r="236" spans="1:7" x14ac:dyDescent="0.35">
      <c r="A236" s="30">
        <v>30</v>
      </c>
      <c r="B236" s="13" t="s">
        <v>221</v>
      </c>
      <c r="C236" s="1">
        <v>5</v>
      </c>
      <c r="D236" s="13" t="s">
        <v>13</v>
      </c>
      <c r="E236" s="17">
        <v>200</v>
      </c>
      <c r="F236" s="43">
        <v>0.6</v>
      </c>
      <c r="G236" s="39">
        <f t="shared" si="10"/>
        <v>120</v>
      </c>
    </row>
    <row r="237" spans="1:7" x14ac:dyDescent="0.35">
      <c r="A237" s="30">
        <v>30</v>
      </c>
      <c r="B237" s="13" t="s">
        <v>221</v>
      </c>
      <c r="D237" s="13" t="s">
        <v>125</v>
      </c>
      <c r="E237" s="17">
        <v>800</v>
      </c>
      <c r="F237" s="43">
        <v>6.7</v>
      </c>
      <c r="G237" s="39">
        <f t="shared" si="10"/>
        <v>5360</v>
      </c>
    </row>
    <row r="238" spans="1:7" x14ac:dyDescent="0.35">
      <c r="A238" s="30">
        <v>30</v>
      </c>
      <c r="B238" s="13" t="s">
        <v>221</v>
      </c>
      <c r="D238" s="13" t="s">
        <v>26</v>
      </c>
      <c r="E238" s="17">
        <v>1000</v>
      </c>
      <c r="F238" s="43">
        <v>1.25</v>
      </c>
      <c r="G238" s="39">
        <f t="shared" si="10"/>
        <v>1250</v>
      </c>
    </row>
    <row r="239" spans="1:7" x14ac:dyDescent="0.35">
      <c r="A239" s="30">
        <v>30</v>
      </c>
      <c r="B239" s="13" t="s">
        <v>221</v>
      </c>
      <c r="D239" s="13" t="s">
        <v>125</v>
      </c>
      <c r="E239" s="17">
        <v>800</v>
      </c>
      <c r="F239" s="43">
        <v>1.4</v>
      </c>
      <c r="G239" s="39">
        <f t="shared" si="10"/>
        <v>1120</v>
      </c>
    </row>
    <row r="240" spans="1:7" x14ac:dyDescent="0.35">
      <c r="A240" s="30">
        <v>30</v>
      </c>
      <c r="B240" s="13" t="s">
        <v>221</v>
      </c>
      <c r="D240" s="13" t="s">
        <v>126</v>
      </c>
      <c r="E240" s="17">
        <v>1800</v>
      </c>
      <c r="F240" s="43">
        <v>3.35</v>
      </c>
      <c r="G240" s="39">
        <f t="shared" si="10"/>
        <v>6030</v>
      </c>
    </row>
    <row r="241" spans="1:7" x14ac:dyDescent="0.35">
      <c r="A241" s="30">
        <v>30</v>
      </c>
      <c r="B241" s="13" t="s">
        <v>221</v>
      </c>
      <c r="D241" s="13" t="s">
        <v>51</v>
      </c>
      <c r="E241" s="17">
        <v>500</v>
      </c>
      <c r="F241" s="43">
        <v>0.2</v>
      </c>
      <c r="G241" s="39">
        <f t="shared" si="10"/>
        <v>100</v>
      </c>
    </row>
    <row r="242" spans="1:7" x14ac:dyDescent="0.35">
      <c r="A242" s="30">
        <v>30</v>
      </c>
      <c r="B242" s="13" t="s">
        <v>221</v>
      </c>
      <c r="D242" s="13" t="s">
        <v>57</v>
      </c>
      <c r="E242" s="17">
        <v>150</v>
      </c>
      <c r="F242" s="43">
        <v>0.05</v>
      </c>
      <c r="G242" s="39">
        <f t="shared" si="10"/>
        <v>7.5</v>
      </c>
    </row>
    <row r="243" spans="1:7" x14ac:dyDescent="0.35">
      <c r="A243" s="30">
        <v>30</v>
      </c>
      <c r="B243" s="13" t="s">
        <v>221</v>
      </c>
      <c r="D243" s="13" t="s">
        <v>41</v>
      </c>
      <c r="E243" s="17">
        <v>1000</v>
      </c>
      <c r="F243" s="43">
        <v>1.4</v>
      </c>
      <c r="G243" s="39">
        <f t="shared" si="10"/>
        <v>1400</v>
      </c>
    </row>
    <row r="244" spans="1:7" x14ac:dyDescent="0.35">
      <c r="A244" s="30">
        <v>30</v>
      </c>
      <c r="B244" s="13" t="s">
        <v>221</v>
      </c>
      <c r="D244" s="13" t="s">
        <v>25</v>
      </c>
      <c r="E244" s="17">
        <v>1000</v>
      </c>
      <c r="F244" s="43">
        <v>0.9</v>
      </c>
      <c r="G244" s="39">
        <f t="shared" si="10"/>
        <v>900</v>
      </c>
    </row>
    <row r="245" spans="1:7" x14ac:dyDescent="0.35">
      <c r="A245" s="30">
        <v>31</v>
      </c>
      <c r="B245" s="13" t="s">
        <v>120</v>
      </c>
      <c r="D245" s="13" t="s">
        <v>41</v>
      </c>
      <c r="E245" s="17">
        <v>1000</v>
      </c>
      <c r="F245" s="43">
        <v>5.15</v>
      </c>
      <c r="G245" s="39">
        <f t="shared" si="10"/>
        <v>5150</v>
      </c>
    </row>
    <row r="246" spans="1:7" x14ac:dyDescent="0.35">
      <c r="A246" s="30">
        <v>31</v>
      </c>
      <c r="B246" s="13" t="s">
        <v>120</v>
      </c>
      <c r="D246" s="13" t="s">
        <v>51</v>
      </c>
      <c r="E246" s="17">
        <v>500</v>
      </c>
      <c r="F246" s="43">
        <v>0.35</v>
      </c>
      <c r="G246" s="39">
        <f t="shared" si="10"/>
        <v>175</v>
      </c>
    </row>
    <row r="247" spans="1:7" x14ac:dyDescent="0.35">
      <c r="A247" s="30">
        <v>31</v>
      </c>
      <c r="B247" s="13" t="s">
        <v>120</v>
      </c>
      <c r="D247" s="13" t="s">
        <v>26</v>
      </c>
      <c r="E247" s="17">
        <v>1000</v>
      </c>
      <c r="F247" s="43">
        <v>1.1000000000000001</v>
      </c>
      <c r="G247" s="39">
        <f t="shared" si="10"/>
        <v>1100</v>
      </c>
    </row>
    <row r="248" spans="1:7" x14ac:dyDescent="0.35">
      <c r="A248" s="30">
        <v>31</v>
      </c>
      <c r="B248" s="13" t="s">
        <v>120</v>
      </c>
      <c r="D248" s="13" t="s">
        <v>13</v>
      </c>
      <c r="E248" s="17">
        <v>200</v>
      </c>
      <c r="F248" s="43">
        <v>0.1</v>
      </c>
      <c r="G248" s="39">
        <f t="shared" si="10"/>
        <v>20</v>
      </c>
    </row>
    <row r="249" spans="1:7" x14ac:dyDescent="0.35">
      <c r="A249" s="30">
        <v>31</v>
      </c>
      <c r="B249" s="13" t="s">
        <v>120</v>
      </c>
      <c r="D249" s="13" t="s">
        <v>22</v>
      </c>
      <c r="E249" s="17">
        <v>1600</v>
      </c>
      <c r="F249" s="43">
        <v>0.25</v>
      </c>
      <c r="G249" s="39">
        <f t="shared" si="10"/>
        <v>400</v>
      </c>
    </row>
    <row r="250" spans="1:7" x14ac:dyDescent="0.35">
      <c r="A250" s="30">
        <v>31</v>
      </c>
      <c r="B250" s="13" t="s">
        <v>120</v>
      </c>
      <c r="D250" s="13" t="s">
        <v>39</v>
      </c>
      <c r="E250" s="17">
        <v>1500</v>
      </c>
      <c r="F250" s="43">
        <v>0.45</v>
      </c>
      <c r="G250" s="39">
        <f t="shared" si="10"/>
        <v>675</v>
      </c>
    </row>
    <row r="251" spans="1:7" x14ac:dyDescent="0.35">
      <c r="A251" s="30">
        <v>32</v>
      </c>
      <c r="B251" s="13" t="s">
        <v>84</v>
      </c>
      <c r="D251" s="13" t="s">
        <v>22</v>
      </c>
      <c r="E251" s="17">
        <v>1600</v>
      </c>
      <c r="F251" s="43">
        <v>0.15</v>
      </c>
      <c r="G251" s="39">
        <f t="shared" si="10"/>
        <v>240</v>
      </c>
    </row>
    <row r="252" spans="1:7" x14ac:dyDescent="0.35">
      <c r="A252" s="30">
        <v>32</v>
      </c>
      <c r="B252" s="13" t="s">
        <v>84</v>
      </c>
      <c r="D252" s="13" t="s">
        <v>56</v>
      </c>
      <c r="E252" s="17">
        <v>500</v>
      </c>
      <c r="F252" s="43">
        <v>1.6</v>
      </c>
      <c r="G252" s="39">
        <f t="shared" si="10"/>
        <v>800</v>
      </c>
    </row>
    <row r="253" spans="1:7" x14ac:dyDescent="0.35">
      <c r="A253" s="30">
        <v>32</v>
      </c>
      <c r="B253" s="13" t="s">
        <v>84</v>
      </c>
      <c r="D253" s="13" t="s">
        <v>126</v>
      </c>
      <c r="E253" s="17">
        <v>1800</v>
      </c>
      <c r="F253" s="43">
        <v>1.95</v>
      </c>
      <c r="G253" s="39">
        <f t="shared" si="10"/>
        <v>3510</v>
      </c>
    </row>
    <row r="254" spans="1:7" x14ac:dyDescent="0.35">
      <c r="A254" s="30">
        <v>32</v>
      </c>
      <c r="B254" s="13" t="s">
        <v>84</v>
      </c>
      <c r="D254" s="13" t="s">
        <v>18</v>
      </c>
      <c r="E254" s="17">
        <v>150</v>
      </c>
      <c r="F254" s="43">
        <v>1.1499999999999999</v>
      </c>
      <c r="G254" s="39">
        <f t="shared" si="10"/>
        <v>172.5</v>
      </c>
    </row>
    <row r="255" spans="1:7" x14ac:dyDescent="0.35">
      <c r="A255" s="30">
        <v>32</v>
      </c>
      <c r="B255" s="13" t="s">
        <v>84</v>
      </c>
      <c r="D255" s="13" t="s">
        <v>60</v>
      </c>
      <c r="E255" s="17">
        <v>2500</v>
      </c>
      <c r="F255" s="43">
        <v>0.1</v>
      </c>
      <c r="G255" s="39">
        <f t="shared" si="10"/>
        <v>250</v>
      </c>
    </row>
    <row r="256" spans="1:7" x14ac:dyDescent="0.35">
      <c r="A256" s="30">
        <v>32</v>
      </c>
      <c r="B256" s="13" t="s">
        <v>84</v>
      </c>
      <c r="D256" s="13" t="s">
        <v>25</v>
      </c>
      <c r="E256" s="17">
        <v>1000</v>
      </c>
      <c r="F256" s="43">
        <v>4.0999999999999996</v>
      </c>
      <c r="G256" s="39">
        <f t="shared" si="10"/>
        <v>4100</v>
      </c>
    </row>
    <row r="257" spans="1:7" x14ac:dyDescent="0.35">
      <c r="A257" s="30">
        <v>32</v>
      </c>
      <c r="B257" s="13" t="s">
        <v>84</v>
      </c>
      <c r="D257" s="13" t="s">
        <v>51</v>
      </c>
      <c r="E257" s="17">
        <v>500</v>
      </c>
      <c r="F257" s="43">
        <v>0.7</v>
      </c>
      <c r="G257" s="39">
        <f t="shared" ref="G257:G288" si="11">E257*F257</f>
        <v>350</v>
      </c>
    </row>
    <row r="258" spans="1:7" x14ac:dyDescent="0.35">
      <c r="A258" s="30">
        <v>32</v>
      </c>
      <c r="B258" s="13" t="s">
        <v>84</v>
      </c>
      <c r="D258" s="13" t="s">
        <v>26</v>
      </c>
      <c r="E258" s="17">
        <v>1000</v>
      </c>
      <c r="F258" s="43">
        <v>1.7</v>
      </c>
      <c r="G258" s="39">
        <f t="shared" si="11"/>
        <v>1700</v>
      </c>
    </row>
    <row r="259" spans="1:7" x14ac:dyDescent="0.35">
      <c r="A259" s="30">
        <v>32</v>
      </c>
      <c r="B259" s="13" t="s">
        <v>84</v>
      </c>
      <c r="D259" s="13" t="s">
        <v>13</v>
      </c>
      <c r="E259" s="17">
        <v>200</v>
      </c>
      <c r="F259" s="43">
        <v>0.2</v>
      </c>
      <c r="G259" s="39">
        <f t="shared" si="11"/>
        <v>40</v>
      </c>
    </row>
    <row r="260" spans="1:7" x14ac:dyDescent="0.35">
      <c r="A260" s="30">
        <v>32</v>
      </c>
      <c r="B260" s="13" t="s">
        <v>84</v>
      </c>
      <c r="D260" s="13" t="s">
        <v>53</v>
      </c>
      <c r="E260" s="17">
        <v>300</v>
      </c>
      <c r="F260" s="43">
        <v>1.25</v>
      </c>
      <c r="G260" s="39">
        <f t="shared" si="11"/>
        <v>375</v>
      </c>
    </row>
    <row r="261" spans="1:7" x14ac:dyDescent="0.35">
      <c r="A261" s="30">
        <v>32</v>
      </c>
      <c r="B261" s="13" t="s">
        <v>84</v>
      </c>
      <c r="D261" s="13" t="s">
        <v>41</v>
      </c>
      <c r="E261" s="17">
        <v>1000</v>
      </c>
      <c r="F261" s="43">
        <v>6.45</v>
      </c>
      <c r="G261" s="39">
        <f t="shared" si="11"/>
        <v>6450</v>
      </c>
    </row>
    <row r="262" spans="1:7" x14ac:dyDescent="0.35">
      <c r="A262" s="30">
        <v>32</v>
      </c>
      <c r="B262" s="13" t="s">
        <v>84</v>
      </c>
      <c r="D262" s="13" t="s">
        <v>94</v>
      </c>
      <c r="E262" s="17">
        <v>2800</v>
      </c>
      <c r="F262" s="43">
        <v>1.8</v>
      </c>
      <c r="G262" s="39">
        <f t="shared" si="11"/>
        <v>5040</v>
      </c>
    </row>
    <row r="263" spans="1:7" x14ac:dyDescent="0.35">
      <c r="A263" s="30">
        <v>33</v>
      </c>
      <c r="B263" s="13" t="s">
        <v>113</v>
      </c>
      <c r="D263" s="13" t="s">
        <v>26</v>
      </c>
      <c r="E263" s="17">
        <v>1000</v>
      </c>
      <c r="F263" s="43">
        <v>0.3</v>
      </c>
      <c r="G263" s="39">
        <f t="shared" si="11"/>
        <v>300</v>
      </c>
    </row>
    <row r="264" spans="1:7" x14ac:dyDescent="0.35">
      <c r="A264" s="30">
        <v>33</v>
      </c>
      <c r="B264" s="13" t="s">
        <v>113</v>
      </c>
      <c r="D264" s="13" t="s">
        <v>25</v>
      </c>
      <c r="E264" s="17">
        <v>1000</v>
      </c>
      <c r="F264" s="43">
        <v>0.1</v>
      </c>
      <c r="G264" s="39">
        <f t="shared" si="11"/>
        <v>100</v>
      </c>
    </row>
    <row r="265" spans="1:7" x14ac:dyDescent="0.35">
      <c r="A265" s="30">
        <v>33</v>
      </c>
      <c r="B265" s="13" t="s">
        <v>113</v>
      </c>
      <c r="D265" s="13" t="s">
        <v>46</v>
      </c>
      <c r="E265" s="17">
        <v>2700</v>
      </c>
      <c r="F265" s="43">
        <v>0.05</v>
      </c>
      <c r="G265" s="39">
        <f t="shared" si="11"/>
        <v>135</v>
      </c>
    </row>
    <row r="266" spans="1:7" x14ac:dyDescent="0.35">
      <c r="A266" s="30">
        <v>33</v>
      </c>
      <c r="B266" s="13" t="s">
        <v>113</v>
      </c>
      <c r="D266" s="13" t="s">
        <v>60</v>
      </c>
      <c r="E266" s="17">
        <v>2500</v>
      </c>
      <c r="F266" s="43">
        <v>0.1</v>
      </c>
      <c r="G266" s="39">
        <f t="shared" si="11"/>
        <v>250</v>
      </c>
    </row>
    <row r="267" spans="1:7" x14ac:dyDescent="0.35">
      <c r="A267" s="30">
        <v>33</v>
      </c>
      <c r="B267" s="13" t="s">
        <v>113</v>
      </c>
      <c r="D267" s="13" t="s">
        <v>54</v>
      </c>
      <c r="E267" s="17">
        <v>800</v>
      </c>
      <c r="F267" s="43">
        <v>0.1</v>
      </c>
      <c r="G267" s="39">
        <f t="shared" si="11"/>
        <v>80</v>
      </c>
    </row>
    <row r="268" spans="1:7" x14ac:dyDescent="0.35">
      <c r="A268" s="30">
        <v>33</v>
      </c>
      <c r="B268" s="13" t="s">
        <v>113</v>
      </c>
      <c r="D268" s="13" t="s">
        <v>51</v>
      </c>
      <c r="E268" s="17">
        <v>500</v>
      </c>
      <c r="F268" s="43">
        <v>0.45</v>
      </c>
      <c r="G268" s="39">
        <f t="shared" si="11"/>
        <v>225</v>
      </c>
    </row>
    <row r="269" spans="1:7" x14ac:dyDescent="0.35">
      <c r="A269" s="30">
        <v>33</v>
      </c>
      <c r="B269" s="13" t="s">
        <v>113</v>
      </c>
      <c r="D269" s="13" t="s">
        <v>13</v>
      </c>
      <c r="E269" s="17">
        <v>200</v>
      </c>
      <c r="F269" s="43">
        <v>0.6</v>
      </c>
      <c r="G269" s="39">
        <f t="shared" si="11"/>
        <v>120</v>
      </c>
    </row>
    <row r="270" spans="1:7" x14ac:dyDescent="0.35">
      <c r="A270" s="30">
        <v>33</v>
      </c>
      <c r="B270" s="13" t="s">
        <v>113</v>
      </c>
      <c r="D270" s="13" t="s">
        <v>21</v>
      </c>
      <c r="E270" s="17">
        <v>2800</v>
      </c>
      <c r="F270" s="43">
        <v>0.7</v>
      </c>
      <c r="G270" s="39">
        <f t="shared" si="11"/>
        <v>1959.9999999999998</v>
      </c>
    </row>
    <row r="271" spans="1:7" x14ac:dyDescent="0.35">
      <c r="A271" s="30">
        <v>33</v>
      </c>
      <c r="B271" s="13" t="s">
        <v>113</v>
      </c>
      <c r="D271" s="13" t="s">
        <v>53</v>
      </c>
      <c r="E271" s="17">
        <v>300</v>
      </c>
      <c r="F271" s="43">
        <v>0.75</v>
      </c>
      <c r="G271" s="39">
        <f t="shared" si="11"/>
        <v>225</v>
      </c>
    </row>
    <row r="272" spans="1:7" x14ac:dyDescent="0.35">
      <c r="A272" s="30">
        <v>33</v>
      </c>
      <c r="B272" s="13" t="s">
        <v>113</v>
      </c>
      <c r="D272" t="s">
        <v>11</v>
      </c>
      <c r="E272" s="17">
        <v>8000</v>
      </c>
      <c r="F272" s="43">
        <v>0.55000000000000004</v>
      </c>
      <c r="G272" s="39">
        <f t="shared" si="11"/>
        <v>4400</v>
      </c>
    </row>
    <row r="273" spans="1:7" x14ac:dyDescent="0.35">
      <c r="A273" s="30">
        <v>33</v>
      </c>
      <c r="B273" s="13" t="s">
        <v>113</v>
      </c>
      <c r="D273" s="13" t="s">
        <v>41</v>
      </c>
      <c r="E273" s="17">
        <v>1000</v>
      </c>
      <c r="F273" s="43">
        <v>0.75</v>
      </c>
      <c r="G273" s="39">
        <f t="shared" si="11"/>
        <v>750</v>
      </c>
    </row>
    <row r="274" spans="1:7" x14ac:dyDescent="0.35">
      <c r="A274" s="30">
        <v>34</v>
      </c>
      <c r="B274" s="13" t="s">
        <v>232</v>
      </c>
      <c r="C274" s="1">
        <v>6</v>
      </c>
      <c r="D274" s="13" t="s">
        <v>26</v>
      </c>
      <c r="E274" s="17">
        <v>1000</v>
      </c>
      <c r="F274" s="43">
        <v>0.3</v>
      </c>
      <c r="G274" s="39">
        <f t="shared" si="11"/>
        <v>300</v>
      </c>
    </row>
    <row r="275" spans="1:7" x14ac:dyDescent="0.35">
      <c r="A275" s="30">
        <v>34</v>
      </c>
      <c r="B275" s="13" t="s">
        <v>232</v>
      </c>
      <c r="D275" s="13" t="s">
        <v>51</v>
      </c>
      <c r="E275" s="17">
        <v>500</v>
      </c>
      <c r="F275" s="43">
        <v>0.2</v>
      </c>
      <c r="G275" s="39">
        <f t="shared" si="11"/>
        <v>100</v>
      </c>
    </row>
    <row r="276" spans="1:7" x14ac:dyDescent="0.35">
      <c r="A276" s="30">
        <v>34</v>
      </c>
      <c r="B276" s="13" t="s">
        <v>232</v>
      </c>
      <c r="D276" s="13" t="s">
        <v>39</v>
      </c>
      <c r="E276" s="17">
        <v>1500</v>
      </c>
      <c r="F276" s="43">
        <v>0.2</v>
      </c>
      <c r="G276" s="39">
        <f t="shared" si="11"/>
        <v>300</v>
      </c>
    </row>
    <row r="277" spans="1:7" x14ac:dyDescent="0.35">
      <c r="A277" s="30">
        <v>34</v>
      </c>
      <c r="B277" s="13" t="s">
        <v>232</v>
      </c>
      <c r="D277" s="13" t="s">
        <v>34</v>
      </c>
      <c r="E277" s="17">
        <v>4000</v>
      </c>
      <c r="F277" s="43">
        <v>1.7</v>
      </c>
      <c r="G277" s="39">
        <f t="shared" si="11"/>
        <v>6800</v>
      </c>
    </row>
    <row r="278" spans="1:7" x14ac:dyDescent="0.35">
      <c r="A278" s="30">
        <v>35</v>
      </c>
      <c r="B278" s="13" t="s">
        <v>231</v>
      </c>
      <c r="C278" s="1">
        <v>6</v>
      </c>
      <c r="D278" s="13" t="s">
        <v>51</v>
      </c>
      <c r="E278" s="17">
        <v>500</v>
      </c>
      <c r="F278" s="43">
        <v>0.45</v>
      </c>
      <c r="G278" s="39">
        <f t="shared" si="11"/>
        <v>225</v>
      </c>
    </row>
    <row r="279" spans="1:7" x14ac:dyDescent="0.35">
      <c r="A279" s="30">
        <v>35</v>
      </c>
      <c r="B279" s="13" t="s">
        <v>231</v>
      </c>
      <c r="D279" s="13" t="s">
        <v>15</v>
      </c>
      <c r="E279" s="17">
        <v>2500</v>
      </c>
      <c r="F279" s="43">
        <v>4.1500000000000004</v>
      </c>
      <c r="G279" s="39">
        <f t="shared" si="11"/>
        <v>10375</v>
      </c>
    </row>
    <row r="280" spans="1:7" x14ac:dyDescent="0.35">
      <c r="A280" s="30">
        <v>36</v>
      </c>
      <c r="B280" s="13" t="s">
        <v>86</v>
      </c>
      <c r="D280" s="13" t="s">
        <v>13</v>
      </c>
      <c r="E280" s="17">
        <v>200</v>
      </c>
      <c r="F280" s="43">
        <v>0.15</v>
      </c>
      <c r="G280" s="39">
        <f t="shared" si="11"/>
        <v>30</v>
      </c>
    </row>
    <row r="281" spans="1:7" x14ac:dyDescent="0.35">
      <c r="A281" s="30">
        <v>36</v>
      </c>
      <c r="B281" s="13" t="s">
        <v>86</v>
      </c>
      <c r="D281" s="13" t="s">
        <v>53</v>
      </c>
      <c r="E281" s="17">
        <v>300</v>
      </c>
      <c r="F281" s="43">
        <v>0.55000000000000004</v>
      </c>
      <c r="G281" s="39">
        <f t="shared" si="11"/>
        <v>165</v>
      </c>
    </row>
    <row r="282" spans="1:7" x14ac:dyDescent="0.35">
      <c r="A282" s="30">
        <v>36</v>
      </c>
      <c r="B282" s="13" t="s">
        <v>86</v>
      </c>
      <c r="D282" s="13" t="s">
        <v>29</v>
      </c>
      <c r="E282" s="17">
        <v>1600</v>
      </c>
      <c r="F282" s="43">
        <v>0.3</v>
      </c>
      <c r="G282" s="39">
        <f t="shared" si="11"/>
        <v>480</v>
      </c>
    </row>
    <row r="283" spans="1:7" x14ac:dyDescent="0.35">
      <c r="A283" s="30">
        <v>36</v>
      </c>
      <c r="B283" s="13" t="s">
        <v>86</v>
      </c>
      <c r="D283" s="13" t="s">
        <v>51</v>
      </c>
      <c r="E283" s="17">
        <v>500</v>
      </c>
      <c r="F283" s="43">
        <v>0.6</v>
      </c>
      <c r="G283" s="39">
        <f t="shared" si="11"/>
        <v>300</v>
      </c>
    </row>
    <row r="284" spans="1:7" x14ac:dyDescent="0.35">
      <c r="A284" s="30">
        <v>36</v>
      </c>
      <c r="B284" s="13" t="s">
        <v>86</v>
      </c>
      <c r="D284" t="s">
        <v>11</v>
      </c>
      <c r="E284" s="17">
        <v>8000</v>
      </c>
      <c r="F284" s="43">
        <v>0.1</v>
      </c>
      <c r="G284" s="39">
        <f t="shared" si="11"/>
        <v>800</v>
      </c>
    </row>
    <row r="285" spans="1:7" x14ac:dyDescent="0.35">
      <c r="A285" s="30">
        <v>36</v>
      </c>
      <c r="B285" s="13" t="s">
        <v>86</v>
      </c>
      <c r="D285" s="13" t="s">
        <v>60</v>
      </c>
      <c r="E285" s="17">
        <v>2500</v>
      </c>
      <c r="F285" s="43">
        <v>0.45</v>
      </c>
      <c r="G285" s="39">
        <f t="shared" si="11"/>
        <v>1125</v>
      </c>
    </row>
    <row r="286" spans="1:7" x14ac:dyDescent="0.35">
      <c r="A286" s="30">
        <v>36</v>
      </c>
      <c r="B286" s="13" t="s">
        <v>86</v>
      </c>
      <c r="D286" s="13" t="s">
        <v>61</v>
      </c>
      <c r="E286" s="17">
        <v>3500</v>
      </c>
      <c r="F286" s="43">
        <v>0.4</v>
      </c>
      <c r="G286" s="39">
        <f t="shared" si="11"/>
        <v>1400</v>
      </c>
    </row>
    <row r="287" spans="1:7" x14ac:dyDescent="0.35">
      <c r="A287" s="30">
        <v>36</v>
      </c>
      <c r="B287" s="13" t="s">
        <v>86</v>
      </c>
      <c r="D287" s="13" t="s">
        <v>39</v>
      </c>
      <c r="E287" s="17">
        <v>1500</v>
      </c>
      <c r="F287" s="43">
        <v>0.45</v>
      </c>
      <c r="G287" s="39">
        <f t="shared" si="11"/>
        <v>675</v>
      </c>
    </row>
    <row r="288" spans="1:7" x14ac:dyDescent="0.35">
      <c r="A288" s="30">
        <v>36</v>
      </c>
      <c r="B288" s="13" t="s">
        <v>86</v>
      </c>
      <c r="D288" s="13" t="s">
        <v>18</v>
      </c>
      <c r="E288" s="17">
        <v>150</v>
      </c>
      <c r="F288" s="43">
        <v>5.55</v>
      </c>
      <c r="G288" s="39">
        <f t="shared" si="11"/>
        <v>832.5</v>
      </c>
    </row>
    <row r="289" spans="1:7" x14ac:dyDescent="0.35">
      <c r="A289" s="30">
        <v>36</v>
      </c>
      <c r="B289" s="13" t="s">
        <v>86</v>
      </c>
      <c r="D289" s="13" t="s">
        <v>94</v>
      </c>
      <c r="E289" s="17">
        <v>2800</v>
      </c>
      <c r="F289" s="43">
        <v>1.45</v>
      </c>
      <c r="G289" s="39">
        <f t="shared" ref="G289:G320" si="12">E289*F289</f>
        <v>4060</v>
      </c>
    </row>
    <row r="290" spans="1:7" x14ac:dyDescent="0.35">
      <c r="A290" s="30">
        <v>36</v>
      </c>
      <c r="B290" s="13" t="s">
        <v>86</v>
      </c>
      <c r="D290" s="13" t="s">
        <v>25</v>
      </c>
      <c r="E290" s="17">
        <v>1000</v>
      </c>
      <c r="F290" s="43">
        <v>3.95</v>
      </c>
      <c r="G290" s="39">
        <f t="shared" si="12"/>
        <v>3950</v>
      </c>
    </row>
    <row r="291" spans="1:7" x14ac:dyDescent="0.35">
      <c r="A291" s="30">
        <v>37</v>
      </c>
      <c r="B291" s="13" t="s">
        <v>163</v>
      </c>
      <c r="D291" s="13" t="s">
        <v>26</v>
      </c>
      <c r="E291" s="17">
        <v>1000</v>
      </c>
      <c r="F291" s="43">
        <v>2</v>
      </c>
      <c r="G291" s="39">
        <f t="shared" si="12"/>
        <v>2000</v>
      </c>
    </row>
    <row r="292" spans="1:7" x14ac:dyDescent="0.35">
      <c r="A292" s="30">
        <v>37</v>
      </c>
      <c r="B292" s="13" t="s">
        <v>163</v>
      </c>
      <c r="D292" s="13" t="s">
        <v>25</v>
      </c>
      <c r="E292" s="17">
        <v>1000</v>
      </c>
      <c r="F292" s="43">
        <v>0.3</v>
      </c>
      <c r="G292" s="39">
        <f t="shared" si="12"/>
        <v>300</v>
      </c>
    </row>
    <row r="293" spans="1:7" x14ac:dyDescent="0.35">
      <c r="A293" s="30">
        <v>37</v>
      </c>
      <c r="B293" s="13" t="s">
        <v>163</v>
      </c>
      <c r="D293" s="13" t="s">
        <v>53</v>
      </c>
      <c r="E293" s="17">
        <v>300</v>
      </c>
      <c r="F293" s="43">
        <v>1.2</v>
      </c>
      <c r="G293" s="39">
        <f t="shared" si="12"/>
        <v>360</v>
      </c>
    </row>
    <row r="294" spans="1:7" x14ac:dyDescent="0.35">
      <c r="A294" s="30">
        <v>37</v>
      </c>
      <c r="B294" s="13" t="s">
        <v>163</v>
      </c>
      <c r="D294" s="13" t="s">
        <v>39</v>
      </c>
      <c r="E294" s="17">
        <v>1500</v>
      </c>
      <c r="F294" s="43">
        <v>0.75</v>
      </c>
      <c r="G294" s="39">
        <f t="shared" si="12"/>
        <v>1125</v>
      </c>
    </row>
    <row r="295" spans="1:7" x14ac:dyDescent="0.35">
      <c r="A295" s="30">
        <v>37</v>
      </c>
      <c r="B295" s="13" t="s">
        <v>163</v>
      </c>
      <c r="D295" s="13" t="s">
        <v>18</v>
      </c>
      <c r="E295" s="17">
        <v>150</v>
      </c>
      <c r="F295" s="43">
        <v>1.05</v>
      </c>
      <c r="G295" s="39">
        <f t="shared" si="12"/>
        <v>157.5</v>
      </c>
    </row>
    <row r="296" spans="1:7" x14ac:dyDescent="0.35">
      <c r="A296" s="30">
        <v>37</v>
      </c>
      <c r="B296" s="13" t="s">
        <v>163</v>
      </c>
      <c r="D296" s="13" t="s">
        <v>34</v>
      </c>
      <c r="E296" s="17">
        <v>4000</v>
      </c>
      <c r="F296" s="43">
        <v>3.6</v>
      </c>
      <c r="G296" s="39">
        <f t="shared" si="12"/>
        <v>14400</v>
      </c>
    </row>
    <row r="297" spans="1:7" x14ac:dyDescent="0.35">
      <c r="A297" s="30">
        <v>37</v>
      </c>
      <c r="B297" s="13" t="s">
        <v>163</v>
      </c>
      <c r="D297" s="13" t="s">
        <v>41</v>
      </c>
      <c r="E297" s="17">
        <v>1000</v>
      </c>
      <c r="F297" s="43">
        <v>11.7</v>
      </c>
      <c r="G297" s="39">
        <f t="shared" si="12"/>
        <v>11700</v>
      </c>
    </row>
    <row r="298" spans="1:7" x14ac:dyDescent="0.35">
      <c r="A298" s="30">
        <v>38</v>
      </c>
      <c r="B298" s="13" t="s">
        <v>95</v>
      </c>
      <c r="D298" s="13" t="s">
        <v>15</v>
      </c>
      <c r="E298" s="17">
        <v>2500</v>
      </c>
      <c r="F298" s="43">
        <v>0.95</v>
      </c>
      <c r="G298" s="39">
        <f t="shared" si="12"/>
        <v>2375</v>
      </c>
    </row>
    <row r="299" spans="1:7" x14ac:dyDescent="0.35">
      <c r="A299" s="30">
        <v>38</v>
      </c>
      <c r="B299" s="13" t="s">
        <v>95</v>
      </c>
      <c r="D299" s="13" t="s">
        <v>13</v>
      </c>
      <c r="E299" s="17">
        <v>200</v>
      </c>
      <c r="F299" s="43">
        <v>2.85</v>
      </c>
      <c r="G299" s="39">
        <f t="shared" si="12"/>
        <v>570</v>
      </c>
    </row>
    <row r="300" spans="1:7" x14ac:dyDescent="0.35">
      <c r="A300" s="30">
        <v>38</v>
      </c>
      <c r="B300" s="13" t="s">
        <v>95</v>
      </c>
      <c r="D300" s="13" t="s">
        <v>53</v>
      </c>
      <c r="E300" s="17">
        <v>300</v>
      </c>
      <c r="F300" s="43">
        <v>0.8</v>
      </c>
      <c r="G300" s="39">
        <f t="shared" si="12"/>
        <v>240</v>
      </c>
    </row>
    <row r="301" spans="1:7" x14ac:dyDescent="0.35">
      <c r="A301" s="30">
        <v>38</v>
      </c>
      <c r="B301" s="13" t="s">
        <v>95</v>
      </c>
      <c r="D301" s="13" t="s">
        <v>60</v>
      </c>
      <c r="E301" s="17">
        <v>2500</v>
      </c>
      <c r="F301" s="43">
        <v>0.4</v>
      </c>
      <c r="G301" s="39">
        <f t="shared" si="12"/>
        <v>1000</v>
      </c>
    </row>
    <row r="302" spans="1:7" x14ac:dyDescent="0.35">
      <c r="A302" s="30">
        <v>38</v>
      </c>
      <c r="B302" s="13" t="s">
        <v>95</v>
      </c>
      <c r="D302" s="13" t="s">
        <v>26</v>
      </c>
      <c r="E302" s="17">
        <v>1000</v>
      </c>
      <c r="F302" s="43">
        <v>3.7</v>
      </c>
      <c r="G302" s="39">
        <f t="shared" si="12"/>
        <v>3700</v>
      </c>
    </row>
    <row r="303" spans="1:7" x14ac:dyDescent="0.35">
      <c r="A303" s="30">
        <v>38</v>
      </c>
      <c r="B303" s="13" t="s">
        <v>95</v>
      </c>
      <c r="D303" s="13" t="s">
        <v>94</v>
      </c>
      <c r="E303" s="17">
        <v>2800</v>
      </c>
      <c r="F303" s="43">
        <v>1.7</v>
      </c>
      <c r="G303" s="39">
        <f t="shared" si="12"/>
        <v>4760</v>
      </c>
    </row>
    <row r="304" spans="1:7" x14ac:dyDescent="0.35">
      <c r="A304" s="30">
        <v>38</v>
      </c>
      <c r="B304" s="13" t="s">
        <v>95</v>
      </c>
      <c r="D304" s="13" t="s">
        <v>51</v>
      </c>
      <c r="E304" s="17">
        <v>500</v>
      </c>
      <c r="F304" s="43">
        <v>0.45</v>
      </c>
      <c r="G304" s="39">
        <f t="shared" si="12"/>
        <v>225</v>
      </c>
    </row>
    <row r="305" spans="1:7" x14ac:dyDescent="0.35">
      <c r="A305" s="30">
        <v>39</v>
      </c>
      <c r="B305" s="13" t="s">
        <v>190</v>
      </c>
      <c r="D305" s="13" t="s">
        <v>51</v>
      </c>
      <c r="E305" s="17">
        <v>500</v>
      </c>
      <c r="F305" s="43">
        <v>0.45</v>
      </c>
      <c r="G305" s="39">
        <f t="shared" si="12"/>
        <v>225</v>
      </c>
    </row>
    <row r="306" spans="1:7" x14ac:dyDescent="0.35">
      <c r="A306" s="30">
        <v>39</v>
      </c>
      <c r="B306" s="13" t="s">
        <v>190</v>
      </c>
      <c r="D306" t="s">
        <v>11</v>
      </c>
      <c r="E306" s="17">
        <v>8000</v>
      </c>
      <c r="F306" s="43">
        <v>0.05</v>
      </c>
      <c r="G306" s="39">
        <f t="shared" si="12"/>
        <v>400</v>
      </c>
    </row>
    <row r="307" spans="1:7" x14ac:dyDescent="0.35">
      <c r="A307" s="30">
        <v>39</v>
      </c>
      <c r="B307" s="13" t="s">
        <v>190</v>
      </c>
      <c r="D307" s="13" t="s">
        <v>18</v>
      </c>
      <c r="E307" s="17">
        <v>150</v>
      </c>
      <c r="F307" s="43">
        <v>0.6</v>
      </c>
      <c r="G307" s="39">
        <f t="shared" si="12"/>
        <v>90</v>
      </c>
    </row>
    <row r="308" spans="1:7" x14ac:dyDescent="0.35">
      <c r="A308" s="30">
        <v>39</v>
      </c>
      <c r="B308" s="13" t="s">
        <v>190</v>
      </c>
      <c r="D308" s="13" t="s">
        <v>25</v>
      </c>
      <c r="E308" s="17">
        <v>1000</v>
      </c>
      <c r="F308" s="43">
        <v>0.3</v>
      </c>
      <c r="G308" s="39">
        <f t="shared" si="12"/>
        <v>300</v>
      </c>
    </row>
    <row r="309" spans="1:7" x14ac:dyDescent="0.35">
      <c r="A309" s="30">
        <v>39</v>
      </c>
      <c r="B309" s="13" t="s">
        <v>190</v>
      </c>
      <c r="D309" s="13" t="s">
        <v>53</v>
      </c>
      <c r="E309" s="17">
        <v>300</v>
      </c>
      <c r="F309" s="43">
        <v>1.8</v>
      </c>
      <c r="G309" s="39">
        <f t="shared" si="12"/>
        <v>540</v>
      </c>
    </row>
    <row r="310" spans="1:7" x14ac:dyDescent="0.35">
      <c r="A310" s="30">
        <v>39</v>
      </c>
      <c r="B310" s="13" t="s">
        <v>190</v>
      </c>
      <c r="D310" s="13" t="s">
        <v>41</v>
      </c>
      <c r="E310" s="17">
        <v>1000</v>
      </c>
      <c r="F310" s="43">
        <f>0.05+0.05+0.2+0.45+0.05</f>
        <v>0.8</v>
      </c>
      <c r="G310" s="39">
        <f t="shared" si="12"/>
        <v>800</v>
      </c>
    </row>
    <row r="311" spans="1:7" x14ac:dyDescent="0.35">
      <c r="A311" s="30">
        <v>39</v>
      </c>
      <c r="B311" s="13" t="s">
        <v>190</v>
      </c>
      <c r="D311" s="13" t="s">
        <v>94</v>
      </c>
      <c r="E311" s="17">
        <v>2800</v>
      </c>
      <c r="F311" s="43">
        <f>0.75+0.85+1.55+1.2+0.6+0.5</f>
        <v>5.45</v>
      </c>
      <c r="G311" s="39">
        <f t="shared" si="12"/>
        <v>15260</v>
      </c>
    </row>
    <row r="312" spans="1:7" x14ac:dyDescent="0.35">
      <c r="A312" s="30">
        <v>40</v>
      </c>
      <c r="B312" s="13" t="s">
        <v>210</v>
      </c>
      <c r="D312" s="13" t="s">
        <v>26</v>
      </c>
      <c r="E312" s="17">
        <v>1000</v>
      </c>
      <c r="F312" s="43">
        <v>0.75</v>
      </c>
      <c r="G312" s="39">
        <f t="shared" si="12"/>
        <v>750</v>
      </c>
    </row>
    <row r="313" spans="1:7" x14ac:dyDescent="0.35">
      <c r="A313" s="30">
        <v>40</v>
      </c>
      <c r="B313" s="13" t="s">
        <v>210</v>
      </c>
      <c r="D313" s="13" t="s">
        <v>22</v>
      </c>
      <c r="E313" s="17">
        <v>1600</v>
      </c>
      <c r="F313" s="43">
        <v>2.4500000000000002</v>
      </c>
      <c r="G313" s="39">
        <f t="shared" si="12"/>
        <v>3920.0000000000005</v>
      </c>
    </row>
    <row r="314" spans="1:7" x14ac:dyDescent="0.35">
      <c r="A314" s="30">
        <v>40</v>
      </c>
      <c r="B314" s="13" t="s">
        <v>210</v>
      </c>
      <c r="D314" s="13" t="s">
        <v>25</v>
      </c>
      <c r="E314" s="17">
        <v>1000</v>
      </c>
      <c r="F314" s="43">
        <v>2.15</v>
      </c>
      <c r="G314" s="39">
        <f t="shared" si="12"/>
        <v>2150</v>
      </c>
    </row>
    <row r="315" spans="1:7" x14ac:dyDescent="0.35">
      <c r="A315" s="30">
        <v>41</v>
      </c>
      <c r="B315" s="13" t="s">
        <v>87</v>
      </c>
      <c r="D315" s="13" t="s">
        <v>53</v>
      </c>
      <c r="E315" s="17">
        <v>300</v>
      </c>
      <c r="F315" s="43">
        <v>0.4</v>
      </c>
      <c r="G315" s="39">
        <f t="shared" si="12"/>
        <v>120</v>
      </c>
    </row>
    <row r="316" spans="1:7" x14ac:dyDescent="0.35">
      <c r="A316" s="30">
        <v>41</v>
      </c>
      <c r="B316" s="13" t="s">
        <v>87</v>
      </c>
      <c r="D316" s="13" t="s">
        <v>51</v>
      </c>
      <c r="E316" s="17">
        <v>500</v>
      </c>
      <c r="F316" s="43">
        <v>1.65</v>
      </c>
      <c r="G316" s="39">
        <f t="shared" si="12"/>
        <v>825</v>
      </c>
    </row>
    <row r="317" spans="1:7" x14ac:dyDescent="0.35">
      <c r="A317" s="30">
        <v>41</v>
      </c>
      <c r="B317" s="13" t="s">
        <v>87</v>
      </c>
      <c r="D317" s="13" t="s">
        <v>61</v>
      </c>
      <c r="E317" s="17">
        <v>3500</v>
      </c>
      <c r="F317" s="43">
        <v>0.1</v>
      </c>
      <c r="G317" s="39">
        <f t="shared" si="12"/>
        <v>350</v>
      </c>
    </row>
    <row r="318" spans="1:7" x14ac:dyDescent="0.35">
      <c r="A318" s="30">
        <v>41</v>
      </c>
      <c r="B318" s="13" t="s">
        <v>87</v>
      </c>
      <c r="D318" s="13" t="s">
        <v>39</v>
      </c>
      <c r="E318" s="17">
        <v>1500</v>
      </c>
      <c r="F318" s="43">
        <v>0.5</v>
      </c>
      <c r="G318" s="39">
        <f t="shared" si="12"/>
        <v>750</v>
      </c>
    </row>
    <row r="319" spans="1:7" x14ac:dyDescent="0.35">
      <c r="A319" s="30">
        <v>41</v>
      </c>
      <c r="B319" s="13" t="s">
        <v>87</v>
      </c>
      <c r="D319" s="13" t="s">
        <v>18</v>
      </c>
      <c r="E319" s="17">
        <v>150</v>
      </c>
      <c r="F319" s="43">
        <v>0.6</v>
      </c>
      <c r="G319" s="39">
        <f t="shared" si="12"/>
        <v>90</v>
      </c>
    </row>
    <row r="320" spans="1:7" x14ac:dyDescent="0.35">
      <c r="A320" s="30">
        <v>41</v>
      </c>
      <c r="B320" s="13" t="s">
        <v>87</v>
      </c>
      <c r="D320" s="13" t="s">
        <v>94</v>
      </c>
      <c r="E320" s="17">
        <v>2800</v>
      </c>
      <c r="F320" s="43">
        <v>0.35</v>
      </c>
      <c r="G320" s="39">
        <f t="shared" si="12"/>
        <v>979.99999999999989</v>
      </c>
    </row>
    <row r="321" spans="1:7" x14ac:dyDescent="0.35">
      <c r="A321" s="30">
        <v>41</v>
      </c>
      <c r="B321" s="13" t="s">
        <v>87</v>
      </c>
      <c r="D321" s="13" t="s">
        <v>29</v>
      </c>
      <c r="E321" s="17">
        <v>1600</v>
      </c>
      <c r="F321" s="43">
        <v>0.25</v>
      </c>
      <c r="G321" s="39">
        <f t="shared" ref="G321:G352" si="13">E321*F321</f>
        <v>400</v>
      </c>
    </row>
    <row r="322" spans="1:7" x14ac:dyDescent="0.35">
      <c r="A322" s="30">
        <v>42</v>
      </c>
      <c r="B322" s="13" t="s">
        <v>195</v>
      </c>
      <c r="D322" s="13" t="s">
        <v>25</v>
      </c>
      <c r="E322" s="17">
        <v>1000</v>
      </c>
      <c r="F322" s="43">
        <v>1.35</v>
      </c>
      <c r="G322" s="39">
        <f t="shared" si="13"/>
        <v>1350</v>
      </c>
    </row>
    <row r="323" spans="1:7" x14ac:dyDescent="0.35">
      <c r="A323" s="30">
        <v>42</v>
      </c>
      <c r="B323" s="13" t="s">
        <v>195</v>
      </c>
      <c r="D323" s="13" t="s">
        <v>126</v>
      </c>
      <c r="E323" s="17">
        <v>1800</v>
      </c>
      <c r="F323" s="43">
        <v>0.45</v>
      </c>
      <c r="G323" s="39">
        <f t="shared" si="13"/>
        <v>810</v>
      </c>
    </row>
    <row r="324" spans="1:7" x14ac:dyDescent="0.35">
      <c r="A324" s="30">
        <v>42</v>
      </c>
      <c r="B324" s="13" t="s">
        <v>195</v>
      </c>
      <c r="D324" s="13" t="s">
        <v>39</v>
      </c>
      <c r="E324" s="17">
        <v>1500</v>
      </c>
      <c r="F324" s="43">
        <v>0.75</v>
      </c>
      <c r="G324" s="39">
        <f t="shared" si="13"/>
        <v>1125</v>
      </c>
    </row>
    <row r="325" spans="1:7" x14ac:dyDescent="0.35">
      <c r="A325" s="30">
        <v>42</v>
      </c>
      <c r="B325" s="13" t="s">
        <v>195</v>
      </c>
      <c r="D325" s="13" t="s">
        <v>94</v>
      </c>
      <c r="E325" s="17">
        <v>2800</v>
      </c>
      <c r="F325" s="43">
        <v>0.85</v>
      </c>
      <c r="G325" s="39">
        <f t="shared" si="13"/>
        <v>2380</v>
      </c>
    </row>
    <row r="326" spans="1:7" x14ac:dyDescent="0.35">
      <c r="A326" s="30">
        <v>42</v>
      </c>
      <c r="B326" s="13" t="s">
        <v>195</v>
      </c>
      <c r="D326" s="13" t="s">
        <v>53</v>
      </c>
      <c r="E326" s="17">
        <v>300</v>
      </c>
      <c r="F326" s="43">
        <v>1.3</v>
      </c>
      <c r="G326" s="39">
        <f t="shared" si="13"/>
        <v>390</v>
      </c>
    </row>
    <row r="327" spans="1:7" x14ac:dyDescent="0.35">
      <c r="A327" s="30">
        <v>42</v>
      </c>
      <c r="B327" s="13" t="s">
        <v>195</v>
      </c>
      <c r="D327" s="13" t="s">
        <v>41</v>
      </c>
      <c r="E327" s="17">
        <v>1000</v>
      </c>
      <c r="F327" s="43">
        <v>2.1</v>
      </c>
      <c r="G327" s="39">
        <f t="shared" si="13"/>
        <v>2100</v>
      </c>
    </row>
    <row r="328" spans="1:7" x14ac:dyDescent="0.35">
      <c r="A328" s="30">
        <v>43</v>
      </c>
      <c r="B328" s="13" t="s">
        <v>254</v>
      </c>
      <c r="D328" s="13" t="s">
        <v>22</v>
      </c>
      <c r="E328" s="17">
        <v>1600</v>
      </c>
      <c r="F328" s="43">
        <v>0.5</v>
      </c>
      <c r="G328" s="39">
        <f t="shared" si="13"/>
        <v>800</v>
      </c>
    </row>
    <row r="329" spans="1:7" x14ac:dyDescent="0.35">
      <c r="A329" s="30">
        <v>43</v>
      </c>
      <c r="B329" s="13" t="s">
        <v>254</v>
      </c>
      <c r="D329" s="13" t="s">
        <v>25</v>
      </c>
      <c r="E329" s="17">
        <v>1000</v>
      </c>
      <c r="F329" s="43">
        <v>1.05</v>
      </c>
      <c r="G329" s="39">
        <f t="shared" si="13"/>
        <v>1050</v>
      </c>
    </row>
    <row r="330" spans="1:7" x14ac:dyDescent="0.35">
      <c r="A330" s="30">
        <v>43</v>
      </c>
      <c r="B330" s="13" t="s">
        <v>254</v>
      </c>
      <c r="D330" s="13" t="s">
        <v>46</v>
      </c>
      <c r="E330" s="17">
        <v>2700</v>
      </c>
      <c r="F330" s="43">
        <v>0.1</v>
      </c>
      <c r="G330" s="39">
        <f t="shared" si="13"/>
        <v>270</v>
      </c>
    </row>
    <row r="331" spans="1:7" x14ac:dyDescent="0.35">
      <c r="A331" s="30">
        <v>43</v>
      </c>
      <c r="B331" s="13" t="s">
        <v>254</v>
      </c>
      <c r="D331" s="13" t="s">
        <v>18</v>
      </c>
      <c r="E331" s="17">
        <v>150</v>
      </c>
      <c r="F331" s="43">
        <v>0.35</v>
      </c>
      <c r="G331" s="39">
        <f t="shared" si="13"/>
        <v>52.5</v>
      </c>
    </row>
    <row r="332" spans="1:7" x14ac:dyDescent="0.35">
      <c r="A332" s="30">
        <v>43</v>
      </c>
      <c r="B332" s="13" t="s">
        <v>254</v>
      </c>
      <c r="D332" s="13" t="s">
        <v>39</v>
      </c>
      <c r="E332" s="17">
        <v>1500</v>
      </c>
      <c r="F332" s="43">
        <v>0.15</v>
      </c>
      <c r="G332" s="39">
        <f t="shared" si="13"/>
        <v>225</v>
      </c>
    </row>
    <row r="333" spans="1:7" x14ac:dyDescent="0.35">
      <c r="A333" s="30">
        <v>43</v>
      </c>
      <c r="B333" s="13" t="s">
        <v>254</v>
      </c>
      <c r="D333" s="13" t="s">
        <v>263</v>
      </c>
      <c r="E333" s="17">
        <v>400</v>
      </c>
      <c r="F333" s="43">
        <v>0.1</v>
      </c>
      <c r="G333" s="39">
        <f t="shared" si="13"/>
        <v>40</v>
      </c>
    </row>
    <row r="334" spans="1:7" x14ac:dyDescent="0.35">
      <c r="A334" s="30">
        <v>44</v>
      </c>
      <c r="B334" s="13" t="s">
        <v>209</v>
      </c>
      <c r="D334" s="13" t="s">
        <v>25</v>
      </c>
      <c r="E334" s="17">
        <v>1000</v>
      </c>
      <c r="F334" s="43">
        <v>0.55000000000000004</v>
      </c>
      <c r="G334" s="39">
        <f t="shared" si="13"/>
        <v>550</v>
      </c>
    </row>
    <row r="335" spans="1:7" x14ac:dyDescent="0.35">
      <c r="A335" s="30">
        <v>44</v>
      </c>
      <c r="B335" s="13" t="s">
        <v>209</v>
      </c>
      <c r="D335" s="13" t="s">
        <v>39</v>
      </c>
      <c r="E335" s="17">
        <v>1500</v>
      </c>
      <c r="F335" s="43">
        <v>0.55000000000000004</v>
      </c>
      <c r="G335" s="39">
        <f t="shared" si="13"/>
        <v>825.00000000000011</v>
      </c>
    </row>
    <row r="336" spans="1:7" x14ac:dyDescent="0.35">
      <c r="A336" s="30">
        <v>44</v>
      </c>
      <c r="B336" s="13" t="s">
        <v>209</v>
      </c>
      <c r="D336" s="13" t="s">
        <v>18</v>
      </c>
      <c r="E336" s="17">
        <v>150</v>
      </c>
      <c r="F336" s="43">
        <v>0.3</v>
      </c>
      <c r="G336" s="39">
        <f t="shared" si="13"/>
        <v>45</v>
      </c>
    </row>
    <row r="337" spans="1:7" x14ac:dyDescent="0.35">
      <c r="A337" s="30">
        <v>44</v>
      </c>
      <c r="B337" s="13" t="s">
        <v>209</v>
      </c>
      <c r="D337" s="13" t="s">
        <v>26</v>
      </c>
      <c r="E337" s="17">
        <v>1000</v>
      </c>
      <c r="F337" s="43">
        <v>0.3</v>
      </c>
      <c r="G337" s="39">
        <f t="shared" si="13"/>
        <v>300</v>
      </c>
    </row>
    <row r="338" spans="1:7" x14ac:dyDescent="0.35">
      <c r="A338" s="30">
        <v>44</v>
      </c>
      <c r="B338" s="13" t="s">
        <v>209</v>
      </c>
      <c r="D338" s="13" t="s">
        <v>34</v>
      </c>
      <c r="E338" s="17">
        <v>4000</v>
      </c>
      <c r="F338" s="43">
        <v>1.4</v>
      </c>
      <c r="G338" s="39">
        <f t="shared" si="13"/>
        <v>5600</v>
      </c>
    </row>
    <row r="339" spans="1:7" x14ac:dyDescent="0.35">
      <c r="A339" s="30">
        <v>44</v>
      </c>
      <c r="B339" s="13" t="s">
        <v>209</v>
      </c>
      <c r="D339" s="13" t="s">
        <v>125</v>
      </c>
      <c r="E339" s="17">
        <v>800</v>
      </c>
      <c r="F339" s="43">
        <v>0.95</v>
      </c>
      <c r="G339" s="39">
        <f t="shared" si="13"/>
        <v>760</v>
      </c>
    </row>
    <row r="340" spans="1:7" x14ac:dyDescent="0.35">
      <c r="A340" s="30">
        <v>44</v>
      </c>
      <c r="B340" s="13" t="s">
        <v>209</v>
      </c>
      <c r="D340" s="13" t="s">
        <v>41</v>
      </c>
      <c r="E340" s="17">
        <v>1000</v>
      </c>
      <c r="F340" s="43">
        <v>0.95</v>
      </c>
      <c r="G340" s="39">
        <f t="shared" si="13"/>
        <v>950</v>
      </c>
    </row>
    <row r="341" spans="1:7" x14ac:dyDescent="0.35">
      <c r="A341" s="30">
        <v>44</v>
      </c>
      <c r="B341" s="13" t="s">
        <v>209</v>
      </c>
      <c r="D341" s="13" t="s">
        <v>13</v>
      </c>
      <c r="E341" s="17">
        <v>200</v>
      </c>
      <c r="F341" s="43">
        <v>0.25</v>
      </c>
      <c r="G341" s="39">
        <f t="shared" si="13"/>
        <v>50</v>
      </c>
    </row>
    <row r="342" spans="1:7" x14ac:dyDescent="0.35">
      <c r="A342" s="30">
        <v>44</v>
      </c>
      <c r="B342" s="13" t="s">
        <v>209</v>
      </c>
      <c r="D342" s="13" t="s">
        <v>53</v>
      </c>
      <c r="E342" s="17">
        <v>300</v>
      </c>
      <c r="F342" s="43">
        <v>0.55000000000000004</v>
      </c>
      <c r="G342" s="39">
        <f t="shared" si="13"/>
        <v>165</v>
      </c>
    </row>
    <row r="343" spans="1:7" x14ac:dyDescent="0.35">
      <c r="A343" s="30">
        <v>44</v>
      </c>
      <c r="B343" s="13" t="s">
        <v>211</v>
      </c>
      <c r="D343" s="13" t="s">
        <v>25</v>
      </c>
      <c r="E343" s="17">
        <v>1000</v>
      </c>
      <c r="F343" s="43">
        <v>0.65</v>
      </c>
      <c r="G343" s="39">
        <f t="shared" si="13"/>
        <v>650</v>
      </c>
    </row>
    <row r="344" spans="1:7" x14ac:dyDescent="0.35">
      <c r="A344" s="30">
        <v>44</v>
      </c>
      <c r="B344" s="13" t="s">
        <v>211</v>
      </c>
      <c r="D344" s="13" t="s">
        <v>53</v>
      </c>
      <c r="E344" s="17">
        <v>300</v>
      </c>
      <c r="F344" s="43">
        <v>1.45</v>
      </c>
      <c r="G344" s="39">
        <f t="shared" si="13"/>
        <v>435</v>
      </c>
    </row>
    <row r="345" spans="1:7" x14ac:dyDescent="0.35">
      <c r="A345" s="30">
        <v>44</v>
      </c>
      <c r="B345" s="13" t="s">
        <v>211</v>
      </c>
      <c r="D345" s="13" t="s">
        <v>18</v>
      </c>
      <c r="E345" s="17">
        <v>150</v>
      </c>
      <c r="F345" s="43">
        <v>1.3</v>
      </c>
      <c r="G345" s="39">
        <f t="shared" si="13"/>
        <v>195</v>
      </c>
    </row>
    <row r="346" spans="1:7" x14ac:dyDescent="0.35">
      <c r="A346" s="30">
        <v>45</v>
      </c>
      <c r="B346" s="13" t="s">
        <v>99</v>
      </c>
      <c r="D346" s="13" t="s">
        <v>41</v>
      </c>
      <c r="E346" s="17">
        <v>1000</v>
      </c>
      <c r="F346" s="43">
        <v>0.45</v>
      </c>
      <c r="G346" s="39">
        <f t="shared" si="13"/>
        <v>450</v>
      </c>
    </row>
    <row r="347" spans="1:7" x14ac:dyDescent="0.35">
      <c r="A347" s="30">
        <v>45</v>
      </c>
      <c r="B347" s="13" t="s">
        <v>99</v>
      </c>
      <c r="D347" s="13" t="s">
        <v>53</v>
      </c>
      <c r="E347" s="17">
        <v>300</v>
      </c>
      <c r="F347" s="43">
        <v>0.25</v>
      </c>
      <c r="G347" s="39">
        <f t="shared" si="13"/>
        <v>75</v>
      </c>
    </row>
    <row r="348" spans="1:7" x14ac:dyDescent="0.35">
      <c r="A348" s="30">
        <v>45</v>
      </c>
      <c r="B348" s="13" t="s">
        <v>99</v>
      </c>
      <c r="D348" s="13" t="s">
        <v>22</v>
      </c>
      <c r="E348" s="17">
        <v>1600</v>
      </c>
      <c r="F348" s="43">
        <v>0.3</v>
      </c>
      <c r="G348" s="39">
        <f t="shared" si="13"/>
        <v>480</v>
      </c>
    </row>
    <row r="349" spans="1:7" x14ac:dyDescent="0.35">
      <c r="A349" s="30">
        <v>45</v>
      </c>
      <c r="B349" s="13" t="s">
        <v>99</v>
      </c>
      <c r="D349" s="13" t="s">
        <v>60</v>
      </c>
      <c r="E349" s="17">
        <v>2500</v>
      </c>
      <c r="F349" s="43">
        <v>0.1</v>
      </c>
      <c r="G349" s="39">
        <f t="shared" si="13"/>
        <v>250</v>
      </c>
    </row>
    <row r="350" spans="1:7" x14ac:dyDescent="0.35">
      <c r="A350" s="30">
        <v>45</v>
      </c>
      <c r="B350" s="13" t="s">
        <v>99</v>
      </c>
      <c r="D350" s="13" t="s">
        <v>13</v>
      </c>
      <c r="E350" s="17">
        <v>200</v>
      </c>
      <c r="F350" s="43">
        <v>0.15</v>
      </c>
      <c r="G350" s="39">
        <f t="shared" si="13"/>
        <v>30</v>
      </c>
    </row>
    <row r="351" spans="1:7" x14ac:dyDescent="0.35">
      <c r="A351" s="30">
        <v>47</v>
      </c>
      <c r="B351" s="13" t="s">
        <v>103</v>
      </c>
      <c r="D351" s="13" t="s">
        <v>41</v>
      </c>
      <c r="E351" s="17">
        <v>1000</v>
      </c>
      <c r="F351" s="43">
        <v>3</v>
      </c>
      <c r="G351" s="39">
        <f t="shared" si="13"/>
        <v>3000</v>
      </c>
    </row>
    <row r="352" spans="1:7" x14ac:dyDescent="0.35">
      <c r="A352" s="30">
        <v>47</v>
      </c>
      <c r="B352" s="13" t="s">
        <v>103</v>
      </c>
      <c r="D352" s="13" t="s">
        <v>53</v>
      </c>
      <c r="E352" s="17">
        <v>300</v>
      </c>
      <c r="F352" s="43">
        <v>0.65</v>
      </c>
      <c r="G352" s="39">
        <f t="shared" si="13"/>
        <v>195</v>
      </c>
    </row>
    <row r="353" spans="1:7" x14ac:dyDescent="0.35">
      <c r="A353" s="30">
        <v>47</v>
      </c>
      <c r="B353" s="13" t="s">
        <v>103</v>
      </c>
      <c r="D353" s="13" t="s">
        <v>22</v>
      </c>
      <c r="E353" s="17">
        <v>1600</v>
      </c>
      <c r="F353" s="43">
        <v>0.15</v>
      </c>
      <c r="G353" s="39">
        <f t="shared" ref="G353:G369" si="14">E353*F353</f>
        <v>240</v>
      </c>
    </row>
    <row r="354" spans="1:7" x14ac:dyDescent="0.35">
      <c r="A354" s="30">
        <v>47</v>
      </c>
      <c r="B354" s="13" t="s">
        <v>103</v>
      </c>
      <c r="D354" s="13" t="s">
        <v>29</v>
      </c>
      <c r="E354" s="17">
        <v>1600</v>
      </c>
      <c r="F354" s="43">
        <v>0.15</v>
      </c>
      <c r="G354" s="39">
        <f t="shared" si="14"/>
        <v>240</v>
      </c>
    </row>
    <row r="355" spans="1:7" x14ac:dyDescent="0.35">
      <c r="A355" s="30">
        <v>47</v>
      </c>
      <c r="B355" s="13" t="s">
        <v>103</v>
      </c>
      <c r="D355" s="13" t="s">
        <v>26</v>
      </c>
      <c r="E355" s="17">
        <v>1000</v>
      </c>
      <c r="F355" s="43">
        <v>1.9</v>
      </c>
      <c r="G355" s="39">
        <f t="shared" si="14"/>
        <v>1900</v>
      </c>
    </row>
    <row r="356" spans="1:7" x14ac:dyDescent="0.35">
      <c r="A356" s="30">
        <v>48</v>
      </c>
      <c r="B356" s="13" t="s">
        <v>170</v>
      </c>
      <c r="D356" s="13" t="s">
        <v>26</v>
      </c>
      <c r="E356" s="17">
        <v>1000</v>
      </c>
      <c r="F356" s="43">
        <v>0.5</v>
      </c>
      <c r="G356" s="39">
        <f t="shared" si="14"/>
        <v>500</v>
      </c>
    </row>
    <row r="357" spans="1:7" x14ac:dyDescent="0.35">
      <c r="A357" s="30">
        <v>48</v>
      </c>
      <c r="B357" s="13" t="s">
        <v>170</v>
      </c>
      <c r="D357" s="13" t="s">
        <v>39</v>
      </c>
      <c r="E357" s="17">
        <v>1500</v>
      </c>
      <c r="F357" s="43">
        <v>1.05</v>
      </c>
      <c r="G357" s="39">
        <f t="shared" si="14"/>
        <v>1575</v>
      </c>
    </row>
    <row r="358" spans="1:7" x14ac:dyDescent="0.35">
      <c r="A358" s="30">
        <v>48</v>
      </c>
      <c r="B358" s="13" t="s">
        <v>170</v>
      </c>
      <c r="D358" s="13" t="s">
        <v>18</v>
      </c>
      <c r="E358" s="17">
        <v>150</v>
      </c>
      <c r="F358" s="43">
        <v>1.55</v>
      </c>
      <c r="G358" s="39">
        <f t="shared" si="14"/>
        <v>232.5</v>
      </c>
    </row>
    <row r="359" spans="1:7" x14ac:dyDescent="0.35">
      <c r="A359" s="30">
        <v>48</v>
      </c>
      <c r="B359" s="13" t="s">
        <v>170</v>
      </c>
      <c r="D359" s="13" t="s">
        <v>25</v>
      </c>
      <c r="E359" s="17">
        <v>1000</v>
      </c>
      <c r="F359" s="43">
        <v>0.6</v>
      </c>
      <c r="G359" s="39">
        <f t="shared" si="14"/>
        <v>600</v>
      </c>
    </row>
    <row r="360" spans="1:7" x14ac:dyDescent="0.35">
      <c r="A360" s="30">
        <v>48</v>
      </c>
      <c r="B360" s="13" t="s">
        <v>170</v>
      </c>
      <c r="D360" s="13" t="s">
        <v>41</v>
      </c>
      <c r="E360" s="17">
        <v>1000</v>
      </c>
      <c r="F360" s="43">
        <v>1.65</v>
      </c>
      <c r="G360" s="39">
        <f t="shared" si="14"/>
        <v>1650</v>
      </c>
    </row>
    <row r="361" spans="1:7" x14ac:dyDescent="0.35">
      <c r="A361" s="30">
        <v>48</v>
      </c>
      <c r="B361" s="13" t="s">
        <v>170</v>
      </c>
      <c r="D361" s="13" t="s">
        <v>94</v>
      </c>
      <c r="E361" s="17">
        <v>2800</v>
      </c>
      <c r="F361" s="43">
        <v>2.75</v>
      </c>
      <c r="G361" s="39">
        <f t="shared" si="14"/>
        <v>7700</v>
      </c>
    </row>
    <row r="362" spans="1:7" x14ac:dyDescent="0.35">
      <c r="A362" s="30">
        <v>49</v>
      </c>
      <c r="B362" s="13" t="s">
        <v>88</v>
      </c>
      <c r="D362" s="13" t="s">
        <v>51</v>
      </c>
      <c r="E362" s="17">
        <v>500</v>
      </c>
      <c r="F362" s="43">
        <v>4.5</v>
      </c>
      <c r="G362" s="39">
        <f t="shared" si="14"/>
        <v>2250</v>
      </c>
    </row>
    <row r="363" spans="1:7" x14ac:dyDescent="0.35">
      <c r="A363" s="30">
        <v>49</v>
      </c>
      <c r="B363" s="13" t="s">
        <v>88</v>
      </c>
      <c r="D363" s="13" t="s">
        <v>26</v>
      </c>
      <c r="E363" s="17">
        <v>1000</v>
      </c>
      <c r="F363" s="43">
        <v>0.45</v>
      </c>
      <c r="G363" s="39">
        <f t="shared" si="14"/>
        <v>450</v>
      </c>
    </row>
    <row r="364" spans="1:7" x14ac:dyDescent="0.35">
      <c r="A364" s="30">
        <v>49</v>
      </c>
      <c r="B364" s="13" t="s">
        <v>88</v>
      </c>
      <c r="D364" s="13" t="s">
        <v>53</v>
      </c>
      <c r="E364" s="17">
        <v>300</v>
      </c>
      <c r="F364" s="43">
        <v>2.15</v>
      </c>
      <c r="G364" s="39">
        <f t="shared" si="14"/>
        <v>645</v>
      </c>
    </row>
    <row r="365" spans="1:7" x14ac:dyDescent="0.35">
      <c r="A365" s="30">
        <v>49</v>
      </c>
      <c r="B365" s="13" t="s">
        <v>88</v>
      </c>
      <c r="D365" s="13" t="s">
        <v>39</v>
      </c>
      <c r="E365" s="17">
        <v>1500</v>
      </c>
      <c r="F365" s="43">
        <v>0.65</v>
      </c>
      <c r="G365" s="39">
        <f t="shared" si="14"/>
        <v>975</v>
      </c>
    </row>
    <row r="366" spans="1:7" x14ac:dyDescent="0.35">
      <c r="A366" s="30">
        <v>49</v>
      </c>
      <c r="B366" s="13" t="s">
        <v>88</v>
      </c>
      <c r="D366" s="13" t="s">
        <v>34</v>
      </c>
      <c r="E366" s="17">
        <v>4000</v>
      </c>
      <c r="F366" s="43">
        <v>3.15</v>
      </c>
      <c r="G366" s="39">
        <f t="shared" si="14"/>
        <v>12600</v>
      </c>
    </row>
    <row r="367" spans="1:7" x14ac:dyDescent="0.35">
      <c r="A367" s="30">
        <v>49</v>
      </c>
      <c r="B367" s="13" t="s">
        <v>88</v>
      </c>
      <c r="D367" s="13" t="s">
        <v>26</v>
      </c>
      <c r="E367" s="17">
        <v>1000</v>
      </c>
      <c r="F367" s="43">
        <v>1.4</v>
      </c>
      <c r="G367" s="39">
        <f t="shared" si="14"/>
        <v>1400</v>
      </c>
    </row>
    <row r="368" spans="1:7" x14ac:dyDescent="0.35">
      <c r="A368" s="30">
        <v>49</v>
      </c>
      <c r="B368" s="13" t="s">
        <v>88</v>
      </c>
      <c r="D368" s="13" t="s">
        <v>94</v>
      </c>
      <c r="E368" s="17">
        <v>2800</v>
      </c>
      <c r="F368" s="43">
        <v>1.85</v>
      </c>
      <c r="G368" s="39">
        <f t="shared" si="14"/>
        <v>5180</v>
      </c>
    </row>
    <row r="369" spans="1:7" x14ac:dyDescent="0.35">
      <c r="A369" s="30">
        <v>49</v>
      </c>
      <c r="B369" s="13" t="s">
        <v>88</v>
      </c>
      <c r="D369" s="13" t="s">
        <v>53</v>
      </c>
      <c r="E369" s="17">
        <v>300</v>
      </c>
      <c r="F369" s="43">
        <v>1.85</v>
      </c>
      <c r="G369" s="39">
        <f t="shared" si="14"/>
        <v>555</v>
      </c>
    </row>
    <row r="370" spans="1:7" x14ac:dyDescent="0.35">
      <c r="A370" s="30">
        <v>50</v>
      </c>
      <c r="B370" t="s">
        <v>118</v>
      </c>
      <c r="C370" s="30">
        <v>1</v>
      </c>
      <c r="D370" s="13" t="s">
        <v>51</v>
      </c>
      <c r="E370" s="17">
        <v>500</v>
      </c>
      <c r="F370">
        <f>0.55+1.7</f>
        <v>2.25</v>
      </c>
      <c r="G370" s="39">
        <f t="shared" ref="G370:G382" si="15">E370*F370</f>
        <v>1125</v>
      </c>
    </row>
    <row r="371" spans="1:7" x14ac:dyDescent="0.35">
      <c r="A371" s="30">
        <v>50</v>
      </c>
      <c r="B371" t="s">
        <v>118</v>
      </c>
      <c r="D371" s="13" t="s">
        <v>26</v>
      </c>
      <c r="E371" s="17">
        <v>1000</v>
      </c>
      <c r="F371" s="46">
        <v>0.9</v>
      </c>
      <c r="G371" s="39">
        <f t="shared" si="15"/>
        <v>900</v>
      </c>
    </row>
    <row r="372" spans="1:7" x14ac:dyDescent="0.35">
      <c r="A372" s="30">
        <v>50</v>
      </c>
      <c r="B372" t="s">
        <v>118</v>
      </c>
      <c r="D372" s="13" t="s">
        <v>25</v>
      </c>
      <c r="E372" s="17">
        <v>1000</v>
      </c>
      <c r="F372" s="46">
        <v>0.95</v>
      </c>
      <c r="G372" s="39">
        <f t="shared" si="15"/>
        <v>950</v>
      </c>
    </row>
    <row r="373" spans="1:7" x14ac:dyDescent="0.35">
      <c r="A373" s="30">
        <v>50</v>
      </c>
      <c r="B373" t="s">
        <v>118</v>
      </c>
      <c r="D373" s="13" t="s">
        <v>94</v>
      </c>
      <c r="E373" s="17">
        <v>2800</v>
      </c>
      <c r="F373" s="46">
        <v>1.5</v>
      </c>
      <c r="G373" s="39">
        <f t="shared" si="15"/>
        <v>4200</v>
      </c>
    </row>
    <row r="374" spans="1:7" x14ac:dyDescent="0.35">
      <c r="A374" s="30">
        <v>50</v>
      </c>
      <c r="B374" t="s">
        <v>118</v>
      </c>
      <c r="D374" s="13" t="s">
        <v>53</v>
      </c>
      <c r="E374" s="17">
        <v>300</v>
      </c>
      <c r="F374" s="46">
        <v>1.1499999999999999</v>
      </c>
      <c r="G374" s="39">
        <f t="shared" si="15"/>
        <v>345</v>
      </c>
    </row>
    <row r="375" spans="1:7" x14ac:dyDescent="0.35">
      <c r="A375" s="30">
        <v>50</v>
      </c>
      <c r="B375" t="s">
        <v>118</v>
      </c>
      <c r="D375" s="13" t="s">
        <v>13</v>
      </c>
      <c r="E375" s="17">
        <v>200</v>
      </c>
      <c r="F375" s="46">
        <v>0.45</v>
      </c>
      <c r="G375" s="39">
        <f t="shared" si="15"/>
        <v>90</v>
      </c>
    </row>
    <row r="376" spans="1:7" x14ac:dyDescent="0.35">
      <c r="A376" s="30">
        <v>51</v>
      </c>
      <c r="B376" t="s">
        <v>245</v>
      </c>
      <c r="C376" s="30" t="s">
        <v>244</v>
      </c>
      <c r="D376" s="13" t="s">
        <v>94</v>
      </c>
      <c r="E376" s="17">
        <v>2800</v>
      </c>
      <c r="F376" s="46">
        <v>3.6</v>
      </c>
      <c r="G376" s="39">
        <f t="shared" si="15"/>
        <v>10080</v>
      </c>
    </row>
    <row r="377" spans="1:7" x14ac:dyDescent="0.35">
      <c r="A377" s="30">
        <v>51</v>
      </c>
      <c r="B377" t="s">
        <v>269</v>
      </c>
      <c r="C377" s="1" t="s">
        <v>279</v>
      </c>
      <c r="D377" s="13" t="s">
        <v>53</v>
      </c>
      <c r="E377" s="17">
        <v>300</v>
      </c>
      <c r="F377" s="46">
        <v>2.95</v>
      </c>
      <c r="G377" s="39">
        <f t="shared" si="15"/>
        <v>885</v>
      </c>
    </row>
    <row r="378" spans="1:7" x14ac:dyDescent="0.35">
      <c r="A378" s="30">
        <v>52</v>
      </c>
      <c r="B378" t="s">
        <v>270</v>
      </c>
      <c r="C378" s="1" t="s">
        <v>279</v>
      </c>
      <c r="D378" s="13" t="s">
        <v>53</v>
      </c>
      <c r="E378" s="17">
        <v>300</v>
      </c>
      <c r="F378" s="46">
        <v>1</v>
      </c>
      <c r="G378" s="39">
        <f t="shared" si="15"/>
        <v>300</v>
      </c>
    </row>
    <row r="379" spans="1:7" x14ac:dyDescent="0.35">
      <c r="A379" s="30">
        <v>53</v>
      </c>
      <c r="B379" t="s">
        <v>271</v>
      </c>
      <c r="C379" s="1" t="s">
        <v>279</v>
      </c>
      <c r="D379" s="13" t="s">
        <v>26</v>
      </c>
      <c r="E379" s="17">
        <v>1000</v>
      </c>
      <c r="F379" s="46">
        <v>4.8</v>
      </c>
      <c r="G379" s="39">
        <f t="shared" si="15"/>
        <v>4800</v>
      </c>
    </row>
    <row r="380" spans="1:7" x14ac:dyDescent="0.35">
      <c r="A380" s="30">
        <v>54</v>
      </c>
      <c r="B380" t="s">
        <v>272</v>
      </c>
      <c r="C380" s="1" t="s">
        <v>279</v>
      </c>
      <c r="D380" s="13" t="s">
        <v>53</v>
      </c>
      <c r="E380" s="17">
        <v>300</v>
      </c>
      <c r="F380" s="46">
        <v>1.65</v>
      </c>
      <c r="G380" s="39">
        <f t="shared" si="15"/>
        <v>495</v>
      </c>
    </row>
    <row r="381" spans="1:7" x14ac:dyDescent="0.35">
      <c r="A381" s="30">
        <v>55</v>
      </c>
      <c r="B381" t="s">
        <v>273</v>
      </c>
      <c r="C381" s="1" t="s">
        <v>279</v>
      </c>
      <c r="D381" s="13" t="s">
        <v>26</v>
      </c>
      <c r="E381" s="17">
        <v>1000</v>
      </c>
      <c r="F381" s="46">
        <v>3.7</v>
      </c>
      <c r="G381" s="39">
        <f t="shared" si="15"/>
        <v>3700</v>
      </c>
    </row>
    <row r="382" spans="1:7" x14ac:dyDescent="0.35">
      <c r="A382" s="30">
        <v>56</v>
      </c>
      <c r="B382" t="s">
        <v>274</v>
      </c>
      <c r="C382" s="1" t="s">
        <v>279</v>
      </c>
      <c r="D382" s="13" t="s">
        <v>53</v>
      </c>
      <c r="E382" s="17">
        <v>300</v>
      </c>
      <c r="G382" s="39">
        <f t="shared" si="15"/>
        <v>0</v>
      </c>
    </row>
    <row r="383" spans="1:7" x14ac:dyDescent="0.35">
      <c r="F383">
        <f>SUM(F3:F382)</f>
        <v>712.55000000000064</v>
      </c>
      <c r="G383" s="11">
        <f>SUM(G3:G382)</f>
        <v>865942.5</v>
      </c>
    </row>
  </sheetData>
  <autoFilter ref="A2:G2" xr:uid="{225E1470-EA7A-40F7-86E0-6703903ACB22}">
    <sortState xmlns:xlrd2="http://schemas.microsoft.com/office/spreadsheetml/2017/richdata2" ref="A3:G369">
      <sortCondition ref="A2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C932-63AD-4892-B6C7-D258112DB358}">
  <dimension ref="A2:X233"/>
  <sheetViews>
    <sheetView topLeftCell="C33" zoomScale="101" zoomScaleNormal="60" workbookViewId="0">
      <selection activeCell="D14" sqref="D14"/>
    </sheetView>
  </sheetViews>
  <sheetFormatPr defaultRowHeight="14.5" x14ac:dyDescent="0.35"/>
  <cols>
    <col min="1" max="2" width="25" customWidth="1"/>
    <col min="3" max="3" width="15" customWidth="1"/>
    <col min="4" max="5" width="15" style="11" customWidth="1"/>
    <col min="7" max="7" width="15.54296875" bestFit="1" customWidth="1"/>
    <col min="8" max="8" width="12.1796875" bestFit="1" customWidth="1"/>
    <col min="9" max="9" width="11.90625" bestFit="1" customWidth="1"/>
    <col min="10" max="10" width="11.90625" customWidth="1"/>
    <col min="11" max="11" width="25" bestFit="1" customWidth="1"/>
    <col min="12" max="12" width="12.1796875" bestFit="1" customWidth="1"/>
    <col min="13" max="13" width="11.90625" customWidth="1"/>
    <col min="15" max="15" width="26.36328125" bestFit="1" customWidth="1"/>
    <col min="18" max="18" width="11.6328125" bestFit="1" customWidth="1"/>
    <col min="21" max="21" width="26.7265625" bestFit="1" customWidth="1"/>
  </cols>
  <sheetData>
    <row r="2" spans="1:24" x14ac:dyDescent="0.35">
      <c r="A2" s="12" t="s">
        <v>82</v>
      </c>
      <c r="B2" s="12" t="s">
        <v>83</v>
      </c>
      <c r="C2" s="12" t="s">
        <v>65</v>
      </c>
      <c r="D2" s="16" t="s">
        <v>66</v>
      </c>
      <c r="E2" s="16" t="s">
        <v>6</v>
      </c>
      <c r="G2" s="15" t="s">
        <v>85</v>
      </c>
      <c r="H2" t="s">
        <v>137</v>
      </c>
      <c r="I2" t="s">
        <v>129</v>
      </c>
      <c r="K2" s="15" t="s">
        <v>85</v>
      </c>
      <c r="L2" t="s">
        <v>137</v>
      </c>
      <c r="N2" s="20" t="s">
        <v>132</v>
      </c>
      <c r="Q2" t="s">
        <v>136</v>
      </c>
      <c r="T2" s="20" t="s">
        <v>132</v>
      </c>
      <c r="W2" t="s">
        <v>136</v>
      </c>
    </row>
    <row r="3" spans="1:24" x14ac:dyDescent="0.35">
      <c r="A3" s="13" t="s">
        <v>84</v>
      </c>
      <c r="B3" s="13" t="s">
        <v>51</v>
      </c>
      <c r="C3" s="13">
        <v>1.1499999999999999</v>
      </c>
      <c r="D3" s="17">
        <v>500</v>
      </c>
      <c r="E3" s="17">
        <v>575</v>
      </c>
      <c r="G3" s="14" t="s">
        <v>86</v>
      </c>
      <c r="H3">
        <v>4.8500000000000005</v>
      </c>
      <c r="I3" s="19">
        <v>3373</v>
      </c>
      <c r="J3" s="19"/>
      <c r="K3" s="14" t="s">
        <v>127</v>
      </c>
      <c r="L3">
        <v>0.1</v>
      </c>
      <c r="N3" s="21" t="s">
        <v>0</v>
      </c>
      <c r="O3" s="22" t="s">
        <v>64</v>
      </c>
      <c r="P3" s="23" t="s">
        <v>133</v>
      </c>
      <c r="Q3" s="22" t="s">
        <v>65</v>
      </c>
      <c r="R3" s="23" t="s">
        <v>134</v>
      </c>
      <c r="T3" s="21" t="s">
        <v>0</v>
      </c>
      <c r="U3" s="22" t="s">
        <v>64</v>
      </c>
      <c r="V3" s="23" t="s">
        <v>133</v>
      </c>
      <c r="W3" s="22" t="s">
        <v>65</v>
      </c>
      <c r="X3" s="23" t="s">
        <v>134</v>
      </c>
    </row>
    <row r="4" spans="1:24" x14ac:dyDescent="0.35">
      <c r="A4" s="13" t="s">
        <v>84</v>
      </c>
      <c r="B4" s="13" t="s">
        <v>53</v>
      </c>
      <c r="C4" s="13">
        <v>1.3</v>
      </c>
      <c r="D4" s="17">
        <v>300</v>
      </c>
      <c r="E4" s="17">
        <v>390</v>
      </c>
      <c r="G4" s="14" t="s">
        <v>87</v>
      </c>
      <c r="H4">
        <v>6.65</v>
      </c>
      <c r="I4" s="19">
        <v>8435</v>
      </c>
      <c r="J4" s="19"/>
      <c r="K4" s="14" t="s">
        <v>13</v>
      </c>
      <c r="L4">
        <v>16.75</v>
      </c>
      <c r="N4" s="22">
        <v>1</v>
      </c>
      <c r="O4" s="24" t="s">
        <v>7</v>
      </c>
      <c r="P4" s="25">
        <f>VLOOKUP(O4,KamiBox!$C$2:$F$58,4,0)</f>
        <v>200000</v>
      </c>
      <c r="Q4" s="26">
        <f>SUMIF($B$3:$B$232,O4,$C$3:$C$232)</f>
        <v>0</v>
      </c>
      <c r="R4" s="25">
        <f>P4*Q4</f>
        <v>0</v>
      </c>
      <c r="T4" s="22">
        <v>1</v>
      </c>
      <c r="U4" s="24" t="s">
        <v>7</v>
      </c>
      <c r="V4" s="25">
        <f>VLOOKUP(U4,[1]KamiBox!$C$2:$F$55,4,0)</f>
        <v>200000</v>
      </c>
      <c r="W4" s="26"/>
      <c r="X4" s="25">
        <f>V4*W4</f>
        <v>0</v>
      </c>
    </row>
    <row r="5" spans="1:24" x14ac:dyDescent="0.35">
      <c r="A5" s="13" t="s">
        <v>84</v>
      </c>
      <c r="B5" s="13" t="s">
        <v>39</v>
      </c>
      <c r="C5" s="13">
        <v>0.2</v>
      </c>
      <c r="D5" s="17">
        <v>1500</v>
      </c>
      <c r="E5" s="17">
        <v>300</v>
      </c>
      <c r="G5" s="14" t="s">
        <v>88</v>
      </c>
      <c r="H5">
        <v>8.5500000000000007</v>
      </c>
      <c r="I5" s="19">
        <v>8153</v>
      </c>
      <c r="J5" s="19"/>
      <c r="K5" s="14" t="s">
        <v>15</v>
      </c>
      <c r="L5">
        <v>7.35</v>
      </c>
      <c r="N5" s="22">
        <v>2</v>
      </c>
      <c r="O5" s="24" t="s">
        <v>9</v>
      </c>
      <c r="P5" s="25">
        <f>VLOOKUP(O5,KamiBox!$C$2:$F$58,4,0)</f>
        <v>9000</v>
      </c>
      <c r="Q5" s="26">
        <f>SUMIF($B$3:$B$232,O5,$C$3:$C$232)</f>
        <v>0</v>
      </c>
      <c r="R5" s="25">
        <f t="shared" ref="R5:R56" si="0">P5*Q5</f>
        <v>0</v>
      </c>
      <c r="T5" s="22">
        <v>2</v>
      </c>
      <c r="U5" s="24" t="s">
        <v>9</v>
      </c>
      <c r="V5" s="25">
        <f>VLOOKUP(U5,[1]KamiBox!$C$2:$F$55,4,0)</f>
        <v>9000</v>
      </c>
      <c r="W5" s="26"/>
      <c r="X5" s="25">
        <f t="shared" ref="X5:X56" si="1">V5*W5</f>
        <v>0</v>
      </c>
    </row>
    <row r="6" spans="1:24" x14ac:dyDescent="0.35">
      <c r="A6" s="13" t="s">
        <v>84</v>
      </c>
      <c r="B6" s="13" t="s">
        <v>18</v>
      </c>
      <c r="C6" s="13">
        <v>0.8</v>
      </c>
      <c r="D6" s="17">
        <v>150</v>
      </c>
      <c r="E6" s="17">
        <v>120</v>
      </c>
      <c r="G6" s="14" t="s">
        <v>89</v>
      </c>
      <c r="H6">
        <v>17.3</v>
      </c>
      <c r="I6" s="19">
        <v>30170</v>
      </c>
      <c r="J6" s="19"/>
      <c r="K6" s="14" t="s">
        <v>18</v>
      </c>
      <c r="L6">
        <v>9.5500000000000007</v>
      </c>
      <c r="N6" s="22">
        <v>3</v>
      </c>
      <c r="O6" t="s">
        <v>10</v>
      </c>
      <c r="P6" s="25">
        <f>VLOOKUP(O6,KamiBox!$C$2:$F$58,4,0)</f>
        <v>4000</v>
      </c>
      <c r="Q6" s="26">
        <f>SUMIF($B$3:$B$232,O6,$C$3:$C$232)</f>
        <v>0</v>
      </c>
      <c r="R6" s="25">
        <f t="shared" si="0"/>
        <v>0</v>
      </c>
      <c r="T6" s="22">
        <v>3</v>
      </c>
      <c r="U6" t="s">
        <v>10</v>
      </c>
      <c r="V6" s="25">
        <f>VLOOKUP(U6,[1]KamiBox!$C$2:$F$55,4,0)</f>
        <v>4000</v>
      </c>
      <c r="W6" s="26"/>
      <c r="X6" s="25">
        <f t="shared" si="1"/>
        <v>0</v>
      </c>
    </row>
    <row r="7" spans="1:24" x14ac:dyDescent="0.35">
      <c r="A7" s="13" t="s">
        <v>84</v>
      </c>
      <c r="B7" s="13" t="s">
        <v>22</v>
      </c>
      <c r="C7" s="13">
        <v>0.35</v>
      </c>
      <c r="D7" s="17">
        <v>1600</v>
      </c>
      <c r="E7" s="17">
        <v>560</v>
      </c>
      <c r="G7" s="14" t="s">
        <v>90</v>
      </c>
      <c r="H7">
        <v>1.65</v>
      </c>
      <c r="I7" s="19">
        <v>4375</v>
      </c>
      <c r="J7" s="19"/>
      <c r="K7" s="14" t="s">
        <v>94</v>
      </c>
      <c r="L7">
        <v>28.35</v>
      </c>
      <c r="N7" s="22">
        <v>4</v>
      </c>
      <c r="O7" s="24" t="s">
        <v>11</v>
      </c>
      <c r="P7" s="25">
        <f>VLOOKUP(O7,KamiBox!$C$2:$F$58,4,0)</f>
        <v>10000</v>
      </c>
      <c r="Q7" s="26">
        <v>0.1</v>
      </c>
      <c r="R7" s="25">
        <f t="shared" si="0"/>
        <v>1000</v>
      </c>
      <c r="T7" s="22">
        <v>4</v>
      </c>
      <c r="U7" s="24" t="s">
        <v>11</v>
      </c>
      <c r="V7" s="25">
        <f>VLOOKUP(U7,[1]KamiBox!$C$2:$F$55,4,0)</f>
        <v>10000</v>
      </c>
      <c r="W7" s="26"/>
      <c r="X7" s="25">
        <f t="shared" si="1"/>
        <v>0</v>
      </c>
    </row>
    <row r="8" spans="1:24" x14ac:dyDescent="0.35">
      <c r="A8" s="13" t="s">
        <v>84</v>
      </c>
      <c r="B8" s="13" t="s">
        <v>60</v>
      </c>
      <c r="C8" s="13">
        <v>0.3</v>
      </c>
      <c r="D8" s="17">
        <v>2500</v>
      </c>
      <c r="E8" s="17">
        <v>750</v>
      </c>
      <c r="G8" s="14" t="s">
        <v>91</v>
      </c>
      <c r="H8">
        <v>2.15</v>
      </c>
      <c r="I8" s="19">
        <v>3440</v>
      </c>
      <c r="J8" s="19"/>
      <c r="K8" s="14" t="s">
        <v>22</v>
      </c>
      <c r="L8">
        <v>8.5</v>
      </c>
      <c r="N8" s="22">
        <v>5</v>
      </c>
      <c r="O8" s="24" t="s">
        <v>12</v>
      </c>
      <c r="P8" s="25">
        <f>VLOOKUP(O8,KamiBox!$C$2:$F$58,4,0)</f>
        <v>1000</v>
      </c>
      <c r="Q8" s="26">
        <f t="shared" ref="Q8:Q22" si="2">SUMIF($B$3:$B$232,O8,$C$3:$C$232)</f>
        <v>0</v>
      </c>
      <c r="R8" s="25">
        <f t="shared" si="0"/>
        <v>0</v>
      </c>
      <c r="T8" s="22">
        <v>5</v>
      </c>
      <c r="U8" s="24" t="s">
        <v>12</v>
      </c>
      <c r="V8" s="25">
        <f>VLOOKUP(U8,[1]KamiBox!$C$2:$F$55,4,0)</f>
        <v>1000</v>
      </c>
      <c r="W8" s="26"/>
      <c r="X8" s="25">
        <f t="shared" si="1"/>
        <v>0</v>
      </c>
    </row>
    <row r="9" spans="1:24" x14ac:dyDescent="0.35">
      <c r="A9" s="13" t="s">
        <v>84</v>
      </c>
      <c r="B9" s="13" t="s">
        <v>61</v>
      </c>
      <c r="C9" s="13">
        <v>0.85</v>
      </c>
      <c r="D9" s="17">
        <v>3500</v>
      </c>
      <c r="E9" s="17">
        <v>2975</v>
      </c>
      <c r="G9" s="14" t="s">
        <v>92</v>
      </c>
      <c r="H9">
        <v>13.100000000000003</v>
      </c>
      <c r="I9" s="19">
        <v>37235</v>
      </c>
      <c r="J9" s="19"/>
      <c r="K9" s="14" t="s">
        <v>125</v>
      </c>
      <c r="L9">
        <v>10.899999999999999</v>
      </c>
      <c r="N9" s="22">
        <v>6</v>
      </c>
      <c r="O9" s="24" t="s">
        <v>13</v>
      </c>
      <c r="P9" s="25">
        <f>VLOOKUP(O9,KamiBox!$C$2:$F$58,4,0)</f>
        <v>1500</v>
      </c>
      <c r="Q9" s="26">
        <v>0</v>
      </c>
      <c r="R9" s="25">
        <f t="shared" si="0"/>
        <v>0</v>
      </c>
      <c r="T9" s="22">
        <v>6</v>
      </c>
      <c r="U9" s="24" t="s">
        <v>13</v>
      </c>
      <c r="V9" s="25">
        <v>200</v>
      </c>
      <c r="W9" s="26">
        <f t="shared" ref="W9" si="3">SUMIF($B$3:$B$232,U9,$C$3:$C$232)</f>
        <v>16.75</v>
      </c>
      <c r="X9" s="25">
        <f t="shared" si="1"/>
        <v>3350</v>
      </c>
    </row>
    <row r="10" spans="1:24" x14ac:dyDescent="0.35">
      <c r="A10" s="13" t="s">
        <v>84</v>
      </c>
      <c r="B10" s="13" t="s">
        <v>29</v>
      </c>
      <c r="C10" s="13">
        <v>0.7</v>
      </c>
      <c r="D10" s="17">
        <v>1600</v>
      </c>
      <c r="E10" s="17">
        <v>1120</v>
      </c>
      <c r="G10" s="14" t="s">
        <v>93</v>
      </c>
      <c r="H10">
        <v>12.350000000000001</v>
      </c>
      <c r="I10" s="19">
        <v>13173</v>
      </c>
      <c r="J10" s="19"/>
      <c r="K10" s="14" t="s">
        <v>25</v>
      </c>
      <c r="L10">
        <v>34.950000000000003</v>
      </c>
      <c r="N10" s="22">
        <v>7</v>
      </c>
      <c r="O10" s="24" t="s">
        <v>15</v>
      </c>
      <c r="P10" s="25">
        <f>VLOOKUP(O10,KamiBox!$C$2:$F$58,4,0)</f>
        <v>4000</v>
      </c>
      <c r="Q10" s="26">
        <f t="shared" si="2"/>
        <v>7.35</v>
      </c>
      <c r="R10" s="25">
        <f t="shared" si="0"/>
        <v>29400</v>
      </c>
      <c r="T10" s="22">
        <v>7</v>
      </c>
      <c r="U10" s="24" t="s">
        <v>15</v>
      </c>
      <c r="V10" s="25">
        <f>VLOOKUP(U10,[1]KamiBox!$C$2:$F$55,4,0)</f>
        <v>4000</v>
      </c>
      <c r="W10" s="26"/>
      <c r="X10" s="25">
        <f t="shared" si="1"/>
        <v>0</v>
      </c>
    </row>
    <row r="11" spans="1:24" x14ac:dyDescent="0.35">
      <c r="A11" s="13" t="s">
        <v>84</v>
      </c>
      <c r="B11" s="13" t="s">
        <v>25</v>
      </c>
      <c r="C11" s="13">
        <v>2.5</v>
      </c>
      <c r="D11" s="17">
        <v>1000</v>
      </c>
      <c r="E11" s="17">
        <v>2500</v>
      </c>
      <c r="G11" s="14" t="s">
        <v>84</v>
      </c>
      <c r="H11">
        <v>21.9</v>
      </c>
      <c r="I11" s="19">
        <v>28080</v>
      </c>
      <c r="J11" s="19"/>
      <c r="K11" s="14" t="s">
        <v>26</v>
      </c>
      <c r="L11">
        <v>31.6</v>
      </c>
      <c r="N11" s="22">
        <v>8</v>
      </c>
      <c r="O11" s="24" t="s">
        <v>16</v>
      </c>
      <c r="P11" s="25">
        <f>VLOOKUP(O11,KamiBox!$C$2:$F$58,4,0)</f>
        <v>400</v>
      </c>
      <c r="Q11" s="26">
        <f t="shared" si="2"/>
        <v>0</v>
      </c>
      <c r="R11" s="25">
        <f t="shared" si="0"/>
        <v>0</v>
      </c>
      <c r="T11" s="22">
        <v>8</v>
      </c>
      <c r="U11" s="24" t="s">
        <v>16</v>
      </c>
      <c r="V11" s="25">
        <f>VLOOKUP(U11,[1]KamiBox!$C$2:$F$55,4,0)</f>
        <v>400</v>
      </c>
      <c r="W11" s="26"/>
      <c r="X11" s="25">
        <f t="shared" si="1"/>
        <v>0</v>
      </c>
    </row>
    <row r="12" spans="1:24" x14ac:dyDescent="0.35">
      <c r="A12" s="13" t="s">
        <v>84</v>
      </c>
      <c r="B12" s="13" t="s">
        <v>94</v>
      </c>
      <c r="C12" s="13">
        <v>2.8</v>
      </c>
      <c r="D12" s="17">
        <v>2800</v>
      </c>
      <c r="E12" s="17">
        <v>7840</v>
      </c>
      <c r="G12" s="14" t="s">
        <v>95</v>
      </c>
      <c r="H12">
        <v>19.2</v>
      </c>
      <c r="I12" s="19">
        <v>13800</v>
      </c>
      <c r="J12" s="19"/>
      <c r="K12" s="14" t="s">
        <v>128</v>
      </c>
      <c r="L12">
        <v>1.2</v>
      </c>
      <c r="N12" s="22">
        <v>9</v>
      </c>
      <c r="O12" s="24" t="s">
        <v>17</v>
      </c>
      <c r="P12" s="25">
        <f>VLOOKUP(O12,KamiBox!$C$2:$F$58,4,0)</f>
        <v>100</v>
      </c>
      <c r="Q12" s="26">
        <f t="shared" si="2"/>
        <v>0</v>
      </c>
      <c r="R12" s="25">
        <f t="shared" si="0"/>
        <v>0</v>
      </c>
      <c r="T12" s="22">
        <v>9</v>
      </c>
      <c r="U12" s="24" t="s">
        <v>17</v>
      </c>
      <c r="V12" s="25">
        <f>VLOOKUP(U12,[1]KamiBox!$C$2:$F$55,4,0)</f>
        <v>100</v>
      </c>
      <c r="W12" s="26"/>
      <c r="X12" s="25">
        <f t="shared" si="1"/>
        <v>0</v>
      </c>
    </row>
    <row r="13" spans="1:24" x14ac:dyDescent="0.35">
      <c r="A13" s="13" t="s">
        <v>84</v>
      </c>
      <c r="B13" s="13" t="s">
        <v>41</v>
      </c>
      <c r="C13" s="13">
        <v>10.95</v>
      </c>
      <c r="D13" s="17">
        <v>1000</v>
      </c>
      <c r="E13" s="17">
        <v>10950</v>
      </c>
      <c r="G13" s="14" t="s">
        <v>98</v>
      </c>
      <c r="H13">
        <v>7.15</v>
      </c>
      <c r="I13" s="19">
        <v>12450</v>
      </c>
      <c r="J13" s="19"/>
      <c r="K13" s="14" t="s">
        <v>29</v>
      </c>
      <c r="L13">
        <v>4.7499999999999991</v>
      </c>
      <c r="N13" s="22">
        <v>10</v>
      </c>
      <c r="O13" s="24" t="s">
        <v>18</v>
      </c>
      <c r="P13" s="25">
        <f>VLOOKUP(O13,KamiBox!$C$2:$F$58,4,0)</f>
        <v>200</v>
      </c>
      <c r="Q13" s="26">
        <f t="shared" si="2"/>
        <v>9.5500000000000007</v>
      </c>
      <c r="R13" s="25">
        <f t="shared" si="0"/>
        <v>1910.0000000000002</v>
      </c>
      <c r="T13" s="22">
        <v>10</v>
      </c>
      <c r="U13" s="24" t="s">
        <v>18</v>
      </c>
      <c r="V13" s="25">
        <f>VLOOKUP(U13,[1]KamiBox!$C$2:$F$55,4,0)</f>
        <v>200</v>
      </c>
      <c r="W13" s="26"/>
      <c r="X13" s="25">
        <f t="shared" si="1"/>
        <v>0</v>
      </c>
    </row>
    <row r="14" spans="1:24" x14ac:dyDescent="0.35">
      <c r="A14" s="13" t="s">
        <v>96</v>
      </c>
      <c r="B14" s="13" t="s">
        <v>97</v>
      </c>
      <c r="C14" s="13">
        <v>3.7</v>
      </c>
      <c r="D14" s="17">
        <v>600</v>
      </c>
      <c r="E14" s="17">
        <v>2220</v>
      </c>
      <c r="G14" s="14" t="s">
        <v>99</v>
      </c>
      <c r="H14">
        <v>7.1</v>
      </c>
      <c r="I14" s="19">
        <v>2458</v>
      </c>
      <c r="J14" s="19"/>
      <c r="K14" s="14" t="s">
        <v>100</v>
      </c>
      <c r="L14">
        <v>6.1</v>
      </c>
      <c r="N14" s="22">
        <v>11</v>
      </c>
      <c r="O14" s="24" t="s">
        <v>19</v>
      </c>
      <c r="P14" s="25">
        <f>VLOOKUP(O14,KamiBox!$C$2:$F$58,4,0)</f>
        <v>100</v>
      </c>
      <c r="Q14" s="26">
        <f t="shared" si="2"/>
        <v>0</v>
      </c>
      <c r="R14" s="25">
        <f t="shared" si="0"/>
        <v>0</v>
      </c>
      <c r="T14" s="22">
        <v>11</v>
      </c>
      <c r="U14" s="24" t="s">
        <v>19</v>
      </c>
      <c r="V14" s="25">
        <f>VLOOKUP(U14,[1]KamiBox!$C$2:$F$55,4,0)</f>
        <v>100</v>
      </c>
      <c r="W14" s="26"/>
      <c r="X14" s="25">
        <f t="shared" si="1"/>
        <v>0</v>
      </c>
    </row>
    <row r="15" spans="1:24" x14ac:dyDescent="0.35">
      <c r="A15" s="13" t="s">
        <v>96</v>
      </c>
      <c r="B15" s="13" t="s">
        <v>51</v>
      </c>
      <c r="C15" s="13">
        <v>5.05</v>
      </c>
      <c r="D15" s="17">
        <v>500</v>
      </c>
      <c r="E15" s="17">
        <v>2525</v>
      </c>
      <c r="G15" s="14" t="s">
        <v>101</v>
      </c>
      <c r="H15">
        <v>5.1000000000000005</v>
      </c>
      <c r="I15" s="19">
        <v>5799</v>
      </c>
      <c r="J15" s="19"/>
      <c r="K15" s="14" t="s">
        <v>97</v>
      </c>
      <c r="L15">
        <v>3.7</v>
      </c>
      <c r="N15" s="22">
        <v>12</v>
      </c>
      <c r="O15" s="24" t="s">
        <v>20</v>
      </c>
      <c r="P15" s="25">
        <f>VLOOKUP(O15,KamiBox!$C$2:$F$58,4,0)</f>
        <v>800</v>
      </c>
      <c r="Q15" s="26">
        <f t="shared" si="2"/>
        <v>0</v>
      </c>
      <c r="R15" s="25">
        <f t="shared" si="0"/>
        <v>0</v>
      </c>
      <c r="T15" s="22">
        <v>12</v>
      </c>
      <c r="U15" s="24" t="s">
        <v>20</v>
      </c>
      <c r="V15" s="25">
        <f>VLOOKUP(U15,[1]KamiBox!$C$2:$F$55,4,0)</f>
        <v>800</v>
      </c>
      <c r="W15" s="26"/>
      <c r="X15" s="25">
        <f t="shared" si="1"/>
        <v>0</v>
      </c>
    </row>
    <row r="16" spans="1:24" x14ac:dyDescent="0.35">
      <c r="A16" s="13" t="s">
        <v>96</v>
      </c>
      <c r="B16" s="13" t="s">
        <v>100</v>
      </c>
      <c r="C16" s="13">
        <v>4.45</v>
      </c>
      <c r="D16" s="17">
        <v>1400</v>
      </c>
      <c r="E16" s="17">
        <v>6230</v>
      </c>
      <c r="G16" s="14" t="s">
        <v>102</v>
      </c>
      <c r="H16">
        <v>3.4000000000000004</v>
      </c>
      <c r="I16" s="19">
        <v>3605</v>
      </c>
      <c r="J16" s="19"/>
      <c r="K16" s="14" t="s">
        <v>34</v>
      </c>
      <c r="L16">
        <v>4</v>
      </c>
      <c r="N16" s="22">
        <v>13</v>
      </c>
      <c r="O16" s="24" t="s">
        <v>94</v>
      </c>
      <c r="P16" s="25">
        <f>VLOOKUP(O16,KamiBox!$C$2:$F$58,4,0)</f>
        <v>5000</v>
      </c>
      <c r="Q16" s="26">
        <f t="shared" si="2"/>
        <v>28.35</v>
      </c>
      <c r="R16" s="25">
        <f t="shared" si="0"/>
        <v>141750</v>
      </c>
      <c r="T16" s="22">
        <v>13</v>
      </c>
      <c r="U16" s="24" t="s">
        <v>94</v>
      </c>
      <c r="V16" s="25">
        <f>VLOOKUP(U16,[1]KamiBox!$C$2:$F$55,4,0)</f>
        <v>4000</v>
      </c>
      <c r="W16" s="26"/>
      <c r="X16" s="25">
        <f t="shared" si="1"/>
        <v>0</v>
      </c>
    </row>
    <row r="17" spans="1:24" x14ac:dyDescent="0.35">
      <c r="A17" s="13" t="s">
        <v>91</v>
      </c>
      <c r="B17" s="13" t="s">
        <v>22</v>
      </c>
      <c r="C17" s="13">
        <v>2.15</v>
      </c>
      <c r="D17" s="17">
        <v>1600</v>
      </c>
      <c r="E17" s="17">
        <v>3440</v>
      </c>
      <c r="G17" s="14" t="s">
        <v>104</v>
      </c>
      <c r="H17">
        <v>5.6</v>
      </c>
      <c r="I17" s="19">
        <v>5600</v>
      </c>
      <c r="J17" s="19"/>
      <c r="K17" s="14" t="s">
        <v>38</v>
      </c>
      <c r="L17">
        <v>20.999999999999996</v>
      </c>
      <c r="N17" s="22">
        <v>14</v>
      </c>
      <c r="O17" s="24" t="s">
        <v>22</v>
      </c>
      <c r="P17" s="25">
        <f>VLOOKUP(O17,KamiBox!$C$2:$F$58,4,0)</f>
        <v>2500</v>
      </c>
      <c r="Q17" s="26">
        <f t="shared" si="2"/>
        <v>8.5</v>
      </c>
      <c r="R17" s="25">
        <f t="shared" si="0"/>
        <v>21250</v>
      </c>
      <c r="T17" s="22">
        <v>14</v>
      </c>
      <c r="U17" s="24" t="s">
        <v>22</v>
      </c>
      <c r="V17" s="25">
        <f>VLOOKUP(U17,[1]KamiBox!$C$2:$F$55,4,0)</f>
        <v>2000</v>
      </c>
      <c r="W17" s="26"/>
      <c r="X17" s="25">
        <f t="shared" si="1"/>
        <v>0</v>
      </c>
    </row>
    <row r="18" spans="1:24" x14ac:dyDescent="0.35">
      <c r="A18" s="13" t="s">
        <v>103</v>
      </c>
      <c r="B18" s="13" t="s">
        <v>25</v>
      </c>
      <c r="C18" s="13">
        <v>0.7</v>
      </c>
      <c r="D18" s="17">
        <v>1000</v>
      </c>
      <c r="E18" s="17">
        <v>700</v>
      </c>
      <c r="G18" s="14" t="s">
        <v>103</v>
      </c>
      <c r="H18">
        <v>3.9</v>
      </c>
      <c r="I18" s="19">
        <v>3515</v>
      </c>
      <c r="J18" s="19"/>
      <c r="K18" s="14" t="s">
        <v>39</v>
      </c>
      <c r="L18">
        <v>7.1500000000000012</v>
      </c>
      <c r="N18" s="22">
        <v>15</v>
      </c>
      <c r="O18" s="24" t="s">
        <v>23</v>
      </c>
      <c r="P18" s="25">
        <f>VLOOKUP(O18,KamiBox!$C$2:$F$58,4,0)</f>
        <v>1000</v>
      </c>
      <c r="Q18" s="26">
        <f t="shared" si="2"/>
        <v>0</v>
      </c>
      <c r="R18" s="25">
        <f t="shared" si="0"/>
        <v>0</v>
      </c>
      <c r="T18" s="22">
        <v>15</v>
      </c>
      <c r="U18" s="24" t="s">
        <v>23</v>
      </c>
      <c r="V18" s="25">
        <f>VLOOKUP(U18,[1]KamiBox!$C$2:$F$55,4,0)</f>
        <v>1000</v>
      </c>
      <c r="W18" s="26"/>
      <c r="X18" s="25">
        <f t="shared" si="1"/>
        <v>0</v>
      </c>
    </row>
    <row r="19" spans="1:24" x14ac:dyDescent="0.35">
      <c r="A19" s="13" t="s">
        <v>103</v>
      </c>
      <c r="B19" s="13" t="s">
        <v>51</v>
      </c>
      <c r="C19" s="13">
        <v>0.35</v>
      </c>
      <c r="D19" s="17">
        <v>500</v>
      </c>
      <c r="E19" s="17">
        <v>175</v>
      </c>
      <c r="G19" s="14" t="s">
        <v>105</v>
      </c>
      <c r="H19">
        <v>2.8</v>
      </c>
      <c r="I19" s="19">
        <v>1874</v>
      </c>
      <c r="J19" s="19"/>
      <c r="K19" s="14" t="s">
        <v>41</v>
      </c>
      <c r="L19">
        <v>59.3</v>
      </c>
      <c r="N19" s="22">
        <v>16</v>
      </c>
      <c r="O19" s="24" t="s">
        <v>125</v>
      </c>
      <c r="P19" s="25">
        <f>VLOOKUP(O19,KamiBox!$C$2:$F$58,4,0)</f>
        <v>1000</v>
      </c>
      <c r="Q19" s="26">
        <f t="shared" si="2"/>
        <v>10.899999999999999</v>
      </c>
      <c r="R19" s="25">
        <f t="shared" si="0"/>
        <v>10899.999999999998</v>
      </c>
      <c r="T19" s="22">
        <v>16</v>
      </c>
      <c r="U19" s="24" t="s">
        <v>125</v>
      </c>
      <c r="V19" s="25">
        <f>VLOOKUP(U19,[1]KamiBox!$C$2:$F$55,4,0)</f>
        <v>1000</v>
      </c>
      <c r="W19" s="26"/>
      <c r="X19" s="25">
        <f t="shared" si="1"/>
        <v>0</v>
      </c>
    </row>
    <row r="20" spans="1:24" x14ac:dyDescent="0.35">
      <c r="A20" s="13" t="s">
        <v>103</v>
      </c>
      <c r="B20" s="13" t="s">
        <v>41</v>
      </c>
      <c r="C20" s="13">
        <v>1.45</v>
      </c>
      <c r="D20" s="17">
        <v>1000</v>
      </c>
      <c r="E20" s="17">
        <v>1450</v>
      </c>
      <c r="G20" s="14" t="s">
        <v>106</v>
      </c>
      <c r="H20">
        <v>9.1000000000000014</v>
      </c>
      <c r="I20" s="19">
        <v>8685</v>
      </c>
      <c r="J20" s="19"/>
      <c r="K20" s="14" t="s">
        <v>42</v>
      </c>
      <c r="L20">
        <v>8.75</v>
      </c>
      <c r="M20" s="19"/>
      <c r="N20" s="22">
        <v>17</v>
      </c>
      <c r="O20" s="24" t="s">
        <v>25</v>
      </c>
      <c r="P20" s="25">
        <f>VLOOKUP(O20,KamiBox!$C$2:$F$58,4,0)</f>
        <v>1200</v>
      </c>
      <c r="Q20" s="26">
        <f t="shared" si="2"/>
        <v>34.950000000000003</v>
      </c>
      <c r="R20" s="25">
        <f t="shared" si="0"/>
        <v>41940</v>
      </c>
      <c r="T20" s="22">
        <v>17</v>
      </c>
      <c r="U20" s="24" t="s">
        <v>25</v>
      </c>
      <c r="V20" s="25">
        <f>VLOOKUP(U20,[1]KamiBox!$C$2:$F$55,4,0)</f>
        <v>1200</v>
      </c>
      <c r="W20" s="26"/>
      <c r="X20" s="25">
        <f t="shared" si="1"/>
        <v>0</v>
      </c>
    </row>
    <row r="21" spans="1:24" x14ac:dyDescent="0.35">
      <c r="A21" s="13" t="s">
        <v>103</v>
      </c>
      <c r="B21" s="13" t="s">
        <v>53</v>
      </c>
      <c r="C21" s="13">
        <v>0.3</v>
      </c>
      <c r="D21" s="17">
        <v>300</v>
      </c>
      <c r="E21" s="17">
        <v>90</v>
      </c>
      <c r="G21" s="14" t="s">
        <v>107</v>
      </c>
      <c r="H21">
        <v>8.4499999999999993</v>
      </c>
      <c r="I21" s="19">
        <v>7374</v>
      </c>
      <c r="J21" s="19"/>
      <c r="K21" s="14" t="s">
        <v>46</v>
      </c>
      <c r="L21">
        <v>3.1999999999999997</v>
      </c>
      <c r="M21" s="19"/>
      <c r="N21" s="22">
        <v>18</v>
      </c>
      <c r="O21" s="24" t="s">
        <v>26</v>
      </c>
      <c r="P21" s="25">
        <f>VLOOKUP(O21,KamiBox!$C$2:$F$58,4,0)</f>
        <v>1000</v>
      </c>
      <c r="Q21" s="26">
        <f t="shared" si="2"/>
        <v>31.6</v>
      </c>
      <c r="R21" s="25">
        <f t="shared" si="0"/>
        <v>31600</v>
      </c>
      <c r="T21" s="22">
        <v>18</v>
      </c>
      <c r="U21" s="24" t="s">
        <v>26</v>
      </c>
      <c r="V21" s="25">
        <f>VLOOKUP(U21,[1]KamiBox!$C$2:$F$55,4,0)</f>
        <v>1000</v>
      </c>
      <c r="W21" s="26"/>
      <c r="X21" s="25">
        <f t="shared" si="1"/>
        <v>0</v>
      </c>
    </row>
    <row r="22" spans="1:24" x14ac:dyDescent="0.35">
      <c r="A22" s="13" t="s">
        <v>103</v>
      </c>
      <c r="B22" s="13" t="s">
        <v>26</v>
      </c>
      <c r="C22" s="13">
        <v>1.1000000000000001</v>
      </c>
      <c r="D22" s="17">
        <v>1000</v>
      </c>
      <c r="E22" s="17">
        <v>1100</v>
      </c>
      <c r="G22" s="14" t="s">
        <v>108</v>
      </c>
      <c r="H22">
        <v>5.2</v>
      </c>
      <c r="I22" s="19">
        <v>6835</v>
      </c>
      <c r="J22" s="19"/>
      <c r="K22" s="14" t="s">
        <v>51</v>
      </c>
      <c r="L22">
        <v>24.599999999999998</v>
      </c>
      <c r="M22" s="19"/>
      <c r="N22" s="22">
        <v>19</v>
      </c>
      <c r="O22" s="24" t="s">
        <v>27</v>
      </c>
      <c r="P22" s="25">
        <f>VLOOKUP(O22,KamiBox!$C$2:$F$58,4,0)</f>
        <v>3000</v>
      </c>
      <c r="Q22" s="26">
        <f t="shared" si="2"/>
        <v>0</v>
      </c>
      <c r="R22" s="25">
        <f t="shared" si="0"/>
        <v>0</v>
      </c>
      <c r="T22" s="22">
        <v>19</v>
      </c>
      <c r="U22" s="24" t="s">
        <v>27</v>
      </c>
      <c r="V22" s="25">
        <f>VLOOKUP(U22,[1]KamiBox!$C$2:$F$55,4,0)</f>
        <v>3000</v>
      </c>
      <c r="W22" s="26"/>
      <c r="X22" s="25">
        <f t="shared" si="1"/>
        <v>0</v>
      </c>
    </row>
    <row r="23" spans="1:24" x14ac:dyDescent="0.35">
      <c r="A23" s="13" t="s">
        <v>105</v>
      </c>
      <c r="B23" s="13" t="s">
        <v>53</v>
      </c>
      <c r="C23" s="13">
        <v>0.6</v>
      </c>
      <c r="D23" s="17">
        <v>300</v>
      </c>
      <c r="E23" s="17">
        <v>180</v>
      </c>
      <c r="G23" s="14" t="s">
        <v>109</v>
      </c>
      <c r="H23">
        <v>3.3</v>
      </c>
      <c r="I23" s="19">
        <v>9240</v>
      </c>
      <c r="J23" s="19"/>
      <c r="K23" s="14" t="s">
        <v>53</v>
      </c>
      <c r="L23">
        <v>27.900000000000002</v>
      </c>
      <c r="M23" s="19"/>
      <c r="N23" s="22">
        <v>20</v>
      </c>
      <c r="O23" s="24" t="s">
        <v>28</v>
      </c>
      <c r="P23" s="25">
        <f>VLOOKUP(O23,KamiBox!$C$2:$F$58,4,0)</f>
        <v>4000</v>
      </c>
      <c r="Q23" s="26">
        <v>1.2</v>
      </c>
      <c r="R23" s="25">
        <f t="shared" si="0"/>
        <v>4800</v>
      </c>
      <c r="T23" s="22">
        <v>20</v>
      </c>
      <c r="U23" s="24" t="s">
        <v>28</v>
      </c>
      <c r="V23" s="25">
        <f>VLOOKUP(U23,[1]KamiBox!$C$2:$F$55,4,0)</f>
        <v>3500</v>
      </c>
      <c r="W23" s="26"/>
      <c r="X23" s="25">
        <f t="shared" si="1"/>
        <v>0</v>
      </c>
    </row>
    <row r="24" spans="1:24" x14ac:dyDescent="0.35">
      <c r="A24" s="13" t="s">
        <v>105</v>
      </c>
      <c r="B24" s="13" t="s">
        <v>25</v>
      </c>
      <c r="C24" s="13">
        <v>1.65</v>
      </c>
      <c r="D24" s="17">
        <v>1000</v>
      </c>
      <c r="E24" s="17">
        <v>1650</v>
      </c>
      <c r="G24" s="14" t="s">
        <v>110</v>
      </c>
      <c r="H24">
        <v>7.3000000000000007</v>
      </c>
      <c r="I24" s="19">
        <v>7473</v>
      </c>
      <c r="J24" s="19"/>
      <c r="K24" s="14" t="s">
        <v>54</v>
      </c>
      <c r="L24">
        <v>4.4999999999999991</v>
      </c>
      <c r="M24" s="19"/>
      <c r="N24" s="22">
        <v>21</v>
      </c>
      <c r="O24" s="24" t="s">
        <v>29</v>
      </c>
      <c r="P24" s="25">
        <f>VLOOKUP(O24,KamiBox!$C$2:$F$58,4,0)</f>
        <v>2000</v>
      </c>
      <c r="Q24" s="26">
        <f>SUMIF($B$3:$B$232,O24,$C$3:$C$232)</f>
        <v>4.7499999999999991</v>
      </c>
      <c r="R24" s="25">
        <f t="shared" si="0"/>
        <v>9499.9999999999982</v>
      </c>
      <c r="T24" s="22">
        <v>21</v>
      </c>
      <c r="U24" s="24" t="s">
        <v>29</v>
      </c>
      <c r="V24" s="25">
        <f>VLOOKUP(U24,[1]KamiBox!$C$2:$F$55,4,0)</f>
        <v>2000</v>
      </c>
      <c r="W24" s="26"/>
      <c r="X24" s="25">
        <f t="shared" si="1"/>
        <v>0</v>
      </c>
    </row>
    <row r="25" spans="1:24" x14ac:dyDescent="0.35">
      <c r="A25" s="13" t="s">
        <v>105</v>
      </c>
      <c r="B25" s="13" t="s">
        <v>38</v>
      </c>
      <c r="C25" s="13">
        <v>0.55000000000000004</v>
      </c>
      <c r="D25" s="17">
        <v>80</v>
      </c>
      <c r="E25" s="17">
        <v>44</v>
      </c>
      <c r="G25" s="14" t="s">
        <v>112</v>
      </c>
      <c r="H25">
        <v>8.15</v>
      </c>
      <c r="I25" s="19">
        <v>8572.5</v>
      </c>
      <c r="J25" s="19"/>
      <c r="K25" s="14" t="s">
        <v>126</v>
      </c>
      <c r="L25">
        <v>6.75</v>
      </c>
      <c r="M25" s="19"/>
      <c r="N25" s="22">
        <v>22</v>
      </c>
      <c r="O25" s="24" t="s">
        <v>30</v>
      </c>
      <c r="P25" s="25">
        <f>VLOOKUP(O25,KamiBox!$C$2:$F$58,4,0)</f>
        <v>5000</v>
      </c>
      <c r="Q25" s="26">
        <f>SUMIF($B$3:$B$232,O25,$C$3:$C$232)</f>
        <v>0</v>
      </c>
      <c r="R25" s="25">
        <f t="shared" si="0"/>
        <v>0</v>
      </c>
      <c r="T25" s="22">
        <v>22</v>
      </c>
      <c r="U25" s="24" t="s">
        <v>30</v>
      </c>
      <c r="V25" s="25">
        <f>VLOOKUP(U25,[1]KamiBox!$C$2:$F$55,4,0)</f>
        <v>5000</v>
      </c>
      <c r="W25" s="26"/>
      <c r="X25" s="25">
        <f t="shared" si="1"/>
        <v>0</v>
      </c>
    </row>
    <row r="26" spans="1:24" x14ac:dyDescent="0.35">
      <c r="A26" s="13" t="s">
        <v>111</v>
      </c>
      <c r="B26" s="13" t="s">
        <v>53</v>
      </c>
      <c r="C26" s="13">
        <v>3.15</v>
      </c>
      <c r="D26" s="17">
        <v>300</v>
      </c>
      <c r="E26" s="17">
        <v>945</v>
      </c>
      <c r="G26" s="14" t="s">
        <v>130</v>
      </c>
      <c r="H26">
        <v>3</v>
      </c>
      <c r="I26" s="19">
        <v>900</v>
      </c>
      <c r="J26" s="19"/>
      <c r="K26" s="14" t="s">
        <v>57</v>
      </c>
      <c r="L26">
        <v>0.15</v>
      </c>
      <c r="M26" s="19"/>
      <c r="N26" s="22">
        <v>23</v>
      </c>
      <c r="O26" s="24" t="s">
        <v>100</v>
      </c>
      <c r="P26" s="25">
        <f>VLOOKUP(O26,KamiBox!$C$2:$F$58,4,0)</f>
        <v>2000</v>
      </c>
      <c r="Q26" s="26">
        <v>6.1</v>
      </c>
      <c r="R26" s="25">
        <f t="shared" si="0"/>
        <v>12200</v>
      </c>
      <c r="T26" s="22">
        <v>23</v>
      </c>
      <c r="U26" s="24" t="s">
        <v>32</v>
      </c>
      <c r="V26" s="25">
        <f>VLOOKUP(U26,[1]KamiBox!$C$2:$F$55,4,0)</f>
        <v>2000</v>
      </c>
      <c r="W26" s="26"/>
      <c r="X26" s="25">
        <f t="shared" si="1"/>
        <v>0</v>
      </c>
    </row>
    <row r="27" spans="1:24" x14ac:dyDescent="0.35">
      <c r="A27" s="13" t="s">
        <v>111</v>
      </c>
      <c r="B27" s="13" t="s">
        <v>26</v>
      </c>
      <c r="C27" s="13">
        <v>2.15</v>
      </c>
      <c r="D27" s="17">
        <v>1000</v>
      </c>
      <c r="E27" s="17">
        <v>2150</v>
      </c>
      <c r="G27" s="14" t="s">
        <v>113</v>
      </c>
      <c r="H27">
        <v>8.25</v>
      </c>
      <c r="I27" s="19">
        <v>8746</v>
      </c>
      <c r="J27" s="19"/>
      <c r="K27" s="14" t="s">
        <v>60</v>
      </c>
      <c r="L27">
        <v>2.8000000000000003</v>
      </c>
      <c r="M27" s="19"/>
      <c r="N27" s="22">
        <v>24</v>
      </c>
      <c r="O27" s="24" t="s">
        <v>33</v>
      </c>
      <c r="P27" s="25">
        <f>VLOOKUP(O27,KamiBox!$C$2:$F$58,4,0)</f>
        <v>700</v>
      </c>
      <c r="Q27" s="26">
        <v>3.7</v>
      </c>
      <c r="R27" s="25">
        <f t="shared" si="0"/>
        <v>2590</v>
      </c>
      <c r="T27" s="22">
        <v>24</v>
      </c>
      <c r="U27" s="24" t="s">
        <v>33</v>
      </c>
      <c r="V27" s="25">
        <f>VLOOKUP(U27,[1]KamiBox!$C$2:$F$55,4,0)</f>
        <v>700</v>
      </c>
      <c r="W27" s="26"/>
      <c r="X27" s="25">
        <f t="shared" si="1"/>
        <v>0</v>
      </c>
    </row>
    <row r="28" spans="1:24" x14ac:dyDescent="0.35">
      <c r="A28" s="13" t="s">
        <v>111</v>
      </c>
      <c r="B28" s="13" t="s">
        <v>29</v>
      </c>
      <c r="C28" s="13">
        <v>1.95</v>
      </c>
      <c r="D28" s="17">
        <v>1600</v>
      </c>
      <c r="E28" s="17">
        <v>3120</v>
      </c>
      <c r="G28" s="14" t="s">
        <v>114</v>
      </c>
      <c r="H28">
        <v>2.95</v>
      </c>
      <c r="I28" s="19">
        <v>694</v>
      </c>
      <c r="J28" s="19"/>
      <c r="K28" s="14" t="s">
        <v>61</v>
      </c>
      <c r="L28">
        <v>0.85</v>
      </c>
      <c r="M28" s="19"/>
      <c r="N28" s="22">
        <v>25</v>
      </c>
      <c r="O28" s="24" t="s">
        <v>34</v>
      </c>
      <c r="P28" s="25">
        <f>VLOOKUP(O28,KamiBox!$C$2:$F$58,4,0)</f>
        <v>7000</v>
      </c>
      <c r="Q28" s="26">
        <f>SUMIF($B$3:$B$232,O28,$C$3:$C$232)</f>
        <v>4</v>
      </c>
      <c r="R28" s="25">
        <f t="shared" si="0"/>
        <v>28000</v>
      </c>
      <c r="T28" s="22">
        <v>25</v>
      </c>
      <c r="U28" s="24" t="s">
        <v>34</v>
      </c>
      <c r="V28" s="25">
        <f>VLOOKUP(U28,[1]KamiBox!$C$2:$F$55,4,0)</f>
        <v>7000</v>
      </c>
      <c r="W28" s="26"/>
      <c r="X28" s="25">
        <f t="shared" si="1"/>
        <v>0</v>
      </c>
    </row>
    <row r="29" spans="1:24" x14ac:dyDescent="0.35">
      <c r="A29" s="13" t="s">
        <v>111</v>
      </c>
      <c r="B29" s="13" t="s">
        <v>22</v>
      </c>
      <c r="C29" s="13">
        <v>0.5</v>
      </c>
      <c r="D29" s="17">
        <v>1600</v>
      </c>
      <c r="E29" s="17">
        <v>800</v>
      </c>
      <c r="G29" s="14" t="s">
        <v>115</v>
      </c>
      <c r="H29">
        <v>25.75</v>
      </c>
      <c r="I29" s="19">
        <v>21929</v>
      </c>
      <c r="J29" s="19"/>
      <c r="K29" s="14" t="s">
        <v>124</v>
      </c>
      <c r="L29">
        <v>334.75</v>
      </c>
      <c r="M29" s="19"/>
      <c r="N29" s="22">
        <v>26</v>
      </c>
      <c r="O29" s="24" t="s">
        <v>35</v>
      </c>
      <c r="P29" s="25">
        <f>VLOOKUP(O29,KamiBox!$C$2:$F$58,4,0)</f>
        <v>1500</v>
      </c>
      <c r="Q29" s="26">
        <f>SUMIF($B$3:$B$232,O29,$C$3:$C$232)</f>
        <v>0</v>
      </c>
      <c r="R29" s="25">
        <f t="shared" si="0"/>
        <v>0</v>
      </c>
      <c r="T29" s="22">
        <v>26</v>
      </c>
      <c r="U29" s="24" t="s">
        <v>35</v>
      </c>
      <c r="V29" s="25">
        <f>VLOOKUP(U29,[1]KamiBox!$C$2:$F$55,4,0)</f>
        <v>1500</v>
      </c>
      <c r="W29" s="26"/>
      <c r="X29" s="25">
        <f t="shared" si="1"/>
        <v>0</v>
      </c>
    </row>
    <row r="30" spans="1:24" x14ac:dyDescent="0.35">
      <c r="A30" s="13" t="s">
        <v>116</v>
      </c>
      <c r="B30" s="13" t="s">
        <v>94</v>
      </c>
      <c r="C30" s="13">
        <v>1</v>
      </c>
      <c r="D30" s="17">
        <v>2800</v>
      </c>
      <c r="E30" s="17">
        <v>2800</v>
      </c>
      <c r="G30" s="14" t="s">
        <v>117</v>
      </c>
      <c r="H30">
        <v>13.350000000000001</v>
      </c>
      <c r="I30" s="19">
        <v>18788</v>
      </c>
      <c r="J30" s="19"/>
      <c r="K30" s="19"/>
      <c r="L30" s="19"/>
      <c r="M30" s="19"/>
      <c r="N30" s="22">
        <v>27</v>
      </c>
      <c r="O30" s="24" t="s">
        <v>37</v>
      </c>
      <c r="P30" s="25">
        <f>VLOOKUP(O30,KamiBox!$C$2:$F$58,4,0)</f>
        <v>2000</v>
      </c>
      <c r="Q30" s="26">
        <v>6.75</v>
      </c>
      <c r="R30" s="25">
        <f t="shared" si="0"/>
        <v>13500</v>
      </c>
      <c r="T30" s="22">
        <v>27</v>
      </c>
      <c r="U30" s="24" t="s">
        <v>37</v>
      </c>
      <c r="V30" s="25">
        <f>VLOOKUP(U30,[1]KamiBox!$C$2:$F$55,4,0)</f>
        <v>2000</v>
      </c>
      <c r="W30" s="26"/>
      <c r="X30" s="25">
        <f t="shared" si="1"/>
        <v>0</v>
      </c>
    </row>
    <row r="31" spans="1:24" x14ac:dyDescent="0.35">
      <c r="A31" s="13" t="s">
        <v>116</v>
      </c>
      <c r="B31" s="13" t="s">
        <v>25</v>
      </c>
      <c r="C31" s="13">
        <v>0.65</v>
      </c>
      <c r="D31" s="17">
        <v>1000</v>
      </c>
      <c r="E31" s="17">
        <v>650</v>
      </c>
      <c r="G31" s="14" t="s">
        <v>116</v>
      </c>
      <c r="H31">
        <v>2.4</v>
      </c>
      <c r="I31" s="19">
        <v>3755</v>
      </c>
      <c r="J31" s="19"/>
      <c r="K31" s="19"/>
      <c r="L31" s="19"/>
      <c r="M31" s="19"/>
      <c r="N31" s="22">
        <v>28</v>
      </c>
      <c r="O31" s="24" t="s">
        <v>38</v>
      </c>
      <c r="P31" s="25">
        <f>VLOOKUP(O31,KamiBox!$C$2:$F$58,4,0)</f>
        <v>100</v>
      </c>
      <c r="Q31" s="26">
        <f t="shared" ref="Q31:Q56" si="4">SUMIF($B$3:$B$232,O31,$C$3:$C$232)</f>
        <v>20.999999999999996</v>
      </c>
      <c r="R31" s="25">
        <f t="shared" si="0"/>
        <v>2099.9999999999995</v>
      </c>
      <c r="T31" s="22">
        <v>28</v>
      </c>
      <c r="U31" s="24" t="s">
        <v>38</v>
      </c>
      <c r="V31" s="25">
        <f>VLOOKUP(U31,[1]KamiBox!$C$2:$F$55,4,0)</f>
        <v>100</v>
      </c>
      <c r="W31" s="26"/>
      <c r="X31" s="25">
        <f t="shared" si="1"/>
        <v>0</v>
      </c>
    </row>
    <row r="32" spans="1:24" x14ac:dyDescent="0.35">
      <c r="A32" s="13" t="s">
        <v>116</v>
      </c>
      <c r="B32" s="13" t="s">
        <v>51</v>
      </c>
      <c r="C32" s="13">
        <v>0.4</v>
      </c>
      <c r="D32" s="17">
        <v>500</v>
      </c>
      <c r="E32" s="17">
        <v>200</v>
      </c>
      <c r="G32" s="14" t="s">
        <v>118</v>
      </c>
      <c r="H32">
        <v>4.5</v>
      </c>
      <c r="I32" s="19">
        <v>4575</v>
      </c>
      <c r="J32" s="19"/>
      <c r="K32" s="19"/>
      <c r="L32" s="19"/>
      <c r="M32" s="19"/>
      <c r="N32" s="22">
        <v>29</v>
      </c>
      <c r="O32" s="24" t="s">
        <v>39</v>
      </c>
      <c r="P32" s="25">
        <f>VLOOKUP(O32,KamiBox!$C$2:$F$58,4,0)</f>
        <v>2000</v>
      </c>
      <c r="Q32" s="26">
        <f t="shared" si="4"/>
        <v>7.1500000000000012</v>
      </c>
      <c r="R32" s="25">
        <f t="shared" si="0"/>
        <v>14300.000000000002</v>
      </c>
      <c r="T32" s="22">
        <v>29</v>
      </c>
      <c r="U32" s="24" t="s">
        <v>39</v>
      </c>
      <c r="V32" s="25">
        <f>VLOOKUP(U32,[1]KamiBox!$C$2:$F$55,4,0)</f>
        <v>2000</v>
      </c>
      <c r="W32" s="26"/>
      <c r="X32" s="25">
        <f t="shared" si="1"/>
        <v>0</v>
      </c>
    </row>
    <row r="33" spans="1:24" x14ac:dyDescent="0.35">
      <c r="A33" s="13" t="s">
        <v>116</v>
      </c>
      <c r="B33" s="13" t="s">
        <v>53</v>
      </c>
      <c r="C33" s="13">
        <v>0.35</v>
      </c>
      <c r="D33" s="17">
        <v>300</v>
      </c>
      <c r="E33" s="17">
        <v>105</v>
      </c>
      <c r="G33" s="14" t="s">
        <v>131</v>
      </c>
      <c r="H33">
        <v>3.55</v>
      </c>
      <c r="I33" s="19">
        <v>3550</v>
      </c>
      <c r="J33" s="19"/>
      <c r="K33" s="19"/>
      <c r="L33" s="19"/>
      <c r="M33" s="19"/>
      <c r="N33" s="22">
        <v>30</v>
      </c>
      <c r="O33" s="24" t="s">
        <v>40</v>
      </c>
      <c r="P33" s="25">
        <f>VLOOKUP(O33,KamiBox!$C$2:$F$58,4,0)</f>
        <v>1800</v>
      </c>
      <c r="Q33" s="26">
        <f t="shared" si="4"/>
        <v>0</v>
      </c>
      <c r="R33" s="25">
        <f t="shared" si="0"/>
        <v>0</v>
      </c>
      <c r="T33" s="22">
        <v>30</v>
      </c>
      <c r="U33" s="24" t="s">
        <v>40</v>
      </c>
      <c r="V33" s="25">
        <f>VLOOKUP(U33,[1]KamiBox!$C$2:$F$55,4,0)</f>
        <v>1800</v>
      </c>
      <c r="W33" s="26"/>
      <c r="X33" s="25">
        <f t="shared" si="1"/>
        <v>0</v>
      </c>
    </row>
    <row r="34" spans="1:24" x14ac:dyDescent="0.35">
      <c r="A34" s="13" t="s">
        <v>99</v>
      </c>
      <c r="B34" s="13" t="s">
        <v>13</v>
      </c>
      <c r="C34" s="13">
        <v>0.35</v>
      </c>
      <c r="D34" s="17">
        <v>200</v>
      </c>
      <c r="E34" s="17">
        <v>70</v>
      </c>
      <c r="G34" s="14" t="s">
        <v>119</v>
      </c>
      <c r="H34">
        <v>3.8</v>
      </c>
      <c r="I34" s="19">
        <v>2680</v>
      </c>
      <c r="J34" s="19"/>
      <c r="K34" s="19"/>
      <c r="L34" s="19"/>
      <c r="M34" s="19"/>
      <c r="N34" s="22">
        <v>31</v>
      </c>
      <c r="O34" s="24" t="s">
        <v>41</v>
      </c>
      <c r="P34" s="25">
        <f>VLOOKUP(O34,KamiBox!$C$2:$F$58,4,0)</f>
        <v>1800</v>
      </c>
      <c r="Q34" s="26">
        <f t="shared" si="4"/>
        <v>59.3</v>
      </c>
      <c r="R34" s="25">
        <f t="shared" si="0"/>
        <v>106740</v>
      </c>
      <c r="T34" s="22">
        <v>31</v>
      </c>
      <c r="U34" s="24" t="s">
        <v>41</v>
      </c>
      <c r="V34" s="25">
        <f>VLOOKUP(U34,[1]KamiBox!$C$2:$F$55,4,0)</f>
        <v>1700</v>
      </c>
      <c r="W34" s="26"/>
      <c r="X34" s="25">
        <f t="shared" si="1"/>
        <v>0</v>
      </c>
    </row>
    <row r="35" spans="1:24" x14ac:dyDescent="0.35">
      <c r="A35" s="13" t="s">
        <v>99</v>
      </c>
      <c r="B35" s="13" t="s">
        <v>41</v>
      </c>
      <c r="C35" s="13">
        <v>0.9</v>
      </c>
      <c r="D35" s="17">
        <v>1000</v>
      </c>
      <c r="E35" s="17">
        <v>900</v>
      </c>
      <c r="G35" s="14" t="s">
        <v>111</v>
      </c>
      <c r="H35">
        <v>7.75</v>
      </c>
      <c r="I35" s="19">
        <v>7015</v>
      </c>
      <c r="J35" s="19"/>
      <c r="K35" s="19"/>
      <c r="L35" s="19"/>
      <c r="M35" s="19"/>
      <c r="N35" s="22">
        <v>32</v>
      </c>
      <c r="O35" s="24" t="s">
        <v>42</v>
      </c>
      <c r="P35" s="25">
        <f>VLOOKUP(O35,KamiBox!$C$2:$F$58,4,0)</f>
        <v>4000</v>
      </c>
      <c r="Q35" s="26">
        <f t="shared" si="4"/>
        <v>8.75</v>
      </c>
      <c r="R35" s="25">
        <f t="shared" si="0"/>
        <v>35000</v>
      </c>
      <c r="T35" s="22">
        <v>32</v>
      </c>
      <c r="U35" s="24" t="s">
        <v>42</v>
      </c>
      <c r="V35" s="25">
        <f>VLOOKUP(U35,[1]KamiBox!$C$2:$F$55,4,0)</f>
        <v>4000</v>
      </c>
      <c r="W35" s="26"/>
      <c r="X35" s="25">
        <f t="shared" si="1"/>
        <v>0</v>
      </c>
    </row>
    <row r="36" spans="1:24" x14ac:dyDescent="0.35">
      <c r="A36" s="13" t="s">
        <v>99</v>
      </c>
      <c r="B36" s="13" t="s">
        <v>25</v>
      </c>
      <c r="C36" s="13">
        <v>0.2</v>
      </c>
      <c r="D36" s="17">
        <v>1000</v>
      </c>
      <c r="E36" s="17">
        <v>200</v>
      </c>
      <c r="G36" s="14" t="s">
        <v>120</v>
      </c>
      <c r="H36">
        <v>2.8</v>
      </c>
      <c r="I36" s="19">
        <v>2800</v>
      </c>
      <c r="J36" s="19"/>
      <c r="K36" s="19"/>
      <c r="L36" s="19"/>
      <c r="M36" s="19"/>
      <c r="N36" s="22">
        <v>33</v>
      </c>
      <c r="O36" s="24" t="s">
        <v>43</v>
      </c>
      <c r="P36" s="25">
        <f>VLOOKUP(O36,KamiBox!$C$2:$F$58,4,0)</f>
        <v>60000</v>
      </c>
      <c r="Q36" s="26">
        <f t="shared" si="4"/>
        <v>0</v>
      </c>
      <c r="R36" s="25">
        <f t="shared" si="0"/>
        <v>0</v>
      </c>
      <c r="T36" s="22">
        <v>33</v>
      </c>
      <c r="U36" s="24" t="s">
        <v>43</v>
      </c>
      <c r="V36" s="25">
        <f>VLOOKUP(U36,[1]KamiBox!$C$2:$F$55,4,0)</f>
        <v>60000</v>
      </c>
      <c r="W36" s="26"/>
      <c r="X36" s="25">
        <f t="shared" si="1"/>
        <v>0</v>
      </c>
    </row>
    <row r="37" spans="1:24" x14ac:dyDescent="0.35">
      <c r="A37" s="13" t="s">
        <v>99</v>
      </c>
      <c r="B37" s="13" t="s">
        <v>38</v>
      </c>
      <c r="C37" s="13">
        <v>5.0999999999999996</v>
      </c>
      <c r="D37" s="17">
        <v>80</v>
      </c>
      <c r="E37" s="17">
        <v>408</v>
      </c>
      <c r="G37" s="14" t="s">
        <v>121</v>
      </c>
      <c r="H37">
        <v>13.4</v>
      </c>
      <c r="I37" s="19">
        <v>16100</v>
      </c>
      <c r="J37" s="19"/>
      <c r="K37" s="19"/>
      <c r="L37" s="19"/>
      <c r="M37" s="19"/>
      <c r="N37" s="22">
        <v>34</v>
      </c>
      <c r="O37" s="24" t="s">
        <v>44</v>
      </c>
      <c r="P37" s="25">
        <f>VLOOKUP(O37,KamiBox!$C$2:$F$58,4,0)</f>
        <v>700</v>
      </c>
      <c r="Q37" s="26">
        <f t="shared" si="4"/>
        <v>0</v>
      </c>
      <c r="R37" s="25">
        <f t="shared" si="0"/>
        <v>0</v>
      </c>
      <c r="T37" s="22">
        <v>34</v>
      </c>
      <c r="U37" s="24" t="s">
        <v>44</v>
      </c>
      <c r="V37" s="25">
        <f>VLOOKUP(U37,[1]KamiBox!$C$2:$F$55,4,0)</f>
        <v>700</v>
      </c>
      <c r="W37" s="26"/>
      <c r="X37" s="25">
        <f t="shared" si="1"/>
        <v>0</v>
      </c>
    </row>
    <row r="38" spans="1:24" x14ac:dyDescent="0.35">
      <c r="A38" s="13" t="s">
        <v>99</v>
      </c>
      <c r="B38" s="13" t="s">
        <v>22</v>
      </c>
      <c r="C38" s="13">
        <v>0.55000000000000004</v>
      </c>
      <c r="D38" s="17">
        <v>1600</v>
      </c>
      <c r="E38" s="17">
        <v>880</v>
      </c>
      <c r="G38" s="14" t="s">
        <v>122</v>
      </c>
      <c r="H38">
        <v>12.599999999999998</v>
      </c>
      <c r="I38" s="19">
        <v>12381</v>
      </c>
      <c r="J38" s="19"/>
      <c r="K38" s="19"/>
      <c r="L38" s="19"/>
      <c r="M38" s="19"/>
      <c r="N38" s="22">
        <v>35</v>
      </c>
      <c r="O38" s="24" t="s">
        <v>46</v>
      </c>
      <c r="P38" s="25">
        <f>VLOOKUP(O38,KamiBox!$C$2:$F$58,4,0)</f>
        <v>4000</v>
      </c>
      <c r="Q38" s="26">
        <f t="shared" si="4"/>
        <v>3.1999999999999997</v>
      </c>
      <c r="R38" s="25">
        <f t="shared" si="0"/>
        <v>12799.999999999998</v>
      </c>
      <c r="T38" s="22">
        <v>35</v>
      </c>
      <c r="U38" s="24" t="s">
        <v>46</v>
      </c>
      <c r="V38" s="25">
        <f>VLOOKUP(U38,[1]KamiBox!$C$2:$F$55,4,0)</f>
        <v>4000</v>
      </c>
      <c r="W38" s="26"/>
      <c r="X38" s="25">
        <f t="shared" si="1"/>
        <v>0</v>
      </c>
    </row>
    <row r="39" spans="1:24" x14ac:dyDescent="0.35">
      <c r="A39" s="13" t="s">
        <v>104</v>
      </c>
      <c r="B39" s="13" t="s">
        <v>25</v>
      </c>
      <c r="C39" s="13">
        <v>5.6</v>
      </c>
      <c r="D39" s="17">
        <v>1000</v>
      </c>
      <c r="E39" s="17">
        <v>5600</v>
      </c>
      <c r="G39" s="14" t="s">
        <v>96</v>
      </c>
      <c r="H39">
        <v>13.2</v>
      </c>
      <c r="I39" s="19">
        <v>10975</v>
      </c>
      <c r="J39" s="19"/>
      <c r="K39" s="19"/>
      <c r="L39" s="19"/>
      <c r="M39" s="19"/>
      <c r="N39" s="22">
        <v>36</v>
      </c>
      <c r="O39" s="24" t="s">
        <v>47</v>
      </c>
      <c r="P39" s="25">
        <f>VLOOKUP(O39,KamiBox!$C$2:$F$58,4,0)</f>
        <v>50000</v>
      </c>
      <c r="Q39" s="26">
        <f t="shared" si="4"/>
        <v>0</v>
      </c>
      <c r="R39" s="25">
        <f t="shared" si="0"/>
        <v>0</v>
      </c>
      <c r="T39" s="22">
        <v>36</v>
      </c>
      <c r="U39" s="24" t="s">
        <v>47</v>
      </c>
      <c r="V39" s="25">
        <f>VLOOKUP(U39,[1]KamiBox!$C$2:$F$55,4,0)</f>
        <v>50000</v>
      </c>
      <c r="W39" s="26"/>
      <c r="X39" s="25">
        <f t="shared" si="1"/>
        <v>0</v>
      </c>
    </row>
    <row r="40" spans="1:24" x14ac:dyDescent="0.35">
      <c r="A40" s="13" t="s">
        <v>120</v>
      </c>
      <c r="B40" s="13" t="s">
        <v>26</v>
      </c>
      <c r="C40" s="13">
        <v>2.8</v>
      </c>
      <c r="D40" s="17">
        <v>1000</v>
      </c>
      <c r="E40" s="17">
        <v>2800</v>
      </c>
      <c r="G40" s="14" t="s">
        <v>123</v>
      </c>
      <c r="H40">
        <v>3.25</v>
      </c>
      <c r="I40" s="19">
        <v>3250</v>
      </c>
      <c r="J40" s="19"/>
      <c r="K40" s="19"/>
      <c r="L40" s="19"/>
      <c r="M40" s="19"/>
      <c r="N40" s="22">
        <v>37</v>
      </c>
      <c r="O40" s="24" t="s">
        <v>48</v>
      </c>
      <c r="P40" s="25">
        <f>VLOOKUP(O40,KamiBox!$C$2:$F$58,4,0)</f>
        <v>35000</v>
      </c>
      <c r="Q40" s="26">
        <f t="shared" si="4"/>
        <v>0</v>
      </c>
      <c r="R40" s="25">
        <f t="shared" si="0"/>
        <v>0</v>
      </c>
      <c r="T40" s="22">
        <v>37</v>
      </c>
      <c r="U40" s="24" t="s">
        <v>48</v>
      </c>
      <c r="V40" s="25">
        <f>VLOOKUP(U40,[1]KamiBox!$C$2:$F$55,4,0)</f>
        <v>35000</v>
      </c>
      <c r="W40" s="26"/>
      <c r="X40" s="25">
        <f t="shared" si="1"/>
        <v>0</v>
      </c>
    </row>
    <row r="41" spans="1:24" x14ac:dyDescent="0.35">
      <c r="A41" s="13" t="s">
        <v>119</v>
      </c>
      <c r="B41" s="13" t="s">
        <v>26</v>
      </c>
      <c r="C41" s="13">
        <v>2.35</v>
      </c>
      <c r="D41" s="17">
        <v>1000</v>
      </c>
      <c r="E41" s="17">
        <v>2350</v>
      </c>
      <c r="G41" s="14" t="s">
        <v>138</v>
      </c>
      <c r="H41">
        <v>29.95</v>
      </c>
      <c r="I41" s="19">
        <v>36305</v>
      </c>
      <c r="J41" s="19"/>
      <c r="K41" s="19"/>
      <c r="L41" s="19"/>
      <c r="M41" s="19"/>
      <c r="N41" s="22">
        <v>38</v>
      </c>
      <c r="O41" s="24" t="s">
        <v>49</v>
      </c>
      <c r="P41" s="25">
        <f>VLOOKUP(O41,KamiBox!$C$2:$F$58,4,0)</f>
        <v>50000</v>
      </c>
      <c r="Q41" s="26">
        <f t="shared" si="4"/>
        <v>0</v>
      </c>
      <c r="R41" s="25">
        <f t="shared" si="0"/>
        <v>0</v>
      </c>
      <c r="T41" s="22">
        <v>38</v>
      </c>
      <c r="U41" s="24" t="s">
        <v>49</v>
      </c>
      <c r="V41" s="25">
        <f>VLOOKUP(U41,[1]KamiBox!$C$2:$F$55,4,0)</f>
        <v>50000</v>
      </c>
      <c r="W41" s="26"/>
      <c r="X41" s="25">
        <f t="shared" si="1"/>
        <v>0</v>
      </c>
    </row>
    <row r="42" spans="1:24" x14ac:dyDescent="0.35">
      <c r="A42" s="13" t="s">
        <v>119</v>
      </c>
      <c r="B42" s="13" t="s">
        <v>18</v>
      </c>
      <c r="C42" s="13">
        <v>0.7</v>
      </c>
      <c r="D42" s="17">
        <v>150</v>
      </c>
      <c r="E42" s="17">
        <v>105</v>
      </c>
      <c r="G42" s="14" t="s">
        <v>124</v>
      </c>
      <c r="H42">
        <v>334.75</v>
      </c>
      <c r="I42" s="19">
        <v>388157.5</v>
      </c>
      <c r="N42" s="22">
        <v>39</v>
      </c>
      <c r="O42" s="24" t="s">
        <v>50</v>
      </c>
      <c r="P42" s="25"/>
      <c r="Q42" s="26">
        <f t="shared" si="4"/>
        <v>0</v>
      </c>
      <c r="R42" s="25">
        <f t="shared" si="0"/>
        <v>0</v>
      </c>
      <c r="T42" s="22">
        <v>39</v>
      </c>
      <c r="U42" s="24" t="s">
        <v>50</v>
      </c>
      <c r="V42" s="25"/>
      <c r="W42" s="26"/>
      <c r="X42" s="25">
        <f t="shared" si="1"/>
        <v>0</v>
      </c>
    </row>
    <row r="43" spans="1:24" x14ac:dyDescent="0.35">
      <c r="A43" s="13" t="s">
        <v>119</v>
      </c>
      <c r="B43" s="13" t="s">
        <v>53</v>
      </c>
      <c r="C43" s="13">
        <v>0.75</v>
      </c>
      <c r="D43" s="17">
        <v>300</v>
      </c>
      <c r="E43" s="17">
        <v>225</v>
      </c>
      <c r="N43" s="22">
        <v>40</v>
      </c>
      <c r="O43" s="24" t="s">
        <v>51</v>
      </c>
      <c r="P43" s="25">
        <f>VLOOKUP(O43,KamiBox!$C$2:$F$58,4,0)</f>
        <v>700</v>
      </c>
      <c r="Q43" s="26">
        <f t="shared" si="4"/>
        <v>24.599999999999998</v>
      </c>
      <c r="R43" s="25">
        <f t="shared" si="0"/>
        <v>17220</v>
      </c>
      <c r="T43" s="22">
        <v>40</v>
      </c>
      <c r="U43" s="24" t="s">
        <v>51</v>
      </c>
      <c r="V43" s="25">
        <f>VLOOKUP(U43,[1]KamiBox!$C$2:$F$55,4,0)</f>
        <v>700</v>
      </c>
      <c r="W43" s="26"/>
      <c r="X43" s="25">
        <f t="shared" si="1"/>
        <v>0</v>
      </c>
    </row>
    <row r="44" spans="1:24" x14ac:dyDescent="0.35">
      <c r="A44" s="13" t="s">
        <v>101</v>
      </c>
      <c r="B44" s="13" t="s">
        <v>41</v>
      </c>
      <c r="C44" s="13">
        <v>1.55</v>
      </c>
      <c r="D44" s="17">
        <v>1000</v>
      </c>
      <c r="E44" s="17">
        <v>1550</v>
      </c>
      <c r="N44" s="22">
        <v>41</v>
      </c>
      <c r="O44" s="24" t="s">
        <v>52</v>
      </c>
      <c r="P44" s="25"/>
      <c r="Q44" s="26">
        <f t="shared" si="4"/>
        <v>0</v>
      </c>
      <c r="R44" s="25">
        <f t="shared" si="0"/>
        <v>0</v>
      </c>
      <c r="T44" s="22">
        <v>41</v>
      </c>
      <c r="U44" s="24" t="s">
        <v>52</v>
      </c>
      <c r="V44" s="25"/>
      <c r="W44" s="26"/>
      <c r="X44" s="25">
        <f t="shared" si="1"/>
        <v>0</v>
      </c>
    </row>
    <row r="45" spans="1:24" x14ac:dyDescent="0.35">
      <c r="A45" s="13" t="s">
        <v>101</v>
      </c>
      <c r="B45" s="13" t="s">
        <v>53</v>
      </c>
      <c r="C45" s="13">
        <v>0.45</v>
      </c>
      <c r="D45" s="17">
        <v>300</v>
      </c>
      <c r="E45" s="17">
        <v>135</v>
      </c>
      <c r="G45" t="s">
        <v>73</v>
      </c>
      <c r="N45" s="22">
        <v>42</v>
      </c>
      <c r="O45" s="24" t="s">
        <v>53</v>
      </c>
      <c r="P45" s="25">
        <f>VLOOKUP(O45,KamiBox!$C$2:$F$58,4,0)</f>
        <v>500</v>
      </c>
      <c r="Q45" s="26">
        <f t="shared" si="4"/>
        <v>27.900000000000002</v>
      </c>
      <c r="R45" s="25">
        <f t="shared" si="0"/>
        <v>13950.000000000002</v>
      </c>
      <c r="T45" s="22">
        <v>42</v>
      </c>
      <c r="U45" s="24" t="s">
        <v>53</v>
      </c>
      <c r="V45" s="25">
        <f>VLOOKUP(U45,[1]KamiBox!$C$2:$F$55,4,0)</f>
        <v>500</v>
      </c>
      <c r="W45" s="26"/>
      <c r="X45" s="25">
        <f t="shared" si="1"/>
        <v>0</v>
      </c>
    </row>
    <row r="46" spans="1:24" x14ac:dyDescent="0.35">
      <c r="A46" s="13" t="s">
        <v>101</v>
      </c>
      <c r="B46" s="13" t="s">
        <v>39</v>
      </c>
      <c r="C46" s="13">
        <v>0.1</v>
      </c>
      <c r="D46" s="17">
        <v>1500</v>
      </c>
      <c r="E46" s="17">
        <v>150</v>
      </c>
      <c r="G46" s="5">
        <f>R57-GETPIVOTDATA("Sum of Total",$G$2)</f>
        <v>184227.5</v>
      </c>
      <c r="N46" s="22">
        <v>43</v>
      </c>
      <c r="O46" s="24" t="s">
        <v>54</v>
      </c>
      <c r="P46" s="25">
        <f>VLOOKUP(O46,KamiBox!$C$2:$F$58,4,0)</f>
        <v>1700</v>
      </c>
      <c r="Q46" s="26">
        <f t="shared" si="4"/>
        <v>4.4999999999999991</v>
      </c>
      <c r="R46" s="25">
        <f t="shared" si="0"/>
        <v>7649.9999999999982</v>
      </c>
      <c r="T46" s="22">
        <v>43</v>
      </c>
      <c r="U46" s="24" t="s">
        <v>54</v>
      </c>
      <c r="V46" s="25">
        <f>VLOOKUP(U46,[1]KamiBox!$C$2:$F$55,4,0)</f>
        <v>1000</v>
      </c>
      <c r="W46" s="26"/>
      <c r="X46" s="25">
        <f t="shared" si="1"/>
        <v>0</v>
      </c>
    </row>
    <row r="47" spans="1:24" x14ac:dyDescent="0.35">
      <c r="A47" s="13" t="s">
        <v>101</v>
      </c>
      <c r="B47" s="13" t="s">
        <v>38</v>
      </c>
      <c r="C47" s="13">
        <v>1.3</v>
      </c>
      <c r="D47" s="17">
        <v>80</v>
      </c>
      <c r="E47" s="17">
        <v>104</v>
      </c>
      <c r="N47" s="22">
        <v>44</v>
      </c>
      <c r="O47" s="24" t="s">
        <v>55</v>
      </c>
      <c r="P47" s="25">
        <f>VLOOKUP(O47,KamiBox!$C$2:$F$58,4,0)</f>
        <v>900</v>
      </c>
      <c r="Q47" s="26">
        <f t="shared" si="4"/>
        <v>0</v>
      </c>
      <c r="R47" s="25">
        <f t="shared" si="0"/>
        <v>0</v>
      </c>
      <c r="T47" s="22">
        <v>44</v>
      </c>
      <c r="U47" s="24" t="s">
        <v>55</v>
      </c>
      <c r="V47" s="25">
        <f>VLOOKUP(U47,[1]KamiBox!$C$2:$F$55,4,0)</f>
        <v>900</v>
      </c>
      <c r="W47" s="26"/>
      <c r="X47" s="25">
        <f t="shared" si="1"/>
        <v>0</v>
      </c>
    </row>
    <row r="48" spans="1:24" x14ac:dyDescent="0.35">
      <c r="A48" s="13" t="s">
        <v>101</v>
      </c>
      <c r="B48" s="13" t="s">
        <v>26</v>
      </c>
      <c r="C48" s="13">
        <v>0.5</v>
      </c>
      <c r="D48" s="17">
        <v>1000</v>
      </c>
      <c r="E48" s="17">
        <v>500</v>
      </c>
      <c r="N48" s="22">
        <v>45</v>
      </c>
      <c r="O48" s="24" t="s">
        <v>56</v>
      </c>
      <c r="P48" s="25">
        <f>VLOOKUP(O48,KamiBox!$C$2:$F$58,4,0)</f>
        <v>700</v>
      </c>
      <c r="Q48" s="26">
        <f t="shared" si="4"/>
        <v>0</v>
      </c>
      <c r="R48" s="25">
        <f t="shared" si="0"/>
        <v>0</v>
      </c>
      <c r="T48" s="22">
        <v>45</v>
      </c>
      <c r="U48" s="24" t="s">
        <v>56</v>
      </c>
      <c r="V48" s="25">
        <f>VLOOKUP(U48,[1]KamiBox!$C$2:$F$55,4,0)</f>
        <v>700</v>
      </c>
      <c r="W48" s="26"/>
      <c r="X48" s="25">
        <f t="shared" si="1"/>
        <v>0</v>
      </c>
    </row>
    <row r="49" spans="1:24" x14ac:dyDescent="0.35">
      <c r="A49" s="13" t="s">
        <v>101</v>
      </c>
      <c r="B49" s="13" t="s">
        <v>94</v>
      </c>
      <c r="C49" s="13">
        <v>1.2</v>
      </c>
      <c r="D49" s="17">
        <v>2800</v>
      </c>
      <c r="E49" s="17">
        <v>3360</v>
      </c>
      <c r="N49" s="22">
        <v>46</v>
      </c>
      <c r="O49" s="24" t="s">
        <v>57</v>
      </c>
      <c r="P49" s="25">
        <f>VLOOKUP(O49,KamiBox!$C$2:$F$58,4,0)</f>
        <v>400</v>
      </c>
      <c r="Q49" s="26">
        <f t="shared" si="4"/>
        <v>0.15</v>
      </c>
      <c r="R49" s="25">
        <f t="shared" si="0"/>
        <v>60</v>
      </c>
      <c r="T49" s="22">
        <v>46</v>
      </c>
      <c r="U49" s="24" t="s">
        <v>57</v>
      </c>
      <c r="V49" s="25">
        <f>VLOOKUP(U49,[1]KamiBox!$C$2:$F$55,4,0)</f>
        <v>400</v>
      </c>
      <c r="W49" s="26"/>
      <c r="X49" s="25">
        <f t="shared" si="1"/>
        <v>0</v>
      </c>
    </row>
    <row r="50" spans="1:24" x14ac:dyDescent="0.35">
      <c r="A50" s="13" t="s">
        <v>95</v>
      </c>
      <c r="B50" s="13" t="s">
        <v>51</v>
      </c>
      <c r="C50" s="13">
        <v>0.9</v>
      </c>
      <c r="D50" s="17">
        <v>500</v>
      </c>
      <c r="E50" s="17">
        <v>450</v>
      </c>
      <c r="N50" s="22">
        <v>47</v>
      </c>
      <c r="O50" s="24" t="s">
        <v>58</v>
      </c>
      <c r="P50" s="25">
        <f>VLOOKUP(O50,KamiBox!$C$2:$F$58,4,0)</f>
        <v>60000</v>
      </c>
      <c r="Q50" s="26">
        <f t="shared" si="4"/>
        <v>0</v>
      </c>
      <c r="R50" s="25">
        <f t="shared" si="0"/>
        <v>0</v>
      </c>
      <c r="T50" s="22">
        <v>47</v>
      </c>
      <c r="U50" s="24" t="s">
        <v>58</v>
      </c>
      <c r="V50" s="25">
        <f>VLOOKUP(U50,[1]KamiBox!$C$2:$F$55,4,0)</f>
        <v>60000</v>
      </c>
      <c r="W50" s="26"/>
      <c r="X50" s="25">
        <f t="shared" si="1"/>
        <v>0</v>
      </c>
    </row>
    <row r="51" spans="1:24" x14ac:dyDescent="0.35">
      <c r="A51" s="13" t="s">
        <v>95</v>
      </c>
      <c r="B51" s="13" t="s">
        <v>53</v>
      </c>
      <c r="C51" s="13">
        <v>1.75</v>
      </c>
      <c r="D51" s="17">
        <v>300</v>
      </c>
      <c r="E51" s="17">
        <v>525</v>
      </c>
      <c r="N51" s="22">
        <v>48</v>
      </c>
      <c r="O51" s="24" t="s">
        <v>59</v>
      </c>
      <c r="P51" s="25">
        <f>VLOOKUP(O51,KamiBox!$C$2:$F$58,4,0)</f>
        <v>150</v>
      </c>
      <c r="Q51" s="26">
        <f t="shared" si="4"/>
        <v>0</v>
      </c>
      <c r="R51" s="25">
        <f t="shared" si="0"/>
        <v>0</v>
      </c>
      <c r="T51" s="22">
        <v>48</v>
      </c>
      <c r="U51" s="24" t="s">
        <v>59</v>
      </c>
      <c r="V51" s="25">
        <f>VLOOKUP(U51,[1]KamiBox!$C$2:$F$55,4,0)</f>
        <v>150</v>
      </c>
      <c r="W51" s="26"/>
      <c r="X51" s="25">
        <f t="shared" si="1"/>
        <v>0</v>
      </c>
    </row>
    <row r="52" spans="1:24" x14ac:dyDescent="0.35">
      <c r="A52" s="13" t="s">
        <v>95</v>
      </c>
      <c r="B52" s="13" t="s">
        <v>125</v>
      </c>
      <c r="C52" s="13">
        <v>6.35</v>
      </c>
      <c r="D52" s="17">
        <v>800</v>
      </c>
      <c r="E52" s="17">
        <v>5080</v>
      </c>
      <c r="N52" s="22">
        <v>49</v>
      </c>
      <c r="O52" s="24" t="s">
        <v>60</v>
      </c>
      <c r="P52" s="25">
        <f>VLOOKUP(O52,KamiBox!$C$2:$F$58,4,0)</f>
        <v>3000</v>
      </c>
      <c r="Q52" s="26">
        <f t="shared" si="4"/>
        <v>2.8000000000000003</v>
      </c>
      <c r="R52" s="25">
        <f t="shared" si="0"/>
        <v>8400</v>
      </c>
      <c r="T52" s="22">
        <v>49</v>
      </c>
      <c r="U52" s="24" t="s">
        <v>60</v>
      </c>
      <c r="V52" s="25">
        <f>VLOOKUP(U52,[1]KamiBox!$C$2:$F$55,4,0)</f>
        <v>3000</v>
      </c>
      <c r="W52" s="26"/>
      <c r="X52" s="25">
        <f t="shared" si="1"/>
        <v>0</v>
      </c>
    </row>
    <row r="53" spans="1:24" x14ac:dyDescent="0.35">
      <c r="A53" s="13" t="s">
        <v>95</v>
      </c>
      <c r="B53" s="13" t="s">
        <v>25</v>
      </c>
      <c r="C53" s="13">
        <v>1.75</v>
      </c>
      <c r="D53" s="17">
        <v>1000</v>
      </c>
      <c r="E53" s="17">
        <v>1750</v>
      </c>
      <c r="N53" s="22">
        <v>50</v>
      </c>
      <c r="O53" s="24" t="s">
        <v>61</v>
      </c>
      <c r="P53" s="25">
        <f>VLOOKUP(O53,KamiBox!$C$2:$F$58,4,0)</f>
        <v>4500</v>
      </c>
      <c r="Q53" s="26">
        <f t="shared" si="4"/>
        <v>0.85</v>
      </c>
      <c r="R53" s="25">
        <f t="shared" si="0"/>
        <v>3825</v>
      </c>
      <c r="T53" s="22">
        <v>50</v>
      </c>
      <c r="U53" s="24" t="s">
        <v>61</v>
      </c>
      <c r="V53" s="25">
        <f>VLOOKUP(U53,[1]KamiBox!$C$2:$F$55,4,0)</f>
        <v>4500</v>
      </c>
      <c r="W53" s="26"/>
      <c r="X53" s="25">
        <f t="shared" si="1"/>
        <v>0</v>
      </c>
    </row>
    <row r="54" spans="1:24" x14ac:dyDescent="0.35">
      <c r="A54" s="13" t="s">
        <v>95</v>
      </c>
      <c r="B54" s="13" t="s">
        <v>22</v>
      </c>
      <c r="C54" s="13">
        <v>0.3</v>
      </c>
      <c r="D54" s="17">
        <v>1600</v>
      </c>
      <c r="E54" s="17">
        <v>480</v>
      </c>
      <c r="N54" s="22">
        <v>51</v>
      </c>
      <c r="O54" s="24" t="s">
        <v>62</v>
      </c>
      <c r="P54" s="25">
        <f>VLOOKUP(O54,KamiBox!$C$2:$F$58,4,0)</f>
        <v>20000</v>
      </c>
      <c r="Q54" s="26">
        <f t="shared" si="4"/>
        <v>0</v>
      </c>
      <c r="R54" s="25">
        <f t="shared" si="0"/>
        <v>0</v>
      </c>
      <c r="T54" s="22">
        <v>51</v>
      </c>
      <c r="U54" s="24" t="s">
        <v>62</v>
      </c>
      <c r="V54" s="25">
        <f>VLOOKUP(U54,[1]KamiBox!$C$2:$F$55,4,0)</f>
        <v>20000</v>
      </c>
      <c r="W54" s="26"/>
      <c r="X54" s="25">
        <f t="shared" si="1"/>
        <v>0</v>
      </c>
    </row>
    <row r="55" spans="1:24" x14ac:dyDescent="0.35">
      <c r="A55" s="13" t="s">
        <v>95</v>
      </c>
      <c r="B55" s="13" t="s">
        <v>18</v>
      </c>
      <c r="C55" s="13">
        <v>3.1</v>
      </c>
      <c r="D55" s="17">
        <v>150</v>
      </c>
      <c r="E55" s="17">
        <v>465</v>
      </c>
      <c r="N55" s="22">
        <v>52</v>
      </c>
      <c r="O55" s="24" t="s">
        <v>63</v>
      </c>
      <c r="P55" s="25">
        <f>VLOOKUP(O55,KamiBox!$C$2:$F$58,4,0)</f>
        <v>1000</v>
      </c>
      <c r="Q55" s="26">
        <f t="shared" si="4"/>
        <v>0</v>
      </c>
      <c r="R55" s="25">
        <f t="shared" si="0"/>
        <v>0</v>
      </c>
      <c r="T55" s="22">
        <v>52</v>
      </c>
      <c r="U55" s="24" t="s">
        <v>63</v>
      </c>
      <c r="V55" s="25">
        <f>VLOOKUP(U55,[1]KamiBox!$C$2:$F$55,4,0)</f>
        <v>1000</v>
      </c>
      <c r="W55" s="26"/>
      <c r="X55" s="25">
        <f t="shared" si="1"/>
        <v>0</v>
      </c>
    </row>
    <row r="56" spans="1:24" x14ac:dyDescent="0.35">
      <c r="A56" s="13" t="s">
        <v>95</v>
      </c>
      <c r="B56" s="13" t="s">
        <v>26</v>
      </c>
      <c r="C56" s="13">
        <v>5.05</v>
      </c>
      <c r="D56" s="17">
        <v>1000</v>
      </c>
      <c r="E56" s="17">
        <v>5050</v>
      </c>
      <c r="N56" s="22">
        <v>53</v>
      </c>
      <c r="O56" s="24" t="s">
        <v>263</v>
      </c>
      <c r="P56" s="25">
        <f>VLOOKUP(O56,KamiBox!$C$2:$F$58,4,0)</f>
        <v>1200</v>
      </c>
      <c r="Q56" s="26">
        <f t="shared" si="4"/>
        <v>0</v>
      </c>
      <c r="R56" s="25">
        <f t="shared" si="0"/>
        <v>0</v>
      </c>
      <c r="T56" s="22">
        <v>53</v>
      </c>
      <c r="U56" s="24" t="s">
        <v>45</v>
      </c>
      <c r="V56" s="25">
        <f>VLOOKUP(U56,[1]KamiBox!$C$2:$F$55,4,0)</f>
        <v>1200</v>
      </c>
      <c r="W56" s="26"/>
      <c r="X56" s="25">
        <f t="shared" si="1"/>
        <v>0</v>
      </c>
    </row>
    <row r="57" spans="1:24" x14ac:dyDescent="0.35">
      <c r="A57" s="13" t="s">
        <v>93</v>
      </c>
      <c r="B57" s="13" t="s">
        <v>94</v>
      </c>
      <c r="C57" s="13">
        <v>0.9</v>
      </c>
      <c r="D57" s="17">
        <v>2800</v>
      </c>
      <c r="E57" s="17">
        <v>2520</v>
      </c>
      <c r="N57" s="24"/>
      <c r="O57" s="24"/>
      <c r="P57" s="27" t="s">
        <v>135</v>
      </c>
      <c r="Q57" s="27">
        <f>SUM(Q4:Q56)</f>
        <v>318</v>
      </c>
      <c r="R57" s="28">
        <f>SUM(R4:R56)</f>
        <v>572385</v>
      </c>
      <c r="T57" s="24"/>
      <c r="U57" s="24"/>
      <c r="V57" s="27" t="s">
        <v>135</v>
      </c>
      <c r="W57" s="27">
        <f>SUM(W4:W56)</f>
        <v>16.75</v>
      </c>
      <c r="X57" s="28">
        <f>SUM(X4:X56)</f>
        <v>3350</v>
      </c>
    </row>
    <row r="58" spans="1:24" x14ac:dyDescent="0.35">
      <c r="A58" s="13" t="s">
        <v>93</v>
      </c>
      <c r="B58" s="13" t="s">
        <v>29</v>
      </c>
      <c r="C58" s="13">
        <v>0.25</v>
      </c>
      <c r="D58" s="17">
        <v>1600</v>
      </c>
      <c r="E58" s="17">
        <v>400</v>
      </c>
    </row>
    <row r="59" spans="1:24" x14ac:dyDescent="0.35">
      <c r="A59" s="13" t="s">
        <v>93</v>
      </c>
      <c r="B59" s="13" t="s">
        <v>25</v>
      </c>
      <c r="C59" s="13">
        <v>3.9</v>
      </c>
      <c r="D59" s="17">
        <v>1000</v>
      </c>
      <c r="E59" s="17">
        <v>3900</v>
      </c>
      <c r="Q59" s="29"/>
    </row>
    <row r="60" spans="1:24" x14ac:dyDescent="0.35">
      <c r="A60" s="13" t="s">
        <v>93</v>
      </c>
      <c r="B60" s="13" t="s">
        <v>126</v>
      </c>
      <c r="C60" s="13">
        <v>0.45</v>
      </c>
      <c r="D60" s="17">
        <v>1800</v>
      </c>
      <c r="E60" s="17">
        <v>810</v>
      </c>
    </row>
    <row r="61" spans="1:24" x14ac:dyDescent="0.35">
      <c r="A61" s="13" t="s">
        <v>93</v>
      </c>
      <c r="B61" s="13" t="s">
        <v>60</v>
      </c>
      <c r="C61" s="13">
        <v>0.55000000000000004</v>
      </c>
      <c r="D61" s="17">
        <v>2500</v>
      </c>
      <c r="E61" s="17">
        <v>1375</v>
      </c>
    </row>
    <row r="62" spans="1:24" x14ac:dyDescent="0.35">
      <c r="A62" s="13" t="s">
        <v>93</v>
      </c>
      <c r="B62" s="13" t="s">
        <v>51</v>
      </c>
      <c r="C62" s="13">
        <v>0.2</v>
      </c>
      <c r="D62" s="17">
        <v>500</v>
      </c>
      <c r="E62" s="17">
        <v>100</v>
      </c>
    </row>
    <row r="63" spans="1:24" x14ac:dyDescent="0.35">
      <c r="A63" s="13" t="s">
        <v>93</v>
      </c>
      <c r="B63" s="13" t="s">
        <v>39</v>
      </c>
      <c r="C63" s="13">
        <v>1.05</v>
      </c>
      <c r="D63" s="17">
        <v>1500</v>
      </c>
      <c r="E63" s="17">
        <v>1575</v>
      </c>
    </row>
    <row r="64" spans="1:24" x14ac:dyDescent="0.35">
      <c r="A64" s="13" t="s">
        <v>93</v>
      </c>
      <c r="B64" s="13" t="s">
        <v>18</v>
      </c>
      <c r="C64" s="13">
        <v>0.75</v>
      </c>
      <c r="D64" s="17">
        <v>150</v>
      </c>
      <c r="E64" s="17">
        <v>113</v>
      </c>
    </row>
    <row r="65" spans="1:5" x14ac:dyDescent="0.35">
      <c r="A65" s="13" t="s">
        <v>93</v>
      </c>
      <c r="B65" s="13" t="s">
        <v>46</v>
      </c>
      <c r="C65" s="13">
        <v>0.25</v>
      </c>
      <c r="D65" s="17">
        <v>2700</v>
      </c>
      <c r="E65" s="17">
        <v>675</v>
      </c>
    </row>
    <row r="66" spans="1:5" x14ac:dyDescent="0.35">
      <c r="A66" s="13" t="s">
        <v>93</v>
      </c>
      <c r="B66" s="13" t="s">
        <v>127</v>
      </c>
      <c r="C66" s="13">
        <v>0.05</v>
      </c>
      <c r="D66" s="17">
        <v>8000</v>
      </c>
      <c r="E66" s="17">
        <v>400</v>
      </c>
    </row>
    <row r="67" spans="1:5" x14ac:dyDescent="0.35">
      <c r="A67" s="13" t="s">
        <v>93</v>
      </c>
      <c r="B67" s="13" t="s">
        <v>53</v>
      </c>
      <c r="C67" s="13">
        <v>3.85</v>
      </c>
      <c r="D67" s="17">
        <v>300</v>
      </c>
      <c r="E67" s="17">
        <v>1155</v>
      </c>
    </row>
    <row r="68" spans="1:5" x14ac:dyDescent="0.35">
      <c r="A68" s="13" t="s">
        <v>93</v>
      </c>
      <c r="B68" s="13" t="s">
        <v>25</v>
      </c>
      <c r="C68" s="13">
        <v>0.15</v>
      </c>
      <c r="D68" s="17">
        <v>1000</v>
      </c>
      <c r="E68" s="17">
        <v>150</v>
      </c>
    </row>
    <row r="69" spans="1:5" x14ac:dyDescent="0.35">
      <c r="A69" s="13" t="s">
        <v>123</v>
      </c>
      <c r="B69" s="13" t="s">
        <v>26</v>
      </c>
      <c r="C69" s="13">
        <v>3.25</v>
      </c>
      <c r="D69" s="17">
        <v>1000</v>
      </c>
      <c r="E69" s="17">
        <v>3250</v>
      </c>
    </row>
    <row r="70" spans="1:5" x14ac:dyDescent="0.35">
      <c r="A70" s="13" t="s">
        <v>98</v>
      </c>
      <c r="B70" s="13" t="s">
        <v>53</v>
      </c>
      <c r="C70" s="13">
        <v>0.45</v>
      </c>
      <c r="D70" s="17">
        <v>300</v>
      </c>
      <c r="E70" s="17">
        <v>135</v>
      </c>
    </row>
    <row r="71" spans="1:5" x14ac:dyDescent="0.35">
      <c r="A71" s="13" t="s">
        <v>98</v>
      </c>
      <c r="B71" s="13" t="s">
        <v>94</v>
      </c>
      <c r="C71" s="13">
        <v>0.7</v>
      </c>
      <c r="D71" s="17">
        <v>2800</v>
      </c>
      <c r="E71" s="17">
        <v>1960</v>
      </c>
    </row>
    <row r="72" spans="1:5" x14ac:dyDescent="0.35">
      <c r="A72" s="13" t="s">
        <v>98</v>
      </c>
      <c r="B72" s="13" t="s">
        <v>13</v>
      </c>
      <c r="C72" s="13">
        <v>1.4</v>
      </c>
      <c r="D72" s="17">
        <v>200</v>
      </c>
      <c r="E72" s="17">
        <v>280</v>
      </c>
    </row>
    <row r="73" spans="1:5" x14ac:dyDescent="0.35">
      <c r="A73" s="13" t="s">
        <v>98</v>
      </c>
      <c r="B73" s="13" t="s">
        <v>25</v>
      </c>
      <c r="C73" s="13">
        <v>0.95</v>
      </c>
      <c r="D73" s="17">
        <v>1000</v>
      </c>
      <c r="E73" s="17">
        <v>950</v>
      </c>
    </row>
    <row r="74" spans="1:5" x14ac:dyDescent="0.35">
      <c r="A74" s="13" t="s">
        <v>98</v>
      </c>
      <c r="B74" s="13" t="s">
        <v>15</v>
      </c>
      <c r="C74" s="13">
        <v>3.65</v>
      </c>
      <c r="D74" s="17">
        <v>2500</v>
      </c>
      <c r="E74" s="17">
        <v>9125</v>
      </c>
    </row>
    <row r="75" spans="1:5" x14ac:dyDescent="0.35">
      <c r="A75" s="13" t="s">
        <v>113</v>
      </c>
      <c r="B75" s="13" t="s">
        <v>128</v>
      </c>
      <c r="C75" s="13">
        <v>0.3</v>
      </c>
      <c r="D75" s="17">
        <v>3500</v>
      </c>
      <c r="E75" s="17">
        <v>1050</v>
      </c>
    </row>
    <row r="76" spans="1:5" x14ac:dyDescent="0.35">
      <c r="A76" s="13" t="s">
        <v>113</v>
      </c>
      <c r="B76" s="13" t="s">
        <v>22</v>
      </c>
      <c r="C76" s="13">
        <v>0.2</v>
      </c>
      <c r="D76" s="17">
        <v>1600</v>
      </c>
      <c r="E76" s="17">
        <v>320</v>
      </c>
    </row>
    <row r="77" spans="1:5" x14ac:dyDescent="0.35">
      <c r="A77" s="13" t="s">
        <v>113</v>
      </c>
      <c r="B77" s="13" t="s">
        <v>126</v>
      </c>
      <c r="C77" s="13">
        <v>0.1</v>
      </c>
      <c r="D77" s="17">
        <v>1800</v>
      </c>
      <c r="E77" s="17">
        <v>180</v>
      </c>
    </row>
    <row r="78" spans="1:5" x14ac:dyDescent="0.35">
      <c r="A78" s="13" t="s">
        <v>113</v>
      </c>
      <c r="B78" s="13" t="s">
        <v>46</v>
      </c>
      <c r="C78" s="13">
        <v>0.55000000000000004</v>
      </c>
      <c r="D78" s="17">
        <v>2700</v>
      </c>
      <c r="E78" s="17">
        <v>1485</v>
      </c>
    </row>
    <row r="79" spans="1:5" x14ac:dyDescent="0.35">
      <c r="A79" s="13" t="s">
        <v>113</v>
      </c>
      <c r="B79" s="13" t="s">
        <v>39</v>
      </c>
      <c r="C79" s="13">
        <v>0.55000000000000004</v>
      </c>
      <c r="D79" s="17">
        <v>1500</v>
      </c>
      <c r="E79" s="17">
        <v>825</v>
      </c>
    </row>
    <row r="80" spans="1:5" x14ac:dyDescent="0.35">
      <c r="A80" s="13" t="s">
        <v>113</v>
      </c>
      <c r="B80" s="13" t="s">
        <v>38</v>
      </c>
      <c r="C80" s="13">
        <v>1.2</v>
      </c>
      <c r="D80" s="17">
        <v>80</v>
      </c>
      <c r="E80" s="17">
        <v>96</v>
      </c>
    </row>
    <row r="81" spans="1:5" x14ac:dyDescent="0.35">
      <c r="A81" s="13" t="s">
        <v>113</v>
      </c>
      <c r="B81" s="13" t="s">
        <v>25</v>
      </c>
      <c r="C81" s="13">
        <v>1</v>
      </c>
      <c r="D81" s="17">
        <v>1000</v>
      </c>
      <c r="E81" s="17">
        <v>1000</v>
      </c>
    </row>
    <row r="82" spans="1:5" x14ac:dyDescent="0.35">
      <c r="A82" s="13" t="s">
        <v>113</v>
      </c>
      <c r="B82" s="13" t="s">
        <v>60</v>
      </c>
      <c r="C82" s="13">
        <v>0.1</v>
      </c>
      <c r="D82" s="17">
        <v>2500</v>
      </c>
      <c r="E82" s="17">
        <v>250</v>
      </c>
    </row>
    <row r="83" spans="1:5" x14ac:dyDescent="0.35">
      <c r="A83" s="13" t="s">
        <v>113</v>
      </c>
      <c r="B83" s="13" t="s">
        <v>13</v>
      </c>
      <c r="C83" s="13">
        <v>0.15</v>
      </c>
      <c r="D83" s="17">
        <v>200</v>
      </c>
      <c r="E83" s="17">
        <v>30</v>
      </c>
    </row>
    <row r="84" spans="1:5" x14ac:dyDescent="0.35">
      <c r="A84" s="13" t="s">
        <v>113</v>
      </c>
      <c r="B84" s="13" t="s">
        <v>94</v>
      </c>
      <c r="C84" s="13">
        <v>0.35</v>
      </c>
      <c r="D84" s="17">
        <v>2800</v>
      </c>
      <c r="E84" s="17">
        <v>980</v>
      </c>
    </row>
    <row r="85" spans="1:5" x14ac:dyDescent="0.35">
      <c r="A85" s="13" t="s">
        <v>113</v>
      </c>
      <c r="B85" s="13" t="s">
        <v>51</v>
      </c>
      <c r="C85" s="13">
        <v>0.2</v>
      </c>
      <c r="D85" s="17">
        <v>500</v>
      </c>
      <c r="E85" s="17">
        <v>100</v>
      </c>
    </row>
    <row r="86" spans="1:5" x14ac:dyDescent="0.35">
      <c r="A86" s="13" t="s">
        <v>113</v>
      </c>
      <c r="B86" s="13" t="s">
        <v>53</v>
      </c>
      <c r="C86" s="13">
        <v>1.6</v>
      </c>
      <c r="D86" s="17">
        <v>300</v>
      </c>
      <c r="E86" s="17">
        <v>480</v>
      </c>
    </row>
    <row r="87" spans="1:5" x14ac:dyDescent="0.35">
      <c r="A87" s="13" t="s">
        <v>113</v>
      </c>
      <c r="B87" s="13" t="s">
        <v>41</v>
      </c>
      <c r="C87" s="13">
        <v>1.95</v>
      </c>
      <c r="D87" s="17">
        <v>1000</v>
      </c>
      <c r="E87" s="17">
        <v>1950</v>
      </c>
    </row>
    <row r="88" spans="1:5" x14ac:dyDescent="0.35">
      <c r="A88" s="13" t="s">
        <v>138</v>
      </c>
      <c r="B88" s="13" t="s">
        <v>18</v>
      </c>
      <c r="C88" s="13">
        <v>0.9</v>
      </c>
      <c r="D88" s="17">
        <v>150</v>
      </c>
      <c r="E88" s="17">
        <v>135</v>
      </c>
    </row>
    <row r="89" spans="1:5" x14ac:dyDescent="0.35">
      <c r="A89" s="13" t="s">
        <v>138</v>
      </c>
      <c r="B89" s="13" t="s">
        <v>46</v>
      </c>
      <c r="C89" s="13">
        <v>1.5</v>
      </c>
      <c r="D89" s="17">
        <v>2700</v>
      </c>
      <c r="E89" s="17">
        <v>4050</v>
      </c>
    </row>
    <row r="90" spans="1:5" x14ac:dyDescent="0.35">
      <c r="A90" s="13" t="s">
        <v>138</v>
      </c>
      <c r="B90" s="13" t="s">
        <v>13</v>
      </c>
      <c r="C90" s="13">
        <v>7.5</v>
      </c>
      <c r="D90" s="17">
        <v>200</v>
      </c>
      <c r="E90" s="17">
        <v>1500</v>
      </c>
    </row>
    <row r="91" spans="1:5" x14ac:dyDescent="0.35">
      <c r="A91" s="13" t="s">
        <v>138</v>
      </c>
      <c r="B91" s="13" t="s">
        <v>13</v>
      </c>
      <c r="C91" s="13">
        <v>1.2</v>
      </c>
      <c r="D91" s="17">
        <v>200</v>
      </c>
      <c r="E91" s="17">
        <v>240</v>
      </c>
    </row>
    <row r="92" spans="1:5" x14ac:dyDescent="0.35">
      <c r="A92" s="13" t="s">
        <v>138</v>
      </c>
      <c r="B92" s="13" t="s">
        <v>54</v>
      </c>
      <c r="C92" s="13">
        <v>3.85</v>
      </c>
      <c r="D92" s="17">
        <v>800</v>
      </c>
      <c r="E92" s="17">
        <v>3080</v>
      </c>
    </row>
    <row r="93" spans="1:5" x14ac:dyDescent="0.35">
      <c r="A93" s="13" t="s">
        <v>138</v>
      </c>
      <c r="B93" s="13" t="s">
        <v>26</v>
      </c>
      <c r="C93" s="13">
        <v>7.5</v>
      </c>
      <c r="D93" s="17">
        <v>1000</v>
      </c>
      <c r="E93" s="17">
        <v>7500</v>
      </c>
    </row>
    <row r="94" spans="1:5" x14ac:dyDescent="0.35">
      <c r="A94" s="13" t="s">
        <v>138</v>
      </c>
      <c r="B94" s="13" t="s">
        <v>94</v>
      </c>
      <c r="C94" s="13">
        <v>6.5</v>
      </c>
      <c r="D94" s="17">
        <v>2800</v>
      </c>
      <c r="E94" s="17">
        <v>18200</v>
      </c>
    </row>
    <row r="95" spans="1:5" x14ac:dyDescent="0.35">
      <c r="A95" s="13" t="s">
        <v>138</v>
      </c>
      <c r="B95" s="13" t="s">
        <v>29</v>
      </c>
      <c r="C95" s="13">
        <v>1</v>
      </c>
      <c r="D95" s="17">
        <v>1600</v>
      </c>
      <c r="E95" s="17">
        <v>1600</v>
      </c>
    </row>
    <row r="96" spans="1:5" x14ac:dyDescent="0.35">
      <c r="A96" s="13" t="s">
        <v>88</v>
      </c>
      <c r="B96" s="13" t="s">
        <v>39</v>
      </c>
      <c r="C96" s="13">
        <v>0.55000000000000004</v>
      </c>
      <c r="D96" s="17">
        <v>1500</v>
      </c>
      <c r="E96" s="17">
        <v>825</v>
      </c>
    </row>
    <row r="97" spans="1:5" x14ac:dyDescent="0.35">
      <c r="A97" s="13" t="s">
        <v>88</v>
      </c>
      <c r="B97" s="13" t="s">
        <v>51</v>
      </c>
      <c r="C97" s="13">
        <v>2.15</v>
      </c>
      <c r="D97" s="17">
        <v>500</v>
      </c>
      <c r="E97" s="17">
        <v>1075</v>
      </c>
    </row>
    <row r="98" spans="1:5" x14ac:dyDescent="0.35">
      <c r="A98" s="13" t="s">
        <v>88</v>
      </c>
      <c r="B98" s="13" t="s">
        <v>26</v>
      </c>
      <c r="C98" s="13">
        <v>0.5</v>
      </c>
      <c r="D98" s="17">
        <v>1000</v>
      </c>
      <c r="E98" s="17">
        <v>500</v>
      </c>
    </row>
    <row r="99" spans="1:5" x14ac:dyDescent="0.35">
      <c r="A99" s="13" t="s">
        <v>88</v>
      </c>
      <c r="B99" s="13" t="s">
        <v>38</v>
      </c>
      <c r="C99" s="13">
        <v>1.6</v>
      </c>
      <c r="D99" s="17">
        <v>80</v>
      </c>
      <c r="E99" s="17">
        <v>128</v>
      </c>
    </row>
    <row r="100" spans="1:5" x14ac:dyDescent="0.35">
      <c r="A100" s="13" t="s">
        <v>88</v>
      </c>
      <c r="B100" s="13" t="s">
        <v>53</v>
      </c>
      <c r="C100" s="13">
        <v>1.95</v>
      </c>
      <c r="D100" s="17">
        <v>300</v>
      </c>
      <c r="E100" s="17">
        <v>585</v>
      </c>
    </row>
    <row r="101" spans="1:5" x14ac:dyDescent="0.35">
      <c r="A101" s="13" t="s">
        <v>88</v>
      </c>
      <c r="B101" s="13" t="s">
        <v>94</v>
      </c>
      <c r="C101" s="13">
        <v>1.8</v>
      </c>
      <c r="D101" s="17">
        <v>2800</v>
      </c>
      <c r="E101" s="17">
        <v>5040</v>
      </c>
    </row>
    <row r="102" spans="1:5" x14ac:dyDescent="0.35">
      <c r="A102" s="13" t="s">
        <v>118</v>
      </c>
      <c r="B102" s="13" t="s">
        <v>53</v>
      </c>
      <c r="C102" s="13">
        <v>0.95</v>
      </c>
      <c r="D102" s="17">
        <v>300</v>
      </c>
      <c r="E102" s="17">
        <v>285</v>
      </c>
    </row>
    <row r="103" spans="1:5" x14ac:dyDescent="0.35">
      <c r="A103" s="13" t="s">
        <v>118</v>
      </c>
      <c r="B103" s="13" t="s">
        <v>26</v>
      </c>
      <c r="C103" s="13">
        <v>0.55000000000000004</v>
      </c>
      <c r="D103" s="17">
        <v>1000</v>
      </c>
      <c r="E103" s="17">
        <v>550</v>
      </c>
    </row>
    <row r="104" spans="1:5" x14ac:dyDescent="0.35">
      <c r="A104" s="13" t="s">
        <v>118</v>
      </c>
      <c r="B104" s="13" t="s">
        <v>94</v>
      </c>
      <c r="C104" s="13">
        <v>1</v>
      </c>
      <c r="D104" s="17">
        <v>2800</v>
      </c>
      <c r="E104" s="17">
        <v>2800</v>
      </c>
    </row>
    <row r="105" spans="1:5" x14ac:dyDescent="0.35">
      <c r="A105" s="13" t="s">
        <v>118</v>
      </c>
      <c r="B105" s="13" t="s">
        <v>13</v>
      </c>
      <c r="C105" s="13">
        <v>0.7</v>
      </c>
      <c r="D105" s="17">
        <v>200</v>
      </c>
      <c r="E105" s="17">
        <v>140</v>
      </c>
    </row>
    <row r="106" spans="1:5" x14ac:dyDescent="0.35">
      <c r="A106" s="13" t="s">
        <v>118</v>
      </c>
      <c r="B106" s="13" t="s">
        <v>54</v>
      </c>
      <c r="C106" s="13">
        <v>0.5</v>
      </c>
      <c r="D106" s="17">
        <v>800</v>
      </c>
      <c r="E106" s="17">
        <v>400</v>
      </c>
    </row>
    <row r="107" spans="1:5" x14ac:dyDescent="0.35">
      <c r="A107" s="13" t="s">
        <v>118</v>
      </c>
      <c r="B107" s="13" t="s">
        <v>51</v>
      </c>
      <c r="C107" s="13">
        <v>0.8</v>
      </c>
      <c r="D107" s="17">
        <v>500</v>
      </c>
      <c r="E107" s="17">
        <v>400</v>
      </c>
    </row>
    <row r="108" spans="1:5" x14ac:dyDescent="0.35">
      <c r="A108" s="13" t="s">
        <v>114</v>
      </c>
      <c r="B108" s="13" t="s">
        <v>22</v>
      </c>
      <c r="C108" s="13">
        <v>0.2</v>
      </c>
      <c r="D108" s="17">
        <v>1600</v>
      </c>
      <c r="E108" s="17">
        <v>320</v>
      </c>
    </row>
    <row r="109" spans="1:5" x14ac:dyDescent="0.35">
      <c r="A109" s="13" t="s">
        <v>114</v>
      </c>
      <c r="B109" s="13" t="s">
        <v>38</v>
      </c>
      <c r="C109" s="13">
        <v>2.0499999999999998</v>
      </c>
      <c r="D109" s="17">
        <v>80</v>
      </c>
      <c r="E109" s="17">
        <v>164</v>
      </c>
    </row>
    <row r="110" spans="1:5" x14ac:dyDescent="0.35">
      <c r="A110" s="13" t="s">
        <v>114</v>
      </c>
      <c r="B110" s="13" t="s">
        <v>53</v>
      </c>
      <c r="C110" s="13">
        <v>0.7</v>
      </c>
      <c r="D110" s="17">
        <v>300</v>
      </c>
      <c r="E110" s="17">
        <v>210</v>
      </c>
    </row>
    <row r="111" spans="1:5" x14ac:dyDescent="0.35">
      <c r="A111" s="13" t="s">
        <v>109</v>
      </c>
      <c r="B111" s="13" t="s">
        <v>34</v>
      </c>
      <c r="C111" s="13">
        <v>1.7</v>
      </c>
      <c r="D111" s="17">
        <v>4000</v>
      </c>
      <c r="E111" s="17">
        <v>6800</v>
      </c>
    </row>
    <row r="112" spans="1:5" x14ac:dyDescent="0.35">
      <c r="A112" s="13" t="s">
        <v>109</v>
      </c>
      <c r="B112" s="13" t="s">
        <v>51</v>
      </c>
      <c r="C112" s="13">
        <v>0.8</v>
      </c>
      <c r="D112" s="17">
        <v>500</v>
      </c>
      <c r="E112" s="17">
        <v>400</v>
      </c>
    </row>
    <row r="113" spans="1:5" x14ac:dyDescent="0.35">
      <c r="A113" s="13" t="s">
        <v>109</v>
      </c>
      <c r="B113" s="13" t="s">
        <v>128</v>
      </c>
      <c r="C113" s="13">
        <v>0.4</v>
      </c>
      <c r="D113" s="17">
        <v>3500</v>
      </c>
      <c r="E113" s="17">
        <v>1400</v>
      </c>
    </row>
    <row r="114" spans="1:5" x14ac:dyDescent="0.35">
      <c r="A114" s="13" t="s">
        <v>109</v>
      </c>
      <c r="B114" s="13" t="s">
        <v>29</v>
      </c>
      <c r="C114" s="13">
        <v>0.4</v>
      </c>
      <c r="D114" s="17">
        <v>1600</v>
      </c>
      <c r="E114" s="17">
        <v>640</v>
      </c>
    </row>
    <row r="115" spans="1:5" x14ac:dyDescent="0.35">
      <c r="A115" s="13" t="s">
        <v>115</v>
      </c>
      <c r="B115" s="13" t="s">
        <v>15</v>
      </c>
      <c r="C115" s="13">
        <v>0.45</v>
      </c>
      <c r="D115" s="17">
        <v>2500</v>
      </c>
      <c r="E115" s="17">
        <v>1125</v>
      </c>
    </row>
    <row r="116" spans="1:5" x14ac:dyDescent="0.35">
      <c r="A116" s="13" t="s">
        <v>115</v>
      </c>
      <c r="B116" s="13" t="s">
        <v>57</v>
      </c>
      <c r="C116" s="13">
        <v>0.15</v>
      </c>
      <c r="D116" s="17">
        <v>150</v>
      </c>
      <c r="E116" s="17">
        <v>23</v>
      </c>
    </row>
    <row r="117" spans="1:5" x14ac:dyDescent="0.35">
      <c r="A117" s="13" t="s">
        <v>115</v>
      </c>
      <c r="B117" s="13" t="s">
        <v>60</v>
      </c>
      <c r="C117" s="13">
        <v>0.25</v>
      </c>
      <c r="D117" s="17">
        <v>2500</v>
      </c>
      <c r="E117" s="17">
        <v>625</v>
      </c>
    </row>
    <row r="118" spans="1:5" x14ac:dyDescent="0.35">
      <c r="A118" s="13" t="s">
        <v>115</v>
      </c>
      <c r="B118" s="13" t="s">
        <v>51</v>
      </c>
      <c r="C118" s="13">
        <v>3.65</v>
      </c>
      <c r="D118" s="17">
        <v>500</v>
      </c>
      <c r="E118" s="17">
        <v>1825</v>
      </c>
    </row>
    <row r="119" spans="1:5" x14ac:dyDescent="0.35">
      <c r="A119" s="13" t="s">
        <v>115</v>
      </c>
      <c r="B119" s="13" t="s">
        <v>38</v>
      </c>
      <c r="C119" s="13">
        <v>6.45</v>
      </c>
      <c r="D119" s="17">
        <v>80</v>
      </c>
      <c r="E119" s="17">
        <v>516</v>
      </c>
    </row>
    <row r="120" spans="1:5" x14ac:dyDescent="0.35">
      <c r="A120" s="13" t="s">
        <v>115</v>
      </c>
      <c r="B120" s="13" t="s">
        <v>39</v>
      </c>
      <c r="C120" s="13">
        <v>1.2</v>
      </c>
      <c r="D120" s="17">
        <v>1500</v>
      </c>
      <c r="E120" s="17">
        <v>1800</v>
      </c>
    </row>
    <row r="121" spans="1:5" x14ac:dyDescent="0.35">
      <c r="A121" s="13" t="s">
        <v>115</v>
      </c>
      <c r="B121" s="13" t="s">
        <v>100</v>
      </c>
      <c r="C121" s="13">
        <v>1.65</v>
      </c>
      <c r="D121" s="17">
        <v>1400</v>
      </c>
      <c r="E121" s="17">
        <v>2310</v>
      </c>
    </row>
    <row r="122" spans="1:5" x14ac:dyDescent="0.35">
      <c r="A122" s="13" t="s">
        <v>115</v>
      </c>
      <c r="B122" s="13" t="s">
        <v>53</v>
      </c>
      <c r="C122" s="13">
        <v>1.55</v>
      </c>
      <c r="D122" s="17">
        <v>300</v>
      </c>
      <c r="E122" s="17">
        <v>465</v>
      </c>
    </row>
    <row r="123" spans="1:5" x14ac:dyDescent="0.35">
      <c r="A123" s="13" t="s">
        <v>115</v>
      </c>
      <c r="B123" s="13" t="s">
        <v>13</v>
      </c>
      <c r="C123" s="13">
        <v>3.2</v>
      </c>
      <c r="D123" s="17">
        <v>200</v>
      </c>
      <c r="E123" s="17">
        <v>640</v>
      </c>
    </row>
    <row r="124" spans="1:5" x14ac:dyDescent="0.35">
      <c r="A124" s="13" t="s">
        <v>115</v>
      </c>
      <c r="B124" s="13" t="s">
        <v>94</v>
      </c>
      <c r="C124" s="13">
        <v>3</v>
      </c>
      <c r="D124" s="17">
        <v>2800</v>
      </c>
      <c r="E124" s="17">
        <v>8400</v>
      </c>
    </row>
    <row r="125" spans="1:5" x14ac:dyDescent="0.35">
      <c r="A125" s="13" t="s">
        <v>115</v>
      </c>
      <c r="B125" s="13" t="s">
        <v>25</v>
      </c>
      <c r="C125" s="13">
        <v>4.2</v>
      </c>
      <c r="D125" s="17">
        <v>1000</v>
      </c>
      <c r="E125" s="17">
        <v>4200</v>
      </c>
    </row>
    <row r="126" spans="1:5" x14ac:dyDescent="0.35">
      <c r="A126" s="13" t="s">
        <v>107</v>
      </c>
      <c r="B126" s="13" t="s">
        <v>38</v>
      </c>
      <c r="C126" s="13">
        <v>0.8</v>
      </c>
      <c r="D126" s="17">
        <v>80</v>
      </c>
      <c r="E126" s="17">
        <v>64</v>
      </c>
    </row>
    <row r="127" spans="1:5" x14ac:dyDescent="0.35">
      <c r="A127" s="13" t="s">
        <v>107</v>
      </c>
      <c r="B127" s="13" t="s">
        <v>126</v>
      </c>
      <c r="C127" s="13">
        <v>0.2</v>
      </c>
      <c r="D127" s="17">
        <v>1800</v>
      </c>
      <c r="E127" s="17">
        <v>360</v>
      </c>
    </row>
    <row r="128" spans="1:5" x14ac:dyDescent="0.35">
      <c r="A128" s="13" t="s">
        <v>107</v>
      </c>
      <c r="B128" s="13" t="s">
        <v>39</v>
      </c>
      <c r="C128" s="13">
        <v>0.1</v>
      </c>
      <c r="D128" s="17">
        <v>1500</v>
      </c>
      <c r="E128" s="17">
        <v>150</v>
      </c>
    </row>
    <row r="129" spans="1:5" x14ac:dyDescent="0.35">
      <c r="A129" s="13" t="s">
        <v>107</v>
      </c>
      <c r="B129" s="13" t="s">
        <v>46</v>
      </c>
      <c r="C129" s="13">
        <v>0.15</v>
      </c>
      <c r="D129" s="17">
        <v>2700</v>
      </c>
      <c r="E129" s="17">
        <v>405</v>
      </c>
    </row>
    <row r="130" spans="1:5" x14ac:dyDescent="0.35">
      <c r="A130" s="13" t="s">
        <v>107</v>
      </c>
      <c r="B130" s="13" t="s">
        <v>60</v>
      </c>
      <c r="C130" s="13">
        <v>0.15</v>
      </c>
      <c r="D130" s="17">
        <v>2500</v>
      </c>
      <c r="E130" s="17">
        <v>375</v>
      </c>
    </row>
    <row r="131" spans="1:5" x14ac:dyDescent="0.35">
      <c r="A131" s="13" t="s">
        <v>107</v>
      </c>
      <c r="B131" s="13" t="s">
        <v>22</v>
      </c>
      <c r="C131" s="13">
        <v>0.7</v>
      </c>
      <c r="D131" s="17">
        <v>1600</v>
      </c>
      <c r="E131" s="17">
        <v>1120</v>
      </c>
    </row>
    <row r="132" spans="1:5" x14ac:dyDescent="0.35">
      <c r="A132" s="13" t="s">
        <v>107</v>
      </c>
      <c r="B132" s="13" t="s">
        <v>25</v>
      </c>
      <c r="C132" s="13">
        <v>0.8</v>
      </c>
      <c r="D132" s="17">
        <v>1000</v>
      </c>
      <c r="E132" s="17">
        <v>800</v>
      </c>
    </row>
    <row r="133" spans="1:5" x14ac:dyDescent="0.35">
      <c r="A133" s="13" t="s">
        <v>107</v>
      </c>
      <c r="B133" s="13" t="s">
        <v>51</v>
      </c>
      <c r="C133" s="13">
        <v>0.8</v>
      </c>
      <c r="D133" s="17">
        <v>500</v>
      </c>
      <c r="E133" s="17">
        <v>400</v>
      </c>
    </row>
    <row r="134" spans="1:5" x14ac:dyDescent="0.35">
      <c r="A134" s="13" t="s">
        <v>107</v>
      </c>
      <c r="B134" s="13" t="s">
        <v>125</v>
      </c>
      <c r="C134" s="13">
        <v>4.55</v>
      </c>
      <c r="D134" s="17">
        <v>800</v>
      </c>
      <c r="E134" s="17">
        <v>3640</v>
      </c>
    </row>
    <row r="135" spans="1:5" x14ac:dyDescent="0.35">
      <c r="A135" s="13" t="s">
        <v>107</v>
      </c>
      <c r="B135" s="13" t="s">
        <v>53</v>
      </c>
      <c r="C135" s="13">
        <v>0.2</v>
      </c>
      <c r="D135" s="17">
        <v>300</v>
      </c>
      <c r="E135" s="17">
        <v>60</v>
      </c>
    </row>
    <row r="136" spans="1:5" x14ac:dyDescent="0.35">
      <c r="A136" s="13" t="s">
        <v>87</v>
      </c>
      <c r="B136" s="13" t="s">
        <v>13</v>
      </c>
      <c r="C136" s="13">
        <v>0.25</v>
      </c>
      <c r="D136" s="17">
        <v>200</v>
      </c>
      <c r="E136" s="17">
        <v>50</v>
      </c>
    </row>
    <row r="137" spans="1:5" x14ac:dyDescent="0.35">
      <c r="A137" s="13" t="s">
        <v>87</v>
      </c>
      <c r="B137" s="13" t="s">
        <v>22</v>
      </c>
      <c r="C137" s="13">
        <v>0.05</v>
      </c>
      <c r="D137" s="17">
        <v>1600</v>
      </c>
      <c r="E137" s="17">
        <v>80</v>
      </c>
    </row>
    <row r="138" spans="1:5" x14ac:dyDescent="0.35">
      <c r="A138" s="13" t="s">
        <v>87</v>
      </c>
      <c r="B138" s="13" t="s">
        <v>29</v>
      </c>
      <c r="C138" s="13">
        <v>0.35</v>
      </c>
      <c r="D138" s="17">
        <v>1600</v>
      </c>
      <c r="E138" s="17">
        <v>560</v>
      </c>
    </row>
    <row r="139" spans="1:5" x14ac:dyDescent="0.35">
      <c r="A139" s="13" t="s">
        <v>87</v>
      </c>
      <c r="B139" s="13" t="s">
        <v>26</v>
      </c>
      <c r="C139" s="13">
        <v>0.5</v>
      </c>
      <c r="D139" s="17">
        <v>1000</v>
      </c>
      <c r="E139" s="17">
        <v>500</v>
      </c>
    </row>
    <row r="140" spans="1:5" x14ac:dyDescent="0.35">
      <c r="A140" s="13" t="s">
        <v>87</v>
      </c>
      <c r="B140" s="13" t="s">
        <v>46</v>
      </c>
      <c r="C140" s="13">
        <v>0.35</v>
      </c>
      <c r="D140" s="17">
        <v>2700</v>
      </c>
      <c r="E140" s="17">
        <v>945</v>
      </c>
    </row>
    <row r="141" spans="1:5" x14ac:dyDescent="0.35">
      <c r="A141" s="13" t="s">
        <v>87</v>
      </c>
      <c r="B141" s="13" t="s">
        <v>51</v>
      </c>
      <c r="C141" s="13">
        <v>1.65</v>
      </c>
      <c r="D141" s="17">
        <v>500</v>
      </c>
      <c r="E141" s="17">
        <v>825</v>
      </c>
    </row>
    <row r="142" spans="1:5" x14ac:dyDescent="0.35">
      <c r="A142" s="13" t="s">
        <v>87</v>
      </c>
      <c r="B142" s="13" t="s">
        <v>25</v>
      </c>
      <c r="C142" s="13">
        <v>1.25</v>
      </c>
      <c r="D142" s="17">
        <v>1000</v>
      </c>
      <c r="E142" s="17">
        <v>1250</v>
      </c>
    </row>
    <row r="143" spans="1:5" x14ac:dyDescent="0.35">
      <c r="A143" s="13" t="s">
        <v>87</v>
      </c>
      <c r="B143" s="13" t="s">
        <v>53</v>
      </c>
      <c r="C143" s="13">
        <v>0.3</v>
      </c>
      <c r="D143" s="17">
        <v>300</v>
      </c>
      <c r="E143" s="17">
        <v>90</v>
      </c>
    </row>
    <row r="144" spans="1:5" x14ac:dyDescent="0.35">
      <c r="A144" s="13" t="s">
        <v>87</v>
      </c>
      <c r="B144" s="13" t="s">
        <v>94</v>
      </c>
      <c r="C144" s="13">
        <v>0.7</v>
      </c>
      <c r="D144" s="17">
        <v>2800</v>
      </c>
      <c r="E144" s="17">
        <v>1960</v>
      </c>
    </row>
    <row r="145" spans="1:5" x14ac:dyDescent="0.35">
      <c r="A145" s="13" t="s">
        <v>87</v>
      </c>
      <c r="B145" s="13" t="s">
        <v>60</v>
      </c>
      <c r="C145" s="13">
        <v>0.3</v>
      </c>
      <c r="D145" s="17">
        <v>2500</v>
      </c>
      <c r="E145" s="17">
        <v>750</v>
      </c>
    </row>
    <row r="146" spans="1:5" x14ac:dyDescent="0.35">
      <c r="A146" s="13" t="s">
        <v>87</v>
      </c>
      <c r="B146" s="13" t="s">
        <v>39</v>
      </c>
      <c r="C146" s="13">
        <v>0.95</v>
      </c>
      <c r="D146" s="17">
        <v>1500</v>
      </c>
      <c r="E146" s="17">
        <v>1425</v>
      </c>
    </row>
    <row r="147" spans="1:5" x14ac:dyDescent="0.35">
      <c r="A147" s="13" t="s">
        <v>102</v>
      </c>
      <c r="B147" s="13" t="s">
        <v>26</v>
      </c>
      <c r="C147" s="13">
        <v>0.55000000000000004</v>
      </c>
      <c r="D147" s="17">
        <v>1000</v>
      </c>
      <c r="E147" s="17">
        <v>550</v>
      </c>
    </row>
    <row r="148" spans="1:5" x14ac:dyDescent="0.35">
      <c r="A148" s="13" t="s">
        <v>102</v>
      </c>
      <c r="B148" s="13" t="s">
        <v>46</v>
      </c>
      <c r="C148" s="13">
        <v>0.2</v>
      </c>
      <c r="D148" s="17">
        <v>2700</v>
      </c>
      <c r="E148" s="17">
        <v>540</v>
      </c>
    </row>
    <row r="149" spans="1:5" x14ac:dyDescent="0.35">
      <c r="A149" s="13" t="s">
        <v>102</v>
      </c>
      <c r="B149" s="13" t="s">
        <v>22</v>
      </c>
      <c r="C149" s="13">
        <v>0.65</v>
      </c>
      <c r="D149" s="17">
        <v>1600</v>
      </c>
      <c r="E149" s="17">
        <v>1040</v>
      </c>
    </row>
    <row r="150" spans="1:5" x14ac:dyDescent="0.35">
      <c r="A150" s="13" t="s">
        <v>102</v>
      </c>
      <c r="B150" s="13" t="s">
        <v>51</v>
      </c>
      <c r="C150" s="13">
        <v>1.05</v>
      </c>
      <c r="D150" s="17">
        <v>500</v>
      </c>
      <c r="E150" s="17">
        <v>525</v>
      </c>
    </row>
    <row r="151" spans="1:5" x14ac:dyDescent="0.35">
      <c r="A151" s="13" t="s">
        <v>102</v>
      </c>
      <c r="B151" s="13" t="s">
        <v>41</v>
      </c>
      <c r="C151" s="13">
        <v>0.95</v>
      </c>
      <c r="D151" s="17">
        <v>1000</v>
      </c>
      <c r="E151" s="17">
        <v>950</v>
      </c>
    </row>
    <row r="152" spans="1:5" x14ac:dyDescent="0.35">
      <c r="A152" s="13" t="s">
        <v>86</v>
      </c>
      <c r="B152" s="13" t="s">
        <v>18</v>
      </c>
      <c r="C152" s="13">
        <v>1.45</v>
      </c>
      <c r="D152" s="17">
        <v>150</v>
      </c>
      <c r="E152" s="17">
        <v>218</v>
      </c>
    </row>
    <row r="153" spans="1:5" x14ac:dyDescent="0.35">
      <c r="A153" s="13" t="s">
        <v>86</v>
      </c>
      <c r="B153" s="13" t="s">
        <v>25</v>
      </c>
      <c r="C153" s="13">
        <v>1.25</v>
      </c>
      <c r="D153" s="17">
        <v>1000</v>
      </c>
      <c r="E153" s="17">
        <v>1250</v>
      </c>
    </row>
    <row r="154" spans="1:5" x14ac:dyDescent="0.35">
      <c r="A154" s="13" t="s">
        <v>86</v>
      </c>
      <c r="B154" s="13" t="s">
        <v>51</v>
      </c>
      <c r="C154" s="13">
        <v>0.9</v>
      </c>
      <c r="D154" s="17">
        <v>500</v>
      </c>
      <c r="E154" s="17">
        <v>450</v>
      </c>
    </row>
    <row r="155" spans="1:5" x14ac:dyDescent="0.35">
      <c r="A155" s="13" t="s">
        <v>86</v>
      </c>
      <c r="B155" s="13" t="s">
        <v>53</v>
      </c>
      <c r="C155" s="13">
        <v>0.35</v>
      </c>
      <c r="D155" s="17">
        <v>300</v>
      </c>
      <c r="E155" s="17">
        <v>105</v>
      </c>
    </row>
    <row r="156" spans="1:5" x14ac:dyDescent="0.35">
      <c r="A156" s="13" t="s">
        <v>86</v>
      </c>
      <c r="B156" s="13" t="s">
        <v>39</v>
      </c>
      <c r="C156" s="13">
        <v>0.9</v>
      </c>
      <c r="D156" s="17">
        <v>1500</v>
      </c>
      <c r="E156" s="17">
        <v>1350</v>
      </c>
    </row>
    <row r="157" spans="1:5" x14ac:dyDescent="0.35">
      <c r="A157" s="13" t="s">
        <v>108</v>
      </c>
      <c r="B157" s="13" t="s">
        <v>41</v>
      </c>
      <c r="C157" s="13">
        <v>2.35</v>
      </c>
      <c r="D157" s="17">
        <v>1000</v>
      </c>
      <c r="E157" s="17">
        <v>2350</v>
      </c>
    </row>
    <row r="158" spans="1:5" x14ac:dyDescent="0.35">
      <c r="A158" s="13" t="s">
        <v>108</v>
      </c>
      <c r="B158" s="13" t="s">
        <v>60</v>
      </c>
      <c r="C158" s="13">
        <v>0.1</v>
      </c>
      <c r="D158" s="17">
        <v>2500</v>
      </c>
      <c r="E158" s="17">
        <v>250</v>
      </c>
    </row>
    <row r="159" spans="1:5" x14ac:dyDescent="0.35">
      <c r="A159" s="13" t="s">
        <v>108</v>
      </c>
      <c r="B159" s="13" t="s">
        <v>22</v>
      </c>
      <c r="C159" s="13">
        <v>0.1</v>
      </c>
      <c r="D159" s="17">
        <v>1600</v>
      </c>
      <c r="E159" s="17">
        <v>160</v>
      </c>
    </row>
    <row r="160" spans="1:5" x14ac:dyDescent="0.35">
      <c r="A160" s="13" t="s">
        <v>108</v>
      </c>
      <c r="B160" s="13" t="s">
        <v>38</v>
      </c>
      <c r="C160" s="13">
        <v>1</v>
      </c>
      <c r="D160" s="17">
        <v>80</v>
      </c>
      <c r="E160" s="17">
        <v>80</v>
      </c>
    </row>
    <row r="161" spans="1:5" x14ac:dyDescent="0.35">
      <c r="A161" s="13" t="s">
        <v>108</v>
      </c>
      <c r="B161" s="13" t="s">
        <v>53</v>
      </c>
      <c r="C161" s="13">
        <v>0.25</v>
      </c>
      <c r="D161" s="17">
        <v>300</v>
      </c>
      <c r="E161" s="17">
        <v>75</v>
      </c>
    </row>
    <row r="162" spans="1:5" x14ac:dyDescent="0.35">
      <c r="A162" s="13" t="s">
        <v>108</v>
      </c>
      <c r="B162" s="13" t="s">
        <v>94</v>
      </c>
      <c r="C162" s="13">
        <v>1.4</v>
      </c>
      <c r="D162" s="17">
        <v>2800</v>
      </c>
      <c r="E162" s="17">
        <v>3920</v>
      </c>
    </row>
    <row r="163" spans="1:5" x14ac:dyDescent="0.35">
      <c r="A163" s="13" t="s">
        <v>110</v>
      </c>
      <c r="B163" s="13" t="s">
        <v>22</v>
      </c>
      <c r="C163" s="13">
        <v>1.5</v>
      </c>
      <c r="D163" s="17">
        <v>1600</v>
      </c>
      <c r="E163" s="17">
        <v>2400</v>
      </c>
    </row>
    <row r="164" spans="1:5" x14ac:dyDescent="0.35">
      <c r="A164" s="13" t="s">
        <v>110</v>
      </c>
      <c r="B164" s="13" t="s">
        <v>25</v>
      </c>
      <c r="C164" s="13">
        <v>0.3</v>
      </c>
      <c r="D164" s="17">
        <v>1000</v>
      </c>
      <c r="E164" s="17">
        <v>300</v>
      </c>
    </row>
    <row r="165" spans="1:5" x14ac:dyDescent="0.35">
      <c r="A165" s="13" t="s">
        <v>110</v>
      </c>
      <c r="B165" s="13" t="s">
        <v>26</v>
      </c>
      <c r="C165" s="13">
        <v>1.25</v>
      </c>
      <c r="D165" s="17">
        <v>1000</v>
      </c>
      <c r="E165" s="17">
        <v>1250</v>
      </c>
    </row>
    <row r="166" spans="1:5" x14ac:dyDescent="0.35">
      <c r="A166" s="13" t="s">
        <v>110</v>
      </c>
      <c r="B166" s="13" t="s">
        <v>18</v>
      </c>
      <c r="C166" s="13">
        <v>0.35</v>
      </c>
      <c r="D166" s="17">
        <v>150</v>
      </c>
      <c r="E166" s="17">
        <v>53</v>
      </c>
    </row>
    <row r="167" spans="1:5" x14ac:dyDescent="0.35">
      <c r="A167" s="13" t="s">
        <v>110</v>
      </c>
      <c r="B167" s="13" t="s">
        <v>51</v>
      </c>
      <c r="C167" s="13">
        <v>0.7</v>
      </c>
      <c r="D167" s="17">
        <v>500</v>
      </c>
      <c r="E167" s="17">
        <v>350</v>
      </c>
    </row>
    <row r="168" spans="1:5" x14ac:dyDescent="0.35">
      <c r="A168" s="13" t="s">
        <v>110</v>
      </c>
      <c r="B168" s="13" t="s">
        <v>39</v>
      </c>
      <c r="C168" s="13">
        <v>0.4</v>
      </c>
      <c r="D168" s="17">
        <v>1500</v>
      </c>
      <c r="E168" s="17">
        <v>600</v>
      </c>
    </row>
    <row r="169" spans="1:5" x14ac:dyDescent="0.35">
      <c r="A169" s="13" t="s">
        <v>110</v>
      </c>
      <c r="B169" s="13" t="s">
        <v>53</v>
      </c>
      <c r="C169" s="13">
        <v>0.4</v>
      </c>
      <c r="D169" s="17">
        <v>300</v>
      </c>
      <c r="E169" s="17">
        <v>120</v>
      </c>
    </row>
    <row r="170" spans="1:5" x14ac:dyDescent="0.35">
      <c r="A170" s="13" t="s">
        <v>110</v>
      </c>
      <c r="B170" s="13" t="s">
        <v>41</v>
      </c>
      <c r="C170" s="13">
        <v>2.4</v>
      </c>
      <c r="D170" s="17">
        <v>1000</v>
      </c>
      <c r="E170" s="17">
        <v>2400</v>
      </c>
    </row>
    <row r="171" spans="1:5" x14ac:dyDescent="0.35">
      <c r="A171" s="13" t="s">
        <v>90</v>
      </c>
      <c r="B171" s="13" t="s">
        <v>53</v>
      </c>
      <c r="C171" s="13">
        <v>0.05</v>
      </c>
      <c r="D171" s="17">
        <v>300</v>
      </c>
      <c r="E171" s="17">
        <v>15</v>
      </c>
    </row>
    <row r="172" spans="1:5" x14ac:dyDescent="0.35">
      <c r="A172" s="13" t="s">
        <v>90</v>
      </c>
      <c r="B172" s="13" t="s">
        <v>94</v>
      </c>
      <c r="C172" s="13">
        <v>1.2</v>
      </c>
      <c r="D172" s="17">
        <v>2800</v>
      </c>
      <c r="E172" s="17">
        <v>3360</v>
      </c>
    </row>
    <row r="173" spans="1:5" x14ac:dyDescent="0.35">
      <c r="A173" s="13" t="s">
        <v>90</v>
      </c>
      <c r="B173" s="13" t="s">
        <v>60</v>
      </c>
      <c r="C173" s="13">
        <v>0.4</v>
      </c>
      <c r="D173" s="17">
        <v>2500</v>
      </c>
      <c r="E173" s="17">
        <v>1000</v>
      </c>
    </row>
    <row r="174" spans="1:5" x14ac:dyDescent="0.35">
      <c r="A174" s="13" t="s">
        <v>117</v>
      </c>
      <c r="B174" s="13" t="s">
        <v>15</v>
      </c>
      <c r="C174" s="13">
        <v>2</v>
      </c>
      <c r="D174" s="17">
        <v>2500</v>
      </c>
      <c r="E174" s="17">
        <v>5000</v>
      </c>
    </row>
    <row r="175" spans="1:5" x14ac:dyDescent="0.35">
      <c r="A175" s="13" t="s">
        <v>117</v>
      </c>
      <c r="B175" s="13" t="s">
        <v>39</v>
      </c>
      <c r="C175" s="13">
        <v>0.3</v>
      </c>
      <c r="D175" s="17">
        <v>1500</v>
      </c>
      <c r="E175" s="17">
        <v>450</v>
      </c>
    </row>
    <row r="176" spans="1:5" x14ac:dyDescent="0.35">
      <c r="A176" s="13" t="s">
        <v>117</v>
      </c>
      <c r="B176" s="13" t="s">
        <v>13</v>
      </c>
      <c r="C176" s="13">
        <v>0.3</v>
      </c>
      <c r="D176" s="17">
        <v>200</v>
      </c>
      <c r="E176" s="17">
        <v>60</v>
      </c>
    </row>
    <row r="177" spans="1:5" x14ac:dyDescent="0.35">
      <c r="A177" s="13" t="s">
        <v>117</v>
      </c>
      <c r="B177" s="13" t="s">
        <v>60</v>
      </c>
      <c r="C177" s="13">
        <v>0.25</v>
      </c>
      <c r="D177" s="17">
        <v>2500</v>
      </c>
      <c r="E177" s="17">
        <v>625</v>
      </c>
    </row>
    <row r="178" spans="1:5" x14ac:dyDescent="0.35">
      <c r="A178" s="13" t="s">
        <v>117</v>
      </c>
      <c r="B178" s="13" t="s">
        <v>53</v>
      </c>
      <c r="C178" s="13">
        <v>0.6</v>
      </c>
      <c r="D178" s="17">
        <v>300</v>
      </c>
      <c r="E178" s="17">
        <v>180</v>
      </c>
    </row>
    <row r="179" spans="1:5" x14ac:dyDescent="0.35">
      <c r="A179" s="13" t="s">
        <v>117</v>
      </c>
      <c r="B179" s="13" t="s">
        <v>29</v>
      </c>
      <c r="C179" s="13">
        <v>0.1</v>
      </c>
      <c r="D179" s="17">
        <v>1600</v>
      </c>
      <c r="E179" s="17">
        <v>160</v>
      </c>
    </row>
    <row r="180" spans="1:5" x14ac:dyDescent="0.35">
      <c r="A180" s="13" t="s">
        <v>117</v>
      </c>
      <c r="B180" s="13" t="s">
        <v>25</v>
      </c>
      <c r="C180" s="13">
        <v>1.85</v>
      </c>
      <c r="D180" s="17">
        <v>1000</v>
      </c>
      <c r="E180" s="17">
        <v>1850</v>
      </c>
    </row>
    <row r="181" spans="1:5" x14ac:dyDescent="0.35">
      <c r="A181" s="13" t="s">
        <v>117</v>
      </c>
      <c r="B181" s="13" t="s">
        <v>18</v>
      </c>
      <c r="C181" s="13">
        <v>0.75</v>
      </c>
      <c r="D181" s="17">
        <v>150</v>
      </c>
      <c r="E181" s="17">
        <v>113</v>
      </c>
    </row>
    <row r="182" spans="1:5" x14ac:dyDescent="0.35">
      <c r="A182" s="13" t="s">
        <v>117</v>
      </c>
      <c r="B182" s="13" t="s">
        <v>41</v>
      </c>
      <c r="C182" s="13">
        <v>5.45</v>
      </c>
      <c r="D182" s="17">
        <v>1000</v>
      </c>
      <c r="E182" s="17">
        <v>5450</v>
      </c>
    </row>
    <row r="183" spans="1:5" x14ac:dyDescent="0.35">
      <c r="A183" s="13" t="s">
        <v>117</v>
      </c>
      <c r="B183" s="13" t="s">
        <v>94</v>
      </c>
      <c r="C183" s="13">
        <v>1.75</v>
      </c>
      <c r="D183" s="17">
        <v>2800</v>
      </c>
      <c r="E183" s="17">
        <v>4900</v>
      </c>
    </row>
    <row r="184" spans="1:5" x14ac:dyDescent="0.35">
      <c r="A184" s="13" t="s">
        <v>92</v>
      </c>
      <c r="B184" s="13" t="s">
        <v>42</v>
      </c>
      <c r="C184" s="13">
        <v>8.75</v>
      </c>
      <c r="D184" s="17">
        <v>3500</v>
      </c>
      <c r="E184" s="17">
        <v>30625</v>
      </c>
    </row>
    <row r="185" spans="1:5" x14ac:dyDescent="0.35">
      <c r="A185" s="13" t="s">
        <v>92</v>
      </c>
      <c r="B185" s="13" t="s">
        <v>15</v>
      </c>
      <c r="C185" s="13">
        <v>1.25</v>
      </c>
      <c r="D185" s="17">
        <v>2500</v>
      </c>
      <c r="E185" s="17">
        <v>3125</v>
      </c>
    </row>
    <row r="186" spans="1:5" x14ac:dyDescent="0.35">
      <c r="A186" s="13" t="s">
        <v>92</v>
      </c>
      <c r="B186" s="13" t="s">
        <v>46</v>
      </c>
      <c r="C186" s="13">
        <v>0.05</v>
      </c>
      <c r="D186" s="17">
        <v>2700</v>
      </c>
      <c r="E186" s="17">
        <v>135</v>
      </c>
    </row>
    <row r="187" spans="1:5" x14ac:dyDescent="0.35">
      <c r="A187" s="13" t="s">
        <v>92</v>
      </c>
      <c r="B187" s="13" t="s">
        <v>22</v>
      </c>
      <c r="C187" s="13">
        <v>0.05</v>
      </c>
      <c r="D187" s="17">
        <v>1600</v>
      </c>
      <c r="E187" s="17">
        <v>80</v>
      </c>
    </row>
    <row r="188" spans="1:5" x14ac:dyDescent="0.35">
      <c r="A188" s="13" t="s">
        <v>92</v>
      </c>
      <c r="B188" s="13" t="s">
        <v>127</v>
      </c>
      <c r="C188" s="13">
        <v>0.05</v>
      </c>
      <c r="D188" s="17">
        <v>8000</v>
      </c>
      <c r="E188" s="17">
        <v>400</v>
      </c>
    </row>
    <row r="189" spans="1:5" x14ac:dyDescent="0.35">
      <c r="A189" s="13" t="s">
        <v>92</v>
      </c>
      <c r="B189" s="13" t="s">
        <v>25</v>
      </c>
      <c r="C189" s="13">
        <v>1</v>
      </c>
      <c r="D189" s="17">
        <v>1000</v>
      </c>
      <c r="E189" s="17">
        <v>1000</v>
      </c>
    </row>
    <row r="190" spans="1:5" x14ac:dyDescent="0.35">
      <c r="A190" s="13" t="s">
        <v>92</v>
      </c>
      <c r="B190" s="13" t="s">
        <v>41</v>
      </c>
      <c r="C190" s="13">
        <v>1.8</v>
      </c>
      <c r="D190" s="17">
        <v>1000</v>
      </c>
      <c r="E190" s="17">
        <v>1800</v>
      </c>
    </row>
    <row r="191" spans="1:5" x14ac:dyDescent="0.35">
      <c r="A191" s="13" t="s">
        <v>92</v>
      </c>
      <c r="B191" s="13" t="s">
        <v>53</v>
      </c>
      <c r="C191" s="13">
        <v>0.1</v>
      </c>
      <c r="D191" s="17">
        <v>300</v>
      </c>
      <c r="E191" s="17">
        <v>30</v>
      </c>
    </row>
    <row r="192" spans="1:5" x14ac:dyDescent="0.35">
      <c r="A192" s="13" t="s">
        <v>92</v>
      </c>
      <c r="B192" s="13" t="s">
        <v>54</v>
      </c>
      <c r="C192" s="13">
        <v>0.05</v>
      </c>
      <c r="D192" s="17">
        <v>800</v>
      </c>
      <c r="E192" s="17">
        <v>40</v>
      </c>
    </row>
    <row r="193" spans="1:5" x14ac:dyDescent="0.35">
      <c r="A193" s="13" t="s">
        <v>112</v>
      </c>
      <c r="B193" s="13" t="s">
        <v>39</v>
      </c>
      <c r="C193" s="13">
        <v>0.25</v>
      </c>
      <c r="D193" s="17">
        <v>1500</v>
      </c>
      <c r="E193" s="17">
        <v>375</v>
      </c>
    </row>
    <row r="194" spans="1:5" x14ac:dyDescent="0.35">
      <c r="A194" s="13" t="s">
        <v>112</v>
      </c>
      <c r="B194" s="13" t="s">
        <v>18</v>
      </c>
      <c r="C194" s="13">
        <v>0.75</v>
      </c>
      <c r="D194" s="3">
        <v>150</v>
      </c>
      <c r="E194" s="17">
        <v>112.5</v>
      </c>
    </row>
    <row r="195" spans="1:5" x14ac:dyDescent="0.35">
      <c r="A195" s="13" t="s">
        <v>112</v>
      </c>
      <c r="B195" s="13" t="s">
        <v>60</v>
      </c>
      <c r="C195" s="13">
        <v>0.15</v>
      </c>
      <c r="D195" s="17">
        <v>2500</v>
      </c>
      <c r="E195" s="17">
        <v>375</v>
      </c>
    </row>
    <row r="196" spans="1:5" x14ac:dyDescent="0.35">
      <c r="A196" s="13" t="s">
        <v>112</v>
      </c>
      <c r="B196" s="13" t="s">
        <v>25</v>
      </c>
      <c r="C196" s="13">
        <v>1.25</v>
      </c>
      <c r="D196" s="17">
        <v>1000</v>
      </c>
      <c r="E196" s="17">
        <v>1250</v>
      </c>
    </row>
    <row r="197" spans="1:5" x14ac:dyDescent="0.35">
      <c r="A197" s="13" t="s">
        <v>112</v>
      </c>
      <c r="B197" s="13" t="s">
        <v>53</v>
      </c>
      <c r="C197" s="13">
        <v>0.1</v>
      </c>
      <c r="D197" s="17">
        <v>300</v>
      </c>
      <c r="E197" s="17">
        <v>30</v>
      </c>
    </row>
    <row r="198" spans="1:5" x14ac:dyDescent="0.35">
      <c r="A198" s="13" t="s">
        <v>112</v>
      </c>
      <c r="B198" s="13" t="s">
        <v>51</v>
      </c>
      <c r="C198" s="13">
        <v>0.6</v>
      </c>
      <c r="D198" s="17">
        <v>500</v>
      </c>
      <c r="E198" s="17">
        <v>300</v>
      </c>
    </row>
    <row r="199" spans="1:5" x14ac:dyDescent="0.35">
      <c r="A199" s="13" t="s">
        <v>112</v>
      </c>
      <c r="B199" s="13" t="s">
        <v>41</v>
      </c>
      <c r="C199" s="13">
        <v>4.45</v>
      </c>
      <c r="D199" s="17">
        <v>1000</v>
      </c>
      <c r="E199" s="17">
        <v>4450</v>
      </c>
    </row>
    <row r="200" spans="1:5" x14ac:dyDescent="0.35">
      <c r="A200" s="13" t="s">
        <v>112</v>
      </c>
      <c r="B200" s="13" t="s">
        <v>94</v>
      </c>
      <c r="C200" s="13">
        <v>0.6</v>
      </c>
      <c r="D200" s="17">
        <v>2800</v>
      </c>
      <c r="E200" s="17">
        <v>1680</v>
      </c>
    </row>
    <row r="201" spans="1:5" x14ac:dyDescent="0.35">
      <c r="A201" s="13" t="s">
        <v>106</v>
      </c>
      <c r="B201" s="13" t="s">
        <v>60</v>
      </c>
      <c r="C201" s="13">
        <v>0.15</v>
      </c>
      <c r="D201" s="17">
        <v>2500</v>
      </c>
      <c r="E201" s="17">
        <v>375</v>
      </c>
    </row>
    <row r="202" spans="1:5" x14ac:dyDescent="0.35">
      <c r="A202" s="13" t="s">
        <v>106</v>
      </c>
      <c r="B202" s="13" t="s">
        <v>41</v>
      </c>
      <c r="C202" s="13">
        <v>4.75</v>
      </c>
      <c r="D202" s="17">
        <v>1000</v>
      </c>
      <c r="E202" s="17">
        <v>4750</v>
      </c>
    </row>
    <row r="203" spans="1:5" x14ac:dyDescent="0.35">
      <c r="A203" s="13" t="s">
        <v>106</v>
      </c>
      <c r="B203" s="13" t="s">
        <v>39</v>
      </c>
      <c r="C203" s="13">
        <v>0.15</v>
      </c>
      <c r="D203" s="17">
        <v>1500</v>
      </c>
      <c r="E203" s="17">
        <v>225</v>
      </c>
    </row>
    <row r="204" spans="1:5" x14ac:dyDescent="0.35">
      <c r="A204" s="13" t="s">
        <v>106</v>
      </c>
      <c r="B204" s="13" t="s">
        <v>94</v>
      </c>
      <c r="C204" s="13">
        <v>0.55000000000000004</v>
      </c>
      <c r="D204" s="17">
        <v>2800</v>
      </c>
      <c r="E204" s="17">
        <v>1540</v>
      </c>
    </row>
    <row r="205" spans="1:5" x14ac:dyDescent="0.35">
      <c r="A205" s="13" t="s">
        <v>106</v>
      </c>
      <c r="B205" s="13" t="s">
        <v>54</v>
      </c>
      <c r="C205" s="13">
        <v>0.1</v>
      </c>
      <c r="D205" s="17">
        <v>800</v>
      </c>
      <c r="E205" s="17">
        <v>80</v>
      </c>
    </row>
    <row r="206" spans="1:5" x14ac:dyDescent="0.35">
      <c r="A206" s="13" t="s">
        <v>106</v>
      </c>
      <c r="B206" s="13" t="s">
        <v>25</v>
      </c>
      <c r="C206" s="13">
        <v>0.55000000000000004</v>
      </c>
      <c r="D206" s="17">
        <v>1000</v>
      </c>
      <c r="E206" s="17">
        <v>550</v>
      </c>
    </row>
    <row r="207" spans="1:5" x14ac:dyDescent="0.35">
      <c r="A207" s="13" t="s">
        <v>106</v>
      </c>
      <c r="B207" s="13" t="s">
        <v>13</v>
      </c>
      <c r="C207" s="13">
        <v>0.4</v>
      </c>
      <c r="D207" s="3">
        <v>200</v>
      </c>
      <c r="E207" s="17">
        <v>80</v>
      </c>
    </row>
    <row r="208" spans="1:5" x14ac:dyDescent="0.35">
      <c r="A208" s="13" t="s">
        <v>106</v>
      </c>
      <c r="B208" s="13" t="s">
        <v>53</v>
      </c>
      <c r="C208" s="13">
        <v>0.7</v>
      </c>
      <c r="D208" s="17">
        <v>300</v>
      </c>
      <c r="E208" s="17">
        <v>210</v>
      </c>
    </row>
    <row r="209" spans="1:5" x14ac:dyDescent="0.35">
      <c r="A209" s="13" t="s">
        <v>106</v>
      </c>
      <c r="B209" s="13" t="s">
        <v>51</v>
      </c>
      <c r="C209" s="13">
        <v>1.75</v>
      </c>
      <c r="D209" s="17">
        <v>500</v>
      </c>
      <c r="E209" s="17">
        <v>875</v>
      </c>
    </row>
    <row r="210" spans="1:5" x14ac:dyDescent="0.35">
      <c r="A210" s="13" t="s">
        <v>131</v>
      </c>
      <c r="B210" s="13" t="s">
        <v>26</v>
      </c>
      <c r="C210" s="13">
        <v>3.55</v>
      </c>
      <c r="D210" s="18">
        <v>1000</v>
      </c>
      <c r="E210" s="17">
        <v>3550</v>
      </c>
    </row>
    <row r="211" spans="1:5" x14ac:dyDescent="0.35">
      <c r="A211" s="13" t="s">
        <v>130</v>
      </c>
      <c r="B211" s="13" t="s">
        <v>53</v>
      </c>
      <c r="C211" s="13">
        <v>3</v>
      </c>
      <c r="D211" s="3">
        <v>300</v>
      </c>
      <c r="E211" s="17">
        <v>900</v>
      </c>
    </row>
    <row r="212" spans="1:5" x14ac:dyDescent="0.35">
      <c r="A212" s="13" t="s">
        <v>122</v>
      </c>
      <c r="B212" s="13" t="s">
        <v>25</v>
      </c>
      <c r="C212" s="13">
        <v>1.85</v>
      </c>
      <c r="D212" s="17">
        <v>1000</v>
      </c>
      <c r="E212" s="17">
        <v>1850</v>
      </c>
    </row>
    <row r="213" spans="1:5" x14ac:dyDescent="0.35">
      <c r="A213" s="13" t="s">
        <v>122</v>
      </c>
      <c r="B213" s="13" t="s">
        <v>13</v>
      </c>
      <c r="C213" s="13">
        <v>1.3</v>
      </c>
      <c r="D213" s="17">
        <v>200</v>
      </c>
      <c r="E213" s="17">
        <v>260</v>
      </c>
    </row>
    <row r="214" spans="1:5" x14ac:dyDescent="0.35">
      <c r="A214" s="13" t="s">
        <v>122</v>
      </c>
      <c r="B214" s="13" t="s">
        <v>51</v>
      </c>
      <c r="C214" s="13">
        <v>1.5</v>
      </c>
      <c r="D214" s="17">
        <v>500</v>
      </c>
      <c r="E214" s="17">
        <v>750</v>
      </c>
    </row>
    <row r="215" spans="1:5" x14ac:dyDescent="0.35">
      <c r="A215" s="13" t="s">
        <v>122</v>
      </c>
      <c r="B215" s="13" t="s">
        <v>94</v>
      </c>
      <c r="C215" s="13">
        <v>1.1000000000000001</v>
      </c>
      <c r="D215" s="17">
        <v>2800</v>
      </c>
      <c r="E215" s="17">
        <v>3080</v>
      </c>
    </row>
    <row r="216" spans="1:5" x14ac:dyDescent="0.35">
      <c r="A216" s="13" t="s">
        <v>122</v>
      </c>
      <c r="B216" s="13" t="s">
        <v>53</v>
      </c>
      <c r="C216" s="13">
        <v>1.05</v>
      </c>
      <c r="D216" s="17">
        <v>300</v>
      </c>
      <c r="E216" s="17">
        <v>315</v>
      </c>
    </row>
    <row r="217" spans="1:5" x14ac:dyDescent="0.35">
      <c r="A217" s="13" t="s">
        <v>122</v>
      </c>
      <c r="B217" s="13" t="s">
        <v>46</v>
      </c>
      <c r="C217" s="13">
        <v>0.15</v>
      </c>
      <c r="D217" s="17">
        <v>2700</v>
      </c>
      <c r="E217" s="17">
        <v>405</v>
      </c>
    </row>
    <row r="218" spans="1:5" x14ac:dyDescent="0.35">
      <c r="A218" s="13" t="s">
        <v>122</v>
      </c>
      <c r="B218" s="13" t="s">
        <v>39</v>
      </c>
      <c r="C218" s="13">
        <v>0.45</v>
      </c>
      <c r="D218" s="17">
        <v>1500</v>
      </c>
      <c r="E218" s="17">
        <v>675</v>
      </c>
    </row>
    <row r="219" spans="1:5" x14ac:dyDescent="0.35">
      <c r="A219" s="13" t="s">
        <v>122</v>
      </c>
      <c r="B219" s="13" t="s">
        <v>38</v>
      </c>
      <c r="C219" s="13">
        <v>0.95</v>
      </c>
      <c r="D219" s="17">
        <v>80</v>
      </c>
      <c r="E219" s="17">
        <v>76</v>
      </c>
    </row>
    <row r="220" spans="1:5" x14ac:dyDescent="0.35">
      <c r="A220" s="13" t="s">
        <v>122</v>
      </c>
      <c r="B220" s="13" t="s">
        <v>22</v>
      </c>
      <c r="C220" s="13">
        <v>1.2</v>
      </c>
      <c r="D220" s="17">
        <v>1600</v>
      </c>
      <c r="E220" s="17">
        <v>1920</v>
      </c>
    </row>
    <row r="221" spans="1:5" x14ac:dyDescent="0.35">
      <c r="A221" s="13" t="s">
        <v>122</v>
      </c>
      <c r="B221" s="13" t="s">
        <v>41</v>
      </c>
      <c r="C221" s="13">
        <v>3.05</v>
      </c>
      <c r="D221" s="17">
        <v>1000</v>
      </c>
      <c r="E221" s="17">
        <v>3050</v>
      </c>
    </row>
    <row r="222" spans="1:5" x14ac:dyDescent="0.35">
      <c r="A222" s="13" t="s">
        <v>121</v>
      </c>
      <c r="B222" s="13" t="s">
        <v>25</v>
      </c>
      <c r="C222" s="13">
        <v>1.1499999999999999</v>
      </c>
      <c r="D222" s="17">
        <v>1000</v>
      </c>
      <c r="E222" s="17">
        <v>1150</v>
      </c>
    </row>
    <row r="223" spans="1:5" x14ac:dyDescent="0.35">
      <c r="A223" s="13" t="s">
        <v>121</v>
      </c>
      <c r="B223" s="13" t="s">
        <v>94</v>
      </c>
      <c r="C223" s="13">
        <v>1.5</v>
      </c>
      <c r="D223" s="17">
        <v>2800</v>
      </c>
      <c r="E223" s="17">
        <v>4200</v>
      </c>
    </row>
    <row r="224" spans="1:5" x14ac:dyDescent="0.35">
      <c r="A224" s="13" t="s">
        <v>121</v>
      </c>
      <c r="B224" s="13" t="s">
        <v>41</v>
      </c>
      <c r="C224" s="13">
        <v>10.75</v>
      </c>
      <c r="D224" s="17">
        <v>1000</v>
      </c>
      <c r="E224" s="17">
        <v>10750</v>
      </c>
    </row>
    <row r="225" spans="1:5" x14ac:dyDescent="0.35">
      <c r="A225" s="13" t="s">
        <v>89</v>
      </c>
      <c r="B225" s="13" t="s">
        <v>126</v>
      </c>
      <c r="C225" s="13">
        <v>6</v>
      </c>
      <c r="D225" s="17">
        <v>1800</v>
      </c>
      <c r="E225" s="17">
        <v>10800</v>
      </c>
    </row>
    <row r="226" spans="1:5" x14ac:dyDescent="0.35">
      <c r="A226" s="13" t="s">
        <v>89</v>
      </c>
      <c r="B226" s="13" t="s">
        <v>34</v>
      </c>
      <c r="C226" s="13">
        <v>2.2999999999999998</v>
      </c>
      <c r="D226" s="17">
        <v>4000</v>
      </c>
      <c r="E226" s="17">
        <v>9200</v>
      </c>
    </row>
    <row r="227" spans="1:5" x14ac:dyDescent="0.35">
      <c r="A227" s="13" t="s">
        <v>89</v>
      </c>
      <c r="B227" s="13" t="s">
        <v>53</v>
      </c>
      <c r="C227" s="13">
        <v>1.1000000000000001</v>
      </c>
      <c r="D227" s="17">
        <v>300</v>
      </c>
      <c r="E227" s="17">
        <v>330</v>
      </c>
    </row>
    <row r="228" spans="1:5" x14ac:dyDescent="0.35">
      <c r="A228" s="13" t="s">
        <v>89</v>
      </c>
      <c r="B228" s="13" t="s">
        <v>25</v>
      </c>
      <c r="C228" s="13">
        <v>0.45</v>
      </c>
      <c r="D228" s="17">
        <v>1000</v>
      </c>
      <c r="E228" s="17">
        <v>450</v>
      </c>
    </row>
    <row r="229" spans="1:5" x14ac:dyDescent="0.35">
      <c r="A229" s="13" t="s">
        <v>89</v>
      </c>
      <c r="B229" s="13" t="s">
        <v>128</v>
      </c>
      <c r="C229" s="13">
        <v>0.5</v>
      </c>
      <c r="D229" s="17">
        <v>3500</v>
      </c>
      <c r="E229" s="17">
        <v>1750</v>
      </c>
    </row>
    <row r="230" spans="1:5" x14ac:dyDescent="0.35">
      <c r="A230" s="13" t="s">
        <v>89</v>
      </c>
      <c r="B230" s="13" t="s">
        <v>60</v>
      </c>
      <c r="C230" s="13">
        <v>0.1</v>
      </c>
      <c r="D230" s="17">
        <v>2500</v>
      </c>
      <c r="E230" s="17">
        <v>250</v>
      </c>
    </row>
    <row r="231" spans="1:5" x14ac:dyDescent="0.35">
      <c r="A231" s="13" t="s">
        <v>89</v>
      </c>
      <c r="B231" s="13" t="s">
        <v>94</v>
      </c>
      <c r="C231" s="13">
        <v>0.3</v>
      </c>
      <c r="D231" s="17">
        <v>2800</v>
      </c>
      <c r="E231" s="17">
        <v>840</v>
      </c>
    </row>
    <row r="232" spans="1:5" x14ac:dyDescent="0.35">
      <c r="A232" s="13" t="s">
        <v>89</v>
      </c>
      <c r="B232" s="13" t="s">
        <v>41</v>
      </c>
      <c r="C232" s="13">
        <v>6.55</v>
      </c>
      <c r="D232" s="17">
        <v>1000</v>
      </c>
      <c r="E232" s="17">
        <v>6550</v>
      </c>
    </row>
    <row r="233" spans="1:5" x14ac:dyDescent="0.35">
      <c r="C233">
        <f>SUM(C3:C232)</f>
        <v>334.75000000000011</v>
      </c>
      <c r="D233"/>
      <c r="E233" s="11">
        <f>SUM(E3:E232)</f>
        <v>388157.5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4EF2-106F-4E49-AEB3-2AB2655CA90B}">
  <dimension ref="A2:T383"/>
  <sheetViews>
    <sheetView topLeftCell="A37" zoomScale="80" zoomScaleNormal="80" zoomScaleSheetLayoutView="55" workbookViewId="0">
      <selection activeCell="H9" sqref="H9"/>
    </sheetView>
  </sheetViews>
  <sheetFormatPr defaultRowHeight="14.5" x14ac:dyDescent="0.35"/>
  <cols>
    <col min="1" max="1" width="8.7265625" style="30"/>
    <col min="2" max="2" width="21.36328125" bestFit="1" customWidth="1"/>
    <col min="3" max="3" width="8.7265625" style="1"/>
    <col min="4" max="4" width="25" bestFit="1" customWidth="1"/>
    <col min="5" max="5" width="9.54296875" bestFit="1" customWidth="1"/>
    <col min="7" max="7" width="17.453125" bestFit="1" customWidth="1"/>
    <col min="9" max="9" width="18.453125" bestFit="1" customWidth="1"/>
    <col min="10" max="11" width="16.81640625" bestFit="1" customWidth="1"/>
    <col min="12" max="12" width="25" bestFit="1" customWidth="1"/>
    <col min="13" max="13" width="12.1796875" bestFit="1" customWidth="1"/>
    <col min="14" max="14" width="17.6328125" bestFit="1" customWidth="1"/>
    <col min="17" max="17" width="26.7265625" bestFit="1" customWidth="1"/>
    <col min="20" max="20" width="11.81640625" bestFit="1" customWidth="1"/>
  </cols>
  <sheetData>
    <row r="2" spans="1:20" x14ac:dyDescent="0.35">
      <c r="A2" s="30" t="s">
        <v>0</v>
      </c>
      <c r="B2" s="30" t="s">
        <v>139</v>
      </c>
      <c r="C2" s="30" t="s">
        <v>261</v>
      </c>
      <c r="D2" s="1" t="s">
        <v>64</v>
      </c>
      <c r="E2" s="44" t="s">
        <v>133</v>
      </c>
      <c r="F2" s="1" t="s">
        <v>65</v>
      </c>
      <c r="G2" s="44" t="s">
        <v>134</v>
      </c>
      <c r="I2" s="15" t="s">
        <v>85</v>
      </c>
      <c r="J2" t="s">
        <v>275</v>
      </c>
      <c r="L2" s="15" t="s">
        <v>85</v>
      </c>
      <c r="M2" t="s">
        <v>137</v>
      </c>
      <c r="N2" t="s">
        <v>275</v>
      </c>
      <c r="P2" s="20" t="s">
        <v>132</v>
      </c>
      <c r="S2" t="s">
        <v>277</v>
      </c>
    </row>
    <row r="3" spans="1:20" x14ac:dyDescent="0.35">
      <c r="A3" s="30">
        <v>1</v>
      </c>
      <c r="B3" t="s">
        <v>205</v>
      </c>
      <c r="C3" s="30">
        <v>4</v>
      </c>
      <c r="D3" s="14" t="s">
        <v>41</v>
      </c>
      <c r="E3" s="49">
        <v>1000</v>
      </c>
      <c r="F3" s="1">
        <v>0.95</v>
      </c>
      <c r="G3" s="44">
        <f t="shared" ref="G3:G66" si="0">E3*F3</f>
        <v>950</v>
      </c>
      <c r="I3" s="14" t="s">
        <v>176</v>
      </c>
      <c r="J3" s="19">
        <v>8467.5</v>
      </c>
      <c r="L3" s="14" t="s">
        <v>11</v>
      </c>
      <c r="M3">
        <v>0.9</v>
      </c>
      <c r="N3" s="19">
        <v>7200</v>
      </c>
      <c r="P3" s="21" t="s">
        <v>0</v>
      </c>
      <c r="Q3" s="22" t="s">
        <v>64</v>
      </c>
      <c r="R3" s="23" t="s">
        <v>133</v>
      </c>
      <c r="S3" s="22" t="s">
        <v>65</v>
      </c>
      <c r="T3" s="23" t="s">
        <v>134</v>
      </c>
    </row>
    <row r="4" spans="1:20" x14ac:dyDescent="0.35">
      <c r="A4" s="30">
        <v>1</v>
      </c>
      <c r="B4" t="s">
        <v>205</v>
      </c>
      <c r="C4" s="30"/>
      <c r="D4" s="48" t="s">
        <v>53</v>
      </c>
      <c r="E4" s="49">
        <v>300</v>
      </c>
      <c r="F4" s="1">
        <v>1.85</v>
      </c>
      <c r="G4" s="44">
        <f t="shared" si="0"/>
        <v>555</v>
      </c>
      <c r="I4" s="14" t="s">
        <v>86</v>
      </c>
      <c r="J4" s="19">
        <v>13817.5</v>
      </c>
      <c r="L4" s="14" t="s">
        <v>13</v>
      </c>
      <c r="M4">
        <v>20.900000000000002</v>
      </c>
      <c r="N4" s="19">
        <v>4180</v>
      </c>
      <c r="P4" s="22">
        <v>1</v>
      </c>
      <c r="Q4" s="24" t="s">
        <v>7</v>
      </c>
      <c r="R4" s="25"/>
      <c r="S4" s="26">
        <f>SUMIF($D$3:$D$382,Q4,$F$3:$F$382)</f>
        <v>0</v>
      </c>
      <c r="T4" s="25">
        <f>R4*S4</f>
        <v>0</v>
      </c>
    </row>
    <row r="5" spans="1:20" x14ac:dyDescent="0.35">
      <c r="A5" s="30">
        <v>1</v>
      </c>
      <c r="B5" t="s">
        <v>205</v>
      </c>
      <c r="C5" s="30"/>
      <c r="D5" s="48" t="s">
        <v>94</v>
      </c>
      <c r="E5" s="49">
        <v>2800</v>
      </c>
      <c r="F5" s="1">
        <v>1.4</v>
      </c>
      <c r="G5" s="44">
        <f t="shared" si="0"/>
        <v>3919.9999999999995</v>
      </c>
      <c r="H5" s="36"/>
      <c r="I5" s="14" t="s">
        <v>87</v>
      </c>
      <c r="J5" s="19">
        <v>3515</v>
      </c>
      <c r="L5" s="14" t="s">
        <v>15</v>
      </c>
      <c r="M5">
        <v>16</v>
      </c>
      <c r="N5" s="19">
        <v>40000</v>
      </c>
      <c r="P5" s="22">
        <v>2</v>
      </c>
      <c r="Q5" s="24" t="s">
        <v>9</v>
      </c>
      <c r="R5" s="25"/>
      <c r="S5" s="26">
        <f>SUMIF($D$3:$D$382,Q5,$F$3:$F$382)</f>
        <v>0</v>
      </c>
      <c r="T5" s="25">
        <f t="shared" ref="T5:T57" si="1">R5*S5</f>
        <v>0</v>
      </c>
    </row>
    <row r="6" spans="1:20" x14ac:dyDescent="0.35">
      <c r="A6" s="30">
        <v>1</v>
      </c>
      <c r="B6" t="s">
        <v>205</v>
      </c>
      <c r="C6" s="30"/>
      <c r="D6" s="48" t="s">
        <v>18</v>
      </c>
      <c r="E6" s="49">
        <v>150</v>
      </c>
      <c r="F6" s="1">
        <v>0.55000000000000004</v>
      </c>
      <c r="G6" s="44">
        <f t="shared" si="0"/>
        <v>82.5</v>
      </c>
      <c r="I6" s="14" t="s">
        <v>88</v>
      </c>
      <c r="J6" s="19">
        <v>24055</v>
      </c>
      <c r="L6" s="14" t="s">
        <v>18</v>
      </c>
      <c r="M6">
        <v>40.949999999999989</v>
      </c>
      <c r="N6" s="19">
        <v>6142.5</v>
      </c>
      <c r="P6" s="22">
        <v>3</v>
      </c>
      <c r="Q6" t="s">
        <v>10</v>
      </c>
      <c r="R6" s="25"/>
      <c r="S6" s="26">
        <f>SUMIF($D$3:$D$382,Q6,$F$3:$F$382)</f>
        <v>0</v>
      </c>
      <c r="T6" s="25">
        <f t="shared" si="1"/>
        <v>0</v>
      </c>
    </row>
    <row r="7" spans="1:20" x14ac:dyDescent="0.35">
      <c r="A7" s="30">
        <v>1</v>
      </c>
      <c r="B7" t="s">
        <v>205</v>
      </c>
      <c r="C7" s="30"/>
      <c r="D7" s="48" t="s">
        <v>25</v>
      </c>
      <c r="E7" s="49">
        <v>1000</v>
      </c>
      <c r="F7" s="1">
        <f>1.3+1.35</f>
        <v>2.6500000000000004</v>
      </c>
      <c r="G7" s="44">
        <f t="shared" si="0"/>
        <v>2650.0000000000005</v>
      </c>
      <c r="I7" s="14" t="s">
        <v>89</v>
      </c>
      <c r="J7" s="19">
        <v>14960</v>
      </c>
      <c r="L7" s="14" t="s">
        <v>94</v>
      </c>
      <c r="M7">
        <v>84.09999999999998</v>
      </c>
      <c r="N7" s="19">
        <v>235480</v>
      </c>
      <c r="P7" s="22">
        <v>4</v>
      </c>
      <c r="Q7" s="24" t="s">
        <v>11</v>
      </c>
      <c r="R7" s="25"/>
      <c r="S7" s="26">
        <f>SUMIF($D$3:$D$382,Q7,$F$3:$F$382)</f>
        <v>0.9</v>
      </c>
      <c r="T7" s="25">
        <f t="shared" si="1"/>
        <v>0</v>
      </c>
    </row>
    <row r="8" spans="1:20" x14ac:dyDescent="0.35">
      <c r="A8" s="30">
        <v>1</v>
      </c>
      <c r="B8" t="s">
        <v>205</v>
      </c>
      <c r="C8" s="30"/>
      <c r="D8" s="48" t="s">
        <v>54</v>
      </c>
      <c r="E8" s="49">
        <v>800</v>
      </c>
      <c r="F8" s="1">
        <v>0.15</v>
      </c>
      <c r="G8" s="44">
        <f t="shared" si="0"/>
        <v>120</v>
      </c>
      <c r="I8" s="14" t="s">
        <v>90</v>
      </c>
      <c r="J8" s="19">
        <v>9270</v>
      </c>
      <c r="L8" s="14" t="s">
        <v>22</v>
      </c>
      <c r="M8">
        <v>10.050000000000002</v>
      </c>
      <c r="N8" s="19">
        <v>16080</v>
      </c>
      <c r="P8" s="22">
        <v>5</v>
      </c>
      <c r="Q8" s="24" t="s">
        <v>12</v>
      </c>
      <c r="R8" s="25"/>
      <c r="S8" s="26">
        <f t="shared" ref="S8:S57" si="2">SUMIF($D$3:$D$382,Q8,$F$3:$F$382)</f>
        <v>0</v>
      </c>
      <c r="T8" s="25">
        <f t="shared" si="1"/>
        <v>0</v>
      </c>
    </row>
    <row r="9" spans="1:20" x14ac:dyDescent="0.35">
      <c r="A9" s="30">
        <v>1</v>
      </c>
      <c r="B9" t="s">
        <v>205</v>
      </c>
      <c r="C9" s="30"/>
      <c r="D9" s="48" t="s">
        <v>13</v>
      </c>
      <c r="E9" s="49">
        <v>200</v>
      </c>
      <c r="F9" s="1">
        <v>0.65</v>
      </c>
      <c r="G9" s="44">
        <f t="shared" si="0"/>
        <v>130</v>
      </c>
      <c r="I9" s="14" t="s">
        <v>91</v>
      </c>
      <c r="J9" s="19">
        <v>32012.5</v>
      </c>
      <c r="L9" s="14" t="s">
        <v>125</v>
      </c>
      <c r="M9">
        <v>22.15</v>
      </c>
      <c r="N9" s="19">
        <v>17720</v>
      </c>
      <c r="P9" s="22">
        <v>6</v>
      </c>
      <c r="Q9" s="24" t="s">
        <v>13</v>
      </c>
      <c r="R9" s="25"/>
      <c r="S9" s="26">
        <f t="shared" si="2"/>
        <v>20.900000000000002</v>
      </c>
      <c r="T9" s="25">
        <f t="shared" si="1"/>
        <v>0</v>
      </c>
    </row>
    <row r="10" spans="1:20" x14ac:dyDescent="0.35">
      <c r="A10" s="30">
        <v>1</v>
      </c>
      <c r="B10" t="s">
        <v>205</v>
      </c>
      <c r="C10" s="30"/>
      <c r="D10" s="48" t="s">
        <v>15</v>
      </c>
      <c r="E10" s="49">
        <v>2500</v>
      </c>
      <c r="F10" s="1">
        <f>0.45+0.7</f>
        <v>1.1499999999999999</v>
      </c>
      <c r="G10" s="44">
        <f t="shared" si="0"/>
        <v>2875</v>
      </c>
      <c r="I10" s="14" t="s">
        <v>84</v>
      </c>
      <c r="J10" s="19">
        <v>23027.5</v>
      </c>
      <c r="L10" s="14" t="s">
        <v>25</v>
      </c>
      <c r="M10">
        <v>75.2</v>
      </c>
      <c r="N10" s="19">
        <v>75200</v>
      </c>
      <c r="P10" s="22">
        <v>7</v>
      </c>
      <c r="Q10" s="24" t="s">
        <v>15</v>
      </c>
      <c r="R10" s="25"/>
      <c r="S10" s="26">
        <f t="shared" si="2"/>
        <v>16</v>
      </c>
      <c r="T10" s="25">
        <f t="shared" si="1"/>
        <v>0</v>
      </c>
    </row>
    <row r="11" spans="1:20" x14ac:dyDescent="0.35">
      <c r="A11" s="30">
        <v>1</v>
      </c>
      <c r="B11" t="s">
        <v>205</v>
      </c>
      <c r="C11" s="30"/>
      <c r="D11" s="48" t="s">
        <v>26</v>
      </c>
      <c r="E11" s="49">
        <v>1000</v>
      </c>
      <c r="F11" s="1">
        <v>0.3</v>
      </c>
      <c r="G11" s="44">
        <f t="shared" si="0"/>
        <v>300</v>
      </c>
      <c r="I11" s="14" t="s">
        <v>95</v>
      </c>
      <c r="J11" s="19">
        <v>12870</v>
      </c>
      <c r="L11" s="14" t="s">
        <v>26</v>
      </c>
      <c r="M11">
        <v>53.599999999999994</v>
      </c>
      <c r="N11" s="19">
        <v>53600</v>
      </c>
      <c r="P11" s="22">
        <v>8</v>
      </c>
      <c r="Q11" s="24" t="s">
        <v>16</v>
      </c>
      <c r="R11" s="25"/>
      <c r="S11" s="26">
        <f t="shared" si="2"/>
        <v>0</v>
      </c>
      <c r="T11" s="25">
        <f t="shared" si="1"/>
        <v>0</v>
      </c>
    </row>
    <row r="12" spans="1:20" x14ac:dyDescent="0.35">
      <c r="A12" s="30">
        <v>2</v>
      </c>
      <c r="B12" s="48" t="s">
        <v>91</v>
      </c>
      <c r="C12" s="1">
        <v>3</v>
      </c>
      <c r="D12" s="48" t="s">
        <v>25</v>
      </c>
      <c r="E12" s="49">
        <v>1000</v>
      </c>
      <c r="F12" s="50">
        <v>4.1500000000000004</v>
      </c>
      <c r="G12" s="51">
        <f t="shared" si="0"/>
        <v>4150</v>
      </c>
      <c r="H12" s="39"/>
      <c r="I12" s="14" t="s">
        <v>99</v>
      </c>
      <c r="J12" s="19">
        <v>1285</v>
      </c>
      <c r="L12" s="14" t="s">
        <v>27</v>
      </c>
      <c r="M12">
        <v>1.4</v>
      </c>
      <c r="N12" s="19">
        <v>3500</v>
      </c>
      <c r="P12" s="22">
        <v>9</v>
      </c>
      <c r="Q12" s="24" t="s">
        <v>17</v>
      </c>
      <c r="R12" s="25"/>
      <c r="S12" s="26">
        <f t="shared" si="2"/>
        <v>0</v>
      </c>
      <c r="T12" s="25">
        <f t="shared" si="1"/>
        <v>0</v>
      </c>
    </row>
    <row r="13" spans="1:20" x14ac:dyDescent="0.35">
      <c r="A13" s="30">
        <v>2</v>
      </c>
      <c r="B13" s="48" t="s">
        <v>91</v>
      </c>
      <c r="D13" s="48" t="s">
        <v>57</v>
      </c>
      <c r="E13" s="49">
        <v>150</v>
      </c>
      <c r="F13" s="50">
        <v>1.35</v>
      </c>
      <c r="G13" s="51">
        <f t="shared" si="0"/>
        <v>202.5</v>
      </c>
      <c r="I13" s="14" t="s">
        <v>225</v>
      </c>
      <c r="J13" s="19">
        <v>52985</v>
      </c>
      <c r="L13" s="14" t="s">
        <v>28</v>
      </c>
      <c r="M13">
        <v>3.9999999999999996</v>
      </c>
      <c r="N13" s="19">
        <v>14000</v>
      </c>
      <c r="P13" s="22">
        <v>10</v>
      </c>
      <c r="Q13" s="24" t="s">
        <v>18</v>
      </c>
      <c r="R13" s="25"/>
      <c r="S13" s="26">
        <f t="shared" si="2"/>
        <v>40.949999999999989</v>
      </c>
      <c r="T13" s="25">
        <f t="shared" si="1"/>
        <v>0</v>
      </c>
    </row>
    <row r="14" spans="1:20" x14ac:dyDescent="0.35">
      <c r="A14" s="30">
        <v>2</v>
      </c>
      <c r="B14" s="48" t="s">
        <v>91</v>
      </c>
      <c r="D14" s="48" t="s">
        <v>41</v>
      </c>
      <c r="E14" s="49">
        <v>1000</v>
      </c>
      <c r="F14" s="50">
        <v>15.3</v>
      </c>
      <c r="G14" s="51">
        <f t="shared" si="0"/>
        <v>15300</v>
      </c>
      <c r="I14" s="14" t="s">
        <v>195</v>
      </c>
      <c r="J14" s="19">
        <v>8155</v>
      </c>
      <c r="L14" s="14" t="s">
        <v>29</v>
      </c>
      <c r="M14">
        <v>2.0500000000000003</v>
      </c>
      <c r="N14" s="19">
        <v>2640</v>
      </c>
      <c r="P14" s="22">
        <v>11</v>
      </c>
      <c r="Q14" s="24" t="s">
        <v>19</v>
      </c>
      <c r="R14" s="25"/>
      <c r="S14" s="26">
        <f t="shared" si="2"/>
        <v>0</v>
      </c>
      <c r="T14" s="25">
        <f t="shared" si="1"/>
        <v>0</v>
      </c>
    </row>
    <row r="15" spans="1:20" x14ac:dyDescent="0.35">
      <c r="A15" s="30">
        <v>2</v>
      </c>
      <c r="B15" s="48" t="s">
        <v>91</v>
      </c>
      <c r="D15" s="48" t="s">
        <v>125</v>
      </c>
      <c r="E15" s="49">
        <v>800</v>
      </c>
      <c r="F15" s="50">
        <v>5.15</v>
      </c>
      <c r="G15" s="51">
        <f t="shared" si="0"/>
        <v>4120</v>
      </c>
      <c r="I15" s="14" t="s">
        <v>253</v>
      </c>
      <c r="J15" s="19">
        <v>81762.5</v>
      </c>
      <c r="L15" s="14" t="s">
        <v>30</v>
      </c>
      <c r="M15">
        <v>1</v>
      </c>
      <c r="N15" s="19">
        <v>1800</v>
      </c>
      <c r="P15" s="22">
        <v>12</v>
      </c>
      <c r="Q15" s="24" t="s">
        <v>20</v>
      </c>
      <c r="R15" s="25"/>
      <c r="S15" s="26">
        <f t="shared" si="2"/>
        <v>0</v>
      </c>
      <c r="T15" s="25">
        <f t="shared" si="1"/>
        <v>0</v>
      </c>
    </row>
    <row r="16" spans="1:20" x14ac:dyDescent="0.35">
      <c r="A16" s="30">
        <v>2</v>
      </c>
      <c r="B16" s="48" t="s">
        <v>91</v>
      </c>
      <c r="D16" s="48" t="s">
        <v>22</v>
      </c>
      <c r="E16" s="49">
        <v>1600</v>
      </c>
      <c r="F16" s="50">
        <v>4.6500000000000004</v>
      </c>
      <c r="G16" s="51">
        <f t="shared" si="0"/>
        <v>7440.0000000000009</v>
      </c>
      <c r="I16" s="14" t="s">
        <v>205</v>
      </c>
      <c r="J16" s="19">
        <v>11582.5</v>
      </c>
      <c r="L16" s="14" t="s">
        <v>100</v>
      </c>
      <c r="M16">
        <v>34.15</v>
      </c>
      <c r="N16" s="19">
        <v>47810</v>
      </c>
      <c r="P16" s="22">
        <v>13</v>
      </c>
      <c r="Q16" s="24" t="s">
        <v>94</v>
      </c>
      <c r="R16" s="25"/>
      <c r="S16" s="26">
        <f t="shared" si="2"/>
        <v>84.09999999999998</v>
      </c>
      <c r="T16" s="25">
        <f t="shared" si="1"/>
        <v>0</v>
      </c>
    </row>
    <row r="17" spans="1:20" x14ac:dyDescent="0.35">
      <c r="A17" s="30">
        <v>2</v>
      </c>
      <c r="B17" s="48" t="s">
        <v>91</v>
      </c>
      <c r="D17" s="48" t="s">
        <v>26</v>
      </c>
      <c r="E17" s="49">
        <v>1000</v>
      </c>
      <c r="F17" s="50">
        <v>0.8</v>
      </c>
      <c r="G17" s="51">
        <f t="shared" si="0"/>
        <v>800</v>
      </c>
      <c r="I17" s="14" t="s">
        <v>103</v>
      </c>
      <c r="J17" s="19">
        <v>5575</v>
      </c>
      <c r="L17" s="14" t="s">
        <v>34</v>
      </c>
      <c r="M17">
        <v>19.149999999999999</v>
      </c>
      <c r="N17" s="19">
        <v>69600</v>
      </c>
      <c r="P17" s="22">
        <v>14</v>
      </c>
      <c r="Q17" s="24" t="s">
        <v>22</v>
      </c>
      <c r="R17" s="25"/>
      <c r="S17" s="26">
        <f t="shared" si="2"/>
        <v>10.050000000000002</v>
      </c>
      <c r="T17" s="25">
        <f t="shared" si="1"/>
        <v>0</v>
      </c>
    </row>
    <row r="18" spans="1:20" x14ac:dyDescent="0.35">
      <c r="A18" s="30">
        <v>3</v>
      </c>
      <c r="B18" s="14" t="s">
        <v>130</v>
      </c>
      <c r="C18" s="30" t="s">
        <v>248</v>
      </c>
      <c r="D18" s="48" t="s">
        <v>53</v>
      </c>
      <c r="E18" s="49">
        <v>300</v>
      </c>
      <c r="F18" s="50">
        <f>4.6+2.15+11.35</f>
        <v>18.100000000000001</v>
      </c>
      <c r="G18" s="51">
        <f t="shared" si="0"/>
        <v>5430</v>
      </c>
      <c r="I18" s="14" t="s">
        <v>221</v>
      </c>
      <c r="J18" s="19">
        <v>16287.5</v>
      </c>
      <c r="L18" s="14" t="s">
        <v>39</v>
      </c>
      <c r="M18">
        <v>15.65</v>
      </c>
      <c r="N18" s="19">
        <v>21225</v>
      </c>
      <c r="P18" s="22">
        <v>15</v>
      </c>
      <c r="Q18" s="24" t="s">
        <v>23</v>
      </c>
      <c r="R18" s="25"/>
      <c r="S18" s="26">
        <f t="shared" si="2"/>
        <v>0</v>
      </c>
      <c r="T18" s="25">
        <f t="shared" si="1"/>
        <v>0</v>
      </c>
    </row>
    <row r="19" spans="1:20" x14ac:dyDescent="0.35">
      <c r="A19" s="30">
        <v>4</v>
      </c>
      <c r="B19" t="s">
        <v>112</v>
      </c>
      <c r="C19" s="30">
        <v>4</v>
      </c>
      <c r="D19" s="48" t="s">
        <v>94</v>
      </c>
      <c r="E19" s="49">
        <v>2800</v>
      </c>
      <c r="F19" s="50">
        <f>0.3+0.55</f>
        <v>0.85000000000000009</v>
      </c>
      <c r="G19" s="51">
        <f t="shared" si="0"/>
        <v>2380.0000000000005</v>
      </c>
      <c r="I19" s="14" t="s">
        <v>105</v>
      </c>
      <c r="J19" s="19">
        <v>1615</v>
      </c>
      <c r="L19" s="14" t="s">
        <v>41</v>
      </c>
      <c r="M19">
        <v>184.54999999999998</v>
      </c>
      <c r="N19" s="19">
        <v>179550</v>
      </c>
      <c r="P19" s="22">
        <v>16</v>
      </c>
      <c r="Q19" s="24" t="s">
        <v>125</v>
      </c>
      <c r="R19" s="25"/>
      <c r="S19" s="26">
        <f t="shared" si="2"/>
        <v>22.15</v>
      </c>
      <c r="T19" s="25">
        <f t="shared" si="1"/>
        <v>0</v>
      </c>
    </row>
    <row r="20" spans="1:20" x14ac:dyDescent="0.35">
      <c r="A20" s="30">
        <v>4</v>
      </c>
      <c r="B20" t="s">
        <v>112</v>
      </c>
      <c r="C20" s="30"/>
      <c r="D20" s="48" t="s">
        <v>13</v>
      </c>
      <c r="E20" s="49">
        <v>200</v>
      </c>
      <c r="F20" s="50">
        <v>0.75</v>
      </c>
      <c r="G20" s="51">
        <f t="shared" si="0"/>
        <v>150</v>
      </c>
      <c r="I20" s="14" t="s">
        <v>106</v>
      </c>
      <c r="J20" s="19">
        <v>14330</v>
      </c>
      <c r="L20" s="14" t="s">
        <v>263</v>
      </c>
      <c r="M20">
        <v>0.1</v>
      </c>
      <c r="N20" s="19">
        <v>40</v>
      </c>
      <c r="P20" s="22">
        <v>17</v>
      </c>
      <c r="Q20" s="24" t="s">
        <v>25</v>
      </c>
      <c r="R20" s="25"/>
      <c r="S20" s="26">
        <f t="shared" si="2"/>
        <v>75.2</v>
      </c>
      <c r="T20" s="25">
        <f t="shared" si="1"/>
        <v>0</v>
      </c>
    </row>
    <row r="21" spans="1:20" x14ac:dyDescent="0.35">
      <c r="A21" s="30">
        <v>4</v>
      </c>
      <c r="B21" t="s">
        <v>112</v>
      </c>
      <c r="C21" s="30"/>
      <c r="D21" s="48" t="s">
        <v>60</v>
      </c>
      <c r="E21" s="49">
        <v>2500</v>
      </c>
      <c r="F21" s="50">
        <v>0.15</v>
      </c>
      <c r="G21" s="51">
        <f t="shared" si="0"/>
        <v>375</v>
      </c>
      <c r="I21" s="14" t="s">
        <v>107</v>
      </c>
      <c r="J21" s="19">
        <v>7910</v>
      </c>
      <c r="L21" s="14" t="s">
        <v>46</v>
      </c>
      <c r="M21">
        <v>0.25</v>
      </c>
      <c r="N21" s="19">
        <v>675</v>
      </c>
      <c r="P21" s="22">
        <v>18</v>
      </c>
      <c r="Q21" s="24" t="s">
        <v>26</v>
      </c>
      <c r="R21" s="25"/>
      <c r="S21" s="26">
        <f t="shared" si="2"/>
        <v>53.599999999999994</v>
      </c>
      <c r="T21" s="25">
        <f t="shared" si="1"/>
        <v>0</v>
      </c>
    </row>
    <row r="22" spans="1:20" x14ac:dyDescent="0.35">
      <c r="A22" s="30">
        <v>4</v>
      </c>
      <c r="B22" t="s">
        <v>112</v>
      </c>
      <c r="C22" s="30"/>
      <c r="D22" s="48" t="s">
        <v>25</v>
      </c>
      <c r="E22" s="49">
        <v>1000</v>
      </c>
      <c r="F22" s="50">
        <f>0.85+0.1+0.05</f>
        <v>1</v>
      </c>
      <c r="G22" s="51">
        <f t="shared" si="0"/>
        <v>1000</v>
      </c>
      <c r="I22" s="14" t="s">
        <v>108</v>
      </c>
      <c r="J22" s="19">
        <v>11885</v>
      </c>
      <c r="L22" s="14" t="s">
        <v>51</v>
      </c>
      <c r="M22">
        <v>30.849999999999998</v>
      </c>
      <c r="N22" s="19">
        <v>14825</v>
      </c>
      <c r="P22" s="22">
        <v>19</v>
      </c>
      <c r="Q22" s="24" t="s">
        <v>27</v>
      </c>
      <c r="R22" s="25"/>
      <c r="S22" s="26">
        <f t="shared" si="2"/>
        <v>1.4</v>
      </c>
      <c r="T22" s="25">
        <f t="shared" si="1"/>
        <v>0</v>
      </c>
    </row>
    <row r="23" spans="1:20" x14ac:dyDescent="0.35">
      <c r="A23" s="30">
        <v>4</v>
      </c>
      <c r="B23" t="s">
        <v>112</v>
      </c>
      <c r="C23" s="30"/>
      <c r="D23" s="48" t="s">
        <v>46</v>
      </c>
      <c r="E23" s="49">
        <v>2700</v>
      </c>
      <c r="F23" s="50">
        <v>0.1</v>
      </c>
      <c r="G23" s="51">
        <f t="shared" si="0"/>
        <v>270</v>
      </c>
      <c r="I23" s="14" t="s">
        <v>206</v>
      </c>
      <c r="J23" s="19">
        <v>13037.5</v>
      </c>
      <c r="L23" s="14" t="s">
        <v>53</v>
      </c>
      <c r="M23">
        <v>71.949999999999989</v>
      </c>
      <c r="N23" s="19">
        <v>21270</v>
      </c>
      <c r="P23" s="22">
        <v>20</v>
      </c>
      <c r="Q23" s="24" t="s">
        <v>28</v>
      </c>
      <c r="R23" s="25"/>
      <c r="S23" s="26">
        <f t="shared" si="2"/>
        <v>3.9999999999999996</v>
      </c>
      <c r="T23" s="25">
        <f t="shared" si="1"/>
        <v>0</v>
      </c>
    </row>
    <row r="24" spans="1:20" x14ac:dyDescent="0.35">
      <c r="A24" s="30">
        <v>4</v>
      </c>
      <c r="B24" t="s">
        <v>112</v>
      </c>
      <c r="C24" s="30"/>
      <c r="D24" s="48" t="s">
        <v>39</v>
      </c>
      <c r="E24" s="49">
        <v>1500</v>
      </c>
      <c r="F24" s="50">
        <v>0.3</v>
      </c>
      <c r="G24" s="51">
        <f t="shared" si="0"/>
        <v>450</v>
      </c>
      <c r="I24" s="14" t="s">
        <v>196</v>
      </c>
      <c r="J24" s="19">
        <v>24905</v>
      </c>
      <c r="L24" s="14" t="s">
        <v>54</v>
      </c>
      <c r="M24">
        <v>4</v>
      </c>
      <c r="N24" s="19">
        <v>3200</v>
      </c>
      <c r="P24" s="22">
        <v>21</v>
      </c>
      <c r="Q24" s="24" t="s">
        <v>29</v>
      </c>
      <c r="R24" s="25"/>
      <c r="S24" s="26">
        <f t="shared" si="2"/>
        <v>2.0500000000000003</v>
      </c>
      <c r="T24" s="25">
        <f t="shared" si="1"/>
        <v>0</v>
      </c>
    </row>
    <row r="25" spans="1:20" x14ac:dyDescent="0.35">
      <c r="A25" s="30">
        <v>4</v>
      </c>
      <c r="B25" t="s">
        <v>112</v>
      </c>
      <c r="C25" s="30"/>
      <c r="D25" s="48" t="s">
        <v>53</v>
      </c>
      <c r="E25" s="49">
        <v>300</v>
      </c>
      <c r="F25" s="50">
        <v>0.15</v>
      </c>
      <c r="G25" s="51">
        <f t="shared" si="0"/>
        <v>45</v>
      </c>
      <c r="I25" s="14" t="s">
        <v>109</v>
      </c>
      <c r="J25" s="19">
        <v>12725</v>
      </c>
      <c r="L25" s="14" t="s">
        <v>266</v>
      </c>
      <c r="M25">
        <v>0.6</v>
      </c>
      <c r="N25" s="19">
        <v>600</v>
      </c>
      <c r="P25" s="22">
        <v>22</v>
      </c>
      <c r="Q25" s="24" t="s">
        <v>30</v>
      </c>
      <c r="R25" s="25"/>
      <c r="S25" s="26">
        <f t="shared" si="2"/>
        <v>1</v>
      </c>
      <c r="T25" s="25">
        <f t="shared" si="1"/>
        <v>0</v>
      </c>
    </row>
    <row r="26" spans="1:20" x14ac:dyDescent="0.35">
      <c r="A26" s="30">
        <v>4</v>
      </c>
      <c r="B26" t="s">
        <v>112</v>
      </c>
      <c r="C26" s="30"/>
      <c r="D26" s="48" t="s">
        <v>18</v>
      </c>
      <c r="E26" s="49">
        <v>150</v>
      </c>
      <c r="F26" s="50">
        <v>0.6</v>
      </c>
      <c r="G26" s="51">
        <f t="shared" si="0"/>
        <v>90</v>
      </c>
      <c r="I26" s="14" t="s">
        <v>110</v>
      </c>
      <c r="J26" s="19">
        <v>3750</v>
      </c>
      <c r="L26" s="14" t="s">
        <v>56</v>
      </c>
      <c r="M26">
        <v>1.6</v>
      </c>
      <c r="N26" s="19">
        <v>800</v>
      </c>
      <c r="P26" s="22">
        <v>23</v>
      </c>
      <c r="Q26" s="24" t="s">
        <v>100</v>
      </c>
      <c r="R26" s="25"/>
      <c r="S26" s="26">
        <f t="shared" si="2"/>
        <v>34.15</v>
      </c>
      <c r="T26" s="25">
        <f t="shared" si="1"/>
        <v>0</v>
      </c>
    </row>
    <row r="27" spans="1:20" x14ac:dyDescent="0.35">
      <c r="A27" s="30">
        <v>4</v>
      </c>
      <c r="B27" t="s">
        <v>112</v>
      </c>
      <c r="C27" s="30"/>
      <c r="D27" s="48" t="s">
        <v>41</v>
      </c>
      <c r="E27" s="49">
        <v>1000</v>
      </c>
      <c r="F27" s="50">
        <v>5.5</v>
      </c>
      <c r="G27" s="51">
        <f t="shared" si="0"/>
        <v>5500</v>
      </c>
      <c r="I27" s="14" t="s">
        <v>209</v>
      </c>
      <c r="J27" s="19">
        <v>9245</v>
      </c>
      <c r="L27" s="14" t="s">
        <v>126</v>
      </c>
      <c r="M27">
        <v>14.75</v>
      </c>
      <c r="N27" s="19">
        <v>26550</v>
      </c>
      <c r="P27" s="22">
        <v>24</v>
      </c>
      <c r="Q27" s="24" t="s">
        <v>33</v>
      </c>
      <c r="R27" s="25"/>
      <c r="S27" s="26">
        <f t="shared" si="2"/>
        <v>0</v>
      </c>
      <c r="T27" s="25">
        <f t="shared" si="1"/>
        <v>0</v>
      </c>
    </row>
    <row r="28" spans="1:20" x14ac:dyDescent="0.35">
      <c r="A28" s="30">
        <v>4</v>
      </c>
      <c r="B28" t="s">
        <v>112</v>
      </c>
      <c r="C28" s="30"/>
      <c r="D28" s="48" t="s">
        <v>126</v>
      </c>
      <c r="E28" s="49">
        <v>1800</v>
      </c>
      <c r="F28" s="50">
        <v>1.2</v>
      </c>
      <c r="G28" s="51">
        <f t="shared" si="0"/>
        <v>2160</v>
      </c>
      <c r="I28" s="14" t="s">
        <v>112</v>
      </c>
      <c r="J28" s="19">
        <v>12420</v>
      </c>
      <c r="L28" s="14" t="s">
        <v>57</v>
      </c>
      <c r="M28">
        <v>1.4000000000000001</v>
      </c>
      <c r="N28" s="19">
        <v>210</v>
      </c>
      <c r="P28" s="22">
        <v>25</v>
      </c>
      <c r="Q28" s="24" t="s">
        <v>34</v>
      </c>
      <c r="R28" s="25"/>
      <c r="S28" s="26">
        <f t="shared" si="2"/>
        <v>19.149999999999999</v>
      </c>
      <c r="T28" s="25">
        <f t="shared" si="1"/>
        <v>0</v>
      </c>
    </row>
    <row r="29" spans="1:20" x14ac:dyDescent="0.35">
      <c r="A29" s="30">
        <v>5</v>
      </c>
      <c r="B29" t="s">
        <v>228</v>
      </c>
      <c r="C29" s="30">
        <v>5</v>
      </c>
      <c r="D29" s="48" t="s">
        <v>53</v>
      </c>
      <c r="E29" s="49">
        <v>300</v>
      </c>
      <c r="F29" s="50">
        <f>1.35+0.75+0.7+0.25</f>
        <v>3.05</v>
      </c>
      <c r="G29" s="51">
        <f t="shared" si="0"/>
        <v>915</v>
      </c>
      <c r="I29" s="14" t="s">
        <v>130</v>
      </c>
      <c r="J29" s="19">
        <v>5430</v>
      </c>
      <c r="L29" s="14" t="s">
        <v>60</v>
      </c>
      <c r="M29">
        <v>6.25</v>
      </c>
      <c r="N29" s="19">
        <v>15625</v>
      </c>
      <c r="P29" s="22">
        <v>26</v>
      </c>
      <c r="Q29" s="24" t="s">
        <v>35</v>
      </c>
      <c r="R29" s="25"/>
      <c r="S29" s="26">
        <f t="shared" si="2"/>
        <v>0</v>
      </c>
      <c r="T29" s="25">
        <f t="shared" si="1"/>
        <v>0</v>
      </c>
    </row>
    <row r="30" spans="1:20" x14ac:dyDescent="0.35">
      <c r="A30" s="30">
        <v>5</v>
      </c>
      <c r="B30" t="s">
        <v>228</v>
      </c>
      <c r="C30" s="30"/>
      <c r="D30" s="48" t="s">
        <v>13</v>
      </c>
      <c r="E30" s="49">
        <v>200</v>
      </c>
      <c r="F30" s="50">
        <f>0.25+0.8</f>
        <v>1.05</v>
      </c>
      <c r="G30" s="51">
        <f t="shared" si="0"/>
        <v>210</v>
      </c>
      <c r="I30" s="14" t="s">
        <v>211</v>
      </c>
      <c r="J30" s="19">
        <v>1280</v>
      </c>
      <c r="L30" s="14" t="s">
        <v>61</v>
      </c>
      <c r="M30">
        <v>0.6</v>
      </c>
      <c r="N30" s="19">
        <v>2100</v>
      </c>
      <c r="P30" s="22">
        <v>27</v>
      </c>
      <c r="Q30" s="24" t="s">
        <v>37</v>
      </c>
      <c r="R30" s="25"/>
      <c r="S30" s="26">
        <v>14.75</v>
      </c>
      <c r="T30" s="25">
        <f t="shared" si="1"/>
        <v>0</v>
      </c>
    </row>
    <row r="31" spans="1:20" x14ac:dyDescent="0.35">
      <c r="A31" s="30">
        <v>5</v>
      </c>
      <c r="B31" t="s">
        <v>228</v>
      </c>
      <c r="C31" s="30"/>
      <c r="D31" s="48" t="s">
        <v>54</v>
      </c>
      <c r="E31" s="49">
        <v>800</v>
      </c>
      <c r="F31" s="50">
        <v>0.35</v>
      </c>
      <c r="G31" s="51">
        <f t="shared" si="0"/>
        <v>280</v>
      </c>
      <c r="I31" s="14" t="s">
        <v>210</v>
      </c>
      <c r="J31" s="19">
        <v>6820</v>
      </c>
      <c r="L31" s="14" t="s">
        <v>124</v>
      </c>
      <c r="M31">
        <v>718.15000000000009</v>
      </c>
      <c r="N31" s="19">
        <v>881622.5</v>
      </c>
      <c r="P31" s="22">
        <v>28</v>
      </c>
      <c r="Q31" s="24" t="s">
        <v>38</v>
      </c>
      <c r="R31" s="25"/>
      <c r="S31" s="26">
        <f t="shared" si="2"/>
        <v>0</v>
      </c>
      <c r="T31" s="25">
        <f t="shared" si="1"/>
        <v>0</v>
      </c>
    </row>
    <row r="32" spans="1:20" x14ac:dyDescent="0.35">
      <c r="A32" s="30">
        <v>5</v>
      </c>
      <c r="B32" t="s">
        <v>228</v>
      </c>
      <c r="C32" s="30"/>
      <c r="D32" s="48" t="s">
        <v>51</v>
      </c>
      <c r="E32" s="49">
        <v>500</v>
      </c>
      <c r="F32" s="50">
        <v>3.35</v>
      </c>
      <c r="G32" s="51">
        <f t="shared" si="0"/>
        <v>1675</v>
      </c>
      <c r="I32" s="14" t="s">
        <v>113</v>
      </c>
      <c r="J32" s="19">
        <v>8545</v>
      </c>
      <c r="P32" s="22">
        <v>29</v>
      </c>
      <c r="Q32" s="24" t="s">
        <v>39</v>
      </c>
      <c r="R32" s="25"/>
      <c r="S32" s="26">
        <f t="shared" si="2"/>
        <v>15.65</v>
      </c>
      <c r="T32" s="25">
        <f t="shared" si="1"/>
        <v>0</v>
      </c>
    </row>
    <row r="33" spans="1:20" x14ac:dyDescent="0.35">
      <c r="A33" s="30">
        <v>5</v>
      </c>
      <c r="B33" t="s">
        <v>228</v>
      </c>
      <c r="C33" s="30"/>
      <c r="D33" s="48" t="s">
        <v>25</v>
      </c>
      <c r="E33" s="49">
        <v>1000</v>
      </c>
      <c r="F33" s="50">
        <f>3.55+0.45+3.5+5.25+1.7</f>
        <v>14.45</v>
      </c>
      <c r="G33" s="51">
        <f t="shared" si="0"/>
        <v>14450</v>
      </c>
      <c r="I33" s="14" t="s">
        <v>213</v>
      </c>
      <c r="J33" s="19">
        <v>15005</v>
      </c>
      <c r="P33" s="22">
        <v>30</v>
      </c>
      <c r="Q33" s="24" t="s">
        <v>40</v>
      </c>
      <c r="R33" s="25"/>
      <c r="S33" s="26">
        <f t="shared" si="2"/>
        <v>0</v>
      </c>
      <c r="T33" s="25">
        <f t="shared" si="1"/>
        <v>0</v>
      </c>
    </row>
    <row r="34" spans="1:20" x14ac:dyDescent="0.35">
      <c r="A34" s="30">
        <v>5</v>
      </c>
      <c r="B34" t="s">
        <v>228</v>
      </c>
      <c r="C34" s="30"/>
      <c r="D34" s="48" t="s">
        <v>41</v>
      </c>
      <c r="E34" s="49">
        <v>1000</v>
      </c>
      <c r="F34" s="50">
        <v>12.2</v>
      </c>
      <c r="G34" s="51">
        <f t="shared" si="0"/>
        <v>12200</v>
      </c>
      <c r="I34" s="14" t="s">
        <v>170</v>
      </c>
      <c r="J34" s="19">
        <v>12257.5</v>
      </c>
      <c r="P34" s="22">
        <v>31</v>
      </c>
      <c r="Q34" s="24" t="s">
        <v>41</v>
      </c>
      <c r="R34" s="25"/>
      <c r="S34" s="26">
        <f t="shared" si="2"/>
        <v>184.54999999999998</v>
      </c>
      <c r="T34" s="25">
        <f t="shared" si="1"/>
        <v>0</v>
      </c>
    </row>
    <row r="35" spans="1:20" x14ac:dyDescent="0.35">
      <c r="A35" s="30">
        <v>5</v>
      </c>
      <c r="B35" t="s">
        <v>228</v>
      </c>
      <c r="C35" s="30"/>
      <c r="D35" s="48" t="s">
        <v>39</v>
      </c>
      <c r="E35" s="49">
        <v>1500</v>
      </c>
      <c r="F35" s="50">
        <f>0.45+0.65</f>
        <v>1.1000000000000001</v>
      </c>
      <c r="G35" s="51">
        <f t="shared" si="0"/>
        <v>1650.0000000000002</v>
      </c>
      <c r="I35" s="14" t="s">
        <v>163</v>
      </c>
      <c r="J35" s="19">
        <v>30042.5</v>
      </c>
      <c r="P35" s="22">
        <v>32</v>
      </c>
      <c r="Q35" s="24" t="s">
        <v>42</v>
      </c>
      <c r="R35" s="25"/>
      <c r="S35" s="26">
        <f t="shared" si="2"/>
        <v>0</v>
      </c>
      <c r="T35" s="25">
        <f t="shared" si="1"/>
        <v>0</v>
      </c>
    </row>
    <row r="36" spans="1:20" x14ac:dyDescent="0.35">
      <c r="A36" s="30">
        <v>5</v>
      </c>
      <c r="B36" t="s">
        <v>228</v>
      </c>
      <c r="C36" s="30"/>
      <c r="D36" s="48" t="s">
        <v>18</v>
      </c>
      <c r="E36" s="49">
        <v>150</v>
      </c>
      <c r="F36" s="50">
        <v>3.85</v>
      </c>
      <c r="G36" s="51">
        <f t="shared" si="0"/>
        <v>577.5</v>
      </c>
      <c r="I36" s="14" t="s">
        <v>264</v>
      </c>
      <c r="J36" s="19">
        <v>4345</v>
      </c>
      <c r="P36" s="22">
        <v>33</v>
      </c>
      <c r="Q36" s="24" t="s">
        <v>43</v>
      </c>
      <c r="R36" s="25"/>
      <c r="S36" s="26">
        <f t="shared" si="2"/>
        <v>0</v>
      </c>
      <c r="T36" s="25">
        <f t="shared" si="1"/>
        <v>0</v>
      </c>
    </row>
    <row r="37" spans="1:20" x14ac:dyDescent="0.35">
      <c r="A37" s="30">
        <v>5</v>
      </c>
      <c r="B37" t="s">
        <v>228</v>
      </c>
      <c r="C37" s="30"/>
      <c r="D37" s="48" t="s">
        <v>100</v>
      </c>
      <c r="E37" s="49">
        <v>1400</v>
      </c>
      <c r="F37" s="50">
        <v>5.5</v>
      </c>
      <c r="G37" s="51">
        <f t="shared" si="0"/>
        <v>7700</v>
      </c>
      <c r="I37" s="14" t="s">
        <v>117</v>
      </c>
      <c r="J37" s="19">
        <v>40557.5</v>
      </c>
      <c r="P37" s="22">
        <v>34</v>
      </c>
      <c r="Q37" s="24" t="s">
        <v>44</v>
      </c>
      <c r="R37" s="25"/>
      <c r="S37" s="26">
        <f t="shared" si="2"/>
        <v>0</v>
      </c>
      <c r="T37" s="25">
        <f t="shared" si="1"/>
        <v>0</v>
      </c>
    </row>
    <row r="38" spans="1:20" x14ac:dyDescent="0.35">
      <c r="A38" s="30">
        <v>5</v>
      </c>
      <c r="B38" t="s">
        <v>228</v>
      </c>
      <c r="C38" s="30"/>
      <c r="D38" s="48" t="s">
        <v>125</v>
      </c>
      <c r="E38" s="49">
        <v>800</v>
      </c>
      <c r="F38" s="50">
        <v>3.95</v>
      </c>
      <c r="G38" s="51">
        <f t="shared" si="0"/>
        <v>3160</v>
      </c>
      <c r="I38" s="14" t="s">
        <v>254</v>
      </c>
      <c r="J38" s="19">
        <v>2437.5</v>
      </c>
      <c r="P38" s="22">
        <v>35</v>
      </c>
      <c r="Q38" s="24" t="s">
        <v>46</v>
      </c>
      <c r="R38" s="25"/>
      <c r="S38" s="26">
        <f t="shared" si="2"/>
        <v>0.25</v>
      </c>
      <c r="T38" s="25">
        <f t="shared" si="1"/>
        <v>0</v>
      </c>
    </row>
    <row r="39" spans="1:20" x14ac:dyDescent="0.35">
      <c r="A39" s="30">
        <v>5</v>
      </c>
      <c r="B39" t="s">
        <v>228</v>
      </c>
      <c r="C39" s="30"/>
      <c r="D39" s="48" t="s">
        <v>94</v>
      </c>
      <c r="E39" s="49">
        <v>2800</v>
      </c>
      <c r="F39" s="50">
        <v>3.1</v>
      </c>
      <c r="G39" s="51">
        <f t="shared" si="0"/>
        <v>8680</v>
      </c>
      <c r="H39" s="36"/>
      <c r="I39" s="14" t="s">
        <v>185</v>
      </c>
      <c r="J39" s="19">
        <v>20365</v>
      </c>
      <c r="P39" s="22">
        <v>36</v>
      </c>
      <c r="Q39" s="24" t="s">
        <v>47</v>
      </c>
      <c r="R39" s="25"/>
      <c r="S39" s="26">
        <f t="shared" si="2"/>
        <v>0</v>
      </c>
      <c r="T39" s="25">
        <f t="shared" si="1"/>
        <v>0</v>
      </c>
    </row>
    <row r="40" spans="1:20" x14ac:dyDescent="0.35">
      <c r="A40" s="30">
        <v>6</v>
      </c>
      <c r="B40" s="48" t="s">
        <v>89</v>
      </c>
      <c r="C40" s="1">
        <v>5</v>
      </c>
      <c r="D40" s="48" t="s">
        <v>26</v>
      </c>
      <c r="E40" s="49">
        <v>1000</v>
      </c>
      <c r="F40" s="50">
        <v>0.1</v>
      </c>
      <c r="G40" s="51">
        <f t="shared" si="0"/>
        <v>100</v>
      </c>
      <c r="I40" s="14" t="s">
        <v>116</v>
      </c>
      <c r="J40" s="19">
        <v>21080</v>
      </c>
      <c r="P40" s="22">
        <v>37</v>
      </c>
      <c r="Q40" s="24" t="s">
        <v>48</v>
      </c>
      <c r="R40" s="25"/>
      <c r="S40" s="26">
        <f t="shared" si="2"/>
        <v>0</v>
      </c>
      <c r="T40" s="25">
        <f t="shared" si="1"/>
        <v>0</v>
      </c>
    </row>
    <row r="41" spans="1:20" x14ac:dyDescent="0.35">
      <c r="A41" s="30">
        <v>6</v>
      </c>
      <c r="B41" s="48" t="s">
        <v>89</v>
      </c>
      <c r="D41" s="48" t="s">
        <v>94</v>
      </c>
      <c r="E41" s="49">
        <v>2800</v>
      </c>
      <c r="F41" s="50">
        <v>0.1</v>
      </c>
      <c r="G41" s="51">
        <f t="shared" si="0"/>
        <v>280</v>
      </c>
      <c r="I41" s="14" t="s">
        <v>250</v>
      </c>
      <c r="J41" s="19">
        <v>32357.5</v>
      </c>
      <c r="P41" s="22">
        <v>38</v>
      </c>
      <c r="Q41" s="24" t="s">
        <v>49</v>
      </c>
      <c r="R41" s="25"/>
      <c r="S41" s="26">
        <f t="shared" si="2"/>
        <v>0</v>
      </c>
      <c r="T41" s="25">
        <f t="shared" si="1"/>
        <v>0</v>
      </c>
    </row>
    <row r="42" spans="1:20" x14ac:dyDescent="0.35">
      <c r="A42" s="30">
        <v>6</v>
      </c>
      <c r="B42" s="48" t="s">
        <v>89</v>
      </c>
      <c r="D42" s="48" t="s">
        <v>60</v>
      </c>
      <c r="E42" s="49">
        <v>2500</v>
      </c>
      <c r="F42" s="50">
        <v>0.2</v>
      </c>
      <c r="G42" s="51">
        <f t="shared" si="0"/>
        <v>500</v>
      </c>
      <c r="I42" s="14" t="s">
        <v>118</v>
      </c>
      <c r="J42" s="19">
        <v>7610</v>
      </c>
      <c r="P42" s="22">
        <v>39</v>
      </c>
      <c r="Q42" s="24" t="s">
        <v>50</v>
      </c>
      <c r="R42" s="25"/>
      <c r="S42" s="26">
        <f t="shared" si="2"/>
        <v>0</v>
      </c>
      <c r="T42" s="25">
        <f t="shared" si="1"/>
        <v>0</v>
      </c>
    </row>
    <row r="43" spans="1:20" x14ac:dyDescent="0.35">
      <c r="A43" s="30">
        <v>6</v>
      </c>
      <c r="B43" s="48" t="s">
        <v>89</v>
      </c>
      <c r="D43" s="48" t="s">
        <v>28</v>
      </c>
      <c r="E43" s="49">
        <v>3500</v>
      </c>
      <c r="F43" s="50">
        <v>0.7</v>
      </c>
      <c r="G43" s="51">
        <f t="shared" si="0"/>
        <v>2450</v>
      </c>
      <c r="I43" s="14" t="s">
        <v>215</v>
      </c>
      <c r="J43" s="19">
        <v>4475</v>
      </c>
      <c r="P43" s="22">
        <v>40</v>
      </c>
      <c r="Q43" s="24" t="s">
        <v>51</v>
      </c>
      <c r="R43" s="25"/>
      <c r="S43" s="26">
        <f t="shared" si="2"/>
        <v>30.849999999999998</v>
      </c>
      <c r="T43" s="25">
        <f t="shared" si="1"/>
        <v>0</v>
      </c>
    </row>
    <row r="44" spans="1:20" x14ac:dyDescent="0.35">
      <c r="A44" s="30">
        <v>6</v>
      </c>
      <c r="B44" s="48" t="s">
        <v>89</v>
      </c>
      <c r="D44" s="48" t="s">
        <v>53</v>
      </c>
      <c r="E44" s="49">
        <v>300</v>
      </c>
      <c r="F44" s="50">
        <v>1.1000000000000001</v>
      </c>
      <c r="G44" s="51">
        <f t="shared" si="0"/>
        <v>330</v>
      </c>
      <c r="I44" s="14" t="s">
        <v>274</v>
      </c>
      <c r="J44" s="19">
        <v>0</v>
      </c>
      <c r="P44" s="22">
        <v>41</v>
      </c>
      <c r="Q44" s="24" t="s">
        <v>52</v>
      </c>
      <c r="R44" s="25"/>
      <c r="S44" s="26">
        <f t="shared" si="2"/>
        <v>0</v>
      </c>
      <c r="T44" s="25">
        <f t="shared" si="1"/>
        <v>0</v>
      </c>
    </row>
    <row r="45" spans="1:20" x14ac:dyDescent="0.35">
      <c r="A45" s="30">
        <v>6</v>
      </c>
      <c r="B45" s="48" t="s">
        <v>89</v>
      </c>
      <c r="D45" s="48" t="s">
        <v>94</v>
      </c>
      <c r="E45" s="49">
        <v>2800</v>
      </c>
      <c r="F45" s="50">
        <v>0.75</v>
      </c>
      <c r="G45" s="51">
        <f t="shared" si="0"/>
        <v>2100</v>
      </c>
      <c r="I45" s="14" t="s">
        <v>232</v>
      </c>
      <c r="J45" s="19">
        <v>7500</v>
      </c>
      <c r="P45" s="22">
        <v>42</v>
      </c>
      <c r="Q45" s="24" t="s">
        <v>53</v>
      </c>
      <c r="R45" s="25"/>
      <c r="S45" s="26">
        <f t="shared" si="2"/>
        <v>71.949999999999989</v>
      </c>
      <c r="T45" s="25">
        <f t="shared" si="1"/>
        <v>0</v>
      </c>
    </row>
    <row r="46" spans="1:20" x14ac:dyDescent="0.35">
      <c r="A46" s="30">
        <v>6</v>
      </c>
      <c r="B46" s="48" t="s">
        <v>89</v>
      </c>
      <c r="D46" s="48" t="s">
        <v>41</v>
      </c>
      <c r="E46" s="49">
        <v>1000</v>
      </c>
      <c r="F46" s="50">
        <v>9.1999999999999993</v>
      </c>
      <c r="G46" s="51">
        <f t="shared" si="0"/>
        <v>9200</v>
      </c>
      <c r="I46" s="14" t="s">
        <v>265</v>
      </c>
      <c r="J46" s="19">
        <v>81705</v>
      </c>
      <c r="P46" s="22">
        <v>43</v>
      </c>
      <c r="Q46" s="24" t="s">
        <v>54</v>
      </c>
      <c r="R46" s="25"/>
      <c r="S46" s="26">
        <f t="shared" si="2"/>
        <v>4</v>
      </c>
      <c r="T46" s="25">
        <f t="shared" si="1"/>
        <v>0</v>
      </c>
    </row>
    <row r="47" spans="1:20" x14ac:dyDescent="0.35">
      <c r="A47" s="30">
        <v>7</v>
      </c>
      <c r="B47" s="48" t="s">
        <v>250</v>
      </c>
      <c r="C47" s="1" t="s">
        <v>251</v>
      </c>
      <c r="D47" s="48" t="s">
        <v>34</v>
      </c>
      <c r="E47" s="49">
        <v>4000</v>
      </c>
      <c r="F47" s="50">
        <v>1.55</v>
      </c>
      <c r="G47" s="51">
        <f t="shared" si="0"/>
        <v>6200</v>
      </c>
      <c r="I47" s="14" t="s">
        <v>245</v>
      </c>
      <c r="J47" s="19">
        <v>10080</v>
      </c>
      <c r="P47" s="22">
        <v>44</v>
      </c>
      <c r="Q47" s="24" t="s">
        <v>266</v>
      </c>
      <c r="R47" s="25"/>
      <c r="S47" s="26">
        <f t="shared" si="2"/>
        <v>0.6</v>
      </c>
      <c r="T47" s="25">
        <f t="shared" si="1"/>
        <v>0</v>
      </c>
    </row>
    <row r="48" spans="1:20" x14ac:dyDescent="0.35">
      <c r="A48" s="30">
        <v>7</v>
      </c>
      <c r="B48" s="48" t="s">
        <v>250</v>
      </c>
      <c r="D48" s="48" t="s">
        <v>18</v>
      </c>
      <c r="E48" s="49">
        <v>150</v>
      </c>
      <c r="F48" s="50">
        <v>0.45</v>
      </c>
      <c r="G48" s="51">
        <f t="shared" si="0"/>
        <v>67.5</v>
      </c>
      <c r="I48" s="14" t="s">
        <v>119</v>
      </c>
      <c r="J48" s="19">
        <v>6307.5</v>
      </c>
      <c r="P48" s="22">
        <v>45</v>
      </c>
      <c r="Q48" s="24" t="s">
        <v>55</v>
      </c>
      <c r="R48" s="25"/>
      <c r="S48" s="26">
        <f t="shared" si="2"/>
        <v>0</v>
      </c>
      <c r="T48" s="25">
        <f t="shared" si="1"/>
        <v>0</v>
      </c>
    </row>
    <row r="49" spans="1:20" x14ac:dyDescent="0.35">
      <c r="A49" s="30">
        <v>7</v>
      </c>
      <c r="B49" s="48" t="s">
        <v>250</v>
      </c>
      <c r="D49" s="48" t="s">
        <v>39</v>
      </c>
      <c r="E49" s="49">
        <v>1500</v>
      </c>
      <c r="F49" s="50">
        <v>0.3</v>
      </c>
      <c r="G49" s="51">
        <f t="shared" si="0"/>
        <v>450</v>
      </c>
      <c r="I49" s="14" t="s">
        <v>186</v>
      </c>
      <c r="J49" s="19">
        <v>11505</v>
      </c>
      <c r="P49" s="22">
        <v>46</v>
      </c>
      <c r="Q49" s="24" t="s">
        <v>56</v>
      </c>
      <c r="R49" s="25"/>
      <c r="S49" s="26">
        <f t="shared" si="2"/>
        <v>1.6</v>
      </c>
      <c r="T49" s="25">
        <f t="shared" si="1"/>
        <v>0</v>
      </c>
    </row>
    <row r="50" spans="1:20" x14ac:dyDescent="0.35">
      <c r="A50" s="30">
        <v>7</v>
      </c>
      <c r="B50" s="48" t="s">
        <v>250</v>
      </c>
      <c r="D50" s="48" t="s">
        <v>51</v>
      </c>
      <c r="E50" s="49">
        <v>500</v>
      </c>
      <c r="F50" s="50">
        <v>0.85</v>
      </c>
      <c r="G50" s="51">
        <f t="shared" si="0"/>
        <v>425</v>
      </c>
      <c r="I50" s="14" t="s">
        <v>231</v>
      </c>
      <c r="J50" s="19">
        <v>10600</v>
      </c>
      <c r="P50" s="22">
        <v>47</v>
      </c>
      <c r="Q50" s="24" t="s">
        <v>57</v>
      </c>
      <c r="R50" s="25"/>
      <c r="S50" s="26">
        <f t="shared" si="2"/>
        <v>1.4000000000000001</v>
      </c>
      <c r="T50" s="25">
        <f t="shared" si="1"/>
        <v>0</v>
      </c>
    </row>
    <row r="51" spans="1:20" x14ac:dyDescent="0.35">
      <c r="A51" s="30">
        <v>7</v>
      </c>
      <c r="B51" s="48" t="s">
        <v>250</v>
      </c>
      <c r="D51" s="48" t="s">
        <v>94</v>
      </c>
      <c r="E51" s="49">
        <v>2800</v>
      </c>
      <c r="F51" s="50">
        <v>3.65</v>
      </c>
      <c r="G51" s="51">
        <f t="shared" si="0"/>
        <v>10220</v>
      </c>
      <c r="I51" s="14" t="s">
        <v>190</v>
      </c>
      <c r="J51" s="19">
        <v>17615</v>
      </c>
      <c r="P51" s="22">
        <v>48</v>
      </c>
      <c r="Q51" s="24" t="s">
        <v>58</v>
      </c>
      <c r="R51" s="25"/>
      <c r="S51" s="26">
        <f t="shared" si="2"/>
        <v>0</v>
      </c>
      <c r="T51" s="25">
        <f t="shared" si="1"/>
        <v>0</v>
      </c>
    </row>
    <row r="52" spans="1:20" x14ac:dyDescent="0.35">
      <c r="A52" s="30">
        <v>7</v>
      </c>
      <c r="B52" s="48" t="s">
        <v>250</v>
      </c>
      <c r="D52" s="48" t="s">
        <v>29</v>
      </c>
      <c r="E52" s="49">
        <v>1600</v>
      </c>
      <c r="F52" s="50">
        <v>0.7</v>
      </c>
      <c r="G52" s="51">
        <f t="shared" si="0"/>
        <v>1120</v>
      </c>
      <c r="I52" s="14" t="s">
        <v>228</v>
      </c>
      <c r="J52" s="19">
        <v>51497.5</v>
      </c>
      <c r="P52" s="22">
        <v>49</v>
      </c>
      <c r="Q52" s="24" t="s">
        <v>59</v>
      </c>
      <c r="R52" s="25"/>
      <c r="S52" s="26">
        <f t="shared" si="2"/>
        <v>0</v>
      </c>
      <c r="T52" s="25">
        <f t="shared" si="1"/>
        <v>0</v>
      </c>
    </row>
    <row r="53" spans="1:20" x14ac:dyDescent="0.35">
      <c r="A53" s="30">
        <v>7</v>
      </c>
      <c r="B53" s="48" t="s">
        <v>250</v>
      </c>
      <c r="D53" s="48" t="s">
        <v>53</v>
      </c>
      <c r="E53" s="49">
        <v>300</v>
      </c>
      <c r="F53" s="50">
        <v>0.95</v>
      </c>
      <c r="G53" s="51">
        <f t="shared" si="0"/>
        <v>285</v>
      </c>
      <c r="I53" s="14" t="s">
        <v>270</v>
      </c>
      <c r="J53" s="19">
        <v>300</v>
      </c>
      <c r="P53" s="22">
        <v>50</v>
      </c>
      <c r="Q53" s="24" t="s">
        <v>60</v>
      </c>
      <c r="R53" s="25"/>
      <c r="S53" s="26">
        <f t="shared" si="2"/>
        <v>6.25</v>
      </c>
      <c r="T53" s="25">
        <f t="shared" si="1"/>
        <v>0</v>
      </c>
    </row>
    <row r="54" spans="1:20" x14ac:dyDescent="0.35">
      <c r="A54" s="30">
        <v>7</v>
      </c>
      <c r="B54" s="48" t="s">
        <v>250</v>
      </c>
      <c r="D54" s="48" t="s">
        <v>25</v>
      </c>
      <c r="E54" s="49">
        <v>1000</v>
      </c>
      <c r="F54" s="50">
        <f>4.7+0.1</f>
        <v>4.8</v>
      </c>
      <c r="G54" s="51">
        <f t="shared" si="0"/>
        <v>4800</v>
      </c>
      <c r="I54" s="14" t="s">
        <v>269</v>
      </c>
      <c r="J54" s="19">
        <v>885</v>
      </c>
      <c r="P54" s="22">
        <v>51</v>
      </c>
      <c r="Q54" s="24" t="s">
        <v>61</v>
      </c>
      <c r="R54" s="25"/>
      <c r="S54" s="26">
        <f t="shared" si="2"/>
        <v>0.6</v>
      </c>
      <c r="T54" s="25">
        <f t="shared" si="1"/>
        <v>0</v>
      </c>
    </row>
    <row r="55" spans="1:20" x14ac:dyDescent="0.35">
      <c r="A55" s="30">
        <v>7</v>
      </c>
      <c r="B55" s="48" t="s">
        <v>250</v>
      </c>
      <c r="D55" s="48" t="s">
        <v>54</v>
      </c>
      <c r="E55" s="49">
        <v>800</v>
      </c>
      <c r="F55" s="50">
        <v>0.3</v>
      </c>
      <c r="G55" s="51">
        <f t="shared" si="0"/>
        <v>240</v>
      </c>
      <c r="I55" s="14" t="s">
        <v>120</v>
      </c>
      <c r="J55" s="19">
        <v>7520</v>
      </c>
      <c r="P55" s="22">
        <v>52</v>
      </c>
      <c r="Q55" s="24" t="s">
        <v>62</v>
      </c>
      <c r="R55" s="25"/>
      <c r="S55" s="26">
        <f t="shared" si="2"/>
        <v>0</v>
      </c>
      <c r="T55" s="25">
        <f t="shared" si="1"/>
        <v>0</v>
      </c>
    </row>
    <row r="56" spans="1:20" x14ac:dyDescent="0.35">
      <c r="A56" s="30">
        <v>7</v>
      </c>
      <c r="B56" s="48" t="s">
        <v>250</v>
      </c>
      <c r="D56" s="48" t="s">
        <v>41</v>
      </c>
      <c r="E56" s="49">
        <v>1000</v>
      </c>
      <c r="F56" s="50">
        <v>8.5500000000000007</v>
      </c>
      <c r="G56" s="51">
        <f t="shared" si="0"/>
        <v>8550</v>
      </c>
      <c r="I56" s="14" t="s">
        <v>121</v>
      </c>
      <c r="J56" s="19">
        <v>23055</v>
      </c>
      <c r="P56" s="22">
        <v>53</v>
      </c>
      <c r="Q56" s="24" t="s">
        <v>63</v>
      </c>
      <c r="R56" s="25"/>
      <c r="S56" s="26">
        <f t="shared" si="2"/>
        <v>0</v>
      </c>
      <c r="T56" s="25">
        <f t="shared" si="1"/>
        <v>0</v>
      </c>
    </row>
    <row r="57" spans="1:20" x14ac:dyDescent="0.35">
      <c r="A57" s="30">
        <v>8</v>
      </c>
      <c r="B57" s="48" t="s">
        <v>253</v>
      </c>
      <c r="C57" s="1">
        <v>5</v>
      </c>
      <c r="D57" t="s">
        <v>11</v>
      </c>
      <c r="E57" s="49">
        <v>8000</v>
      </c>
      <c r="F57" s="50">
        <v>0.15</v>
      </c>
      <c r="G57" s="51">
        <f t="shared" si="0"/>
        <v>1200</v>
      </c>
      <c r="I57" s="14" t="s">
        <v>272</v>
      </c>
      <c r="J57" s="19">
        <v>495</v>
      </c>
      <c r="P57" s="47">
        <v>54</v>
      </c>
      <c r="Q57" s="24" t="s">
        <v>263</v>
      </c>
      <c r="R57" s="25"/>
      <c r="S57" s="26">
        <f t="shared" si="2"/>
        <v>0.1</v>
      </c>
      <c r="T57" s="25">
        <f t="shared" si="1"/>
        <v>0</v>
      </c>
    </row>
    <row r="58" spans="1:20" x14ac:dyDescent="0.35">
      <c r="A58" s="30">
        <v>8</v>
      </c>
      <c r="B58" s="48" t="s">
        <v>253</v>
      </c>
      <c r="D58" s="48" t="s">
        <v>100</v>
      </c>
      <c r="E58" s="49">
        <v>1400</v>
      </c>
      <c r="F58" s="50">
        <v>19.8</v>
      </c>
      <c r="G58" s="51">
        <f t="shared" si="0"/>
        <v>27720</v>
      </c>
      <c r="I58" s="14" t="s">
        <v>273</v>
      </c>
      <c r="J58" s="19">
        <v>3700</v>
      </c>
      <c r="P58" s="24"/>
      <c r="Q58" s="24"/>
      <c r="R58" s="27" t="s">
        <v>135</v>
      </c>
      <c r="S58" s="27">
        <f>SUM(S4:S57)</f>
        <v>718.15</v>
      </c>
      <c r="T58" s="28">
        <f>SUM(T4:T57)</f>
        <v>0</v>
      </c>
    </row>
    <row r="59" spans="1:20" x14ac:dyDescent="0.35">
      <c r="A59" s="30">
        <v>8</v>
      </c>
      <c r="B59" s="48" t="s">
        <v>253</v>
      </c>
      <c r="D59" s="48" t="s">
        <v>13</v>
      </c>
      <c r="E59" s="49">
        <v>200</v>
      </c>
      <c r="F59" s="50">
        <v>0.35</v>
      </c>
      <c r="G59" s="51">
        <f t="shared" si="0"/>
        <v>70</v>
      </c>
      <c r="I59" s="14" t="s">
        <v>271</v>
      </c>
      <c r="J59" s="19">
        <v>4800</v>
      </c>
    </row>
    <row r="60" spans="1:20" x14ac:dyDescent="0.35">
      <c r="A60" s="30">
        <v>8</v>
      </c>
      <c r="B60" s="48" t="s">
        <v>253</v>
      </c>
      <c r="D60" s="48" t="s">
        <v>53</v>
      </c>
      <c r="E60" s="49">
        <v>300</v>
      </c>
      <c r="F60" s="50">
        <v>0.3</v>
      </c>
      <c r="G60" s="51">
        <f t="shared" si="0"/>
        <v>90</v>
      </c>
      <c r="I60" s="14" t="s">
        <v>124</v>
      </c>
      <c r="J60" s="19">
        <v>881622.5</v>
      </c>
    </row>
    <row r="61" spans="1:20" x14ac:dyDescent="0.35">
      <c r="A61" s="30">
        <v>8</v>
      </c>
      <c r="B61" s="48" t="s">
        <v>253</v>
      </c>
      <c r="D61" s="48" t="s">
        <v>94</v>
      </c>
      <c r="E61" s="49">
        <v>2800</v>
      </c>
      <c r="F61" s="50">
        <v>2.85</v>
      </c>
      <c r="G61" s="51">
        <f t="shared" si="0"/>
        <v>7980</v>
      </c>
    </row>
    <row r="62" spans="1:20" x14ac:dyDescent="0.35">
      <c r="A62" s="30">
        <v>8</v>
      </c>
      <c r="B62" s="48" t="s">
        <v>253</v>
      </c>
      <c r="D62" s="48" t="s">
        <v>60</v>
      </c>
      <c r="E62" s="49">
        <v>2500</v>
      </c>
      <c r="F62" s="50">
        <v>0.25</v>
      </c>
      <c r="G62" s="51">
        <f t="shared" si="0"/>
        <v>625</v>
      </c>
    </row>
    <row r="63" spans="1:20" x14ac:dyDescent="0.35">
      <c r="A63" s="30">
        <v>8</v>
      </c>
      <c r="B63" s="48" t="s">
        <v>253</v>
      </c>
      <c r="D63" s="48" t="s">
        <v>26</v>
      </c>
      <c r="E63" s="49">
        <v>1000</v>
      </c>
      <c r="F63" s="50">
        <v>1.1499999999999999</v>
      </c>
      <c r="G63" s="51">
        <f t="shared" si="0"/>
        <v>1150</v>
      </c>
    </row>
    <row r="64" spans="1:20" x14ac:dyDescent="0.35">
      <c r="A64" s="30">
        <v>8</v>
      </c>
      <c r="B64" s="48" t="s">
        <v>253</v>
      </c>
      <c r="D64" s="48" t="s">
        <v>51</v>
      </c>
      <c r="E64" s="49">
        <v>500</v>
      </c>
      <c r="F64" s="50">
        <v>2.4</v>
      </c>
      <c r="G64" s="51">
        <f t="shared" si="0"/>
        <v>1200</v>
      </c>
    </row>
    <row r="65" spans="1:9" x14ac:dyDescent="0.35">
      <c r="A65" s="30">
        <v>8</v>
      </c>
      <c r="B65" s="48" t="s">
        <v>253</v>
      </c>
      <c r="D65" s="48" t="s">
        <v>126</v>
      </c>
      <c r="E65" s="49">
        <v>1800</v>
      </c>
      <c r="F65" s="50">
        <v>5.2</v>
      </c>
      <c r="G65" s="51">
        <f t="shared" si="0"/>
        <v>9360</v>
      </c>
      <c r="I65" s="14"/>
    </row>
    <row r="66" spans="1:9" x14ac:dyDescent="0.35">
      <c r="A66" s="30">
        <v>8</v>
      </c>
      <c r="B66" s="48" t="s">
        <v>253</v>
      </c>
      <c r="D66" s="48" t="s">
        <v>39</v>
      </c>
      <c r="E66" s="49">
        <v>1500</v>
      </c>
      <c r="F66" s="50">
        <v>0.85</v>
      </c>
      <c r="G66" s="51">
        <f t="shared" si="0"/>
        <v>1275</v>
      </c>
      <c r="I66" s="5"/>
    </row>
    <row r="67" spans="1:9" x14ac:dyDescent="0.35">
      <c r="A67" s="30">
        <v>8</v>
      </c>
      <c r="B67" s="48" t="s">
        <v>253</v>
      </c>
      <c r="D67" s="48" t="s">
        <v>18</v>
      </c>
      <c r="E67" s="49">
        <v>150</v>
      </c>
      <c r="F67" s="50">
        <v>5.95</v>
      </c>
      <c r="G67" s="51">
        <f t="shared" ref="G67:G130" si="3">E67*F67</f>
        <v>892.5</v>
      </c>
    </row>
    <row r="68" spans="1:9" x14ac:dyDescent="0.35">
      <c r="A68" s="30">
        <v>8</v>
      </c>
      <c r="B68" s="48" t="s">
        <v>253</v>
      </c>
      <c r="D68" s="48" t="s">
        <v>25</v>
      </c>
      <c r="E68" s="49">
        <v>1000</v>
      </c>
      <c r="F68" s="50">
        <v>17.05</v>
      </c>
      <c r="G68" s="51">
        <f t="shared" si="3"/>
        <v>17050</v>
      </c>
    </row>
    <row r="69" spans="1:9" x14ac:dyDescent="0.35">
      <c r="A69" s="30">
        <v>8</v>
      </c>
      <c r="B69" s="48" t="s">
        <v>253</v>
      </c>
      <c r="D69" s="48" t="s">
        <v>41</v>
      </c>
      <c r="E69" s="49">
        <v>1000</v>
      </c>
      <c r="F69" s="50">
        <v>13.15</v>
      </c>
      <c r="G69" s="51">
        <f t="shared" si="3"/>
        <v>13150</v>
      </c>
    </row>
    <row r="70" spans="1:9" x14ac:dyDescent="0.35">
      <c r="A70" s="30">
        <v>9</v>
      </c>
      <c r="B70" s="48" t="s">
        <v>117</v>
      </c>
      <c r="C70" s="1">
        <v>4</v>
      </c>
      <c r="D70" s="48" t="s">
        <v>15</v>
      </c>
      <c r="E70" s="49">
        <v>2500</v>
      </c>
      <c r="F70" s="50">
        <v>8.15</v>
      </c>
      <c r="G70" s="51">
        <f t="shared" si="3"/>
        <v>20375</v>
      </c>
    </row>
    <row r="71" spans="1:9" x14ac:dyDescent="0.35">
      <c r="A71" s="30">
        <v>9</v>
      </c>
      <c r="B71" s="48" t="s">
        <v>117</v>
      </c>
      <c r="D71" s="48" t="s">
        <v>29</v>
      </c>
      <c r="E71" s="49">
        <v>1600</v>
      </c>
      <c r="F71" s="50">
        <v>0.1</v>
      </c>
      <c r="G71" s="51">
        <f t="shared" si="3"/>
        <v>160</v>
      </c>
    </row>
    <row r="72" spans="1:9" x14ac:dyDescent="0.35">
      <c r="A72" s="30">
        <v>9</v>
      </c>
      <c r="B72" s="48" t="s">
        <v>117</v>
      </c>
      <c r="D72" s="48" t="s">
        <v>18</v>
      </c>
      <c r="E72" s="49">
        <v>150</v>
      </c>
      <c r="F72" s="50">
        <v>1.35</v>
      </c>
      <c r="G72" s="51">
        <f t="shared" si="3"/>
        <v>202.5</v>
      </c>
    </row>
    <row r="73" spans="1:9" x14ac:dyDescent="0.35">
      <c r="A73" s="30">
        <v>9</v>
      </c>
      <c r="B73" s="48" t="s">
        <v>117</v>
      </c>
      <c r="D73" s="48" t="s">
        <v>126</v>
      </c>
      <c r="E73" s="49">
        <v>1800</v>
      </c>
      <c r="F73" s="50">
        <v>1.1000000000000001</v>
      </c>
      <c r="G73" s="51">
        <f t="shared" si="3"/>
        <v>1980.0000000000002</v>
      </c>
    </row>
    <row r="74" spans="1:9" x14ac:dyDescent="0.35">
      <c r="A74" s="30">
        <v>9</v>
      </c>
      <c r="B74" s="48" t="s">
        <v>117</v>
      </c>
      <c r="D74" s="48" t="s">
        <v>27</v>
      </c>
      <c r="E74" s="49">
        <v>2500</v>
      </c>
      <c r="F74" s="50">
        <v>0.7</v>
      </c>
      <c r="G74" s="51">
        <f t="shared" si="3"/>
        <v>1750</v>
      </c>
    </row>
    <row r="75" spans="1:9" x14ac:dyDescent="0.35">
      <c r="A75" s="30">
        <v>9</v>
      </c>
      <c r="B75" s="48" t="s">
        <v>117</v>
      </c>
      <c r="D75" s="48" t="s">
        <v>60</v>
      </c>
      <c r="E75" s="49">
        <v>2500</v>
      </c>
      <c r="F75" s="50">
        <v>0.35</v>
      </c>
      <c r="G75" s="51">
        <f t="shared" si="3"/>
        <v>875</v>
      </c>
    </row>
    <row r="76" spans="1:9" x14ac:dyDescent="0.35">
      <c r="A76" s="30">
        <v>9</v>
      </c>
      <c r="B76" s="48" t="s">
        <v>117</v>
      </c>
      <c r="D76" s="48" t="s">
        <v>25</v>
      </c>
      <c r="E76" s="49">
        <v>1000</v>
      </c>
      <c r="F76" s="50">
        <v>1.8</v>
      </c>
      <c r="G76" s="51">
        <f t="shared" si="3"/>
        <v>1800</v>
      </c>
    </row>
    <row r="77" spans="1:9" x14ac:dyDescent="0.35">
      <c r="A77" s="30">
        <v>9</v>
      </c>
      <c r="B77" s="48" t="s">
        <v>117</v>
      </c>
      <c r="D77" s="48" t="s">
        <v>13</v>
      </c>
      <c r="E77" s="49">
        <v>200</v>
      </c>
      <c r="F77" s="50">
        <v>0.6</v>
      </c>
      <c r="G77" s="51">
        <f t="shared" si="3"/>
        <v>120</v>
      </c>
    </row>
    <row r="78" spans="1:9" x14ac:dyDescent="0.35">
      <c r="A78" s="30">
        <v>9</v>
      </c>
      <c r="B78" s="48" t="s">
        <v>117</v>
      </c>
      <c r="D78" s="48" t="s">
        <v>53</v>
      </c>
      <c r="E78" s="49">
        <v>300</v>
      </c>
      <c r="F78" s="50">
        <v>0.55000000000000004</v>
      </c>
      <c r="G78" s="51">
        <f t="shared" si="3"/>
        <v>165</v>
      </c>
    </row>
    <row r="79" spans="1:9" x14ac:dyDescent="0.35">
      <c r="A79" s="30">
        <v>9</v>
      </c>
      <c r="B79" s="48" t="s">
        <v>117</v>
      </c>
      <c r="D79" s="48" t="s">
        <v>94</v>
      </c>
      <c r="E79" s="49">
        <v>2800</v>
      </c>
      <c r="F79" s="50">
        <v>1.85</v>
      </c>
      <c r="G79" s="51">
        <f t="shared" si="3"/>
        <v>5180</v>
      </c>
    </row>
    <row r="80" spans="1:9" x14ac:dyDescent="0.35">
      <c r="A80" s="30">
        <v>9</v>
      </c>
      <c r="B80" s="48" t="s">
        <v>117</v>
      </c>
      <c r="D80" s="48" t="s">
        <v>41</v>
      </c>
      <c r="E80" s="49">
        <v>1000</v>
      </c>
      <c r="F80" s="50">
        <v>7.95</v>
      </c>
      <c r="G80" s="51">
        <f t="shared" si="3"/>
        <v>7950</v>
      </c>
    </row>
    <row r="81" spans="1:7" x14ac:dyDescent="0.35">
      <c r="A81" s="30">
        <v>10</v>
      </c>
      <c r="B81" s="48" t="s">
        <v>108</v>
      </c>
      <c r="C81" s="1">
        <v>4</v>
      </c>
      <c r="D81" s="48" t="s">
        <v>53</v>
      </c>
      <c r="E81" s="49">
        <v>300</v>
      </c>
      <c r="F81" s="50">
        <v>0.2</v>
      </c>
      <c r="G81" s="51">
        <f t="shared" si="3"/>
        <v>60</v>
      </c>
    </row>
    <row r="82" spans="1:7" x14ac:dyDescent="0.35">
      <c r="A82" s="30">
        <v>10</v>
      </c>
      <c r="B82" s="48" t="s">
        <v>108</v>
      </c>
      <c r="D82" s="48" t="s">
        <v>34</v>
      </c>
      <c r="E82" s="49">
        <v>4000</v>
      </c>
      <c r="F82" s="50">
        <v>1.1000000000000001</v>
      </c>
      <c r="G82" s="51">
        <f t="shared" si="3"/>
        <v>4400</v>
      </c>
    </row>
    <row r="83" spans="1:7" x14ac:dyDescent="0.35">
      <c r="A83" s="30">
        <v>10</v>
      </c>
      <c r="B83" s="48" t="s">
        <v>108</v>
      </c>
      <c r="D83" s="48" t="s">
        <v>18</v>
      </c>
      <c r="E83" s="49">
        <v>150</v>
      </c>
      <c r="F83" s="50">
        <v>0.4</v>
      </c>
      <c r="G83" s="51">
        <f t="shared" si="3"/>
        <v>60</v>
      </c>
    </row>
    <row r="84" spans="1:7" x14ac:dyDescent="0.35">
      <c r="A84" s="30">
        <v>10</v>
      </c>
      <c r="B84" s="48" t="s">
        <v>108</v>
      </c>
      <c r="D84" s="48" t="s">
        <v>39</v>
      </c>
      <c r="E84" s="49">
        <v>1500</v>
      </c>
      <c r="F84" s="50">
        <v>0.15</v>
      </c>
      <c r="G84" s="51">
        <f t="shared" si="3"/>
        <v>225</v>
      </c>
    </row>
    <row r="85" spans="1:7" x14ac:dyDescent="0.35">
      <c r="A85" s="30">
        <v>10</v>
      </c>
      <c r="B85" s="48" t="s">
        <v>108</v>
      </c>
      <c r="D85" s="48" t="s">
        <v>25</v>
      </c>
      <c r="E85" s="49">
        <v>1000</v>
      </c>
      <c r="F85" s="50">
        <v>0.2</v>
      </c>
      <c r="G85" s="51">
        <f t="shared" si="3"/>
        <v>200</v>
      </c>
    </row>
    <row r="86" spans="1:7" x14ac:dyDescent="0.35">
      <c r="A86" s="30">
        <v>10</v>
      </c>
      <c r="B86" s="48" t="s">
        <v>108</v>
      </c>
      <c r="D86" s="48" t="s">
        <v>22</v>
      </c>
      <c r="E86" s="49">
        <v>1600</v>
      </c>
      <c r="F86" s="50">
        <v>0.05</v>
      </c>
      <c r="G86" s="51">
        <f t="shared" si="3"/>
        <v>80</v>
      </c>
    </row>
    <row r="87" spans="1:7" x14ac:dyDescent="0.35">
      <c r="A87" s="30">
        <v>10</v>
      </c>
      <c r="B87" s="48" t="s">
        <v>108</v>
      </c>
      <c r="D87" s="48" t="s">
        <v>94</v>
      </c>
      <c r="E87" s="49">
        <v>2800</v>
      </c>
      <c r="F87" s="50">
        <v>2.4500000000000002</v>
      </c>
      <c r="G87" s="51">
        <f t="shared" si="3"/>
        <v>6860.0000000000009</v>
      </c>
    </row>
    <row r="88" spans="1:7" x14ac:dyDescent="0.35">
      <c r="A88" s="30">
        <v>10</v>
      </c>
      <c r="B88" s="48" t="s">
        <v>116</v>
      </c>
      <c r="C88" s="1">
        <v>3</v>
      </c>
      <c r="D88" s="48" t="s">
        <v>51</v>
      </c>
      <c r="E88" s="49">
        <v>500</v>
      </c>
      <c r="F88" s="50">
        <v>1.3</v>
      </c>
      <c r="G88" s="51">
        <f t="shared" si="3"/>
        <v>650</v>
      </c>
    </row>
    <row r="89" spans="1:7" x14ac:dyDescent="0.35">
      <c r="A89" s="30">
        <v>10</v>
      </c>
      <c r="B89" s="48" t="s">
        <v>116</v>
      </c>
      <c r="D89" s="48" t="s">
        <v>60</v>
      </c>
      <c r="E89" s="49">
        <v>2500</v>
      </c>
      <c r="F89" s="50">
        <v>0.3</v>
      </c>
      <c r="G89" s="51">
        <f t="shared" si="3"/>
        <v>750</v>
      </c>
    </row>
    <row r="90" spans="1:7" x14ac:dyDescent="0.35">
      <c r="A90" s="30">
        <v>10</v>
      </c>
      <c r="B90" s="48" t="s">
        <v>116</v>
      </c>
      <c r="D90" s="48" t="s">
        <v>25</v>
      </c>
      <c r="E90" s="49">
        <v>1000</v>
      </c>
      <c r="F90" s="50">
        <v>0.35</v>
      </c>
      <c r="G90" s="51">
        <f t="shared" si="3"/>
        <v>350</v>
      </c>
    </row>
    <row r="91" spans="1:7" x14ac:dyDescent="0.35">
      <c r="A91" s="30">
        <v>10</v>
      </c>
      <c r="B91" s="48" t="s">
        <v>116</v>
      </c>
      <c r="D91" s="48" t="s">
        <v>18</v>
      </c>
      <c r="E91" s="49">
        <v>150</v>
      </c>
      <c r="F91" s="50">
        <v>2.2000000000000002</v>
      </c>
      <c r="G91" s="51">
        <f t="shared" si="3"/>
        <v>330</v>
      </c>
    </row>
    <row r="92" spans="1:7" x14ac:dyDescent="0.35">
      <c r="A92" s="30">
        <v>10</v>
      </c>
      <c r="B92" s="48" t="s">
        <v>116</v>
      </c>
      <c r="D92" s="48" t="s">
        <v>28</v>
      </c>
      <c r="E92" s="49">
        <v>3500</v>
      </c>
      <c r="F92" s="50">
        <v>0.15</v>
      </c>
      <c r="G92" s="51">
        <f t="shared" si="3"/>
        <v>525</v>
      </c>
    </row>
    <row r="93" spans="1:7" x14ac:dyDescent="0.35">
      <c r="A93" s="30">
        <v>10</v>
      </c>
      <c r="B93" s="48" t="s">
        <v>116</v>
      </c>
      <c r="D93" s="48" t="s">
        <v>13</v>
      </c>
      <c r="E93" s="49">
        <v>200</v>
      </c>
      <c r="F93" s="50">
        <v>0.35</v>
      </c>
      <c r="G93" s="51">
        <f t="shared" si="3"/>
        <v>70</v>
      </c>
    </row>
    <row r="94" spans="1:7" x14ac:dyDescent="0.35">
      <c r="A94" s="30">
        <v>10</v>
      </c>
      <c r="B94" s="48" t="s">
        <v>116</v>
      </c>
      <c r="D94" s="48" t="s">
        <v>53</v>
      </c>
      <c r="E94" s="49">
        <v>300</v>
      </c>
      <c r="F94" s="50">
        <v>0.75</v>
      </c>
      <c r="G94" s="51">
        <f t="shared" si="3"/>
        <v>225</v>
      </c>
    </row>
    <row r="95" spans="1:7" x14ac:dyDescent="0.35">
      <c r="A95" s="30">
        <v>10</v>
      </c>
      <c r="B95" s="48" t="s">
        <v>116</v>
      </c>
      <c r="D95" s="48" t="s">
        <v>26</v>
      </c>
      <c r="E95" s="49">
        <v>1000</v>
      </c>
      <c r="F95" s="50">
        <v>0.95</v>
      </c>
      <c r="G95" s="51">
        <f t="shared" si="3"/>
        <v>950</v>
      </c>
    </row>
    <row r="96" spans="1:7" x14ac:dyDescent="0.35">
      <c r="A96" s="30">
        <v>10</v>
      </c>
      <c r="B96" s="48" t="s">
        <v>116</v>
      </c>
      <c r="D96" s="48" t="s">
        <v>39</v>
      </c>
      <c r="E96" s="49">
        <v>1500</v>
      </c>
      <c r="F96" s="50">
        <v>0.4</v>
      </c>
      <c r="G96" s="51">
        <f t="shared" si="3"/>
        <v>600</v>
      </c>
    </row>
    <row r="97" spans="1:7" x14ac:dyDescent="0.35">
      <c r="A97" s="30">
        <v>10</v>
      </c>
      <c r="B97" s="48" t="s">
        <v>116</v>
      </c>
      <c r="D97" s="48" t="s">
        <v>94</v>
      </c>
      <c r="E97" s="49">
        <v>2800</v>
      </c>
      <c r="F97" s="50">
        <v>1.35</v>
      </c>
      <c r="G97" s="51">
        <f t="shared" si="3"/>
        <v>3780.0000000000005</v>
      </c>
    </row>
    <row r="98" spans="1:7" x14ac:dyDescent="0.35">
      <c r="A98" s="30">
        <v>10</v>
      </c>
      <c r="B98" s="48" t="s">
        <v>116</v>
      </c>
      <c r="D98" s="48" t="s">
        <v>41</v>
      </c>
      <c r="E98" s="49">
        <v>1000</v>
      </c>
      <c r="F98" s="50">
        <v>12.85</v>
      </c>
      <c r="G98" s="51">
        <f t="shared" si="3"/>
        <v>12850</v>
      </c>
    </row>
    <row r="99" spans="1:7" x14ac:dyDescent="0.35">
      <c r="A99" s="30">
        <v>12</v>
      </c>
      <c r="B99" s="48" t="s">
        <v>119</v>
      </c>
      <c r="C99" s="1">
        <v>4</v>
      </c>
      <c r="D99" s="48" t="s">
        <v>18</v>
      </c>
      <c r="E99" s="49">
        <v>150</v>
      </c>
      <c r="F99" s="50">
        <v>0.75</v>
      </c>
      <c r="G99" s="51">
        <f t="shared" si="3"/>
        <v>112.5</v>
      </c>
    </row>
    <row r="100" spans="1:7" x14ac:dyDescent="0.35">
      <c r="A100" s="30">
        <v>12</v>
      </c>
      <c r="B100" s="48" t="s">
        <v>119</v>
      </c>
      <c r="D100" s="48" t="s">
        <v>53</v>
      </c>
      <c r="E100" s="49">
        <v>300</v>
      </c>
      <c r="F100" s="50">
        <v>1.65</v>
      </c>
      <c r="G100" s="51">
        <f t="shared" si="3"/>
        <v>495</v>
      </c>
    </row>
    <row r="101" spans="1:7" x14ac:dyDescent="0.35">
      <c r="A101" s="30">
        <v>12</v>
      </c>
      <c r="B101" s="48" t="s">
        <v>119</v>
      </c>
      <c r="D101" s="48" t="s">
        <v>26</v>
      </c>
      <c r="E101" s="49">
        <v>1000</v>
      </c>
      <c r="F101" s="50">
        <v>1.4</v>
      </c>
      <c r="G101" s="51">
        <f t="shared" si="3"/>
        <v>1400</v>
      </c>
    </row>
    <row r="102" spans="1:7" x14ac:dyDescent="0.35">
      <c r="A102" s="30">
        <v>12</v>
      </c>
      <c r="B102" s="48" t="s">
        <v>119</v>
      </c>
      <c r="D102" s="48" t="s">
        <v>41</v>
      </c>
      <c r="E102" s="49">
        <v>1000</v>
      </c>
      <c r="F102" s="50">
        <v>4.3</v>
      </c>
      <c r="G102" s="51">
        <f t="shared" si="3"/>
        <v>4300</v>
      </c>
    </row>
    <row r="103" spans="1:7" x14ac:dyDescent="0.35">
      <c r="A103" s="30">
        <v>13</v>
      </c>
      <c r="B103" s="48" t="s">
        <v>176</v>
      </c>
      <c r="C103" s="1">
        <v>2</v>
      </c>
      <c r="D103" s="48" t="s">
        <v>126</v>
      </c>
      <c r="E103" s="49">
        <v>1800</v>
      </c>
      <c r="F103" s="50">
        <v>0.4</v>
      </c>
      <c r="G103" s="51">
        <f t="shared" si="3"/>
        <v>720</v>
      </c>
    </row>
    <row r="104" spans="1:7" x14ac:dyDescent="0.35">
      <c r="A104" s="30">
        <v>13</v>
      </c>
      <c r="B104" s="48" t="s">
        <v>176</v>
      </c>
      <c r="D104" s="48" t="s">
        <v>18</v>
      </c>
      <c r="E104" s="49">
        <v>150</v>
      </c>
      <c r="F104" s="50">
        <v>1.25</v>
      </c>
      <c r="G104" s="51">
        <f t="shared" si="3"/>
        <v>187.5</v>
      </c>
    </row>
    <row r="105" spans="1:7" x14ac:dyDescent="0.35">
      <c r="A105" s="30">
        <v>13</v>
      </c>
      <c r="B105" s="48" t="s">
        <v>176</v>
      </c>
      <c r="D105" s="48" t="s">
        <v>61</v>
      </c>
      <c r="E105" s="49">
        <v>3500</v>
      </c>
      <c r="F105" s="50">
        <v>0.1</v>
      </c>
      <c r="G105" s="51">
        <f t="shared" si="3"/>
        <v>350</v>
      </c>
    </row>
    <row r="106" spans="1:7" x14ac:dyDescent="0.35">
      <c r="A106" s="30">
        <v>13</v>
      </c>
      <c r="B106" s="48" t="s">
        <v>176</v>
      </c>
      <c r="D106" s="48" t="s">
        <v>60</v>
      </c>
      <c r="E106" s="49">
        <v>2500</v>
      </c>
      <c r="F106" s="50">
        <v>0.15</v>
      </c>
      <c r="G106" s="51">
        <f t="shared" si="3"/>
        <v>375</v>
      </c>
    </row>
    <row r="107" spans="1:7" x14ac:dyDescent="0.35">
      <c r="A107" s="30">
        <v>13</v>
      </c>
      <c r="B107" s="48" t="s">
        <v>176</v>
      </c>
      <c r="D107" s="48" t="s">
        <v>53</v>
      </c>
      <c r="E107" s="49">
        <v>300</v>
      </c>
      <c r="F107" s="50">
        <v>0.95</v>
      </c>
      <c r="G107" s="51">
        <f t="shared" si="3"/>
        <v>285</v>
      </c>
    </row>
    <row r="108" spans="1:7" x14ac:dyDescent="0.35">
      <c r="A108" s="30">
        <v>13</v>
      </c>
      <c r="B108" s="48" t="s">
        <v>176</v>
      </c>
      <c r="D108" s="48" t="s">
        <v>26</v>
      </c>
      <c r="E108" s="49">
        <v>1000</v>
      </c>
      <c r="F108" s="50">
        <v>2</v>
      </c>
      <c r="G108" s="51">
        <f t="shared" si="3"/>
        <v>2000</v>
      </c>
    </row>
    <row r="109" spans="1:7" x14ac:dyDescent="0.35">
      <c r="A109" s="30">
        <v>13</v>
      </c>
      <c r="B109" s="48" t="s">
        <v>176</v>
      </c>
      <c r="D109" s="48" t="s">
        <v>41</v>
      </c>
      <c r="E109" s="49">
        <v>1000</v>
      </c>
      <c r="F109" s="50">
        <v>0.4</v>
      </c>
      <c r="G109" s="51">
        <f t="shared" si="3"/>
        <v>400</v>
      </c>
    </row>
    <row r="110" spans="1:7" x14ac:dyDescent="0.35">
      <c r="A110" s="30">
        <v>13</v>
      </c>
      <c r="B110" s="48" t="s">
        <v>176</v>
      </c>
      <c r="D110" s="48" t="s">
        <v>51</v>
      </c>
      <c r="E110" s="49">
        <v>500</v>
      </c>
      <c r="F110" s="50">
        <v>1.2</v>
      </c>
      <c r="G110" s="51">
        <f t="shared" si="3"/>
        <v>600</v>
      </c>
    </row>
    <row r="111" spans="1:7" x14ac:dyDescent="0.35">
      <c r="A111" s="30">
        <v>13</v>
      </c>
      <c r="B111" s="48" t="s">
        <v>176</v>
      </c>
      <c r="D111" s="48" t="s">
        <v>94</v>
      </c>
      <c r="E111" s="49">
        <v>2800</v>
      </c>
      <c r="F111" s="50">
        <v>1</v>
      </c>
      <c r="G111" s="51">
        <f t="shared" si="3"/>
        <v>2800</v>
      </c>
    </row>
    <row r="112" spans="1:7" x14ac:dyDescent="0.35">
      <c r="A112" s="30">
        <v>13</v>
      </c>
      <c r="B112" s="48" t="s">
        <v>176</v>
      </c>
      <c r="D112" s="48" t="s">
        <v>25</v>
      </c>
      <c r="E112" s="49">
        <v>1000</v>
      </c>
      <c r="F112" s="50">
        <v>0.75</v>
      </c>
      <c r="G112" s="51">
        <f t="shared" si="3"/>
        <v>750</v>
      </c>
    </row>
    <row r="113" spans="1:7" x14ac:dyDescent="0.35">
      <c r="A113" s="30">
        <v>14</v>
      </c>
      <c r="B113" s="48" t="s">
        <v>107</v>
      </c>
      <c r="C113" s="1">
        <v>2</v>
      </c>
      <c r="D113" s="48" t="s">
        <v>30</v>
      </c>
      <c r="E113" s="49">
        <v>1800</v>
      </c>
      <c r="F113" s="50">
        <v>1</v>
      </c>
      <c r="G113" s="51">
        <f t="shared" si="3"/>
        <v>1800</v>
      </c>
    </row>
    <row r="114" spans="1:7" x14ac:dyDescent="0.35">
      <c r="A114" s="30">
        <v>14</v>
      </c>
      <c r="B114" s="48" t="s">
        <v>107</v>
      </c>
      <c r="D114" s="48" t="s">
        <v>26</v>
      </c>
      <c r="E114" s="49">
        <v>1000</v>
      </c>
      <c r="F114" s="50">
        <v>1.6</v>
      </c>
      <c r="G114" s="51">
        <f t="shared" si="3"/>
        <v>1600</v>
      </c>
    </row>
    <row r="115" spans="1:7" x14ac:dyDescent="0.35">
      <c r="A115" s="30">
        <v>14</v>
      </c>
      <c r="B115" s="48" t="s">
        <v>107</v>
      </c>
      <c r="D115" s="48" t="s">
        <v>60</v>
      </c>
      <c r="E115" s="49">
        <v>2500</v>
      </c>
      <c r="F115" s="50">
        <v>0.15</v>
      </c>
      <c r="G115" s="51">
        <f t="shared" si="3"/>
        <v>375</v>
      </c>
    </row>
    <row r="116" spans="1:7" x14ac:dyDescent="0.35">
      <c r="A116" s="30">
        <v>14</v>
      </c>
      <c r="B116" s="48" t="s">
        <v>107</v>
      </c>
      <c r="D116" s="48" t="s">
        <v>53</v>
      </c>
      <c r="E116" s="49">
        <v>300</v>
      </c>
      <c r="F116" s="50">
        <v>0.2</v>
      </c>
      <c r="G116" s="51">
        <f t="shared" si="3"/>
        <v>60</v>
      </c>
    </row>
    <row r="117" spans="1:7" x14ac:dyDescent="0.35">
      <c r="A117" s="30">
        <v>14</v>
      </c>
      <c r="B117" s="48" t="s">
        <v>107</v>
      </c>
      <c r="D117" s="48" t="s">
        <v>41</v>
      </c>
      <c r="E117" s="49">
        <v>1000</v>
      </c>
      <c r="F117" s="50">
        <v>0.6</v>
      </c>
      <c r="G117" s="51">
        <f t="shared" si="3"/>
        <v>600</v>
      </c>
    </row>
    <row r="118" spans="1:7" x14ac:dyDescent="0.35">
      <c r="A118" s="30">
        <v>14</v>
      </c>
      <c r="B118" s="48" t="s">
        <v>107</v>
      </c>
      <c r="D118" s="48" t="s">
        <v>51</v>
      </c>
      <c r="E118" s="49">
        <v>500</v>
      </c>
      <c r="F118" s="50">
        <v>0.55000000000000004</v>
      </c>
      <c r="G118" s="51">
        <f t="shared" si="3"/>
        <v>275</v>
      </c>
    </row>
    <row r="119" spans="1:7" x14ac:dyDescent="0.35">
      <c r="A119" s="30">
        <v>14</v>
      </c>
      <c r="B119" s="48" t="s">
        <v>107</v>
      </c>
      <c r="D119" s="48" t="s">
        <v>125</v>
      </c>
      <c r="E119" s="49">
        <v>800</v>
      </c>
      <c r="F119" s="50">
        <v>4</v>
      </c>
      <c r="G119" s="51">
        <f t="shared" si="3"/>
        <v>3200</v>
      </c>
    </row>
    <row r="120" spans="1:7" x14ac:dyDescent="0.35">
      <c r="A120" s="30">
        <v>15</v>
      </c>
      <c r="B120" s="48" t="s">
        <v>121</v>
      </c>
      <c r="C120" s="1">
        <v>2</v>
      </c>
      <c r="D120" s="48" t="s">
        <v>94</v>
      </c>
      <c r="E120" s="49">
        <v>2800</v>
      </c>
      <c r="F120" s="50">
        <v>2.1</v>
      </c>
      <c r="G120" s="51">
        <f t="shared" si="3"/>
        <v>5880</v>
      </c>
    </row>
    <row r="121" spans="1:7" x14ac:dyDescent="0.35">
      <c r="A121" s="30">
        <v>15</v>
      </c>
      <c r="B121" s="48" t="s">
        <v>121</v>
      </c>
      <c r="D121" s="48" t="s">
        <v>54</v>
      </c>
      <c r="E121" s="49">
        <v>800</v>
      </c>
      <c r="F121" s="50">
        <v>0.2</v>
      </c>
      <c r="G121" s="51">
        <f t="shared" si="3"/>
        <v>160</v>
      </c>
    </row>
    <row r="122" spans="1:7" x14ac:dyDescent="0.35">
      <c r="A122" s="30">
        <v>15</v>
      </c>
      <c r="B122" s="48" t="s">
        <v>121</v>
      </c>
      <c r="D122" s="48" t="s">
        <v>25</v>
      </c>
      <c r="E122" s="49">
        <v>1000</v>
      </c>
      <c r="F122" s="50">
        <v>0.45</v>
      </c>
      <c r="G122" s="51">
        <f t="shared" si="3"/>
        <v>450</v>
      </c>
    </row>
    <row r="123" spans="1:7" x14ac:dyDescent="0.35">
      <c r="A123" s="30">
        <v>15</v>
      </c>
      <c r="B123" s="48" t="s">
        <v>121</v>
      </c>
      <c r="D123" s="48" t="s">
        <v>41</v>
      </c>
      <c r="E123" s="49">
        <v>1000</v>
      </c>
      <c r="F123" s="50">
        <v>5.0999999999999996</v>
      </c>
      <c r="G123" s="51">
        <f t="shared" si="3"/>
        <v>5100</v>
      </c>
    </row>
    <row r="124" spans="1:7" x14ac:dyDescent="0.35">
      <c r="A124" s="30">
        <v>15</v>
      </c>
      <c r="B124" s="48" t="s">
        <v>121</v>
      </c>
      <c r="D124" s="48" t="s">
        <v>100</v>
      </c>
      <c r="E124" s="49">
        <v>1400</v>
      </c>
      <c r="F124" s="50">
        <v>6.1</v>
      </c>
      <c r="G124" s="51">
        <f t="shared" si="3"/>
        <v>8540</v>
      </c>
    </row>
    <row r="125" spans="1:7" x14ac:dyDescent="0.35">
      <c r="A125" s="30">
        <v>15</v>
      </c>
      <c r="B125" s="48" t="s">
        <v>121</v>
      </c>
      <c r="D125" s="48" t="s">
        <v>51</v>
      </c>
      <c r="E125" s="49">
        <v>500</v>
      </c>
      <c r="F125" s="50">
        <v>0.85</v>
      </c>
      <c r="G125" s="51">
        <f t="shared" si="3"/>
        <v>425</v>
      </c>
    </row>
    <row r="126" spans="1:7" x14ac:dyDescent="0.35">
      <c r="A126" s="30">
        <v>15</v>
      </c>
      <c r="B126" s="48" t="s">
        <v>121</v>
      </c>
      <c r="D126" s="48" t="s">
        <v>60</v>
      </c>
      <c r="E126" s="49">
        <v>2500</v>
      </c>
      <c r="F126" s="50">
        <v>1</v>
      </c>
      <c r="G126" s="51">
        <f t="shared" si="3"/>
        <v>2500</v>
      </c>
    </row>
    <row r="127" spans="1:7" x14ac:dyDescent="0.35">
      <c r="A127" s="30">
        <v>16</v>
      </c>
      <c r="B127" s="48" t="s">
        <v>90</v>
      </c>
      <c r="C127" s="1">
        <v>4</v>
      </c>
      <c r="D127" s="48" t="s">
        <v>26</v>
      </c>
      <c r="E127" s="49">
        <v>1000</v>
      </c>
      <c r="F127" s="50">
        <v>2.1</v>
      </c>
      <c r="G127" s="51">
        <f t="shared" si="3"/>
        <v>2100</v>
      </c>
    </row>
    <row r="128" spans="1:7" x14ac:dyDescent="0.35">
      <c r="A128" s="30">
        <v>16</v>
      </c>
      <c r="B128" s="48" t="s">
        <v>90</v>
      </c>
      <c r="D128" s="48" t="s">
        <v>27</v>
      </c>
      <c r="E128" s="49">
        <v>2500</v>
      </c>
      <c r="F128" s="50">
        <v>0.7</v>
      </c>
      <c r="G128" s="51">
        <f t="shared" si="3"/>
        <v>1750</v>
      </c>
    </row>
    <row r="129" spans="1:7" x14ac:dyDescent="0.35">
      <c r="A129" s="30">
        <v>16</v>
      </c>
      <c r="B129" s="48" t="s">
        <v>90</v>
      </c>
      <c r="D129" s="48" t="s">
        <v>41</v>
      </c>
      <c r="E129" s="49">
        <v>1000</v>
      </c>
      <c r="F129" s="50">
        <v>2.2000000000000002</v>
      </c>
      <c r="G129" s="51">
        <f t="shared" si="3"/>
        <v>2200</v>
      </c>
    </row>
    <row r="130" spans="1:7" x14ac:dyDescent="0.35">
      <c r="A130" s="30">
        <v>16</v>
      </c>
      <c r="B130" s="48" t="s">
        <v>90</v>
      </c>
      <c r="D130" s="48" t="s">
        <v>94</v>
      </c>
      <c r="E130" s="49">
        <v>2800</v>
      </c>
      <c r="F130" s="50">
        <v>1.1499999999999999</v>
      </c>
      <c r="G130" s="51">
        <f t="shared" si="3"/>
        <v>3219.9999999999995</v>
      </c>
    </row>
    <row r="131" spans="1:7" x14ac:dyDescent="0.35">
      <c r="A131" s="30">
        <v>17</v>
      </c>
      <c r="B131" s="48" t="s">
        <v>110</v>
      </c>
      <c r="C131" s="1">
        <v>4</v>
      </c>
      <c r="D131" s="48" t="s">
        <v>94</v>
      </c>
      <c r="E131" s="49">
        <v>2800</v>
      </c>
      <c r="F131" s="50">
        <v>0.6</v>
      </c>
      <c r="G131" s="51">
        <f t="shared" ref="G131:G194" si="4">E131*F131</f>
        <v>1680</v>
      </c>
    </row>
    <row r="132" spans="1:7" x14ac:dyDescent="0.35">
      <c r="A132" s="30">
        <v>17</v>
      </c>
      <c r="B132" s="48" t="s">
        <v>110</v>
      </c>
      <c r="D132" s="48" t="s">
        <v>41</v>
      </c>
      <c r="E132" s="49">
        <v>1000</v>
      </c>
      <c r="F132" s="50">
        <v>1.2</v>
      </c>
      <c r="G132" s="51">
        <f t="shared" si="4"/>
        <v>1200</v>
      </c>
    </row>
    <row r="133" spans="1:7" x14ac:dyDescent="0.35">
      <c r="A133" s="30">
        <v>17</v>
      </c>
      <c r="B133" s="48" t="s">
        <v>110</v>
      </c>
      <c r="D133" s="48" t="s">
        <v>25</v>
      </c>
      <c r="E133" s="49">
        <v>1000</v>
      </c>
      <c r="F133" s="50">
        <v>0.7</v>
      </c>
      <c r="G133" s="51">
        <f t="shared" si="4"/>
        <v>700</v>
      </c>
    </row>
    <row r="134" spans="1:7" x14ac:dyDescent="0.35">
      <c r="A134" s="30">
        <v>17</v>
      </c>
      <c r="B134" s="48" t="s">
        <v>110</v>
      </c>
      <c r="D134" s="48" t="s">
        <v>51</v>
      </c>
      <c r="E134" s="49">
        <v>500</v>
      </c>
      <c r="F134" s="50">
        <v>0.1</v>
      </c>
      <c r="G134" s="51">
        <f t="shared" si="4"/>
        <v>50</v>
      </c>
    </row>
    <row r="135" spans="1:7" x14ac:dyDescent="0.35">
      <c r="A135" s="30">
        <v>17</v>
      </c>
      <c r="B135" s="48" t="s">
        <v>110</v>
      </c>
      <c r="D135" s="48" t="s">
        <v>53</v>
      </c>
      <c r="E135" s="49">
        <v>300</v>
      </c>
      <c r="F135" s="50">
        <v>0.4</v>
      </c>
      <c r="G135" s="51">
        <f t="shared" si="4"/>
        <v>120</v>
      </c>
    </row>
    <row r="136" spans="1:7" x14ac:dyDescent="0.35">
      <c r="A136" s="30">
        <v>18</v>
      </c>
      <c r="B136" s="48" t="s">
        <v>105</v>
      </c>
      <c r="C136" s="1">
        <v>4</v>
      </c>
      <c r="D136" s="48" t="s">
        <v>39</v>
      </c>
      <c r="E136" s="49">
        <v>1500</v>
      </c>
      <c r="F136" s="50">
        <v>0.25</v>
      </c>
      <c r="G136" s="51">
        <f t="shared" si="4"/>
        <v>375</v>
      </c>
    </row>
    <row r="137" spans="1:7" x14ac:dyDescent="0.35">
      <c r="A137" s="30">
        <v>18</v>
      </c>
      <c r="B137" s="48" t="s">
        <v>105</v>
      </c>
      <c r="D137" s="48" t="s">
        <v>18</v>
      </c>
      <c r="E137" s="49">
        <v>150</v>
      </c>
      <c r="F137" s="50">
        <v>1.2</v>
      </c>
      <c r="G137" s="51">
        <f t="shared" si="4"/>
        <v>180</v>
      </c>
    </row>
    <row r="138" spans="1:7" x14ac:dyDescent="0.35">
      <c r="A138" s="30">
        <v>18</v>
      </c>
      <c r="B138" s="48" t="s">
        <v>105</v>
      </c>
      <c r="D138" s="48" t="s">
        <v>39</v>
      </c>
      <c r="E138" s="49">
        <v>1500</v>
      </c>
      <c r="F138" s="50">
        <v>0.35</v>
      </c>
      <c r="G138" s="51">
        <f t="shared" si="4"/>
        <v>525</v>
      </c>
    </row>
    <row r="139" spans="1:7" x14ac:dyDescent="0.35">
      <c r="A139" s="30">
        <v>18</v>
      </c>
      <c r="B139" s="48" t="s">
        <v>105</v>
      </c>
      <c r="D139" s="48" t="s">
        <v>51</v>
      </c>
      <c r="E139" s="49">
        <v>500</v>
      </c>
      <c r="F139" s="50">
        <v>0.2</v>
      </c>
      <c r="G139" s="51">
        <f t="shared" si="4"/>
        <v>100</v>
      </c>
    </row>
    <row r="140" spans="1:7" x14ac:dyDescent="0.35">
      <c r="A140" s="30">
        <v>18</v>
      </c>
      <c r="B140" s="48" t="s">
        <v>105</v>
      </c>
      <c r="D140" s="48" t="s">
        <v>53</v>
      </c>
      <c r="E140" s="49">
        <v>300</v>
      </c>
      <c r="F140" s="50">
        <v>1.45</v>
      </c>
      <c r="G140" s="51">
        <f t="shared" si="4"/>
        <v>435</v>
      </c>
    </row>
    <row r="141" spans="1:7" x14ac:dyDescent="0.35">
      <c r="A141" s="30">
        <v>19</v>
      </c>
      <c r="B141" s="48" t="s">
        <v>109</v>
      </c>
      <c r="C141" s="1">
        <v>4</v>
      </c>
      <c r="D141" s="48" t="s">
        <v>126</v>
      </c>
      <c r="E141" s="49">
        <v>1800</v>
      </c>
      <c r="F141" s="50">
        <v>0.55000000000000004</v>
      </c>
      <c r="G141" s="51">
        <f t="shared" si="4"/>
        <v>990.00000000000011</v>
      </c>
    </row>
    <row r="142" spans="1:7" x14ac:dyDescent="0.35">
      <c r="A142" s="30">
        <v>19</v>
      </c>
      <c r="B142" s="48" t="s">
        <v>109</v>
      </c>
      <c r="D142" s="48" t="s">
        <v>25</v>
      </c>
      <c r="E142" s="49">
        <v>1000</v>
      </c>
      <c r="F142" s="50">
        <v>0.45</v>
      </c>
      <c r="G142" s="51">
        <f t="shared" si="4"/>
        <v>450</v>
      </c>
    </row>
    <row r="143" spans="1:7" x14ac:dyDescent="0.35">
      <c r="A143" s="30">
        <v>19</v>
      </c>
      <c r="B143" s="48" t="s">
        <v>109</v>
      </c>
      <c r="D143" s="48" t="s">
        <v>94</v>
      </c>
      <c r="E143" s="49">
        <v>2800</v>
      </c>
      <c r="F143" s="50">
        <v>1.3</v>
      </c>
      <c r="G143" s="51">
        <f t="shared" si="4"/>
        <v>3640</v>
      </c>
    </row>
    <row r="144" spans="1:7" x14ac:dyDescent="0.35">
      <c r="A144" s="30">
        <v>19</v>
      </c>
      <c r="B144" s="48" t="s">
        <v>109</v>
      </c>
      <c r="D144" s="48" t="s">
        <v>26</v>
      </c>
      <c r="E144" s="49">
        <v>1000</v>
      </c>
      <c r="F144" s="50">
        <v>1.55</v>
      </c>
      <c r="G144" s="51">
        <f t="shared" si="4"/>
        <v>1550</v>
      </c>
    </row>
    <row r="145" spans="1:7" x14ac:dyDescent="0.35">
      <c r="A145" s="30">
        <v>19</v>
      </c>
      <c r="B145" s="48" t="s">
        <v>109</v>
      </c>
      <c r="D145" s="48" t="s">
        <v>39</v>
      </c>
      <c r="E145" s="49">
        <v>1500</v>
      </c>
      <c r="F145" s="50">
        <v>0.35</v>
      </c>
      <c r="G145" s="51">
        <f t="shared" si="4"/>
        <v>525</v>
      </c>
    </row>
    <row r="146" spans="1:7" x14ac:dyDescent="0.35">
      <c r="A146" s="30">
        <v>19</v>
      </c>
      <c r="B146" s="48" t="s">
        <v>109</v>
      </c>
      <c r="D146" s="48" t="s">
        <v>53</v>
      </c>
      <c r="E146" s="49">
        <v>300</v>
      </c>
      <c r="F146" s="50">
        <v>0.35</v>
      </c>
      <c r="G146" s="51">
        <f t="shared" si="4"/>
        <v>105</v>
      </c>
    </row>
    <row r="147" spans="1:7" x14ac:dyDescent="0.35">
      <c r="A147" s="30">
        <v>19</v>
      </c>
      <c r="B147" s="48" t="s">
        <v>109</v>
      </c>
      <c r="D147" s="48" t="s">
        <v>51</v>
      </c>
      <c r="E147" s="49">
        <v>500</v>
      </c>
      <c r="F147" s="50">
        <v>0.3</v>
      </c>
      <c r="G147" s="51">
        <f t="shared" si="4"/>
        <v>150</v>
      </c>
    </row>
    <row r="148" spans="1:7" x14ac:dyDescent="0.35">
      <c r="A148" s="30">
        <v>19</v>
      </c>
      <c r="B148" s="48" t="s">
        <v>109</v>
      </c>
      <c r="D148" s="48" t="s">
        <v>13</v>
      </c>
      <c r="E148" s="49">
        <v>200</v>
      </c>
      <c r="F148" s="50">
        <v>0.6</v>
      </c>
      <c r="G148" s="51">
        <f t="shared" si="4"/>
        <v>120</v>
      </c>
    </row>
    <row r="149" spans="1:7" x14ac:dyDescent="0.35">
      <c r="A149" s="30">
        <v>19</v>
      </c>
      <c r="B149" s="48" t="s">
        <v>109</v>
      </c>
      <c r="D149" s="48" t="s">
        <v>28</v>
      </c>
      <c r="E149" s="49">
        <v>3500</v>
      </c>
      <c r="F149" s="50">
        <v>0.7</v>
      </c>
      <c r="G149" s="51">
        <f t="shared" si="4"/>
        <v>2450</v>
      </c>
    </row>
    <row r="150" spans="1:7" x14ac:dyDescent="0.35">
      <c r="A150" s="30">
        <v>19</v>
      </c>
      <c r="B150" s="48" t="s">
        <v>109</v>
      </c>
      <c r="D150" s="48" t="s">
        <v>41</v>
      </c>
      <c r="E150" s="49">
        <v>1000</v>
      </c>
      <c r="F150" s="50">
        <v>1.8</v>
      </c>
      <c r="G150" s="51">
        <f t="shared" si="4"/>
        <v>1800</v>
      </c>
    </row>
    <row r="151" spans="1:7" x14ac:dyDescent="0.35">
      <c r="A151" s="30">
        <v>19</v>
      </c>
      <c r="B151" s="48" t="s">
        <v>109</v>
      </c>
      <c r="D151" s="48" t="s">
        <v>18</v>
      </c>
      <c r="E151" s="49">
        <v>150</v>
      </c>
      <c r="F151" s="50">
        <v>6.3</v>
      </c>
      <c r="G151" s="51">
        <f t="shared" si="4"/>
        <v>945</v>
      </c>
    </row>
    <row r="152" spans="1:7" x14ac:dyDescent="0.35">
      <c r="A152" s="30">
        <v>20</v>
      </c>
      <c r="B152" s="48" t="s">
        <v>196</v>
      </c>
      <c r="C152" s="1">
        <v>4</v>
      </c>
      <c r="D152" s="48" t="s">
        <v>28</v>
      </c>
      <c r="E152" s="49">
        <v>3500</v>
      </c>
      <c r="F152" s="50">
        <v>2.0499999999999998</v>
      </c>
      <c r="G152" s="51">
        <f t="shared" si="4"/>
        <v>7174.9999999999991</v>
      </c>
    </row>
    <row r="153" spans="1:7" x14ac:dyDescent="0.35">
      <c r="A153" s="30">
        <v>20</v>
      </c>
      <c r="B153" s="48" t="s">
        <v>196</v>
      </c>
      <c r="D153" s="48" t="s">
        <v>126</v>
      </c>
      <c r="E153" s="49">
        <v>1800</v>
      </c>
      <c r="F153" s="50">
        <v>0.55000000000000004</v>
      </c>
      <c r="G153" s="51">
        <f t="shared" si="4"/>
        <v>990.00000000000011</v>
      </c>
    </row>
    <row r="154" spans="1:7" x14ac:dyDescent="0.35">
      <c r="A154" s="30">
        <v>20</v>
      </c>
      <c r="B154" s="48" t="s">
        <v>196</v>
      </c>
      <c r="D154" s="48" t="s">
        <v>39</v>
      </c>
      <c r="E154" s="49">
        <v>1500</v>
      </c>
      <c r="F154" s="50">
        <v>0.15</v>
      </c>
      <c r="G154" s="51">
        <f t="shared" si="4"/>
        <v>225</v>
      </c>
    </row>
    <row r="155" spans="1:7" x14ac:dyDescent="0.35">
      <c r="A155" s="30">
        <v>20</v>
      </c>
      <c r="B155" s="48" t="s">
        <v>196</v>
      </c>
      <c r="D155" s="48" t="s">
        <v>41</v>
      </c>
      <c r="E155" s="49">
        <v>1000</v>
      </c>
      <c r="F155" s="50">
        <v>5.25</v>
      </c>
      <c r="G155" s="51">
        <f t="shared" si="4"/>
        <v>5250</v>
      </c>
    </row>
    <row r="156" spans="1:7" x14ac:dyDescent="0.35">
      <c r="A156" s="30">
        <v>20</v>
      </c>
      <c r="B156" s="48" t="s">
        <v>196</v>
      </c>
      <c r="D156" s="48" t="s">
        <v>53</v>
      </c>
      <c r="E156" s="49">
        <v>300</v>
      </c>
      <c r="F156" s="50">
        <v>1.1499999999999999</v>
      </c>
      <c r="G156" s="51">
        <f t="shared" si="4"/>
        <v>345</v>
      </c>
    </row>
    <row r="157" spans="1:7" x14ac:dyDescent="0.35">
      <c r="A157" s="30">
        <v>20</v>
      </c>
      <c r="B157" s="48" t="s">
        <v>196</v>
      </c>
      <c r="D157" s="48" t="s">
        <v>13</v>
      </c>
      <c r="E157" s="49">
        <v>200</v>
      </c>
      <c r="F157" s="50">
        <v>0.65</v>
      </c>
      <c r="G157" s="51">
        <f t="shared" si="4"/>
        <v>130</v>
      </c>
    </row>
    <row r="158" spans="1:7" x14ac:dyDescent="0.35">
      <c r="A158" s="30">
        <v>20</v>
      </c>
      <c r="B158" s="48" t="s">
        <v>196</v>
      </c>
      <c r="D158" s="48" t="s">
        <v>26</v>
      </c>
      <c r="E158" s="49">
        <v>1000</v>
      </c>
      <c r="F158" s="50">
        <v>1.05</v>
      </c>
      <c r="G158" s="51">
        <f t="shared" si="4"/>
        <v>1050</v>
      </c>
    </row>
    <row r="159" spans="1:7" x14ac:dyDescent="0.35">
      <c r="A159" s="30">
        <v>20</v>
      </c>
      <c r="B159" s="48" t="s">
        <v>196</v>
      </c>
      <c r="D159" s="48" t="s">
        <v>94</v>
      </c>
      <c r="E159" s="49">
        <v>2800</v>
      </c>
      <c r="F159" s="50">
        <v>2.95</v>
      </c>
      <c r="G159" s="51">
        <f t="shared" si="4"/>
        <v>8260</v>
      </c>
    </row>
    <row r="160" spans="1:7" x14ac:dyDescent="0.35">
      <c r="A160" s="30">
        <v>20</v>
      </c>
      <c r="B160" s="48" t="s">
        <v>196</v>
      </c>
      <c r="D160" s="48" t="s">
        <v>54</v>
      </c>
      <c r="E160" s="49">
        <v>800</v>
      </c>
      <c r="F160" s="50">
        <v>1.85</v>
      </c>
      <c r="G160" s="51">
        <f t="shared" si="4"/>
        <v>1480</v>
      </c>
    </row>
    <row r="161" spans="1:7" x14ac:dyDescent="0.35">
      <c r="A161" s="30">
        <v>21</v>
      </c>
      <c r="B161" s="48" t="s">
        <v>215</v>
      </c>
      <c r="C161" s="1">
        <v>4</v>
      </c>
      <c r="D161" s="48" t="s">
        <v>26</v>
      </c>
      <c r="E161" s="49">
        <v>1000</v>
      </c>
      <c r="F161" s="50">
        <v>1.55</v>
      </c>
      <c r="G161" s="51">
        <f t="shared" si="4"/>
        <v>1550</v>
      </c>
    </row>
    <row r="162" spans="1:7" x14ac:dyDescent="0.35">
      <c r="A162" s="30">
        <v>21</v>
      </c>
      <c r="B162" s="48" t="s">
        <v>215</v>
      </c>
      <c r="D162" s="48" t="s">
        <v>39</v>
      </c>
      <c r="E162" s="49">
        <v>1500</v>
      </c>
      <c r="F162" s="50">
        <v>1.5</v>
      </c>
      <c r="G162" s="51">
        <f t="shared" si="4"/>
        <v>2250</v>
      </c>
    </row>
    <row r="163" spans="1:7" x14ac:dyDescent="0.35">
      <c r="A163" s="30">
        <v>21</v>
      </c>
      <c r="B163" s="48" t="s">
        <v>215</v>
      </c>
      <c r="D163" s="48" t="s">
        <v>53</v>
      </c>
      <c r="E163" s="49">
        <v>300</v>
      </c>
      <c r="F163" s="50">
        <v>1.75</v>
      </c>
      <c r="G163" s="51">
        <f t="shared" si="4"/>
        <v>525</v>
      </c>
    </row>
    <row r="164" spans="1:7" x14ac:dyDescent="0.35">
      <c r="A164" s="30">
        <v>21</v>
      </c>
      <c r="B164" s="48" t="s">
        <v>215</v>
      </c>
      <c r="D164" s="48" t="s">
        <v>51</v>
      </c>
      <c r="E164" s="49">
        <v>500</v>
      </c>
      <c r="F164" s="50">
        <v>0.3</v>
      </c>
      <c r="G164" s="51">
        <f t="shared" si="4"/>
        <v>150</v>
      </c>
    </row>
    <row r="165" spans="1:7" x14ac:dyDescent="0.35">
      <c r="A165" s="30">
        <v>22</v>
      </c>
      <c r="B165" s="48" t="s">
        <v>213</v>
      </c>
      <c r="C165" s="1">
        <v>4</v>
      </c>
      <c r="D165" s="48" t="s">
        <v>13</v>
      </c>
      <c r="E165" s="49">
        <v>200</v>
      </c>
      <c r="F165" s="50">
        <v>0.35</v>
      </c>
      <c r="G165" s="51">
        <f t="shared" si="4"/>
        <v>70</v>
      </c>
    </row>
    <row r="166" spans="1:7" x14ac:dyDescent="0.35">
      <c r="A166" s="30">
        <v>22</v>
      </c>
      <c r="B166" s="48" t="s">
        <v>213</v>
      </c>
      <c r="D166" s="48" t="s">
        <v>54</v>
      </c>
      <c r="E166" s="49">
        <v>800</v>
      </c>
      <c r="F166" s="50">
        <v>0.5</v>
      </c>
      <c r="G166" s="51">
        <f t="shared" si="4"/>
        <v>400</v>
      </c>
    </row>
    <row r="167" spans="1:7" x14ac:dyDescent="0.35">
      <c r="A167" s="30">
        <v>22</v>
      </c>
      <c r="B167" s="48" t="s">
        <v>213</v>
      </c>
      <c r="D167" s="48" t="s">
        <v>18</v>
      </c>
      <c r="E167" s="49">
        <v>150</v>
      </c>
      <c r="F167" s="50">
        <v>0.3</v>
      </c>
      <c r="G167" s="51">
        <f t="shared" si="4"/>
        <v>45</v>
      </c>
    </row>
    <row r="168" spans="1:7" x14ac:dyDescent="0.35">
      <c r="A168" s="30">
        <v>22</v>
      </c>
      <c r="B168" s="48" t="s">
        <v>213</v>
      </c>
      <c r="D168" s="48" t="s">
        <v>15</v>
      </c>
      <c r="E168" s="49">
        <v>2500</v>
      </c>
      <c r="F168" s="50">
        <v>1.6</v>
      </c>
      <c r="G168" s="51">
        <f t="shared" si="4"/>
        <v>4000</v>
      </c>
    </row>
    <row r="169" spans="1:7" x14ac:dyDescent="0.35">
      <c r="A169" s="30">
        <v>22</v>
      </c>
      <c r="B169" s="48" t="s">
        <v>213</v>
      </c>
      <c r="D169" s="48" t="s">
        <v>60</v>
      </c>
      <c r="E169" s="49">
        <v>2500</v>
      </c>
      <c r="F169" s="50">
        <v>0.2</v>
      </c>
      <c r="G169" s="51">
        <f t="shared" si="4"/>
        <v>500</v>
      </c>
    </row>
    <row r="170" spans="1:7" x14ac:dyDescent="0.35">
      <c r="A170" s="30">
        <v>22</v>
      </c>
      <c r="B170" s="48" t="s">
        <v>213</v>
      </c>
      <c r="D170" s="48" t="s">
        <v>29</v>
      </c>
      <c r="E170" s="49">
        <v>1600</v>
      </c>
      <c r="F170" s="50">
        <v>0.15</v>
      </c>
      <c r="G170" s="51">
        <f t="shared" si="4"/>
        <v>240</v>
      </c>
    </row>
    <row r="171" spans="1:7" x14ac:dyDescent="0.35">
      <c r="A171" s="30">
        <v>22</v>
      </c>
      <c r="B171" s="48" t="s">
        <v>213</v>
      </c>
      <c r="D171" s="48" t="s">
        <v>51</v>
      </c>
      <c r="E171" s="49">
        <v>500</v>
      </c>
      <c r="F171" s="50">
        <v>1.05</v>
      </c>
      <c r="G171" s="51">
        <f t="shared" si="4"/>
        <v>525</v>
      </c>
    </row>
    <row r="172" spans="1:7" x14ac:dyDescent="0.35">
      <c r="A172" s="30">
        <v>22</v>
      </c>
      <c r="B172" s="48" t="s">
        <v>213</v>
      </c>
      <c r="D172" s="48" t="s">
        <v>41</v>
      </c>
      <c r="E172" s="49">
        <v>1000</v>
      </c>
      <c r="F172" s="50">
        <v>2.6</v>
      </c>
      <c r="G172" s="51">
        <f t="shared" si="4"/>
        <v>2600</v>
      </c>
    </row>
    <row r="173" spans="1:7" x14ac:dyDescent="0.35">
      <c r="A173" s="30">
        <v>22</v>
      </c>
      <c r="B173" s="48" t="s">
        <v>213</v>
      </c>
      <c r="D173" s="48" t="s">
        <v>53</v>
      </c>
      <c r="E173" s="49">
        <v>300</v>
      </c>
      <c r="F173" s="50">
        <v>2.25</v>
      </c>
      <c r="G173" s="51">
        <f t="shared" si="4"/>
        <v>675</v>
      </c>
    </row>
    <row r="174" spans="1:7" x14ac:dyDescent="0.35">
      <c r="A174" s="30">
        <v>22</v>
      </c>
      <c r="B174" s="48" t="s">
        <v>213</v>
      </c>
      <c r="D174" s="48" t="s">
        <v>25</v>
      </c>
      <c r="E174" s="49">
        <v>1000</v>
      </c>
      <c r="F174" s="50">
        <v>2.4500000000000002</v>
      </c>
      <c r="G174" s="51">
        <f t="shared" si="4"/>
        <v>2450</v>
      </c>
    </row>
    <row r="175" spans="1:7" x14ac:dyDescent="0.35">
      <c r="A175" s="30">
        <v>22</v>
      </c>
      <c r="B175" s="48" t="s">
        <v>213</v>
      </c>
      <c r="D175" s="48" t="s">
        <v>94</v>
      </c>
      <c r="E175" s="49">
        <v>2800</v>
      </c>
      <c r="F175" s="50">
        <v>1.25</v>
      </c>
      <c r="G175" s="51">
        <f t="shared" si="4"/>
        <v>3500</v>
      </c>
    </row>
    <row r="176" spans="1:7" x14ac:dyDescent="0.35">
      <c r="A176" s="30">
        <v>23</v>
      </c>
      <c r="B176" s="48" t="s">
        <v>206</v>
      </c>
      <c r="C176" s="1">
        <v>4</v>
      </c>
      <c r="D176" s="48" t="s">
        <v>26</v>
      </c>
      <c r="E176" s="49">
        <v>1000</v>
      </c>
      <c r="F176" s="50">
        <v>0.45</v>
      </c>
      <c r="G176" s="51">
        <f t="shared" si="4"/>
        <v>450</v>
      </c>
    </row>
    <row r="177" spans="1:8" x14ac:dyDescent="0.35">
      <c r="A177" s="30">
        <v>23</v>
      </c>
      <c r="B177" s="48" t="s">
        <v>206</v>
      </c>
      <c r="D177" s="48" t="s">
        <v>41</v>
      </c>
      <c r="E177" s="49">
        <v>1000</v>
      </c>
      <c r="F177" s="50">
        <v>0.1</v>
      </c>
      <c r="G177" s="51">
        <f t="shared" si="4"/>
        <v>100</v>
      </c>
    </row>
    <row r="178" spans="1:8" x14ac:dyDescent="0.35">
      <c r="A178" s="30">
        <v>23</v>
      </c>
      <c r="B178" s="48" t="s">
        <v>206</v>
      </c>
      <c r="D178" s="48" t="s">
        <v>18</v>
      </c>
      <c r="E178" s="49">
        <v>150</v>
      </c>
      <c r="F178" s="50">
        <v>0.55000000000000004</v>
      </c>
      <c r="G178" s="51">
        <f t="shared" si="4"/>
        <v>82.5</v>
      </c>
    </row>
    <row r="179" spans="1:8" x14ac:dyDescent="0.35">
      <c r="A179" s="30">
        <v>23</v>
      </c>
      <c r="B179" s="48" t="s">
        <v>206</v>
      </c>
      <c r="D179" s="48" t="s">
        <v>39</v>
      </c>
      <c r="E179" s="49">
        <v>1500</v>
      </c>
      <c r="F179" s="50">
        <v>0.7</v>
      </c>
      <c r="G179" s="51">
        <f t="shared" si="4"/>
        <v>1050</v>
      </c>
    </row>
    <row r="180" spans="1:8" x14ac:dyDescent="0.35">
      <c r="A180" s="30">
        <v>23</v>
      </c>
      <c r="B180" s="48" t="s">
        <v>206</v>
      </c>
      <c r="D180" s="48" t="s">
        <v>25</v>
      </c>
      <c r="E180" s="49">
        <v>1000</v>
      </c>
      <c r="F180" s="50">
        <v>0.75</v>
      </c>
      <c r="G180" s="51">
        <f t="shared" si="4"/>
        <v>750</v>
      </c>
    </row>
    <row r="181" spans="1:8" x14ac:dyDescent="0.35">
      <c r="A181" s="30">
        <v>23</v>
      </c>
      <c r="B181" s="48" t="s">
        <v>206</v>
      </c>
      <c r="D181" t="s">
        <v>11</v>
      </c>
      <c r="E181" s="49">
        <v>8000</v>
      </c>
      <c r="F181" s="50">
        <v>0.05</v>
      </c>
      <c r="G181" s="51">
        <f t="shared" si="4"/>
        <v>400</v>
      </c>
    </row>
    <row r="182" spans="1:8" x14ac:dyDescent="0.35">
      <c r="A182" s="30">
        <v>23</v>
      </c>
      <c r="B182" s="48" t="s">
        <v>206</v>
      </c>
      <c r="D182" s="48" t="s">
        <v>51</v>
      </c>
      <c r="E182" s="49">
        <v>500</v>
      </c>
      <c r="F182" s="50">
        <v>1.4</v>
      </c>
      <c r="G182" s="51">
        <f t="shared" si="4"/>
        <v>700</v>
      </c>
    </row>
    <row r="183" spans="1:8" x14ac:dyDescent="0.35">
      <c r="A183" s="30">
        <v>23</v>
      </c>
      <c r="B183" s="48" t="s">
        <v>206</v>
      </c>
      <c r="D183" s="48" t="s">
        <v>53</v>
      </c>
      <c r="E183" s="49">
        <v>300</v>
      </c>
      <c r="F183" s="50">
        <v>0.3</v>
      </c>
      <c r="G183" s="51">
        <f t="shared" si="4"/>
        <v>90</v>
      </c>
    </row>
    <row r="184" spans="1:8" x14ac:dyDescent="0.35">
      <c r="A184" s="30">
        <v>23</v>
      </c>
      <c r="B184" s="48" t="s">
        <v>206</v>
      </c>
      <c r="D184" s="48" t="s">
        <v>54</v>
      </c>
      <c r="E184" s="49">
        <v>800</v>
      </c>
      <c r="F184" s="50">
        <v>0.1</v>
      </c>
      <c r="G184" s="51">
        <f t="shared" si="4"/>
        <v>80</v>
      </c>
    </row>
    <row r="185" spans="1:8" x14ac:dyDescent="0.35">
      <c r="A185" s="30">
        <v>23</v>
      </c>
      <c r="B185" s="48" t="s">
        <v>206</v>
      </c>
      <c r="D185" s="48" t="s">
        <v>60</v>
      </c>
      <c r="E185" s="49">
        <v>2500</v>
      </c>
      <c r="F185" s="50">
        <v>0.15</v>
      </c>
      <c r="G185" s="51">
        <f t="shared" si="4"/>
        <v>375</v>
      </c>
    </row>
    <row r="186" spans="1:8" x14ac:dyDescent="0.35">
      <c r="A186" s="30">
        <v>23</v>
      </c>
      <c r="B186" s="48" t="s">
        <v>206</v>
      </c>
      <c r="D186" s="48" t="s">
        <v>94</v>
      </c>
      <c r="E186" s="49">
        <v>2800</v>
      </c>
      <c r="F186" s="50">
        <v>3.2</v>
      </c>
      <c r="G186" s="51">
        <f t="shared" si="4"/>
        <v>8960</v>
      </c>
      <c r="H186" s="36"/>
    </row>
    <row r="187" spans="1:8" x14ac:dyDescent="0.35">
      <c r="A187" s="30">
        <v>24</v>
      </c>
      <c r="B187" s="48" t="s">
        <v>106</v>
      </c>
      <c r="C187" s="1">
        <v>3</v>
      </c>
      <c r="D187" s="48" t="s">
        <v>41</v>
      </c>
      <c r="E187" s="49">
        <v>1000</v>
      </c>
      <c r="F187" s="50">
        <v>1.9</v>
      </c>
      <c r="G187" s="51">
        <f t="shared" si="4"/>
        <v>1900</v>
      </c>
    </row>
    <row r="188" spans="1:8" x14ac:dyDescent="0.35">
      <c r="A188" s="30">
        <v>24</v>
      </c>
      <c r="B188" s="48" t="s">
        <v>106</v>
      </c>
      <c r="D188" s="48" t="s">
        <v>54</v>
      </c>
      <c r="E188" s="49">
        <v>800</v>
      </c>
      <c r="F188" s="50">
        <v>0.45</v>
      </c>
      <c r="G188" s="51">
        <f t="shared" si="4"/>
        <v>360</v>
      </c>
    </row>
    <row r="189" spans="1:8" x14ac:dyDescent="0.35">
      <c r="A189" s="30">
        <v>24</v>
      </c>
      <c r="B189" s="48" t="s">
        <v>106</v>
      </c>
      <c r="D189" s="48" t="s">
        <v>39</v>
      </c>
      <c r="E189" s="49">
        <v>1500</v>
      </c>
      <c r="F189" s="50">
        <v>0.05</v>
      </c>
      <c r="G189" s="51">
        <f t="shared" si="4"/>
        <v>75</v>
      </c>
    </row>
    <row r="190" spans="1:8" x14ac:dyDescent="0.35">
      <c r="A190" s="30">
        <v>24</v>
      </c>
      <c r="B190" s="48" t="s">
        <v>106</v>
      </c>
      <c r="D190" s="48" t="s">
        <v>25</v>
      </c>
      <c r="E190" s="49">
        <v>1000</v>
      </c>
      <c r="F190" s="50">
        <v>0.05</v>
      </c>
      <c r="G190" s="51">
        <f t="shared" si="4"/>
        <v>50</v>
      </c>
    </row>
    <row r="191" spans="1:8" x14ac:dyDescent="0.35">
      <c r="A191" s="30">
        <v>24</v>
      </c>
      <c r="B191" s="48" t="s">
        <v>106</v>
      </c>
      <c r="D191" s="48" t="s">
        <v>94</v>
      </c>
      <c r="E191" s="49">
        <v>2800</v>
      </c>
      <c r="F191" s="50">
        <v>3.8</v>
      </c>
      <c r="G191" s="51">
        <f t="shared" si="4"/>
        <v>10640</v>
      </c>
      <c r="H191" s="36"/>
    </row>
    <row r="192" spans="1:8" x14ac:dyDescent="0.35">
      <c r="A192" s="30">
        <v>24</v>
      </c>
      <c r="B192" s="48" t="s">
        <v>106</v>
      </c>
      <c r="D192" s="48" t="s">
        <v>26</v>
      </c>
      <c r="E192" s="49">
        <v>1000</v>
      </c>
      <c r="F192" s="50">
        <v>0.25</v>
      </c>
      <c r="G192" s="51">
        <f t="shared" si="4"/>
        <v>250</v>
      </c>
    </row>
    <row r="193" spans="1:7" x14ac:dyDescent="0.35">
      <c r="A193" s="30">
        <v>24</v>
      </c>
      <c r="B193" s="48" t="s">
        <v>106</v>
      </c>
      <c r="D193" s="48" t="s">
        <v>53</v>
      </c>
      <c r="E193" s="49">
        <v>300</v>
      </c>
      <c r="F193" s="50">
        <v>1.1000000000000001</v>
      </c>
      <c r="G193" s="51">
        <f t="shared" si="4"/>
        <v>330</v>
      </c>
    </row>
    <row r="194" spans="1:7" x14ac:dyDescent="0.35">
      <c r="A194" s="30">
        <v>24</v>
      </c>
      <c r="B194" s="48" t="s">
        <v>106</v>
      </c>
      <c r="D194" s="48" t="s">
        <v>51</v>
      </c>
      <c r="E194" s="49">
        <v>500</v>
      </c>
      <c r="F194" s="50">
        <v>1.45</v>
      </c>
      <c r="G194" s="51">
        <f t="shared" si="4"/>
        <v>725</v>
      </c>
    </row>
    <row r="195" spans="1:7" x14ac:dyDescent="0.35">
      <c r="A195" s="30">
        <v>25</v>
      </c>
      <c r="B195" s="48" t="s">
        <v>185</v>
      </c>
      <c r="C195" s="1">
        <v>2</v>
      </c>
      <c r="D195" s="48" t="s">
        <v>25</v>
      </c>
      <c r="E195" s="49">
        <v>1000</v>
      </c>
      <c r="F195" s="50">
        <v>0.65</v>
      </c>
      <c r="G195" s="51">
        <f t="shared" ref="G195:G258" si="5">E195*F195</f>
        <v>650</v>
      </c>
    </row>
    <row r="196" spans="1:7" x14ac:dyDescent="0.35">
      <c r="A196" s="30">
        <v>25</v>
      </c>
      <c r="B196" s="48" t="s">
        <v>185</v>
      </c>
      <c r="D196" s="48" t="s">
        <v>41</v>
      </c>
      <c r="E196" s="49">
        <v>1000</v>
      </c>
      <c r="F196" s="50">
        <v>9.4</v>
      </c>
      <c r="G196" s="51">
        <f t="shared" si="5"/>
        <v>9400</v>
      </c>
    </row>
    <row r="197" spans="1:7" x14ac:dyDescent="0.35">
      <c r="A197" s="30">
        <v>25</v>
      </c>
      <c r="B197" s="48" t="s">
        <v>185</v>
      </c>
      <c r="D197" s="48" t="s">
        <v>94</v>
      </c>
      <c r="E197" s="49">
        <v>2800</v>
      </c>
      <c r="F197" s="50">
        <v>0.3</v>
      </c>
      <c r="G197" s="51">
        <f t="shared" si="5"/>
        <v>840</v>
      </c>
    </row>
    <row r="198" spans="1:7" x14ac:dyDescent="0.35">
      <c r="A198" s="30">
        <v>25</v>
      </c>
      <c r="B198" s="48" t="s">
        <v>185</v>
      </c>
      <c r="D198" s="48" t="s">
        <v>25</v>
      </c>
      <c r="E198" s="49">
        <v>1000</v>
      </c>
      <c r="F198" s="50">
        <v>0.35</v>
      </c>
      <c r="G198" s="51">
        <f t="shared" si="5"/>
        <v>350</v>
      </c>
    </row>
    <row r="199" spans="1:7" x14ac:dyDescent="0.35">
      <c r="A199" s="30">
        <v>25</v>
      </c>
      <c r="B199" s="48" t="s">
        <v>185</v>
      </c>
      <c r="D199" s="48" t="s">
        <v>25</v>
      </c>
      <c r="E199" s="49">
        <v>1000</v>
      </c>
      <c r="F199" s="50">
        <v>0.85</v>
      </c>
      <c r="G199" s="51">
        <f t="shared" si="5"/>
        <v>850</v>
      </c>
    </row>
    <row r="200" spans="1:7" x14ac:dyDescent="0.35">
      <c r="A200" s="30">
        <v>25</v>
      </c>
      <c r="B200" s="48" t="s">
        <v>185</v>
      </c>
      <c r="D200" s="48" t="s">
        <v>60</v>
      </c>
      <c r="E200" s="49">
        <v>2500</v>
      </c>
      <c r="F200" s="50">
        <v>0.35</v>
      </c>
      <c r="G200" s="51">
        <f t="shared" si="5"/>
        <v>875</v>
      </c>
    </row>
    <row r="201" spans="1:7" x14ac:dyDescent="0.35">
      <c r="A201" s="30">
        <v>25</v>
      </c>
      <c r="B201" s="48" t="s">
        <v>185</v>
      </c>
      <c r="D201" s="48" t="s">
        <v>39</v>
      </c>
      <c r="E201" s="49">
        <v>1500</v>
      </c>
      <c r="F201" s="50">
        <v>0.35</v>
      </c>
      <c r="G201" s="51">
        <f t="shared" si="5"/>
        <v>525</v>
      </c>
    </row>
    <row r="202" spans="1:7" x14ac:dyDescent="0.35">
      <c r="A202" s="30">
        <v>25</v>
      </c>
      <c r="B202" s="48" t="s">
        <v>185</v>
      </c>
      <c r="D202" s="48" t="s">
        <v>18</v>
      </c>
      <c r="E202" s="49">
        <v>150</v>
      </c>
      <c r="F202" s="50">
        <v>1</v>
      </c>
      <c r="G202" s="51">
        <f t="shared" si="5"/>
        <v>150</v>
      </c>
    </row>
    <row r="203" spans="1:7" x14ac:dyDescent="0.35">
      <c r="A203" s="30">
        <v>25</v>
      </c>
      <c r="B203" s="48" t="s">
        <v>185</v>
      </c>
      <c r="D203" s="48" t="s">
        <v>26</v>
      </c>
      <c r="E203" s="49">
        <v>1000</v>
      </c>
      <c r="F203" s="50">
        <v>0.45</v>
      </c>
      <c r="G203" s="51">
        <f t="shared" si="5"/>
        <v>450</v>
      </c>
    </row>
    <row r="204" spans="1:7" x14ac:dyDescent="0.35">
      <c r="A204" s="30">
        <v>25</v>
      </c>
      <c r="B204" s="48" t="s">
        <v>185</v>
      </c>
      <c r="D204" s="48" t="s">
        <v>266</v>
      </c>
      <c r="E204" s="49">
        <v>1000</v>
      </c>
      <c r="F204" s="50">
        <v>0.6</v>
      </c>
      <c r="G204" s="51">
        <f t="shared" si="5"/>
        <v>600</v>
      </c>
    </row>
    <row r="205" spans="1:7" x14ac:dyDescent="0.35">
      <c r="A205" s="30">
        <v>25</v>
      </c>
      <c r="B205" s="48" t="s">
        <v>185</v>
      </c>
      <c r="D205" s="48" t="s">
        <v>53</v>
      </c>
      <c r="E205" s="49">
        <v>300</v>
      </c>
      <c r="F205" s="50">
        <v>0.25</v>
      </c>
      <c r="G205" s="51">
        <f t="shared" si="5"/>
        <v>75</v>
      </c>
    </row>
    <row r="206" spans="1:7" x14ac:dyDescent="0.35">
      <c r="A206" s="30">
        <v>25</v>
      </c>
      <c r="B206" s="48" t="s">
        <v>185</v>
      </c>
      <c r="D206" s="48" t="s">
        <v>94</v>
      </c>
      <c r="E206" s="49">
        <v>2800</v>
      </c>
      <c r="F206" s="50">
        <v>2</v>
      </c>
      <c r="G206" s="51">
        <f t="shared" si="5"/>
        <v>5600</v>
      </c>
    </row>
    <row r="207" spans="1:7" x14ac:dyDescent="0.35">
      <c r="A207" s="30">
        <v>26</v>
      </c>
      <c r="B207" s="48" t="s">
        <v>264</v>
      </c>
      <c r="C207" s="1" t="s">
        <v>267</v>
      </c>
      <c r="D207" s="48" t="s">
        <v>53</v>
      </c>
      <c r="E207" s="49">
        <v>300</v>
      </c>
      <c r="F207" s="50">
        <f>4.7+4.55</f>
        <v>9.25</v>
      </c>
      <c r="G207" s="51">
        <f t="shared" si="5"/>
        <v>2775</v>
      </c>
    </row>
    <row r="208" spans="1:7" x14ac:dyDescent="0.35">
      <c r="A208" s="30">
        <v>26</v>
      </c>
      <c r="B208" s="48" t="s">
        <v>264</v>
      </c>
      <c r="D208" s="48" t="s">
        <v>13</v>
      </c>
      <c r="E208" s="49">
        <v>200</v>
      </c>
      <c r="F208" s="50">
        <f>4.15+3.5+0.2</f>
        <v>7.8500000000000005</v>
      </c>
      <c r="G208" s="51">
        <f t="shared" si="5"/>
        <v>1570</v>
      </c>
    </row>
    <row r="209" spans="1:8" x14ac:dyDescent="0.35">
      <c r="A209" s="30">
        <v>27</v>
      </c>
      <c r="B209" s="48" t="s">
        <v>265</v>
      </c>
      <c r="C209" s="1">
        <v>5</v>
      </c>
      <c r="D209" s="48" t="s">
        <v>41</v>
      </c>
      <c r="E209" s="49">
        <v>1000</v>
      </c>
      <c r="F209" s="50">
        <f>8.9+7.3+2.45+0.25</f>
        <v>18.899999999999999</v>
      </c>
      <c r="G209" s="51">
        <f t="shared" si="5"/>
        <v>18900</v>
      </c>
    </row>
    <row r="210" spans="1:8" x14ac:dyDescent="0.35">
      <c r="A210" s="30">
        <v>27</v>
      </c>
      <c r="B210" s="48" t="s">
        <v>265</v>
      </c>
      <c r="D210" s="48" t="s">
        <v>28</v>
      </c>
      <c r="E210" s="49">
        <v>3500</v>
      </c>
      <c r="F210" s="50">
        <v>0.05</v>
      </c>
      <c r="G210" s="51">
        <f t="shared" si="5"/>
        <v>175</v>
      </c>
    </row>
    <row r="211" spans="1:8" x14ac:dyDescent="0.35">
      <c r="A211" s="30">
        <v>27</v>
      </c>
      <c r="B211" s="48" t="s">
        <v>265</v>
      </c>
      <c r="D211" s="48" t="s">
        <v>94</v>
      </c>
      <c r="E211" s="49">
        <v>2800</v>
      </c>
      <c r="F211" s="50">
        <f>0.6+1.65+2.05+1.8+2.25+2+1.35+1.8+2.05+2.1+1.7</f>
        <v>19.350000000000001</v>
      </c>
      <c r="G211" s="51">
        <f t="shared" si="5"/>
        <v>54180.000000000007</v>
      </c>
    </row>
    <row r="212" spans="1:8" x14ac:dyDescent="0.35">
      <c r="A212" s="30">
        <v>27</v>
      </c>
      <c r="B212" s="48" t="s">
        <v>265</v>
      </c>
      <c r="D212" s="48" t="s">
        <v>28</v>
      </c>
      <c r="E212" s="49">
        <v>3500</v>
      </c>
      <c r="F212" s="50">
        <v>0.1</v>
      </c>
      <c r="G212" s="51">
        <f t="shared" si="5"/>
        <v>350</v>
      </c>
    </row>
    <row r="213" spans="1:8" x14ac:dyDescent="0.35">
      <c r="A213" s="30">
        <v>27</v>
      </c>
      <c r="B213" s="48" t="s">
        <v>265</v>
      </c>
      <c r="D213" s="48" t="s">
        <v>60</v>
      </c>
      <c r="E213" s="49">
        <v>2500</v>
      </c>
      <c r="F213" s="50">
        <v>1.7</v>
      </c>
      <c r="G213" s="51">
        <f t="shared" si="5"/>
        <v>4250</v>
      </c>
    </row>
    <row r="214" spans="1:8" x14ac:dyDescent="0.35">
      <c r="A214" s="30">
        <v>27</v>
      </c>
      <c r="B214" s="48" t="s">
        <v>265</v>
      </c>
      <c r="D214" s="48" t="s">
        <v>100</v>
      </c>
      <c r="E214" s="49">
        <v>1400</v>
      </c>
      <c r="F214" s="50">
        <v>2.75</v>
      </c>
      <c r="G214" s="51">
        <f t="shared" si="5"/>
        <v>3850</v>
      </c>
    </row>
    <row r="215" spans="1:8" x14ac:dyDescent="0.35">
      <c r="A215" s="30">
        <v>28</v>
      </c>
      <c r="B215" t="s">
        <v>186</v>
      </c>
      <c r="C215" s="30">
        <v>2</v>
      </c>
      <c r="D215" s="48" t="s">
        <v>94</v>
      </c>
      <c r="E215" s="49">
        <v>2800</v>
      </c>
      <c r="F215" s="50">
        <v>2.4</v>
      </c>
      <c r="G215" s="51">
        <f t="shared" si="5"/>
        <v>6720</v>
      </c>
      <c r="H215" s="36"/>
    </row>
    <row r="216" spans="1:8" x14ac:dyDescent="0.35">
      <c r="A216" s="30">
        <v>28</v>
      </c>
      <c r="B216" t="s">
        <v>186</v>
      </c>
      <c r="D216" s="48" t="s">
        <v>25</v>
      </c>
      <c r="E216" s="49">
        <v>1000</v>
      </c>
      <c r="F216" s="50">
        <v>4.3499999999999996</v>
      </c>
      <c r="G216" s="51">
        <f t="shared" si="5"/>
        <v>4350</v>
      </c>
    </row>
    <row r="217" spans="1:8" x14ac:dyDescent="0.35">
      <c r="A217" s="30">
        <v>28</v>
      </c>
      <c r="B217" t="s">
        <v>186</v>
      </c>
      <c r="D217" s="48" t="s">
        <v>60</v>
      </c>
      <c r="E217" s="49">
        <v>2500</v>
      </c>
      <c r="F217" s="50">
        <v>0.15</v>
      </c>
      <c r="G217" s="51">
        <f t="shared" si="5"/>
        <v>375</v>
      </c>
    </row>
    <row r="218" spans="1:8" x14ac:dyDescent="0.35">
      <c r="A218" s="30">
        <v>28</v>
      </c>
      <c r="B218" t="s">
        <v>186</v>
      </c>
      <c r="D218" s="48" t="s">
        <v>18</v>
      </c>
      <c r="E218" s="49">
        <v>150</v>
      </c>
      <c r="F218" s="50">
        <v>0.4</v>
      </c>
      <c r="G218" s="51">
        <f t="shared" si="5"/>
        <v>60</v>
      </c>
    </row>
    <row r="219" spans="1:8" x14ac:dyDescent="0.35">
      <c r="A219" s="30">
        <v>28</v>
      </c>
      <c r="B219" t="s">
        <v>186</v>
      </c>
      <c r="D219" s="48" t="s">
        <v>53</v>
      </c>
      <c r="E219" s="49">
        <v>300</v>
      </c>
      <c r="F219" s="50">
        <f>0.85+0.2</f>
        <v>1.05</v>
      </c>
      <c r="G219" s="51">
        <f t="shared" si="5"/>
        <v>315</v>
      </c>
    </row>
    <row r="220" spans="1:8" x14ac:dyDescent="0.35">
      <c r="A220" s="30">
        <v>28</v>
      </c>
      <c r="B220" t="s">
        <v>186</v>
      </c>
      <c r="D220" s="48" t="s">
        <v>29</v>
      </c>
      <c r="E220" s="49">
        <v>1600</v>
      </c>
      <c r="F220" s="50">
        <v>0.4</v>
      </c>
      <c r="G220" s="51">
        <f t="shared" si="5"/>
        <v>640</v>
      </c>
    </row>
    <row r="221" spans="1:8" x14ac:dyDescent="0.35">
      <c r="A221" s="30">
        <v>28</v>
      </c>
      <c r="B221" t="s">
        <v>186</v>
      </c>
      <c r="D221" s="48" t="s">
        <v>41</v>
      </c>
      <c r="E221" s="49">
        <v>1000</v>
      </c>
      <c r="F221" s="50">
        <f>4.75+0.25</f>
        <v>5</v>
      </c>
      <c r="G221" s="51">
        <f t="shared" si="5"/>
        <v>5000</v>
      </c>
    </row>
    <row r="222" spans="1:8" x14ac:dyDescent="0.35">
      <c r="A222" s="30">
        <v>28</v>
      </c>
      <c r="B222" t="s">
        <v>186</v>
      </c>
      <c r="D222" s="48" t="s">
        <v>34</v>
      </c>
      <c r="E222" s="49">
        <v>4000</v>
      </c>
      <c r="F222" s="50">
        <v>1.75</v>
      </c>
      <c r="G222" s="51">
        <f t="shared" si="5"/>
        <v>7000</v>
      </c>
    </row>
    <row r="223" spans="1:8" x14ac:dyDescent="0.35">
      <c r="A223" s="30">
        <v>28</v>
      </c>
      <c r="B223" t="s">
        <v>186</v>
      </c>
      <c r="D223" s="48" t="s">
        <v>39</v>
      </c>
      <c r="E223" s="49">
        <v>1500</v>
      </c>
      <c r="F223" s="50">
        <v>1.5</v>
      </c>
      <c r="G223" s="51">
        <f t="shared" si="5"/>
        <v>2250</v>
      </c>
    </row>
    <row r="224" spans="1:8" x14ac:dyDescent="0.35">
      <c r="A224" s="30">
        <v>28</v>
      </c>
      <c r="B224" t="s">
        <v>186</v>
      </c>
      <c r="D224" s="48" t="s">
        <v>51</v>
      </c>
      <c r="E224" s="49">
        <v>500</v>
      </c>
      <c r="F224" s="50">
        <v>1.2</v>
      </c>
      <c r="G224" s="51">
        <f t="shared" si="5"/>
        <v>600</v>
      </c>
    </row>
    <row r="225" spans="1:7" x14ac:dyDescent="0.35">
      <c r="A225" s="30">
        <v>29</v>
      </c>
      <c r="B225" s="48" t="s">
        <v>225</v>
      </c>
      <c r="C225" s="1">
        <v>5</v>
      </c>
      <c r="D225" s="48" t="s">
        <v>34</v>
      </c>
      <c r="E225" s="49">
        <v>4000</v>
      </c>
      <c r="F225" s="50">
        <v>4.9000000000000004</v>
      </c>
      <c r="G225" s="51">
        <f t="shared" si="5"/>
        <v>19600</v>
      </c>
    </row>
    <row r="226" spans="1:7" x14ac:dyDescent="0.35">
      <c r="A226" s="30">
        <v>29</v>
      </c>
      <c r="B226" s="48" t="s">
        <v>225</v>
      </c>
      <c r="D226" s="48" t="s">
        <v>51</v>
      </c>
      <c r="E226" s="49">
        <v>500</v>
      </c>
      <c r="F226" s="50">
        <v>2.1</v>
      </c>
      <c r="G226" s="51">
        <f t="shared" si="5"/>
        <v>1050</v>
      </c>
    </row>
    <row r="227" spans="1:7" x14ac:dyDescent="0.35">
      <c r="A227" s="30">
        <v>29</v>
      </c>
      <c r="B227" s="48" t="s">
        <v>225</v>
      </c>
      <c r="D227" s="48" t="s">
        <v>18</v>
      </c>
      <c r="E227" s="49">
        <v>150</v>
      </c>
      <c r="F227" s="50">
        <v>1.4</v>
      </c>
      <c r="G227" s="51">
        <f t="shared" si="5"/>
        <v>210</v>
      </c>
    </row>
    <row r="228" spans="1:7" x14ac:dyDescent="0.35">
      <c r="A228" s="30">
        <v>29</v>
      </c>
      <c r="B228" s="48" t="s">
        <v>225</v>
      </c>
      <c r="D228" s="48" t="s">
        <v>28</v>
      </c>
      <c r="E228" s="49">
        <v>3500</v>
      </c>
      <c r="F228" s="50">
        <v>0.25</v>
      </c>
      <c r="G228" s="51">
        <f t="shared" si="5"/>
        <v>875</v>
      </c>
    </row>
    <row r="229" spans="1:7" x14ac:dyDescent="0.35">
      <c r="A229" s="30">
        <v>29</v>
      </c>
      <c r="B229" s="48" t="s">
        <v>225</v>
      </c>
      <c r="D229" s="48" t="s">
        <v>53</v>
      </c>
      <c r="E229" s="49">
        <v>300</v>
      </c>
      <c r="F229" s="50">
        <f>0.35+0.25+0.55</f>
        <v>1.1499999999999999</v>
      </c>
      <c r="G229" s="51">
        <f t="shared" si="5"/>
        <v>345</v>
      </c>
    </row>
    <row r="230" spans="1:7" x14ac:dyDescent="0.35">
      <c r="A230" s="30">
        <v>29</v>
      </c>
      <c r="B230" s="48" t="s">
        <v>225</v>
      </c>
      <c r="D230" s="48" t="s">
        <v>41</v>
      </c>
      <c r="E230" s="49">
        <v>1000</v>
      </c>
      <c r="F230" s="50">
        <f>4.1+1.65</f>
        <v>5.75</v>
      </c>
      <c r="G230" s="51">
        <f t="shared" si="5"/>
        <v>5750</v>
      </c>
    </row>
    <row r="231" spans="1:7" x14ac:dyDescent="0.35">
      <c r="A231" s="30">
        <v>29</v>
      </c>
      <c r="B231" s="48" t="s">
        <v>225</v>
      </c>
      <c r="D231" s="48" t="s">
        <v>39</v>
      </c>
      <c r="E231" s="49">
        <v>1500</v>
      </c>
      <c r="F231" s="50">
        <f>1.55+0.05+0.25</f>
        <v>1.85</v>
      </c>
      <c r="G231" s="51">
        <f t="shared" si="5"/>
        <v>2775</v>
      </c>
    </row>
    <row r="232" spans="1:7" x14ac:dyDescent="0.35">
      <c r="A232" s="30">
        <v>29</v>
      </c>
      <c r="B232" s="48" t="s">
        <v>225</v>
      </c>
      <c r="D232" s="48" t="s">
        <v>22</v>
      </c>
      <c r="E232" s="49">
        <v>1600</v>
      </c>
      <c r="F232" s="50">
        <v>1.55</v>
      </c>
      <c r="G232" s="51">
        <f t="shared" si="5"/>
        <v>2480</v>
      </c>
    </row>
    <row r="233" spans="1:7" x14ac:dyDescent="0.35">
      <c r="A233" s="30">
        <v>29</v>
      </c>
      <c r="B233" s="48" t="s">
        <v>225</v>
      </c>
      <c r="D233" s="48" t="s">
        <v>13</v>
      </c>
      <c r="E233" s="49">
        <v>200</v>
      </c>
      <c r="F233" s="50">
        <v>2.35</v>
      </c>
      <c r="G233" s="51">
        <f t="shared" si="5"/>
        <v>470</v>
      </c>
    </row>
    <row r="234" spans="1:7" x14ac:dyDescent="0.35">
      <c r="A234" s="30">
        <v>29</v>
      </c>
      <c r="B234" s="48" t="s">
        <v>225</v>
      </c>
      <c r="D234" s="48" t="s">
        <v>26</v>
      </c>
      <c r="E234" s="49">
        <v>1000</v>
      </c>
      <c r="F234" s="50">
        <f>3.05+5.15+1.7+1.35+0.4+0.9+0.3</f>
        <v>12.85</v>
      </c>
      <c r="G234" s="51">
        <f t="shared" si="5"/>
        <v>12850</v>
      </c>
    </row>
    <row r="235" spans="1:7" x14ac:dyDescent="0.35">
      <c r="A235" s="30">
        <v>29</v>
      </c>
      <c r="B235" s="48" t="s">
        <v>225</v>
      </c>
      <c r="D235" s="48" t="s">
        <v>94</v>
      </c>
      <c r="E235" s="49">
        <v>2800</v>
      </c>
      <c r="F235" s="50">
        <f>0.8+1.55</f>
        <v>2.35</v>
      </c>
      <c r="G235" s="51">
        <f t="shared" si="5"/>
        <v>6580</v>
      </c>
    </row>
    <row r="236" spans="1:7" x14ac:dyDescent="0.35">
      <c r="A236" s="30">
        <v>30</v>
      </c>
      <c r="B236" s="48" t="s">
        <v>221</v>
      </c>
      <c r="C236" s="1">
        <v>5</v>
      </c>
      <c r="D236" s="48" t="s">
        <v>13</v>
      </c>
      <c r="E236" s="49">
        <v>200</v>
      </c>
      <c r="F236" s="50">
        <v>0.6</v>
      </c>
      <c r="G236" s="51">
        <f t="shared" si="5"/>
        <v>120</v>
      </c>
    </row>
    <row r="237" spans="1:7" x14ac:dyDescent="0.35">
      <c r="A237" s="30">
        <v>30</v>
      </c>
      <c r="B237" s="48" t="s">
        <v>221</v>
      </c>
      <c r="D237" s="48" t="s">
        <v>125</v>
      </c>
      <c r="E237" s="49">
        <v>800</v>
      </c>
      <c r="F237" s="50">
        <v>6.7</v>
      </c>
      <c r="G237" s="51">
        <f t="shared" si="5"/>
        <v>5360</v>
      </c>
    </row>
    <row r="238" spans="1:7" x14ac:dyDescent="0.35">
      <c r="A238" s="30">
        <v>30</v>
      </c>
      <c r="B238" s="48" t="s">
        <v>221</v>
      </c>
      <c r="D238" s="48" t="s">
        <v>26</v>
      </c>
      <c r="E238" s="49">
        <v>1000</v>
      </c>
      <c r="F238" s="50">
        <v>1.25</v>
      </c>
      <c r="G238" s="51">
        <f t="shared" si="5"/>
        <v>1250</v>
      </c>
    </row>
    <row r="239" spans="1:7" x14ac:dyDescent="0.35">
      <c r="A239" s="30">
        <v>30</v>
      </c>
      <c r="B239" s="48" t="s">
        <v>221</v>
      </c>
      <c r="D239" s="48" t="s">
        <v>125</v>
      </c>
      <c r="E239" s="49">
        <v>800</v>
      </c>
      <c r="F239" s="50">
        <v>1.4</v>
      </c>
      <c r="G239" s="51">
        <f t="shared" si="5"/>
        <v>1120</v>
      </c>
    </row>
    <row r="240" spans="1:7" x14ac:dyDescent="0.35">
      <c r="A240" s="30">
        <v>30</v>
      </c>
      <c r="B240" s="48" t="s">
        <v>221</v>
      </c>
      <c r="D240" s="48" t="s">
        <v>126</v>
      </c>
      <c r="E240" s="49">
        <v>1800</v>
      </c>
      <c r="F240" s="50">
        <v>3.35</v>
      </c>
      <c r="G240" s="51">
        <f t="shared" si="5"/>
        <v>6030</v>
      </c>
    </row>
    <row r="241" spans="1:7" x14ac:dyDescent="0.35">
      <c r="A241" s="30">
        <v>30</v>
      </c>
      <c r="B241" s="48" t="s">
        <v>221</v>
      </c>
      <c r="D241" s="48" t="s">
        <v>51</v>
      </c>
      <c r="E241" s="49">
        <v>500</v>
      </c>
      <c r="F241" s="50">
        <v>0.2</v>
      </c>
      <c r="G241" s="51">
        <f t="shared" si="5"/>
        <v>100</v>
      </c>
    </row>
    <row r="242" spans="1:7" x14ac:dyDescent="0.35">
      <c r="A242" s="30">
        <v>30</v>
      </c>
      <c r="B242" s="48" t="s">
        <v>221</v>
      </c>
      <c r="D242" s="48" t="s">
        <v>57</v>
      </c>
      <c r="E242" s="49">
        <v>150</v>
      </c>
      <c r="F242" s="50">
        <v>0.05</v>
      </c>
      <c r="G242" s="51">
        <f t="shared" si="5"/>
        <v>7.5</v>
      </c>
    </row>
    <row r="243" spans="1:7" x14ac:dyDescent="0.35">
      <c r="A243" s="30">
        <v>30</v>
      </c>
      <c r="B243" s="48" t="s">
        <v>221</v>
      </c>
      <c r="D243" s="48" t="s">
        <v>41</v>
      </c>
      <c r="E243" s="49">
        <v>1000</v>
      </c>
      <c r="F243" s="50">
        <v>1.4</v>
      </c>
      <c r="G243" s="51">
        <f t="shared" si="5"/>
        <v>1400</v>
      </c>
    </row>
    <row r="244" spans="1:7" x14ac:dyDescent="0.35">
      <c r="A244" s="30">
        <v>30</v>
      </c>
      <c r="B244" s="48" t="s">
        <v>221</v>
      </c>
      <c r="D244" s="48" t="s">
        <v>25</v>
      </c>
      <c r="E244" s="49">
        <v>1000</v>
      </c>
      <c r="F244" s="50">
        <v>0.9</v>
      </c>
      <c r="G244" s="51">
        <f t="shared" si="5"/>
        <v>900</v>
      </c>
    </row>
    <row r="245" spans="1:7" x14ac:dyDescent="0.35">
      <c r="A245" s="30">
        <v>31</v>
      </c>
      <c r="B245" s="48" t="s">
        <v>120</v>
      </c>
      <c r="C245" s="1">
        <v>2</v>
      </c>
      <c r="D245" s="48" t="s">
        <v>41</v>
      </c>
      <c r="E245" s="49">
        <v>1000</v>
      </c>
      <c r="F245" s="50">
        <v>5.15</v>
      </c>
      <c r="G245" s="51">
        <f t="shared" si="5"/>
        <v>5150</v>
      </c>
    </row>
    <row r="246" spans="1:7" x14ac:dyDescent="0.35">
      <c r="A246" s="30">
        <v>31</v>
      </c>
      <c r="B246" s="48" t="s">
        <v>120</v>
      </c>
      <c r="D246" s="48" t="s">
        <v>51</v>
      </c>
      <c r="E246" s="49">
        <v>500</v>
      </c>
      <c r="F246" s="50">
        <v>0.35</v>
      </c>
      <c r="G246" s="51">
        <f t="shared" si="5"/>
        <v>175</v>
      </c>
    </row>
    <row r="247" spans="1:7" x14ac:dyDescent="0.35">
      <c r="A247" s="30">
        <v>31</v>
      </c>
      <c r="B247" s="48" t="s">
        <v>120</v>
      </c>
      <c r="D247" s="48" t="s">
        <v>26</v>
      </c>
      <c r="E247" s="49">
        <v>1000</v>
      </c>
      <c r="F247" s="50">
        <v>1.1000000000000001</v>
      </c>
      <c r="G247" s="51">
        <f t="shared" si="5"/>
        <v>1100</v>
      </c>
    </row>
    <row r="248" spans="1:7" x14ac:dyDescent="0.35">
      <c r="A248" s="30">
        <v>31</v>
      </c>
      <c r="B248" s="48" t="s">
        <v>120</v>
      </c>
      <c r="D248" s="48" t="s">
        <v>13</v>
      </c>
      <c r="E248" s="49">
        <v>200</v>
      </c>
      <c r="F248" s="50">
        <v>0.1</v>
      </c>
      <c r="G248" s="51">
        <f t="shared" si="5"/>
        <v>20</v>
      </c>
    </row>
    <row r="249" spans="1:7" x14ac:dyDescent="0.35">
      <c r="A249" s="30">
        <v>31</v>
      </c>
      <c r="B249" s="48" t="s">
        <v>120</v>
      </c>
      <c r="D249" s="48" t="s">
        <v>22</v>
      </c>
      <c r="E249" s="49">
        <v>1600</v>
      </c>
      <c r="F249" s="50">
        <v>0.25</v>
      </c>
      <c r="G249" s="51">
        <f t="shared" si="5"/>
        <v>400</v>
      </c>
    </row>
    <row r="250" spans="1:7" x14ac:dyDescent="0.35">
      <c r="A250" s="30">
        <v>31</v>
      </c>
      <c r="B250" s="48" t="s">
        <v>120</v>
      </c>
      <c r="D250" s="48" t="s">
        <v>39</v>
      </c>
      <c r="E250" s="49">
        <v>1500</v>
      </c>
      <c r="F250" s="50">
        <v>0.45</v>
      </c>
      <c r="G250" s="51">
        <f t="shared" si="5"/>
        <v>675</v>
      </c>
    </row>
    <row r="251" spans="1:7" x14ac:dyDescent="0.35">
      <c r="A251" s="30">
        <v>32</v>
      </c>
      <c r="B251" s="48" t="s">
        <v>84</v>
      </c>
      <c r="C251" s="1">
        <v>6</v>
      </c>
      <c r="D251" s="48" t="s">
        <v>22</v>
      </c>
      <c r="E251" s="49">
        <v>1600</v>
      </c>
      <c r="F251" s="50">
        <v>0.15</v>
      </c>
      <c r="G251" s="51">
        <f t="shared" si="5"/>
        <v>240</v>
      </c>
    </row>
    <row r="252" spans="1:7" x14ac:dyDescent="0.35">
      <c r="A252" s="30">
        <v>32</v>
      </c>
      <c r="B252" s="48" t="s">
        <v>84</v>
      </c>
      <c r="D252" s="48" t="s">
        <v>56</v>
      </c>
      <c r="E252" s="49">
        <v>500</v>
      </c>
      <c r="F252" s="50">
        <v>1.6</v>
      </c>
      <c r="G252" s="51">
        <f t="shared" si="5"/>
        <v>800</v>
      </c>
    </row>
    <row r="253" spans="1:7" x14ac:dyDescent="0.35">
      <c r="A253" s="30">
        <v>32</v>
      </c>
      <c r="B253" s="48" t="s">
        <v>84</v>
      </c>
      <c r="D253" s="48" t="s">
        <v>126</v>
      </c>
      <c r="E253" s="49">
        <v>1800</v>
      </c>
      <c r="F253" s="50">
        <v>1.95</v>
      </c>
      <c r="G253" s="51">
        <f t="shared" si="5"/>
        <v>3510</v>
      </c>
    </row>
    <row r="254" spans="1:7" x14ac:dyDescent="0.35">
      <c r="A254" s="30">
        <v>32</v>
      </c>
      <c r="B254" s="48" t="s">
        <v>84</v>
      </c>
      <c r="D254" s="48" t="s">
        <v>18</v>
      </c>
      <c r="E254" s="49">
        <v>150</v>
      </c>
      <c r="F254" s="50">
        <v>1.1499999999999999</v>
      </c>
      <c r="G254" s="51">
        <f t="shared" si="5"/>
        <v>172.5</v>
      </c>
    </row>
    <row r="255" spans="1:7" x14ac:dyDescent="0.35">
      <c r="A255" s="30">
        <v>32</v>
      </c>
      <c r="B255" s="48" t="s">
        <v>84</v>
      </c>
      <c r="D255" s="48" t="s">
        <v>60</v>
      </c>
      <c r="E255" s="49">
        <v>2500</v>
      </c>
      <c r="F255" s="50">
        <v>0.1</v>
      </c>
      <c r="G255" s="51">
        <f t="shared" si="5"/>
        <v>250</v>
      </c>
    </row>
    <row r="256" spans="1:7" x14ac:dyDescent="0.35">
      <c r="A256" s="30">
        <v>32</v>
      </c>
      <c r="B256" s="48" t="s">
        <v>84</v>
      </c>
      <c r="D256" s="48" t="s">
        <v>25</v>
      </c>
      <c r="E256" s="49">
        <v>1000</v>
      </c>
      <c r="F256" s="50">
        <v>4.0999999999999996</v>
      </c>
      <c r="G256" s="51">
        <f t="shared" si="5"/>
        <v>4100</v>
      </c>
    </row>
    <row r="257" spans="1:7" x14ac:dyDescent="0.35">
      <c r="A257" s="30">
        <v>32</v>
      </c>
      <c r="B257" s="48" t="s">
        <v>84</v>
      </c>
      <c r="D257" s="48" t="s">
        <v>51</v>
      </c>
      <c r="E257" s="49">
        <v>500</v>
      </c>
      <c r="F257" s="50">
        <v>0.7</v>
      </c>
      <c r="G257" s="51">
        <f t="shared" si="5"/>
        <v>350</v>
      </c>
    </row>
    <row r="258" spans="1:7" x14ac:dyDescent="0.35">
      <c r="A258" s="30">
        <v>32</v>
      </c>
      <c r="B258" s="48" t="s">
        <v>84</v>
      </c>
      <c r="D258" s="48" t="s">
        <v>26</v>
      </c>
      <c r="E258" s="49">
        <v>1000</v>
      </c>
      <c r="F258" s="50">
        <v>1.7</v>
      </c>
      <c r="G258" s="51">
        <f t="shared" si="5"/>
        <v>1700</v>
      </c>
    </row>
    <row r="259" spans="1:7" x14ac:dyDescent="0.35">
      <c r="A259" s="30">
        <v>32</v>
      </c>
      <c r="B259" s="48" t="s">
        <v>84</v>
      </c>
      <c r="D259" s="48" t="s">
        <v>13</v>
      </c>
      <c r="E259" s="49">
        <v>200</v>
      </c>
      <c r="F259" s="50">
        <v>0.2</v>
      </c>
      <c r="G259" s="51">
        <f t="shared" ref="G259:G322" si="6">E259*F259</f>
        <v>40</v>
      </c>
    </row>
    <row r="260" spans="1:7" x14ac:dyDescent="0.35">
      <c r="A260" s="30">
        <v>32</v>
      </c>
      <c r="B260" s="48" t="s">
        <v>84</v>
      </c>
      <c r="D260" s="48" t="s">
        <v>53</v>
      </c>
      <c r="E260" s="49">
        <v>300</v>
      </c>
      <c r="F260" s="50">
        <v>1.25</v>
      </c>
      <c r="G260" s="51">
        <f t="shared" si="6"/>
        <v>375</v>
      </c>
    </row>
    <row r="261" spans="1:7" x14ac:dyDescent="0.35">
      <c r="A261" s="30">
        <v>32</v>
      </c>
      <c r="B261" s="48" t="s">
        <v>84</v>
      </c>
      <c r="D261" s="48" t="s">
        <v>41</v>
      </c>
      <c r="E261" s="49">
        <v>1000</v>
      </c>
      <c r="F261" s="50">
        <v>6.45</v>
      </c>
      <c r="G261" s="51">
        <f t="shared" si="6"/>
        <v>6450</v>
      </c>
    </row>
    <row r="262" spans="1:7" x14ac:dyDescent="0.35">
      <c r="A262" s="30">
        <v>32</v>
      </c>
      <c r="B262" s="48" t="s">
        <v>84</v>
      </c>
      <c r="D262" s="48" t="s">
        <v>94</v>
      </c>
      <c r="E262" s="49">
        <v>2800</v>
      </c>
      <c r="F262" s="50">
        <v>1.8</v>
      </c>
      <c r="G262" s="51">
        <f t="shared" si="6"/>
        <v>5040</v>
      </c>
    </row>
    <row r="263" spans="1:7" x14ac:dyDescent="0.35">
      <c r="A263" s="30">
        <v>33</v>
      </c>
      <c r="B263" s="48" t="s">
        <v>113</v>
      </c>
      <c r="C263" s="1">
        <v>33</v>
      </c>
      <c r="D263" s="48" t="s">
        <v>26</v>
      </c>
      <c r="E263" s="49">
        <v>1000</v>
      </c>
      <c r="F263" s="50">
        <v>0.3</v>
      </c>
      <c r="G263" s="51">
        <f t="shared" si="6"/>
        <v>300</v>
      </c>
    </row>
    <row r="264" spans="1:7" x14ac:dyDescent="0.35">
      <c r="A264" s="30">
        <v>33</v>
      </c>
      <c r="B264" s="48" t="s">
        <v>113</v>
      </c>
      <c r="D264" s="48" t="s">
        <v>25</v>
      </c>
      <c r="E264" s="49">
        <v>1000</v>
      </c>
      <c r="F264" s="50">
        <v>0.1</v>
      </c>
      <c r="G264" s="51">
        <f t="shared" si="6"/>
        <v>100</v>
      </c>
    </row>
    <row r="265" spans="1:7" x14ac:dyDescent="0.35">
      <c r="A265" s="30">
        <v>33</v>
      </c>
      <c r="B265" s="48" t="s">
        <v>113</v>
      </c>
      <c r="D265" s="48" t="s">
        <v>46</v>
      </c>
      <c r="E265" s="49">
        <v>2700</v>
      </c>
      <c r="F265" s="50">
        <v>0.05</v>
      </c>
      <c r="G265" s="51">
        <f t="shared" si="6"/>
        <v>135</v>
      </c>
    </row>
    <row r="266" spans="1:7" x14ac:dyDescent="0.35">
      <c r="A266" s="30">
        <v>33</v>
      </c>
      <c r="B266" s="48" t="s">
        <v>113</v>
      </c>
      <c r="D266" s="48" t="s">
        <v>60</v>
      </c>
      <c r="E266" s="49">
        <v>2500</v>
      </c>
      <c r="F266" s="50">
        <v>0.1</v>
      </c>
      <c r="G266" s="51">
        <f t="shared" si="6"/>
        <v>250</v>
      </c>
    </row>
    <row r="267" spans="1:7" x14ac:dyDescent="0.35">
      <c r="A267" s="30">
        <v>33</v>
      </c>
      <c r="B267" s="48" t="s">
        <v>113</v>
      </c>
      <c r="D267" s="48" t="s">
        <v>54</v>
      </c>
      <c r="E267" s="49">
        <v>800</v>
      </c>
      <c r="F267" s="50">
        <v>0.1</v>
      </c>
      <c r="G267" s="51">
        <f t="shared" si="6"/>
        <v>80</v>
      </c>
    </row>
    <row r="268" spans="1:7" x14ac:dyDescent="0.35">
      <c r="A268" s="30">
        <v>33</v>
      </c>
      <c r="B268" s="48" t="s">
        <v>113</v>
      </c>
      <c r="D268" s="48" t="s">
        <v>51</v>
      </c>
      <c r="E268" s="49">
        <v>500</v>
      </c>
      <c r="F268" s="50">
        <v>0.45</v>
      </c>
      <c r="G268" s="51">
        <f t="shared" si="6"/>
        <v>225</v>
      </c>
    </row>
    <row r="269" spans="1:7" x14ac:dyDescent="0.35">
      <c r="A269" s="30">
        <v>33</v>
      </c>
      <c r="B269" s="48" t="s">
        <v>113</v>
      </c>
      <c r="D269" s="48" t="s">
        <v>13</v>
      </c>
      <c r="E269" s="49">
        <v>200</v>
      </c>
      <c r="F269" s="50">
        <v>0.6</v>
      </c>
      <c r="G269" s="51">
        <f t="shared" si="6"/>
        <v>120</v>
      </c>
    </row>
    <row r="270" spans="1:7" x14ac:dyDescent="0.35">
      <c r="A270" s="30">
        <v>33</v>
      </c>
      <c r="B270" s="48" t="s">
        <v>113</v>
      </c>
      <c r="D270" s="48" t="s">
        <v>21</v>
      </c>
      <c r="E270" s="49">
        <v>2800</v>
      </c>
      <c r="F270" s="50">
        <v>0.7</v>
      </c>
      <c r="G270" s="51">
        <f t="shared" si="6"/>
        <v>1959.9999999999998</v>
      </c>
    </row>
    <row r="271" spans="1:7" x14ac:dyDescent="0.35">
      <c r="A271" s="30">
        <v>33</v>
      </c>
      <c r="B271" s="48" t="s">
        <v>113</v>
      </c>
      <c r="D271" s="48" t="s">
        <v>53</v>
      </c>
      <c r="E271" s="49">
        <v>300</v>
      </c>
      <c r="F271" s="50">
        <v>0.75</v>
      </c>
      <c r="G271" s="51">
        <f t="shared" si="6"/>
        <v>225</v>
      </c>
    </row>
    <row r="272" spans="1:7" x14ac:dyDescent="0.35">
      <c r="A272" s="30">
        <v>33</v>
      </c>
      <c r="B272" s="48" t="s">
        <v>113</v>
      </c>
      <c r="D272" t="s">
        <v>11</v>
      </c>
      <c r="E272" s="49">
        <v>8000</v>
      </c>
      <c r="F272" s="50">
        <v>0.55000000000000004</v>
      </c>
      <c r="G272" s="51">
        <f t="shared" si="6"/>
        <v>4400</v>
      </c>
    </row>
    <row r="273" spans="1:7" x14ac:dyDescent="0.35">
      <c r="A273" s="30">
        <v>33</v>
      </c>
      <c r="B273" s="48" t="s">
        <v>113</v>
      </c>
      <c r="D273" s="48" t="s">
        <v>41</v>
      </c>
      <c r="E273" s="49">
        <v>1000</v>
      </c>
      <c r="F273" s="50">
        <v>0.75</v>
      </c>
      <c r="G273" s="51">
        <f t="shared" si="6"/>
        <v>750</v>
      </c>
    </row>
    <row r="274" spans="1:7" x14ac:dyDescent="0.35">
      <c r="A274" s="30">
        <v>34</v>
      </c>
      <c r="B274" s="48" t="s">
        <v>232</v>
      </c>
      <c r="C274" s="1">
        <v>6</v>
      </c>
      <c r="D274" s="48" t="s">
        <v>26</v>
      </c>
      <c r="E274" s="49">
        <v>1000</v>
      </c>
      <c r="F274" s="50">
        <v>0.3</v>
      </c>
      <c r="G274" s="51">
        <f t="shared" si="6"/>
        <v>300</v>
      </c>
    </row>
    <row r="275" spans="1:7" x14ac:dyDescent="0.35">
      <c r="A275" s="30">
        <v>34</v>
      </c>
      <c r="B275" s="48" t="s">
        <v>232</v>
      </c>
      <c r="D275" s="48" t="s">
        <v>51</v>
      </c>
      <c r="E275" s="49">
        <v>500</v>
      </c>
      <c r="F275" s="50">
        <v>0.2</v>
      </c>
      <c r="G275" s="51">
        <f t="shared" si="6"/>
        <v>100</v>
      </c>
    </row>
    <row r="276" spans="1:7" x14ac:dyDescent="0.35">
      <c r="A276" s="30">
        <v>34</v>
      </c>
      <c r="B276" s="48" t="s">
        <v>232</v>
      </c>
      <c r="D276" s="48" t="s">
        <v>39</v>
      </c>
      <c r="E276" s="49">
        <v>1500</v>
      </c>
      <c r="F276" s="50">
        <v>0.2</v>
      </c>
      <c r="G276" s="51">
        <f t="shared" si="6"/>
        <v>300</v>
      </c>
    </row>
    <row r="277" spans="1:7" x14ac:dyDescent="0.35">
      <c r="A277" s="30">
        <v>34</v>
      </c>
      <c r="B277" s="48" t="s">
        <v>232</v>
      </c>
      <c r="D277" s="48" t="s">
        <v>34</v>
      </c>
      <c r="E277" s="49">
        <v>4000</v>
      </c>
      <c r="F277" s="50">
        <v>1.7</v>
      </c>
      <c r="G277" s="51">
        <f t="shared" si="6"/>
        <v>6800</v>
      </c>
    </row>
    <row r="278" spans="1:7" x14ac:dyDescent="0.35">
      <c r="A278" s="30">
        <v>35</v>
      </c>
      <c r="B278" s="48" t="s">
        <v>231</v>
      </c>
      <c r="C278" s="1">
        <v>6</v>
      </c>
      <c r="D278" s="48" t="s">
        <v>51</v>
      </c>
      <c r="E278" s="49">
        <v>500</v>
      </c>
      <c r="F278" s="50">
        <v>0.45</v>
      </c>
      <c r="G278" s="51">
        <f t="shared" si="6"/>
        <v>225</v>
      </c>
    </row>
    <row r="279" spans="1:7" x14ac:dyDescent="0.35">
      <c r="A279" s="30">
        <v>35</v>
      </c>
      <c r="B279" s="48" t="s">
        <v>231</v>
      </c>
      <c r="D279" s="48" t="s">
        <v>15</v>
      </c>
      <c r="E279" s="49">
        <v>2500</v>
      </c>
      <c r="F279" s="50">
        <v>4.1500000000000004</v>
      </c>
      <c r="G279" s="51">
        <f t="shared" si="6"/>
        <v>10375</v>
      </c>
    </row>
    <row r="280" spans="1:7" x14ac:dyDescent="0.35">
      <c r="A280" s="30">
        <v>36</v>
      </c>
      <c r="B280" s="48" t="s">
        <v>86</v>
      </c>
      <c r="C280" s="1">
        <v>4</v>
      </c>
      <c r="D280" s="48" t="s">
        <v>13</v>
      </c>
      <c r="E280" s="49">
        <v>200</v>
      </c>
      <c r="F280" s="50">
        <v>0.15</v>
      </c>
      <c r="G280" s="51">
        <f t="shared" si="6"/>
        <v>30</v>
      </c>
    </row>
    <row r="281" spans="1:7" x14ac:dyDescent="0.35">
      <c r="A281" s="30">
        <v>36</v>
      </c>
      <c r="B281" s="48" t="s">
        <v>86</v>
      </c>
      <c r="D281" s="48" t="s">
        <v>53</v>
      </c>
      <c r="E281" s="49">
        <v>300</v>
      </c>
      <c r="F281" s="50">
        <v>0.55000000000000004</v>
      </c>
      <c r="G281" s="51">
        <f t="shared" si="6"/>
        <v>165</v>
      </c>
    </row>
    <row r="282" spans="1:7" x14ac:dyDescent="0.35">
      <c r="A282" s="30">
        <v>36</v>
      </c>
      <c r="B282" s="48" t="s">
        <v>86</v>
      </c>
      <c r="D282" s="48" t="s">
        <v>29</v>
      </c>
      <c r="E282" s="49">
        <v>1600</v>
      </c>
      <c r="F282" s="50">
        <v>0.3</v>
      </c>
      <c r="G282" s="51">
        <f t="shared" si="6"/>
        <v>480</v>
      </c>
    </row>
    <row r="283" spans="1:7" x14ac:dyDescent="0.35">
      <c r="A283" s="30">
        <v>36</v>
      </c>
      <c r="B283" s="48" t="s">
        <v>86</v>
      </c>
      <c r="D283" s="48" t="s">
        <v>51</v>
      </c>
      <c r="E283" s="49">
        <v>500</v>
      </c>
      <c r="F283" s="50">
        <v>0.6</v>
      </c>
      <c r="G283" s="51">
        <f t="shared" si="6"/>
        <v>300</v>
      </c>
    </row>
    <row r="284" spans="1:7" x14ac:dyDescent="0.35">
      <c r="A284" s="30">
        <v>36</v>
      </c>
      <c r="B284" s="48" t="s">
        <v>86</v>
      </c>
      <c r="D284" t="s">
        <v>11</v>
      </c>
      <c r="E284" s="49">
        <v>8000</v>
      </c>
      <c r="F284" s="50">
        <v>0.1</v>
      </c>
      <c r="G284" s="51">
        <f t="shared" si="6"/>
        <v>800</v>
      </c>
    </row>
    <row r="285" spans="1:7" x14ac:dyDescent="0.35">
      <c r="A285" s="30">
        <v>36</v>
      </c>
      <c r="B285" s="48" t="s">
        <v>86</v>
      </c>
      <c r="D285" s="48" t="s">
        <v>60</v>
      </c>
      <c r="E285" s="49">
        <v>2500</v>
      </c>
      <c r="F285" s="50">
        <v>0.45</v>
      </c>
      <c r="G285" s="51">
        <f t="shared" si="6"/>
        <v>1125</v>
      </c>
    </row>
    <row r="286" spans="1:7" x14ac:dyDescent="0.35">
      <c r="A286" s="30">
        <v>36</v>
      </c>
      <c r="B286" s="48" t="s">
        <v>86</v>
      </c>
      <c r="D286" s="48" t="s">
        <v>61</v>
      </c>
      <c r="E286" s="49">
        <v>3500</v>
      </c>
      <c r="F286" s="50">
        <v>0.4</v>
      </c>
      <c r="G286" s="51">
        <f t="shared" si="6"/>
        <v>1400</v>
      </c>
    </row>
    <row r="287" spans="1:7" x14ac:dyDescent="0.35">
      <c r="A287" s="30">
        <v>36</v>
      </c>
      <c r="B287" s="48" t="s">
        <v>86</v>
      </c>
      <c r="D287" s="48" t="s">
        <v>39</v>
      </c>
      <c r="E287" s="49">
        <v>1500</v>
      </c>
      <c r="F287" s="50">
        <v>0.45</v>
      </c>
      <c r="G287" s="51">
        <f t="shared" si="6"/>
        <v>675</v>
      </c>
    </row>
    <row r="288" spans="1:7" x14ac:dyDescent="0.35">
      <c r="A288" s="30">
        <v>36</v>
      </c>
      <c r="B288" s="48" t="s">
        <v>86</v>
      </c>
      <c r="D288" s="48" t="s">
        <v>18</v>
      </c>
      <c r="E288" s="49">
        <v>150</v>
      </c>
      <c r="F288" s="50">
        <v>5.55</v>
      </c>
      <c r="G288" s="51">
        <f t="shared" si="6"/>
        <v>832.5</v>
      </c>
    </row>
    <row r="289" spans="1:7" x14ac:dyDescent="0.35">
      <c r="A289" s="30">
        <v>36</v>
      </c>
      <c r="B289" s="48" t="s">
        <v>86</v>
      </c>
      <c r="D289" s="48" t="s">
        <v>94</v>
      </c>
      <c r="E289" s="49">
        <v>2800</v>
      </c>
      <c r="F289" s="50">
        <v>1.45</v>
      </c>
      <c r="G289" s="51">
        <f t="shared" si="6"/>
        <v>4060</v>
      </c>
    </row>
    <row r="290" spans="1:7" x14ac:dyDescent="0.35">
      <c r="A290" s="30">
        <v>36</v>
      </c>
      <c r="B290" s="48" t="s">
        <v>86</v>
      </c>
      <c r="D290" s="48" t="s">
        <v>25</v>
      </c>
      <c r="E290" s="49">
        <v>1000</v>
      </c>
      <c r="F290" s="50">
        <v>3.95</v>
      </c>
      <c r="G290" s="51">
        <f t="shared" si="6"/>
        <v>3950</v>
      </c>
    </row>
    <row r="291" spans="1:7" x14ac:dyDescent="0.35">
      <c r="A291" s="30">
        <v>37</v>
      </c>
      <c r="B291" s="48" t="s">
        <v>163</v>
      </c>
      <c r="C291" s="1">
        <v>7</v>
      </c>
      <c r="D291" s="48" t="s">
        <v>26</v>
      </c>
      <c r="E291" s="49">
        <v>1000</v>
      </c>
      <c r="F291" s="50">
        <v>2</v>
      </c>
      <c r="G291" s="51">
        <f t="shared" si="6"/>
        <v>2000</v>
      </c>
    </row>
    <row r="292" spans="1:7" x14ac:dyDescent="0.35">
      <c r="A292" s="30">
        <v>37</v>
      </c>
      <c r="B292" s="48" t="s">
        <v>163</v>
      </c>
      <c r="D292" s="48" t="s">
        <v>25</v>
      </c>
      <c r="E292" s="49">
        <v>1000</v>
      </c>
      <c r="F292" s="50">
        <v>0.3</v>
      </c>
      <c r="G292" s="51">
        <f t="shared" si="6"/>
        <v>300</v>
      </c>
    </row>
    <row r="293" spans="1:7" x14ac:dyDescent="0.35">
      <c r="A293" s="30">
        <v>37</v>
      </c>
      <c r="B293" s="48" t="s">
        <v>163</v>
      </c>
      <c r="D293" s="48" t="s">
        <v>53</v>
      </c>
      <c r="E293" s="49">
        <v>300</v>
      </c>
      <c r="F293" s="50">
        <v>1.2</v>
      </c>
      <c r="G293" s="51">
        <f t="shared" si="6"/>
        <v>360</v>
      </c>
    </row>
    <row r="294" spans="1:7" x14ac:dyDescent="0.35">
      <c r="A294" s="30">
        <v>37</v>
      </c>
      <c r="B294" s="48" t="s">
        <v>163</v>
      </c>
      <c r="D294" s="48" t="s">
        <v>39</v>
      </c>
      <c r="E294" s="49">
        <v>1500</v>
      </c>
      <c r="F294" s="50">
        <v>0.75</v>
      </c>
      <c r="G294" s="51">
        <f t="shared" si="6"/>
        <v>1125</v>
      </c>
    </row>
    <row r="295" spans="1:7" x14ac:dyDescent="0.35">
      <c r="A295" s="30">
        <v>37</v>
      </c>
      <c r="B295" s="48" t="s">
        <v>163</v>
      </c>
      <c r="D295" s="48" t="s">
        <v>18</v>
      </c>
      <c r="E295" s="49">
        <v>150</v>
      </c>
      <c r="F295" s="50">
        <v>1.05</v>
      </c>
      <c r="G295" s="51">
        <f t="shared" si="6"/>
        <v>157.5</v>
      </c>
    </row>
    <row r="296" spans="1:7" x14ac:dyDescent="0.35">
      <c r="A296" s="30">
        <v>37</v>
      </c>
      <c r="B296" s="48" t="s">
        <v>163</v>
      </c>
      <c r="D296" s="48" t="s">
        <v>34</v>
      </c>
      <c r="E296" s="49">
        <v>4000</v>
      </c>
      <c r="F296" s="50">
        <v>3.6</v>
      </c>
      <c r="G296" s="51">
        <f t="shared" si="6"/>
        <v>14400</v>
      </c>
    </row>
    <row r="297" spans="1:7" x14ac:dyDescent="0.35">
      <c r="A297" s="30">
        <v>37</v>
      </c>
      <c r="B297" s="48" t="s">
        <v>163</v>
      </c>
      <c r="D297" s="48" t="s">
        <v>41</v>
      </c>
      <c r="E297" s="49">
        <v>1000</v>
      </c>
      <c r="F297" s="50">
        <v>11.7</v>
      </c>
      <c r="G297" s="51">
        <f t="shared" si="6"/>
        <v>11700</v>
      </c>
    </row>
    <row r="298" spans="1:7" x14ac:dyDescent="0.35">
      <c r="A298" s="30">
        <v>38</v>
      </c>
      <c r="B298" s="48" t="s">
        <v>95</v>
      </c>
      <c r="C298" s="1">
        <v>7</v>
      </c>
      <c r="D298" s="48" t="s">
        <v>15</v>
      </c>
      <c r="E298" s="49">
        <v>2500</v>
      </c>
      <c r="F298" s="50">
        <v>0.95</v>
      </c>
      <c r="G298" s="51">
        <f t="shared" si="6"/>
        <v>2375</v>
      </c>
    </row>
    <row r="299" spans="1:7" x14ac:dyDescent="0.35">
      <c r="A299" s="30">
        <v>38</v>
      </c>
      <c r="B299" s="48" t="s">
        <v>95</v>
      </c>
      <c r="D299" s="48" t="s">
        <v>13</v>
      </c>
      <c r="E299" s="49">
        <v>200</v>
      </c>
      <c r="F299" s="50">
        <v>2.85</v>
      </c>
      <c r="G299" s="51">
        <f t="shared" si="6"/>
        <v>570</v>
      </c>
    </row>
    <row r="300" spans="1:7" x14ac:dyDescent="0.35">
      <c r="A300" s="30">
        <v>38</v>
      </c>
      <c r="B300" s="48" t="s">
        <v>95</v>
      </c>
      <c r="D300" s="48" t="s">
        <v>53</v>
      </c>
      <c r="E300" s="49">
        <v>300</v>
      </c>
      <c r="F300" s="50">
        <v>0.8</v>
      </c>
      <c r="G300" s="51">
        <f t="shared" si="6"/>
        <v>240</v>
      </c>
    </row>
    <row r="301" spans="1:7" x14ac:dyDescent="0.35">
      <c r="A301" s="30">
        <v>38</v>
      </c>
      <c r="B301" s="48" t="s">
        <v>95</v>
      </c>
      <c r="D301" s="48" t="s">
        <v>60</v>
      </c>
      <c r="E301" s="49">
        <v>2500</v>
      </c>
      <c r="F301" s="50">
        <v>0.4</v>
      </c>
      <c r="G301" s="51">
        <f t="shared" si="6"/>
        <v>1000</v>
      </c>
    </row>
    <row r="302" spans="1:7" x14ac:dyDescent="0.35">
      <c r="A302" s="30">
        <v>38</v>
      </c>
      <c r="B302" s="48" t="s">
        <v>95</v>
      </c>
      <c r="D302" s="48" t="s">
        <v>26</v>
      </c>
      <c r="E302" s="49">
        <v>1000</v>
      </c>
      <c r="F302" s="50">
        <v>3.7</v>
      </c>
      <c r="G302" s="51">
        <f t="shared" si="6"/>
        <v>3700</v>
      </c>
    </row>
    <row r="303" spans="1:7" x14ac:dyDescent="0.35">
      <c r="A303" s="30">
        <v>38</v>
      </c>
      <c r="B303" s="48" t="s">
        <v>95</v>
      </c>
      <c r="D303" s="48" t="s">
        <v>94</v>
      </c>
      <c r="E303" s="49">
        <v>2800</v>
      </c>
      <c r="F303" s="50">
        <v>1.7</v>
      </c>
      <c r="G303" s="51">
        <f t="shared" si="6"/>
        <v>4760</v>
      </c>
    </row>
    <row r="304" spans="1:7" x14ac:dyDescent="0.35">
      <c r="A304" s="30">
        <v>38</v>
      </c>
      <c r="B304" s="48" t="s">
        <v>95</v>
      </c>
      <c r="D304" s="48" t="s">
        <v>51</v>
      </c>
      <c r="E304" s="49">
        <v>500</v>
      </c>
      <c r="F304" s="50">
        <v>0.45</v>
      </c>
      <c r="G304" s="51">
        <f t="shared" si="6"/>
        <v>225</v>
      </c>
    </row>
    <row r="305" spans="1:7" x14ac:dyDescent="0.35">
      <c r="A305" s="30">
        <v>39</v>
      </c>
      <c r="B305" s="48" t="s">
        <v>190</v>
      </c>
      <c r="C305" s="1">
        <v>2</v>
      </c>
      <c r="D305" s="48" t="s">
        <v>51</v>
      </c>
      <c r="E305" s="49">
        <v>500</v>
      </c>
      <c r="F305" s="50">
        <v>0.45</v>
      </c>
      <c r="G305" s="51">
        <f t="shared" si="6"/>
        <v>225</v>
      </c>
    </row>
    <row r="306" spans="1:7" x14ac:dyDescent="0.35">
      <c r="A306" s="30">
        <v>39</v>
      </c>
      <c r="B306" s="48" t="s">
        <v>190</v>
      </c>
      <c r="D306" t="s">
        <v>11</v>
      </c>
      <c r="E306" s="49">
        <v>8000</v>
      </c>
      <c r="F306" s="50">
        <v>0.05</v>
      </c>
      <c r="G306" s="51">
        <f t="shared" si="6"/>
        <v>400</v>
      </c>
    </row>
    <row r="307" spans="1:7" x14ac:dyDescent="0.35">
      <c r="A307" s="30">
        <v>39</v>
      </c>
      <c r="B307" s="48" t="s">
        <v>190</v>
      </c>
      <c r="D307" s="48" t="s">
        <v>18</v>
      </c>
      <c r="E307" s="49">
        <v>150</v>
      </c>
      <c r="F307" s="50">
        <v>0.6</v>
      </c>
      <c r="G307" s="51">
        <f t="shared" si="6"/>
        <v>90</v>
      </c>
    </row>
    <row r="308" spans="1:7" x14ac:dyDescent="0.35">
      <c r="A308" s="30">
        <v>39</v>
      </c>
      <c r="B308" s="48" t="s">
        <v>190</v>
      </c>
      <c r="D308" s="48" t="s">
        <v>25</v>
      </c>
      <c r="E308" s="49">
        <v>1000</v>
      </c>
      <c r="F308" s="50">
        <v>0.3</v>
      </c>
      <c r="G308" s="51">
        <f t="shared" si="6"/>
        <v>300</v>
      </c>
    </row>
    <row r="309" spans="1:7" x14ac:dyDescent="0.35">
      <c r="A309" s="30">
        <v>39</v>
      </c>
      <c r="B309" s="48" t="s">
        <v>190</v>
      </c>
      <c r="D309" s="48" t="s">
        <v>53</v>
      </c>
      <c r="E309" s="49">
        <v>300</v>
      </c>
      <c r="F309" s="50">
        <v>1.8</v>
      </c>
      <c r="G309" s="51">
        <f t="shared" si="6"/>
        <v>540</v>
      </c>
    </row>
    <row r="310" spans="1:7" x14ac:dyDescent="0.35">
      <c r="A310" s="30">
        <v>39</v>
      </c>
      <c r="B310" s="48" t="s">
        <v>190</v>
      </c>
      <c r="D310" s="48" t="s">
        <v>41</v>
      </c>
      <c r="E310" s="49">
        <v>1000</v>
      </c>
      <c r="F310" s="50">
        <f>0.05+0.05+0.2+0.45+0.05</f>
        <v>0.8</v>
      </c>
      <c r="G310" s="51">
        <f t="shared" si="6"/>
        <v>800</v>
      </c>
    </row>
    <row r="311" spans="1:7" x14ac:dyDescent="0.35">
      <c r="A311" s="30">
        <v>39</v>
      </c>
      <c r="B311" s="48" t="s">
        <v>190</v>
      </c>
      <c r="D311" s="48" t="s">
        <v>94</v>
      </c>
      <c r="E311" s="49">
        <v>2800</v>
      </c>
      <c r="F311" s="50">
        <f>0.75+0.85+1.55+1.2+0.6+0.5</f>
        <v>5.45</v>
      </c>
      <c r="G311" s="51">
        <f t="shared" si="6"/>
        <v>15260</v>
      </c>
    </row>
    <row r="312" spans="1:7" x14ac:dyDescent="0.35">
      <c r="A312" s="30">
        <v>40</v>
      </c>
      <c r="B312" s="48" t="s">
        <v>210</v>
      </c>
      <c r="C312" s="1">
        <v>4</v>
      </c>
      <c r="D312" s="48" t="s">
        <v>26</v>
      </c>
      <c r="E312" s="49">
        <v>1000</v>
      </c>
      <c r="F312" s="50">
        <v>0.75</v>
      </c>
      <c r="G312" s="51">
        <f t="shared" si="6"/>
        <v>750</v>
      </c>
    </row>
    <row r="313" spans="1:7" x14ac:dyDescent="0.35">
      <c r="A313" s="30">
        <v>40</v>
      </c>
      <c r="B313" s="48" t="s">
        <v>210</v>
      </c>
      <c r="D313" s="48" t="s">
        <v>22</v>
      </c>
      <c r="E313" s="49">
        <v>1600</v>
      </c>
      <c r="F313" s="50">
        <v>2.4500000000000002</v>
      </c>
      <c r="G313" s="51">
        <f t="shared" si="6"/>
        <v>3920.0000000000005</v>
      </c>
    </row>
    <row r="314" spans="1:7" x14ac:dyDescent="0.35">
      <c r="A314" s="30">
        <v>40</v>
      </c>
      <c r="B314" s="48" t="s">
        <v>210</v>
      </c>
      <c r="D314" s="48" t="s">
        <v>25</v>
      </c>
      <c r="E314" s="49">
        <v>1000</v>
      </c>
      <c r="F314" s="50">
        <v>2.15</v>
      </c>
      <c r="G314" s="51">
        <f t="shared" si="6"/>
        <v>2150</v>
      </c>
    </row>
    <row r="315" spans="1:7" x14ac:dyDescent="0.35">
      <c r="A315" s="30">
        <v>41</v>
      </c>
      <c r="B315" s="48" t="s">
        <v>87</v>
      </c>
      <c r="C315" s="1">
        <v>2</v>
      </c>
      <c r="D315" s="48" t="s">
        <v>53</v>
      </c>
      <c r="E315" s="49">
        <v>300</v>
      </c>
      <c r="F315" s="50">
        <v>0.4</v>
      </c>
      <c r="G315" s="51">
        <f t="shared" si="6"/>
        <v>120</v>
      </c>
    </row>
    <row r="316" spans="1:7" x14ac:dyDescent="0.35">
      <c r="A316" s="30">
        <v>41</v>
      </c>
      <c r="B316" s="48" t="s">
        <v>87</v>
      </c>
      <c r="D316" s="48" t="s">
        <v>51</v>
      </c>
      <c r="E316" s="49">
        <v>500</v>
      </c>
      <c r="F316" s="50">
        <v>1.65</v>
      </c>
      <c r="G316" s="51">
        <f t="shared" si="6"/>
        <v>825</v>
      </c>
    </row>
    <row r="317" spans="1:7" x14ac:dyDescent="0.35">
      <c r="A317" s="30">
        <v>41</v>
      </c>
      <c r="B317" s="48" t="s">
        <v>87</v>
      </c>
      <c r="D317" s="48" t="s">
        <v>61</v>
      </c>
      <c r="E317" s="49">
        <v>3500</v>
      </c>
      <c r="F317" s="50">
        <v>0.1</v>
      </c>
      <c r="G317" s="51">
        <f t="shared" si="6"/>
        <v>350</v>
      </c>
    </row>
    <row r="318" spans="1:7" x14ac:dyDescent="0.35">
      <c r="A318" s="30">
        <v>41</v>
      </c>
      <c r="B318" s="48" t="s">
        <v>87</v>
      </c>
      <c r="D318" s="48" t="s">
        <v>39</v>
      </c>
      <c r="E318" s="49">
        <v>1500</v>
      </c>
      <c r="F318" s="50">
        <v>0.5</v>
      </c>
      <c r="G318" s="51">
        <f t="shared" si="6"/>
        <v>750</v>
      </c>
    </row>
    <row r="319" spans="1:7" x14ac:dyDescent="0.35">
      <c r="A319" s="30">
        <v>41</v>
      </c>
      <c r="B319" s="48" t="s">
        <v>87</v>
      </c>
      <c r="D319" s="48" t="s">
        <v>18</v>
      </c>
      <c r="E319" s="49">
        <v>150</v>
      </c>
      <c r="F319" s="50">
        <v>0.6</v>
      </c>
      <c r="G319" s="51">
        <f t="shared" si="6"/>
        <v>90</v>
      </c>
    </row>
    <row r="320" spans="1:7" x14ac:dyDescent="0.35">
      <c r="A320" s="30">
        <v>41</v>
      </c>
      <c r="B320" s="48" t="s">
        <v>87</v>
      </c>
      <c r="D320" s="48" t="s">
        <v>94</v>
      </c>
      <c r="E320" s="49">
        <v>2800</v>
      </c>
      <c r="F320" s="50">
        <v>0.35</v>
      </c>
      <c r="G320" s="51">
        <f t="shared" si="6"/>
        <v>979.99999999999989</v>
      </c>
    </row>
    <row r="321" spans="1:7" x14ac:dyDescent="0.35">
      <c r="A321" s="30">
        <v>41</v>
      </c>
      <c r="B321" s="48" t="s">
        <v>87</v>
      </c>
      <c r="D321" s="48" t="s">
        <v>29</v>
      </c>
      <c r="E321" s="49">
        <v>1600</v>
      </c>
      <c r="F321" s="50">
        <v>0.25</v>
      </c>
      <c r="G321" s="51">
        <f t="shared" si="6"/>
        <v>400</v>
      </c>
    </row>
    <row r="322" spans="1:7" x14ac:dyDescent="0.35">
      <c r="A322" s="30">
        <v>42</v>
      </c>
      <c r="B322" s="48" t="s">
        <v>195</v>
      </c>
      <c r="D322" s="48" t="s">
        <v>25</v>
      </c>
      <c r="E322" s="49">
        <v>1000</v>
      </c>
      <c r="F322" s="50">
        <v>1.35</v>
      </c>
      <c r="G322" s="51">
        <f t="shared" si="6"/>
        <v>1350</v>
      </c>
    </row>
    <row r="323" spans="1:7" x14ac:dyDescent="0.35">
      <c r="A323" s="30">
        <v>42</v>
      </c>
      <c r="B323" s="48" t="s">
        <v>195</v>
      </c>
      <c r="C323" s="1">
        <v>4</v>
      </c>
      <c r="D323" s="48" t="s">
        <v>126</v>
      </c>
      <c r="E323" s="49">
        <v>1800</v>
      </c>
      <c r="F323" s="50">
        <v>0.45</v>
      </c>
      <c r="G323" s="51">
        <f t="shared" ref="G323:G382" si="7">E323*F323</f>
        <v>810</v>
      </c>
    </row>
    <row r="324" spans="1:7" x14ac:dyDescent="0.35">
      <c r="A324" s="30">
        <v>42</v>
      </c>
      <c r="B324" s="48" t="s">
        <v>195</v>
      </c>
      <c r="D324" s="48" t="s">
        <v>39</v>
      </c>
      <c r="E324" s="49">
        <v>1500</v>
      </c>
      <c r="F324" s="50">
        <v>0.75</v>
      </c>
      <c r="G324" s="51">
        <f t="shared" si="7"/>
        <v>1125</v>
      </c>
    </row>
    <row r="325" spans="1:7" x14ac:dyDescent="0.35">
      <c r="A325" s="30">
        <v>42</v>
      </c>
      <c r="B325" s="48" t="s">
        <v>195</v>
      </c>
      <c r="D325" s="48" t="s">
        <v>94</v>
      </c>
      <c r="E325" s="49">
        <v>2800</v>
      </c>
      <c r="F325" s="50">
        <v>0.85</v>
      </c>
      <c r="G325" s="51">
        <f t="shared" si="7"/>
        <v>2380</v>
      </c>
    </row>
    <row r="326" spans="1:7" x14ac:dyDescent="0.35">
      <c r="A326" s="30">
        <v>42</v>
      </c>
      <c r="B326" s="48" t="s">
        <v>195</v>
      </c>
      <c r="D326" s="48" t="s">
        <v>53</v>
      </c>
      <c r="E326" s="49">
        <v>300</v>
      </c>
      <c r="F326" s="50">
        <v>1.3</v>
      </c>
      <c r="G326" s="51">
        <f t="shared" si="7"/>
        <v>390</v>
      </c>
    </row>
    <row r="327" spans="1:7" x14ac:dyDescent="0.35">
      <c r="A327" s="30">
        <v>42</v>
      </c>
      <c r="B327" s="48" t="s">
        <v>195</v>
      </c>
      <c r="D327" s="48" t="s">
        <v>41</v>
      </c>
      <c r="E327" s="49">
        <v>1000</v>
      </c>
      <c r="F327" s="50">
        <v>2.1</v>
      </c>
      <c r="G327" s="51">
        <f t="shared" si="7"/>
        <v>2100</v>
      </c>
    </row>
    <row r="328" spans="1:7" x14ac:dyDescent="0.35">
      <c r="A328" s="30">
        <v>43</v>
      </c>
      <c r="B328" s="48" t="s">
        <v>254</v>
      </c>
      <c r="C328" s="1">
        <v>6</v>
      </c>
      <c r="D328" s="48" t="s">
        <v>22</v>
      </c>
      <c r="E328" s="49">
        <v>1600</v>
      </c>
      <c r="F328" s="50">
        <v>0.5</v>
      </c>
      <c r="G328" s="51">
        <f t="shared" si="7"/>
        <v>800</v>
      </c>
    </row>
    <row r="329" spans="1:7" x14ac:dyDescent="0.35">
      <c r="A329" s="30">
        <v>43</v>
      </c>
      <c r="B329" s="48" t="s">
        <v>254</v>
      </c>
      <c r="D329" s="48" t="s">
        <v>25</v>
      </c>
      <c r="E329" s="49">
        <v>1000</v>
      </c>
      <c r="F329" s="50">
        <v>1.05</v>
      </c>
      <c r="G329" s="51">
        <f t="shared" si="7"/>
        <v>1050</v>
      </c>
    </row>
    <row r="330" spans="1:7" x14ac:dyDescent="0.35">
      <c r="A330" s="30">
        <v>43</v>
      </c>
      <c r="B330" s="48" t="s">
        <v>254</v>
      </c>
      <c r="D330" s="48" t="s">
        <v>46</v>
      </c>
      <c r="E330" s="49">
        <v>2700</v>
      </c>
      <c r="F330" s="50">
        <v>0.1</v>
      </c>
      <c r="G330" s="51">
        <f t="shared" si="7"/>
        <v>270</v>
      </c>
    </row>
    <row r="331" spans="1:7" x14ac:dyDescent="0.35">
      <c r="A331" s="30">
        <v>43</v>
      </c>
      <c r="B331" s="48" t="s">
        <v>254</v>
      </c>
      <c r="D331" s="48" t="s">
        <v>18</v>
      </c>
      <c r="E331" s="49">
        <v>150</v>
      </c>
      <c r="F331" s="50">
        <v>0.35</v>
      </c>
      <c r="G331" s="51">
        <f t="shared" si="7"/>
        <v>52.5</v>
      </c>
    </row>
    <row r="332" spans="1:7" x14ac:dyDescent="0.35">
      <c r="A332" s="30">
        <v>43</v>
      </c>
      <c r="B332" s="48" t="s">
        <v>254</v>
      </c>
      <c r="D332" s="48" t="s">
        <v>39</v>
      </c>
      <c r="E332" s="49">
        <v>1500</v>
      </c>
      <c r="F332" s="50">
        <v>0.15</v>
      </c>
      <c r="G332" s="51">
        <f t="shared" si="7"/>
        <v>225</v>
      </c>
    </row>
    <row r="333" spans="1:7" x14ac:dyDescent="0.35">
      <c r="A333" s="30">
        <v>43</v>
      </c>
      <c r="B333" s="48" t="s">
        <v>254</v>
      </c>
      <c r="D333" s="48" t="s">
        <v>263</v>
      </c>
      <c r="E333" s="49">
        <v>400</v>
      </c>
      <c r="F333" s="50">
        <v>0.1</v>
      </c>
      <c r="G333" s="51">
        <f t="shared" si="7"/>
        <v>40</v>
      </c>
    </row>
    <row r="334" spans="1:7" x14ac:dyDescent="0.35">
      <c r="A334" s="30">
        <v>44</v>
      </c>
      <c r="B334" s="48" t="s">
        <v>209</v>
      </c>
      <c r="C334" s="1">
        <v>4</v>
      </c>
      <c r="D334" s="48" t="s">
        <v>25</v>
      </c>
      <c r="E334" s="49">
        <v>1000</v>
      </c>
      <c r="F334" s="50">
        <v>0.55000000000000004</v>
      </c>
      <c r="G334" s="51">
        <f t="shared" si="7"/>
        <v>550</v>
      </c>
    </row>
    <row r="335" spans="1:7" x14ac:dyDescent="0.35">
      <c r="A335" s="30">
        <v>44</v>
      </c>
      <c r="B335" s="48" t="s">
        <v>209</v>
      </c>
      <c r="D335" s="48" t="s">
        <v>39</v>
      </c>
      <c r="E335" s="49">
        <v>1500</v>
      </c>
      <c r="F335" s="50">
        <v>0.55000000000000004</v>
      </c>
      <c r="G335" s="51">
        <f t="shared" si="7"/>
        <v>825.00000000000011</v>
      </c>
    </row>
    <row r="336" spans="1:7" x14ac:dyDescent="0.35">
      <c r="A336" s="30">
        <v>44</v>
      </c>
      <c r="B336" s="48" t="s">
        <v>209</v>
      </c>
      <c r="D336" s="48" t="s">
        <v>18</v>
      </c>
      <c r="E336" s="49">
        <v>150</v>
      </c>
      <c r="F336" s="50">
        <v>0.3</v>
      </c>
      <c r="G336" s="51">
        <f t="shared" si="7"/>
        <v>45</v>
      </c>
    </row>
    <row r="337" spans="1:7" x14ac:dyDescent="0.35">
      <c r="A337" s="30">
        <v>44</v>
      </c>
      <c r="B337" s="48" t="s">
        <v>209</v>
      </c>
      <c r="D337" s="48" t="s">
        <v>26</v>
      </c>
      <c r="E337" s="49">
        <v>1000</v>
      </c>
      <c r="F337" s="50">
        <v>0.3</v>
      </c>
      <c r="G337" s="51">
        <f t="shared" si="7"/>
        <v>300</v>
      </c>
    </row>
    <row r="338" spans="1:7" x14ac:dyDescent="0.35">
      <c r="A338" s="30">
        <v>44</v>
      </c>
      <c r="B338" s="48" t="s">
        <v>209</v>
      </c>
      <c r="D338" s="48" t="s">
        <v>34</v>
      </c>
      <c r="E338" s="49">
        <v>4000</v>
      </c>
      <c r="F338" s="50">
        <v>1.4</v>
      </c>
      <c r="G338" s="51">
        <f t="shared" si="7"/>
        <v>5600</v>
      </c>
    </row>
    <row r="339" spans="1:7" x14ac:dyDescent="0.35">
      <c r="A339" s="30">
        <v>44</v>
      </c>
      <c r="B339" s="48" t="s">
        <v>209</v>
      </c>
      <c r="D339" s="48" t="s">
        <v>125</v>
      </c>
      <c r="E339" s="49">
        <v>800</v>
      </c>
      <c r="F339" s="50">
        <v>0.95</v>
      </c>
      <c r="G339" s="51">
        <f t="shared" si="7"/>
        <v>760</v>
      </c>
    </row>
    <row r="340" spans="1:7" x14ac:dyDescent="0.35">
      <c r="A340" s="30">
        <v>44</v>
      </c>
      <c r="B340" s="48" t="s">
        <v>209</v>
      </c>
      <c r="D340" s="48" t="s">
        <v>41</v>
      </c>
      <c r="E340" s="49">
        <v>1000</v>
      </c>
      <c r="F340" s="50">
        <v>0.95</v>
      </c>
      <c r="G340" s="51">
        <f t="shared" si="7"/>
        <v>950</v>
      </c>
    </row>
    <row r="341" spans="1:7" x14ac:dyDescent="0.35">
      <c r="A341" s="30">
        <v>44</v>
      </c>
      <c r="B341" s="48" t="s">
        <v>209</v>
      </c>
      <c r="D341" s="48" t="s">
        <v>13</v>
      </c>
      <c r="E341" s="49">
        <v>200</v>
      </c>
      <c r="F341" s="50">
        <v>0.25</v>
      </c>
      <c r="G341" s="51">
        <f t="shared" si="7"/>
        <v>50</v>
      </c>
    </row>
    <row r="342" spans="1:7" x14ac:dyDescent="0.35">
      <c r="A342" s="30">
        <v>44</v>
      </c>
      <c r="B342" s="48" t="s">
        <v>209</v>
      </c>
      <c r="D342" s="48" t="s">
        <v>53</v>
      </c>
      <c r="E342" s="49">
        <v>300</v>
      </c>
      <c r="F342" s="50">
        <v>0.55000000000000004</v>
      </c>
      <c r="G342" s="51">
        <f t="shared" si="7"/>
        <v>165</v>
      </c>
    </row>
    <row r="343" spans="1:7" x14ac:dyDescent="0.35">
      <c r="A343" s="30">
        <v>44</v>
      </c>
      <c r="B343" s="48" t="s">
        <v>211</v>
      </c>
      <c r="C343" s="1">
        <v>4</v>
      </c>
      <c r="D343" s="48" t="s">
        <v>25</v>
      </c>
      <c r="E343" s="49">
        <v>1000</v>
      </c>
      <c r="F343" s="50">
        <v>0.65</v>
      </c>
      <c r="G343" s="51">
        <f t="shared" si="7"/>
        <v>650</v>
      </c>
    </row>
    <row r="344" spans="1:7" x14ac:dyDescent="0.35">
      <c r="A344" s="30">
        <v>44</v>
      </c>
      <c r="B344" s="48" t="s">
        <v>211</v>
      </c>
      <c r="D344" s="48" t="s">
        <v>53</v>
      </c>
      <c r="E344" s="49">
        <v>300</v>
      </c>
      <c r="F344" s="50">
        <v>1.45</v>
      </c>
      <c r="G344" s="51">
        <f t="shared" si="7"/>
        <v>435</v>
      </c>
    </row>
    <row r="345" spans="1:7" x14ac:dyDescent="0.35">
      <c r="A345" s="30">
        <v>44</v>
      </c>
      <c r="B345" s="48" t="s">
        <v>211</v>
      </c>
      <c r="D345" s="48" t="s">
        <v>18</v>
      </c>
      <c r="E345" s="49">
        <v>150</v>
      </c>
      <c r="F345" s="50">
        <v>1.3</v>
      </c>
      <c r="G345" s="51">
        <f t="shared" si="7"/>
        <v>195</v>
      </c>
    </row>
    <row r="346" spans="1:7" x14ac:dyDescent="0.35">
      <c r="A346" s="30">
        <v>45</v>
      </c>
      <c r="B346" s="48" t="s">
        <v>99</v>
      </c>
      <c r="C346" s="1">
        <v>4</v>
      </c>
      <c r="D346" s="48" t="s">
        <v>41</v>
      </c>
      <c r="E346" s="49">
        <v>1000</v>
      </c>
      <c r="F346" s="50">
        <v>0.45</v>
      </c>
      <c r="G346" s="51">
        <f t="shared" si="7"/>
        <v>450</v>
      </c>
    </row>
    <row r="347" spans="1:7" x14ac:dyDescent="0.35">
      <c r="A347" s="30">
        <v>45</v>
      </c>
      <c r="B347" s="48" t="s">
        <v>99</v>
      </c>
      <c r="D347" s="48" t="s">
        <v>53</v>
      </c>
      <c r="E347" s="49">
        <v>300</v>
      </c>
      <c r="F347" s="50">
        <v>0.25</v>
      </c>
      <c r="G347" s="51">
        <f t="shared" si="7"/>
        <v>75</v>
      </c>
    </row>
    <row r="348" spans="1:7" x14ac:dyDescent="0.35">
      <c r="A348" s="30">
        <v>45</v>
      </c>
      <c r="B348" s="48" t="s">
        <v>99</v>
      </c>
      <c r="D348" s="48" t="s">
        <v>22</v>
      </c>
      <c r="E348" s="49">
        <v>1600</v>
      </c>
      <c r="F348" s="50">
        <v>0.3</v>
      </c>
      <c r="G348" s="51">
        <f t="shared" si="7"/>
        <v>480</v>
      </c>
    </row>
    <row r="349" spans="1:7" x14ac:dyDescent="0.35">
      <c r="A349" s="30">
        <v>45</v>
      </c>
      <c r="B349" s="48" t="s">
        <v>99</v>
      </c>
      <c r="D349" s="48" t="s">
        <v>60</v>
      </c>
      <c r="E349" s="49">
        <v>2500</v>
      </c>
      <c r="F349" s="50">
        <v>0.1</v>
      </c>
      <c r="G349" s="51">
        <f t="shared" si="7"/>
        <v>250</v>
      </c>
    </row>
    <row r="350" spans="1:7" x14ac:dyDescent="0.35">
      <c r="A350" s="30">
        <v>45</v>
      </c>
      <c r="B350" s="48" t="s">
        <v>99</v>
      </c>
      <c r="D350" s="48" t="s">
        <v>13</v>
      </c>
      <c r="E350" s="49">
        <v>200</v>
      </c>
      <c r="F350" s="50">
        <v>0.15</v>
      </c>
      <c r="G350" s="51">
        <f t="shared" si="7"/>
        <v>30</v>
      </c>
    </row>
    <row r="351" spans="1:7" x14ac:dyDescent="0.35">
      <c r="A351" s="30">
        <v>47</v>
      </c>
      <c r="B351" s="48" t="s">
        <v>103</v>
      </c>
      <c r="C351" s="1">
        <v>1</v>
      </c>
      <c r="D351" s="48" t="s">
        <v>41</v>
      </c>
      <c r="E351" s="49">
        <v>1000</v>
      </c>
      <c r="F351" s="50">
        <v>3</v>
      </c>
      <c r="G351" s="51">
        <f t="shared" si="7"/>
        <v>3000</v>
      </c>
    </row>
    <row r="352" spans="1:7" x14ac:dyDescent="0.35">
      <c r="A352" s="30">
        <v>47</v>
      </c>
      <c r="B352" s="48" t="s">
        <v>103</v>
      </c>
      <c r="D352" s="48" t="s">
        <v>53</v>
      </c>
      <c r="E352" s="49">
        <v>300</v>
      </c>
      <c r="F352" s="50">
        <v>0.65</v>
      </c>
      <c r="G352" s="51">
        <f t="shared" si="7"/>
        <v>195</v>
      </c>
    </row>
    <row r="353" spans="1:7" x14ac:dyDescent="0.35">
      <c r="A353" s="30">
        <v>47</v>
      </c>
      <c r="B353" s="48" t="s">
        <v>103</v>
      </c>
      <c r="D353" s="48" t="s">
        <v>22</v>
      </c>
      <c r="E353" s="49">
        <v>1600</v>
      </c>
      <c r="F353" s="50">
        <v>0.15</v>
      </c>
      <c r="G353" s="51">
        <f t="shared" si="7"/>
        <v>240</v>
      </c>
    </row>
    <row r="354" spans="1:7" x14ac:dyDescent="0.35">
      <c r="A354" s="30">
        <v>47</v>
      </c>
      <c r="B354" s="48" t="s">
        <v>103</v>
      </c>
      <c r="D354" s="48" t="s">
        <v>29</v>
      </c>
      <c r="E354" s="49">
        <v>1600</v>
      </c>
      <c r="F354" s="50">
        <v>0.15</v>
      </c>
      <c r="G354" s="51">
        <f t="shared" si="7"/>
        <v>240</v>
      </c>
    </row>
    <row r="355" spans="1:7" x14ac:dyDescent="0.35">
      <c r="A355" s="30">
        <v>47</v>
      </c>
      <c r="B355" s="48" t="s">
        <v>103</v>
      </c>
      <c r="D355" s="48" t="s">
        <v>26</v>
      </c>
      <c r="E355" s="49">
        <v>1000</v>
      </c>
      <c r="F355" s="50">
        <v>1.9</v>
      </c>
      <c r="G355" s="51">
        <f t="shared" si="7"/>
        <v>1900</v>
      </c>
    </row>
    <row r="356" spans="1:7" x14ac:dyDescent="0.35">
      <c r="A356" s="30">
        <v>48</v>
      </c>
      <c r="B356" s="48" t="s">
        <v>170</v>
      </c>
      <c r="C356" s="1">
        <v>1</v>
      </c>
      <c r="D356" s="48" t="s">
        <v>26</v>
      </c>
      <c r="E356" s="49">
        <v>1000</v>
      </c>
      <c r="F356" s="50">
        <v>0.5</v>
      </c>
      <c r="G356" s="51">
        <f t="shared" si="7"/>
        <v>500</v>
      </c>
    </row>
    <row r="357" spans="1:7" x14ac:dyDescent="0.35">
      <c r="A357" s="30">
        <v>48</v>
      </c>
      <c r="B357" s="48" t="s">
        <v>170</v>
      </c>
      <c r="D357" s="48" t="s">
        <v>39</v>
      </c>
      <c r="E357" s="49">
        <v>1500</v>
      </c>
      <c r="F357" s="50">
        <v>1.05</v>
      </c>
      <c r="G357" s="51">
        <f t="shared" si="7"/>
        <v>1575</v>
      </c>
    </row>
    <row r="358" spans="1:7" x14ac:dyDescent="0.35">
      <c r="A358" s="30">
        <v>48</v>
      </c>
      <c r="B358" s="48" t="s">
        <v>170</v>
      </c>
      <c r="D358" s="48" t="s">
        <v>18</v>
      </c>
      <c r="E358" s="49">
        <v>150</v>
      </c>
      <c r="F358" s="50">
        <v>1.55</v>
      </c>
      <c r="G358" s="51">
        <f t="shared" si="7"/>
        <v>232.5</v>
      </c>
    </row>
    <row r="359" spans="1:7" x14ac:dyDescent="0.35">
      <c r="A359" s="30">
        <v>48</v>
      </c>
      <c r="B359" s="48" t="s">
        <v>170</v>
      </c>
      <c r="D359" s="48" t="s">
        <v>25</v>
      </c>
      <c r="E359" s="49">
        <v>1000</v>
      </c>
      <c r="F359" s="50">
        <v>0.6</v>
      </c>
      <c r="G359" s="51">
        <f t="shared" si="7"/>
        <v>600</v>
      </c>
    </row>
    <row r="360" spans="1:7" x14ac:dyDescent="0.35">
      <c r="A360" s="30">
        <v>48</v>
      </c>
      <c r="B360" s="48" t="s">
        <v>170</v>
      </c>
      <c r="D360" s="48" t="s">
        <v>41</v>
      </c>
      <c r="E360" s="49">
        <v>1000</v>
      </c>
      <c r="F360" s="50">
        <v>1.65</v>
      </c>
      <c r="G360" s="51">
        <f t="shared" si="7"/>
        <v>1650</v>
      </c>
    </row>
    <row r="361" spans="1:7" x14ac:dyDescent="0.35">
      <c r="A361" s="30">
        <v>48</v>
      </c>
      <c r="B361" s="48" t="s">
        <v>170</v>
      </c>
      <c r="D361" s="48" t="s">
        <v>94</v>
      </c>
      <c r="E361" s="49">
        <v>2800</v>
      </c>
      <c r="F361" s="50">
        <v>2.75</v>
      </c>
      <c r="G361" s="51">
        <f t="shared" si="7"/>
        <v>7700</v>
      </c>
    </row>
    <row r="362" spans="1:7" x14ac:dyDescent="0.35">
      <c r="A362" s="30">
        <v>49</v>
      </c>
      <c r="B362" s="48" t="s">
        <v>88</v>
      </c>
      <c r="C362" s="1">
        <v>1</v>
      </c>
      <c r="D362" s="48" t="s">
        <v>51</v>
      </c>
      <c r="E362" s="49">
        <v>500</v>
      </c>
      <c r="F362" s="50">
        <v>4.5</v>
      </c>
      <c r="G362" s="51">
        <f t="shared" si="7"/>
        <v>2250</v>
      </c>
    </row>
    <row r="363" spans="1:7" x14ac:dyDescent="0.35">
      <c r="A363" s="30">
        <v>49</v>
      </c>
      <c r="B363" s="48" t="s">
        <v>88</v>
      </c>
      <c r="D363" s="48" t="s">
        <v>26</v>
      </c>
      <c r="E363" s="49">
        <v>1000</v>
      </c>
      <c r="F363" s="50">
        <v>0.45</v>
      </c>
      <c r="G363" s="51">
        <f t="shared" si="7"/>
        <v>450</v>
      </c>
    </row>
    <row r="364" spans="1:7" x14ac:dyDescent="0.35">
      <c r="A364" s="30">
        <v>49</v>
      </c>
      <c r="B364" s="48" t="s">
        <v>88</v>
      </c>
      <c r="D364" s="48" t="s">
        <v>53</v>
      </c>
      <c r="E364" s="49">
        <v>300</v>
      </c>
      <c r="F364" s="50">
        <v>2.15</v>
      </c>
      <c r="G364" s="51">
        <f t="shared" si="7"/>
        <v>645</v>
      </c>
    </row>
    <row r="365" spans="1:7" x14ac:dyDescent="0.35">
      <c r="A365" s="30">
        <v>49</v>
      </c>
      <c r="B365" s="48" t="s">
        <v>88</v>
      </c>
      <c r="D365" s="48" t="s">
        <v>39</v>
      </c>
      <c r="E365" s="49">
        <v>1500</v>
      </c>
      <c r="F365" s="50">
        <v>0.65</v>
      </c>
      <c r="G365" s="51">
        <f t="shared" si="7"/>
        <v>975</v>
      </c>
    </row>
    <row r="366" spans="1:7" x14ac:dyDescent="0.35">
      <c r="A366" s="30">
        <v>49</v>
      </c>
      <c r="B366" s="48" t="s">
        <v>88</v>
      </c>
      <c r="D366" s="48" t="s">
        <v>34</v>
      </c>
      <c r="E366" s="49">
        <v>4000</v>
      </c>
      <c r="F366" s="50">
        <v>3.15</v>
      </c>
      <c r="G366" s="51">
        <f t="shared" si="7"/>
        <v>12600</v>
      </c>
    </row>
    <row r="367" spans="1:7" x14ac:dyDescent="0.35">
      <c r="A367" s="30">
        <v>49</v>
      </c>
      <c r="B367" s="48" t="s">
        <v>88</v>
      </c>
      <c r="D367" s="48" t="s">
        <v>26</v>
      </c>
      <c r="E367" s="49">
        <v>1000</v>
      </c>
      <c r="F367" s="50">
        <v>1.4</v>
      </c>
      <c r="G367" s="51">
        <f t="shared" si="7"/>
        <v>1400</v>
      </c>
    </row>
    <row r="368" spans="1:7" x14ac:dyDescent="0.35">
      <c r="A368" s="30">
        <v>49</v>
      </c>
      <c r="B368" s="48" t="s">
        <v>88</v>
      </c>
      <c r="D368" s="48" t="s">
        <v>94</v>
      </c>
      <c r="E368" s="49">
        <v>2800</v>
      </c>
      <c r="F368" s="50">
        <v>1.85</v>
      </c>
      <c r="G368" s="51">
        <f t="shared" si="7"/>
        <v>5180</v>
      </c>
    </row>
    <row r="369" spans="1:7" x14ac:dyDescent="0.35">
      <c r="A369" s="30">
        <v>49</v>
      </c>
      <c r="B369" s="48" t="s">
        <v>88</v>
      </c>
      <c r="D369" s="48" t="s">
        <v>53</v>
      </c>
      <c r="E369" s="49">
        <v>300</v>
      </c>
      <c r="F369" s="50">
        <v>1.85</v>
      </c>
      <c r="G369" s="51">
        <f t="shared" si="7"/>
        <v>555</v>
      </c>
    </row>
    <row r="370" spans="1:7" x14ac:dyDescent="0.35">
      <c r="A370" s="30">
        <v>50</v>
      </c>
      <c r="B370" t="s">
        <v>118</v>
      </c>
      <c r="C370" s="30">
        <v>1</v>
      </c>
      <c r="D370" s="48" t="s">
        <v>51</v>
      </c>
      <c r="E370" s="49">
        <v>500</v>
      </c>
      <c r="F370">
        <f>0.55+1.7</f>
        <v>2.25</v>
      </c>
      <c r="G370" s="51">
        <f t="shared" si="7"/>
        <v>1125</v>
      </c>
    </row>
    <row r="371" spans="1:7" x14ac:dyDescent="0.35">
      <c r="A371" s="30">
        <v>50</v>
      </c>
      <c r="B371" t="s">
        <v>118</v>
      </c>
      <c r="D371" s="48" t="s">
        <v>26</v>
      </c>
      <c r="E371" s="49">
        <v>1000</v>
      </c>
      <c r="F371" s="52">
        <v>0.9</v>
      </c>
      <c r="G371" s="51">
        <f t="shared" si="7"/>
        <v>900</v>
      </c>
    </row>
    <row r="372" spans="1:7" x14ac:dyDescent="0.35">
      <c r="A372" s="30">
        <v>50</v>
      </c>
      <c r="B372" t="s">
        <v>118</v>
      </c>
      <c r="D372" s="48" t="s">
        <v>25</v>
      </c>
      <c r="E372" s="49">
        <v>1000</v>
      </c>
      <c r="F372" s="52">
        <v>0.95</v>
      </c>
      <c r="G372" s="51">
        <f t="shared" si="7"/>
        <v>950</v>
      </c>
    </row>
    <row r="373" spans="1:7" x14ac:dyDescent="0.35">
      <c r="A373" s="30">
        <v>50</v>
      </c>
      <c r="B373" t="s">
        <v>118</v>
      </c>
      <c r="D373" s="48" t="s">
        <v>94</v>
      </c>
      <c r="E373" s="49">
        <v>2800</v>
      </c>
      <c r="F373" s="52">
        <v>1.5</v>
      </c>
      <c r="G373" s="51">
        <f t="shared" si="7"/>
        <v>4200</v>
      </c>
    </row>
    <row r="374" spans="1:7" x14ac:dyDescent="0.35">
      <c r="A374" s="30">
        <v>50</v>
      </c>
      <c r="B374" t="s">
        <v>118</v>
      </c>
      <c r="D374" s="48" t="s">
        <v>53</v>
      </c>
      <c r="E374" s="49">
        <v>300</v>
      </c>
      <c r="F374" s="52">
        <v>1.1499999999999999</v>
      </c>
      <c r="G374" s="51">
        <f t="shared" si="7"/>
        <v>345</v>
      </c>
    </row>
    <row r="375" spans="1:7" x14ac:dyDescent="0.35">
      <c r="A375" s="30">
        <v>50</v>
      </c>
      <c r="B375" t="s">
        <v>118</v>
      </c>
      <c r="D375" s="48" t="s">
        <v>13</v>
      </c>
      <c r="E375" s="49">
        <v>200</v>
      </c>
      <c r="F375" s="52">
        <v>0.45</v>
      </c>
      <c r="G375" s="51">
        <f t="shared" si="7"/>
        <v>90</v>
      </c>
    </row>
    <row r="376" spans="1:7" x14ac:dyDescent="0.35">
      <c r="A376" s="30">
        <v>51</v>
      </c>
      <c r="B376" t="s">
        <v>245</v>
      </c>
      <c r="C376" s="30" t="s">
        <v>244</v>
      </c>
      <c r="D376" s="48" t="s">
        <v>94</v>
      </c>
      <c r="E376" s="49">
        <v>2800</v>
      </c>
      <c r="F376" s="52">
        <v>3.6</v>
      </c>
      <c r="G376" s="51">
        <f t="shared" si="7"/>
        <v>10080</v>
      </c>
    </row>
    <row r="377" spans="1:7" x14ac:dyDescent="0.35">
      <c r="A377" s="30">
        <v>52</v>
      </c>
      <c r="B377" t="s">
        <v>269</v>
      </c>
      <c r="C377" s="1" t="s">
        <v>279</v>
      </c>
      <c r="D377" s="48" t="s">
        <v>53</v>
      </c>
      <c r="E377" s="49">
        <v>300</v>
      </c>
      <c r="F377" s="52">
        <v>2.95</v>
      </c>
      <c r="G377" s="51">
        <f t="shared" si="7"/>
        <v>885</v>
      </c>
    </row>
    <row r="378" spans="1:7" x14ac:dyDescent="0.35">
      <c r="A378" s="30">
        <v>53</v>
      </c>
      <c r="B378" t="s">
        <v>270</v>
      </c>
      <c r="C378" s="1" t="s">
        <v>279</v>
      </c>
      <c r="D378" s="48" t="s">
        <v>53</v>
      </c>
      <c r="E378" s="49">
        <v>300</v>
      </c>
      <c r="F378" s="52">
        <v>1</v>
      </c>
      <c r="G378" s="51">
        <f t="shared" si="7"/>
        <v>300</v>
      </c>
    </row>
    <row r="379" spans="1:7" x14ac:dyDescent="0.35">
      <c r="A379" s="30">
        <v>54</v>
      </c>
      <c r="B379" t="s">
        <v>271</v>
      </c>
      <c r="C379" s="1" t="s">
        <v>279</v>
      </c>
      <c r="D379" s="48" t="s">
        <v>26</v>
      </c>
      <c r="E379" s="49">
        <v>1000</v>
      </c>
      <c r="F379" s="52">
        <v>4.8</v>
      </c>
      <c r="G379" s="51">
        <f t="shared" si="7"/>
        <v>4800</v>
      </c>
    </row>
    <row r="380" spans="1:7" x14ac:dyDescent="0.35">
      <c r="A380" s="30">
        <v>55</v>
      </c>
      <c r="B380" t="s">
        <v>272</v>
      </c>
      <c r="C380" s="1" t="s">
        <v>279</v>
      </c>
      <c r="D380" s="48" t="s">
        <v>53</v>
      </c>
      <c r="E380" s="49">
        <v>300</v>
      </c>
      <c r="F380" s="52">
        <v>1.65</v>
      </c>
      <c r="G380" s="51">
        <f t="shared" si="7"/>
        <v>495</v>
      </c>
    </row>
    <row r="381" spans="1:7" x14ac:dyDescent="0.35">
      <c r="A381" s="30">
        <v>56</v>
      </c>
      <c r="B381" t="s">
        <v>273</v>
      </c>
      <c r="C381" s="1" t="s">
        <v>279</v>
      </c>
      <c r="D381" s="48" t="s">
        <v>26</v>
      </c>
      <c r="E381" s="49">
        <v>1000</v>
      </c>
      <c r="F381" s="52">
        <v>3.7</v>
      </c>
      <c r="G381" s="51">
        <f t="shared" si="7"/>
        <v>3700</v>
      </c>
    </row>
    <row r="382" spans="1:7" x14ac:dyDescent="0.35">
      <c r="A382" s="30">
        <v>57</v>
      </c>
      <c r="B382" t="s">
        <v>274</v>
      </c>
      <c r="C382" s="1" t="s">
        <v>279</v>
      </c>
      <c r="D382" s="48" t="s">
        <v>53</v>
      </c>
      <c r="E382" s="49">
        <v>300</v>
      </c>
      <c r="G382" s="51">
        <f t="shared" si="7"/>
        <v>0</v>
      </c>
    </row>
    <row r="383" spans="1:7" x14ac:dyDescent="0.35">
      <c r="F383">
        <f>SUM(F3:F382)</f>
        <v>718.15000000000066</v>
      </c>
      <c r="G383" s="11">
        <f>SUM(G3:G382)</f>
        <v>897427.5</v>
      </c>
    </row>
  </sheetData>
  <autoFilter ref="A2:G2" xr:uid="{225E1470-EA7A-40F7-86E0-6703903ACB22}">
    <sortState xmlns:xlrd2="http://schemas.microsoft.com/office/spreadsheetml/2017/richdata2" ref="A3:G369">
      <sortCondition ref="A2"/>
    </sortState>
  </autoFilter>
  <pageMargins left="0.7" right="0.7" top="0.75" bottom="0.75" header="0.3" footer="0.3"/>
  <pageSetup paperSize="9" scale="68" orientation="portrait" r:id="rId3"/>
  <colBreaks count="2" manualBreakCount="2">
    <brk id="7" max="1048575" man="1"/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PINJAMAN</vt:lpstr>
      <vt:lpstr>11-07-26 (2)</vt:lpstr>
      <vt:lpstr>21-6-26 (2)</vt:lpstr>
      <vt:lpstr>KamiBox</vt:lpstr>
      <vt:lpstr>Kas Baru</vt:lpstr>
      <vt:lpstr>Tabungan Nasabah</vt:lpstr>
      <vt:lpstr>12-9-26</vt:lpstr>
      <vt:lpstr>22-8-26</vt:lpstr>
      <vt:lpstr>1-8-26</vt:lpstr>
      <vt:lpstr>11-07-26</vt:lpstr>
      <vt:lpstr>21-6-26</vt:lpstr>
      <vt:lpstr>30-5-26</vt:lpstr>
      <vt:lpstr>9-5-26</vt:lpstr>
      <vt:lpstr>30-5-26 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Winpartners</dc:creator>
  <cp:lastModifiedBy>Deddy Kristanto</cp:lastModifiedBy>
  <cp:lastPrinted>2026-06-02T05:41:34Z</cp:lastPrinted>
  <dcterms:created xsi:type="dcterms:W3CDTF">2015-06-05T18:17:20Z</dcterms:created>
  <dcterms:modified xsi:type="dcterms:W3CDTF">2026-09-22T04:22:14Z</dcterms:modified>
</cp:coreProperties>
</file>